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Cache/pivotCacheRecords1.xml" ContentType="application/vnd.openxmlformats-officedocument.spreadsheetml.pivotCacheRecord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5" yWindow="60" windowWidth="17745" windowHeight="12255" tabRatio="768" activeTab="2"/>
  </bookViews>
  <sheets>
    <sheet name="브랜드품목별" sheetId="1" r:id="rId1"/>
    <sheet name="발주입고월" sheetId="6" r:id="rId2"/>
    <sheet name="샘플별업체 아이템별" sheetId="2" r:id="rId3"/>
    <sheet name="샘플현황취합" sheetId="3" r:id="rId4"/>
    <sheet name="CODE" sheetId="4" r:id="rId5"/>
    <sheet name="생산업체" sheetId="9" r:id="rId6"/>
    <sheet name="주" sheetId="8" r:id="rId7"/>
    <sheet name="정리" sheetId="5" r:id="rId8"/>
    <sheet name="계획" sheetId="7" r:id="rId9"/>
  </sheets>
  <externalReferences>
    <externalReference r:id="rId10"/>
    <externalReference r:id="rId11"/>
    <externalReference r:id="rId12"/>
  </externalReferences>
  <definedNames>
    <definedName name="_xlnm._FilterDatabase" localSheetId="4" hidden="1">CODE!$A$1:$F$135</definedName>
    <definedName name="_xlnm._FilterDatabase" localSheetId="0" hidden="1">브랜드품목별!#REF!</definedName>
    <definedName name="_xlnm._FilterDatabase" localSheetId="3" hidden="1">샘플현황취합!$A$1:$AJ$595</definedName>
    <definedName name="_xlnm.Print_Titles" localSheetId="1">발주입고월!$5:$5</definedName>
    <definedName name="_xlnm.Print_Titles" localSheetId="0">브랜드품목별!$5:$5</definedName>
    <definedName name="_xlnm.Print_Titles" localSheetId="2">'샘플별업체 아이템별'!$5:$5</definedName>
  </definedNames>
  <calcPr calcId="124519"/>
  <pivotCaches>
    <pivotCache cacheId="47" r:id="rId13"/>
  </pivotCaches>
</workbook>
</file>

<file path=xl/calcChain.xml><?xml version="1.0" encoding="utf-8"?>
<calcChain xmlns="http://schemas.openxmlformats.org/spreadsheetml/2006/main">
  <c r="B772" i="3"/>
  <c r="D772"/>
  <c r="E772"/>
  <c r="F772"/>
  <c r="H772"/>
  <c r="J772"/>
  <c r="K772"/>
  <c r="L772"/>
  <c r="M772"/>
  <c r="N772"/>
  <c r="O772"/>
  <c r="B773"/>
  <c r="D773"/>
  <c r="E773"/>
  <c r="F773"/>
  <c r="H773"/>
  <c r="J773"/>
  <c r="K773"/>
  <c r="L773"/>
  <c r="M773"/>
  <c r="N773"/>
  <c r="O773"/>
  <c r="B774"/>
  <c r="D774"/>
  <c r="E774"/>
  <c r="F774"/>
  <c r="H774"/>
  <c r="J774"/>
  <c r="K774"/>
  <c r="L774"/>
  <c r="M774"/>
  <c r="N774"/>
  <c r="O774"/>
  <c r="B775"/>
  <c r="D775"/>
  <c r="E775"/>
  <c r="F775"/>
  <c r="H775"/>
  <c r="J775"/>
  <c r="K775"/>
  <c r="L775"/>
  <c r="M775"/>
  <c r="N775"/>
  <c r="O775"/>
  <c r="B776"/>
  <c r="D776"/>
  <c r="E776"/>
  <c r="F776"/>
  <c r="H776"/>
  <c r="J776"/>
  <c r="K776"/>
  <c r="L776"/>
  <c r="M776"/>
  <c r="N776"/>
  <c r="O776"/>
  <c r="B777"/>
  <c r="D777"/>
  <c r="E777"/>
  <c r="F777"/>
  <c r="H777"/>
  <c r="J777"/>
  <c r="K777"/>
  <c r="L777"/>
  <c r="M777"/>
  <c r="N777"/>
  <c r="O777"/>
  <c r="B778"/>
  <c r="D778"/>
  <c r="E778"/>
  <c r="F778"/>
  <c r="H778"/>
  <c r="J778"/>
  <c r="K778"/>
  <c r="L778"/>
  <c r="M778"/>
  <c r="N778"/>
  <c r="O778"/>
  <c r="B779"/>
  <c r="D779"/>
  <c r="E779"/>
  <c r="F779"/>
  <c r="H779"/>
  <c r="J779"/>
  <c r="K779"/>
  <c r="L779" s="1"/>
  <c r="M779"/>
  <c r="N779"/>
  <c r="O779"/>
  <c r="B780"/>
  <c r="D780"/>
  <c r="E780"/>
  <c r="F780"/>
  <c r="H780"/>
  <c r="J780"/>
  <c r="K780"/>
  <c r="L780"/>
  <c r="M780"/>
  <c r="N780"/>
  <c r="O780"/>
  <c r="B781"/>
  <c r="D781"/>
  <c r="E781"/>
  <c r="F781"/>
  <c r="H781"/>
  <c r="J781"/>
  <c r="K781"/>
  <c r="L781" s="1"/>
  <c r="M781"/>
  <c r="N781"/>
  <c r="O781"/>
  <c r="B782"/>
  <c r="D782"/>
  <c r="E782"/>
  <c r="F782"/>
  <c r="H782"/>
  <c r="J782"/>
  <c r="K782"/>
  <c r="L782"/>
  <c r="M782"/>
  <c r="N782"/>
  <c r="O782"/>
  <c r="B783"/>
  <c r="D783"/>
  <c r="E783"/>
  <c r="F783"/>
  <c r="H783"/>
  <c r="J783"/>
  <c r="K783"/>
  <c r="L783" s="1"/>
  <c r="M783"/>
  <c r="N783"/>
  <c r="O783"/>
  <c r="B784"/>
  <c r="D784"/>
  <c r="E784"/>
  <c r="F784"/>
  <c r="H784"/>
  <c r="J784"/>
  <c r="K784"/>
  <c r="L784"/>
  <c r="M784"/>
  <c r="N784"/>
  <c r="O784"/>
  <c r="B785"/>
  <c r="D785"/>
  <c r="E785"/>
  <c r="F785"/>
  <c r="H785"/>
  <c r="J785"/>
  <c r="K785"/>
  <c r="L785" s="1"/>
  <c r="M785"/>
  <c r="N785"/>
  <c r="O785"/>
  <c r="B786"/>
  <c r="D786"/>
  <c r="E786"/>
  <c r="F786"/>
  <c r="H786"/>
  <c r="J786"/>
  <c r="K786"/>
  <c r="L786"/>
  <c r="M786"/>
  <c r="N786"/>
  <c r="O786"/>
  <c r="B787"/>
  <c r="D787"/>
  <c r="E787"/>
  <c r="F787"/>
  <c r="H787"/>
  <c r="J787"/>
  <c r="K787"/>
  <c r="L787" s="1"/>
  <c r="M787"/>
  <c r="N787"/>
  <c r="O787"/>
  <c r="B788"/>
  <c r="D788"/>
  <c r="E788"/>
  <c r="F788"/>
  <c r="H788"/>
  <c r="J788"/>
  <c r="K788"/>
  <c r="L788"/>
  <c r="M788"/>
  <c r="N788"/>
  <c r="O788"/>
  <c r="B789"/>
  <c r="D789"/>
  <c r="E789"/>
  <c r="F789"/>
  <c r="H789"/>
  <c r="J789"/>
  <c r="K789"/>
  <c r="L789" s="1"/>
  <c r="M789"/>
  <c r="N789"/>
  <c r="O789"/>
  <c r="B790"/>
  <c r="D790"/>
  <c r="E790"/>
  <c r="F790"/>
  <c r="H790"/>
  <c r="J790"/>
  <c r="K790"/>
  <c r="L790"/>
  <c r="M790"/>
  <c r="N790"/>
  <c r="O790"/>
  <c r="B791"/>
  <c r="D791"/>
  <c r="E791"/>
  <c r="F791"/>
  <c r="H791"/>
  <c r="J791"/>
  <c r="K791"/>
  <c r="L791" s="1"/>
  <c r="M791"/>
  <c r="N791"/>
  <c r="O791"/>
  <c r="B792"/>
  <c r="D792"/>
  <c r="E792"/>
  <c r="F792"/>
  <c r="H792"/>
  <c r="J792"/>
  <c r="K792"/>
  <c r="L792"/>
  <c r="M792"/>
  <c r="N792"/>
  <c r="O792"/>
  <c r="B793"/>
  <c r="D793"/>
  <c r="E793"/>
  <c r="F793"/>
  <c r="H793"/>
  <c r="J793"/>
  <c r="K793"/>
  <c r="L793" s="1"/>
  <c r="M793"/>
  <c r="N793"/>
  <c r="O793"/>
  <c r="B794"/>
  <c r="D794"/>
  <c r="E794"/>
  <c r="F794"/>
  <c r="H794"/>
  <c r="J794"/>
  <c r="K794"/>
  <c r="L794"/>
  <c r="M794"/>
  <c r="N794"/>
  <c r="O794"/>
  <c r="B795"/>
  <c r="D795"/>
  <c r="E795"/>
  <c r="F795"/>
  <c r="H795"/>
  <c r="J795"/>
  <c r="K795"/>
  <c r="L795" s="1"/>
  <c r="M795"/>
  <c r="N795"/>
  <c r="O795"/>
  <c r="B796"/>
  <c r="D796"/>
  <c r="E796"/>
  <c r="F796"/>
  <c r="H796"/>
  <c r="J796"/>
  <c r="K796"/>
  <c r="L796"/>
  <c r="M796"/>
  <c r="N796"/>
  <c r="O796"/>
  <c r="B797"/>
  <c r="D797"/>
  <c r="E797"/>
  <c r="F797"/>
  <c r="H797"/>
  <c r="J797"/>
  <c r="K797"/>
  <c r="M797" s="1"/>
  <c r="N797"/>
  <c r="O797"/>
  <c r="B798"/>
  <c r="D798"/>
  <c r="E798"/>
  <c r="F798"/>
  <c r="H798"/>
  <c r="J798"/>
  <c r="K798"/>
  <c r="L798"/>
  <c r="M798"/>
  <c r="N798"/>
  <c r="O798"/>
  <c r="B799"/>
  <c r="D799"/>
  <c r="E799"/>
  <c r="F799"/>
  <c r="H799"/>
  <c r="J799"/>
  <c r="K799"/>
  <c r="L799" s="1"/>
  <c r="M799"/>
  <c r="N799"/>
  <c r="O799"/>
  <c r="B800"/>
  <c r="D800"/>
  <c r="E800"/>
  <c r="F800"/>
  <c r="H800"/>
  <c r="J800"/>
  <c r="K800"/>
  <c r="L800"/>
  <c r="M800"/>
  <c r="N800"/>
  <c r="O800"/>
  <c r="B801"/>
  <c r="D801"/>
  <c r="E801"/>
  <c r="F801"/>
  <c r="H801"/>
  <c r="J801"/>
  <c r="K801"/>
  <c r="L801" s="1"/>
  <c r="M801"/>
  <c r="N801"/>
  <c r="O801"/>
  <c r="B802"/>
  <c r="D802"/>
  <c r="E802"/>
  <c r="F802"/>
  <c r="H802"/>
  <c r="J802"/>
  <c r="K802"/>
  <c r="L802"/>
  <c r="M802"/>
  <c r="N802"/>
  <c r="O802"/>
  <c r="B803"/>
  <c r="D803"/>
  <c r="E803"/>
  <c r="F803"/>
  <c r="H803"/>
  <c r="J803"/>
  <c r="K803"/>
  <c r="L803" s="1"/>
  <c r="M803"/>
  <c r="N803"/>
  <c r="O803"/>
  <c r="B804"/>
  <c r="D804"/>
  <c r="E804"/>
  <c r="F804"/>
  <c r="H804"/>
  <c r="J804"/>
  <c r="K804"/>
  <c r="L804"/>
  <c r="M804"/>
  <c r="N804"/>
  <c r="O804"/>
  <c r="B805"/>
  <c r="D805"/>
  <c r="E805"/>
  <c r="F805"/>
  <c r="H805"/>
  <c r="J805"/>
  <c r="K805"/>
  <c r="L805" s="1"/>
  <c r="M805"/>
  <c r="N805"/>
  <c r="O805"/>
  <c r="B806"/>
  <c r="D806"/>
  <c r="E806"/>
  <c r="F806"/>
  <c r="H806"/>
  <c r="J806"/>
  <c r="K806"/>
  <c r="L806"/>
  <c r="M806"/>
  <c r="N806"/>
  <c r="O806"/>
  <c r="B807"/>
  <c r="D807"/>
  <c r="E807"/>
  <c r="F807"/>
  <c r="H807"/>
  <c r="J807"/>
  <c r="K807"/>
  <c r="L807" s="1"/>
  <c r="M807"/>
  <c r="N807"/>
  <c r="O807"/>
  <c r="B808"/>
  <c r="D808"/>
  <c r="E808"/>
  <c r="F808"/>
  <c r="H808"/>
  <c r="J808"/>
  <c r="K808"/>
  <c r="L808"/>
  <c r="M808"/>
  <c r="N808"/>
  <c r="O808"/>
  <c r="B809"/>
  <c r="D809"/>
  <c r="E809"/>
  <c r="F809"/>
  <c r="H809"/>
  <c r="J809"/>
  <c r="K809"/>
  <c r="L809" s="1"/>
  <c r="M809"/>
  <c r="N809"/>
  <c r="O809"/>
  <c r="B810"/>
  <c r="D810"/>
  <c r="E810"/>
  <c r="F810"/>
  <c r="H810"/>
  <c r="J810"/>
  <c r="K810"/>
  <c r="L810"/>
  <c r="M810"/>
  <c r="N810"/>
  <c r="O810"/>
  <c r="B811"/>
  <c r="D811"/>
  <c r="E811"/>
  <c r="F811"/>
  <c r="H811"/>
  <c r="J811"/>
  <c r="K811"/>
  <c r="L811" s="1"/>
  <c r="M811"/>
  <c r="N811"/>
  <c r="O811"/>
  <c r="B812"/>
  <c r="D812"/>
  <c r="E812"/>
  <c r="F812"/>
  <c r="H812"/>
  <c r="J812"/>
  <c r="K812"/>
  <c r="L812"/>
  <c r="M812"/>
  <c r="N812"/>
  <c r="O812"/>
  <c r="B813"/>
  <c r="D813"/>
  <c r="E813"/>
  <c r="F813"/>
  <c r="G813"/>
  <c r="H813"/>
  <c r="I813"/>
  <c r="J813"/>
  <c r="K813"/>
  <c r="L813" s="1"/>
  <c r="M813"/>
  <c r="N813"/>
  <c r="O813"/>
  <c r="B814"/>
  <c r="D814"/>
  <c r="E814"/>
  <c r="F814"/>
  <c r="H814"/>
  <c r="J814"/>
  <c r="K814"/>
  <c r="L814"/>
  <c r="M814"/>
  <c r="N814"/>
  <c r="O814"/>
  <c r="B815"/>
  <c r="D815"/>
  <c r="E815"/>
  <c r="F815"/>
  <c r="G815"/>
  <c r="H815"/>
  <c r="I815"/>
  <c r="J815"/>
  <c r="K815"/>
  <c r="L815" s="1"/>
  <c r="M815"/>
  <c r="N815"/>
  <c r="O815"/>
  <c r="B816"/>
  <c r="D816"/>
  <c r="E816"/>
  <c r="F816"/>
  <c r="H816"/>
  <c r="G816" s="1"/>
  <c r="J816"/>
  <c r="I816" s="1"/>
  <c r="K816"/>
  <c r="L816"/>
  <c r="M816"/>
  <c r="N816"/>
  <c r="O816"/>
  <c r="B817"/>
  <c r="D817"/>
  <c r="E817"/>
  <c r="F817"/>
  <c r="G817"/>
  <c r="H817"/>
  <c r="I817"/>
  <c r="J817"/>
  <c r="K817"/>
  <c r="L817" s="1"/>
  <c r="M817"/>
  <c r="N817"/>
  <c r="O817"/>
  <c r="B818"/>
  <c r="D818"/>
  <c r="E818"/>
  <c r="F818"/>
  <c r="H818"/>
  <c r="G818" s="1"/>
  <c r="J818"/>
  <c r="I818" s="1"/>
  <c r="K818"/>
  <c r="L818"/>
  <c r="M818"/>
  <c r="N818"/>
  <c r="O818"/>
  <c r="B819"/>
  <c r="D819"/>
  <c r="E819"/>
  <c r="F819"/>
  <c r="H819"/>
  <c r="J819"/>
  <c r="K819"/>
  <c r="L819" s="1"/>
  <c r="M819"/>
  <c r="N819"/>
  <c r="O819"/>
  <c r="B820"/>
  <c r="D820"/>
  <c r="E820"/>
  <c r="F820"/>
  <c r="H820"/>
  <c r="J820"/>
  <c r="K820"/>
  <c r="L820"/>
  <c r="M820"/>
  <c r="N820"/>
  <c r="O820"/>
  <c r="B821"/>
  <c r="D821"/>
  <c r="E821"/>
  <c r="F821"/>
  <c r="G821"/>
  <c r="H821"/>
  <c r="I821"/>
  <c r="J821"/>
  <c r="K821"/>
  <c r="L821" s="1"/>
  <c r="M821"/>
  <c r="N821"/>
  <c r="O821"/>
  <c r="B822"/>
  <c r="D822"/>
  <c r="E822"/>
  <c r="F822"/>
  <c r="H822"/>
  <c r="J822"/>
  <c r="K822"/>
  <c r="L822"/>
  <c r="M822"/>
  <c r="N822"/>
  <c r="O822"/>
  <c r="B823"/>
  <c r="D823"/>
  <c r="E823"/>
  <c r="F823"/>
  <c r="H823"/>
  <c r="J823"/>
  <c r="K823"/>
  <c r="L823" s="1"/>
  <c r="M823"/>
  <c r="N823"/>
  <c r="O823"/>
  <c r="B824"/>
  <c r="D824"/>
  <c r="E824"/>
  <c r="F824"/>
  <c r="H824"/>
  <c r="J824"/>
  <c r="K824"/>
  <c r="L824"/>
  <c r="M824"/>
  <c r="N824"/>
  <c r="O824"/>
  <c r="B825"/>
  <c r="D825"/>
  <c r="E825"/>
  <c r="F825"/>
  <c r="H825"/>
  <c r="J825"/>
  <c r="K825"/>
  <c r="L825" s="1"/>
  <c r="M825"/>
  <c r="N825"/>
  <c r="O825"/>
  <c r="B826"/>
  <c r="D826"/>
  <c r="E826"/>
  <c r="F826"/>
  <c r="H826"/>
  <c r="J826"/>
  <c r="I826" s="1"/>
  <c r="K826"/>
  <c r="L826"/>
  <c r="M826"/>
  <c r="N826"/>
  <c r="O826"/>
  <c r="B827"/>
  <c r="D827"/>
  <c r="E827"/>
  <c r="F827"/>
  <c r="H827"/>
  <c r="J827"/>
  <c r="K827"/>
  <c r="L827" s="1"/>
  <c r="N827"/>
  <c r="O827"/>
  <c r="B828"/>
  <c r="D828"/>
  <c r="E828"/>
  <c r="F828"/>
  <c r="H828"/>
  <c r="J828"/>
  <c r="K828"/>
  <c r="L828"/>
  <c r="M828"/>
  <c r="N828"/>
  <c r="O828"/>
  <c r="B829"/>
  <c r="D829"/>
  <c r="E829"/>
  <c r="F829"/>
  <c r="H829"/>
  <c r="J829"/>
  <c r="K829"/>
  <c r="L829" s="1"/>
  <c r="N829"/>
  <c r="O829"/>
  <c r="B830"/>
  <c r="D830"/>
  <c r="E830"/>
  <c r="F830"/>
  <c r="H830"/>
  <c r="J830"/>
  <c r="K830"/>
  <c r="L830"/>
  <c r="M830"/>
  <c r="N830"/>
  <c r="O830"/>
  <c r="B831"/>
  <c r="D831"/>
  <c r="E831"/>
  <c r="F831"/>
  <c r="H831"/>
  <c r="J831"/>
  <c r="K831"/>
  <c r="L831" s="1"/>
  <c r="N831"/>
  <c r="O831"/>
  <c r="B832"/>
  <c r="D832"/>
  <c r="C831" s="1"/>
  <c r="E832"/>
  <c r="F832"/>
  <c r="H832"/>
  <c r="J832"/>
  <c r="K832"/>
  <c r="L832"/>
  <c r="M832"/>
  <c r="N832"/>
  <c r="O832"/>
  <c r="B833"/>
  <c r="D833"/>
  <c r="E833"/>
  <c r="F833"/>
  <c r="H833"/>
  <c r="J833"/>
  <c r="K833"/>
  <c r="L833" s="1"/>
  <c r="N833"/>
  <c r="O833"/>
  <c r="B834"/>
  <c r="D834"/>
  <c r="E834"/>
  <c r="F834"/>
  <c r="H834"/>
  <c r="J834"/>
  <c r="K834"/>
  <c r="L834"/>
  <c r="M834"/>
  <c r="N834"/>
  <c r="O834"/>
  <c r="B835"/>
  <c r="D835"/>
  <c r="E835"/>
  <c r="F835"/>
  <c r="H835"/>
  <c r="J835"/>
  <c r="K835"/>
  <c r="L835" s="1"/>
  <c r="N835"/>
  <c r="O835"/>
  <c r="B836"/>
  <c r="D836"/>
  <c r="C835" s="1"/>
  <c r="E836"/>
  <c r="F836"/>
  <c r="H836"/>
  <c r="J836"/>
  <c r="K836"/>
  <c r="L836"/>
  <c r="M836"/>
  <c r="N836"/>
  <c r="O836"/>
  <c r="B837"/>
  <c r="D837"/>
  <c r="E837"/>
  <c r="F837"/>
  <c r="H837"/>
  <c r="J837"/>
  <c r="K837"/>
  <c r="L837" s="1"/>
  <c r="N837"/>
  <c r="O837"/>
  <c r="B838"/>
  <c r="D838"/>
  <c r="E838"/>
  <c r="F838"/>
  <c r="H838"/>
  <c r="J838"/>
  <c r="K838"/>
  <c r="L838"/>
  <c r="M838"/>
  <c r="N838"/>
  <c r="O838"/>
  <c r="B839"/>
  <c r="D839"/>
  <c r="E839"/>
  <c r="F839"/>
  <c r="H839"/>
  <c r="J839"/>
  <c r="K839"/>
  <c r="L839" s="1"/>
  <c r="N839"/>
  <c r="O839"/>
  <c r="B840"/>
  <c r="D840"/>
  <c r="C839" s="1"/>
  <c r="E840"/>
  <c r="F840"/>
  <c r="H840"/>
  <c r="J840"/>
  <c r="K840"/>
  <c r="L840"/>
  <c r="M840"/>
  <c r="N840"/>
  <c r="O840"/>
  <c r="B841"/>
  <c r="D841"/>
  <c r="E841"/>
  <c r="F841"/>
  <c r="H841"/>
  <c r="J841"/>
  <c r="K841"/>
  <c r="L841" s="1"/>
  <c r="N841"/>
  <c r="O841"/>
  <c r="B842"/>
  <c r="D842"/>
  <c r="E842"/>
  <c r="F842"/>
  <c r="H842"/>
  <c r="J842"/>
  <c r="K842"/>
  <c r="L842"/>
  <c r="M842"/>
  <c r="N842"/>
  <c r="O842"/>
  <c r="B843"/>
  <c r="D843"/>
  <c r="E843"/>
  <c r="F843"/>
  <c r="H843"/>
  <c r="J843"/>
  <c r="K843"/>
  <c r="L843" s="1"/>
  <c r="N843"/>
  <c r="O843"/>
  <c r="B844"/>
  <c r="D844"/>
  <c r="C843" s="1"/>
  <c r="E844"/>
  <c r="F844"/>
  <c r="H844"/>
  <c r="J844"/>
  <c r="K844"/>
  <c r="L844"/>
  <c r="M844"/>
  <c r="N844"/>
  <c r="O844"/>
  <c r="B845"/>
  <c r="D845"/>
  <c r="E845"/>
  <c r="F845"/>
  <c r="H845"/>
  <c r="J845"/>
  <c r="K845"/>
  <c r="L845" s="1"/>
  <c r="N845"/>
  <c r="O845"/>
  <c r="B846"/>
  <c r="D846"/>
  <c r="E846"/>
  <c r="F846"/>
  <c r="H846"/>
  <c r="J846"/>
  <c r="K846"/>
  <c r="L846"/>
  <c r="M846"/>
  <c r="N846"/>
  <c r="O846"/>
  <c r="B847"/>
  <c r="D847"/>
  <c r="E847"/>
  <c r="F847"/>
  <c r="H847"/>
  <c r="J847"/>
  <c r="K847"/>
  <c r="L847" s="1"/>
  <c r="N847"/>
  <c r="O847"/>
  <c r="B848"/>
  <c r="D848"/>
  <c r="C847" s="1"/>
  <c r="E848"/>
  <c r="F848"/>
  <c r="H848"/>
  <c r="J848"/>
  <c r="K848"/>
  <c r="L848"/>
  <c r="M848"/>
  <c r="N848"/>
  <c r="O848"/>
  <c r="B849"/>
  <c r="D849"/>
  <c r="E849"/>
  <c r="F849"/>
  <c r="H849"/>
  <c r="J849"/>
  <c r="K849"/>
  <c r="L849" s="1"/>
  <c r="N849"/>
  <c r="O849"/>
  <c r="B850"/>
  <c r="D850"/>
  <c r="E850"/>
  <c r="F850"/>
  <c r="H850"/>
  <c r="J850"/>
  <c r="K850"/>
  <c r="L850"/>
  <c r="M850"/>
  <c r="N850"/>
  <c r="O850"/>
  <c r="B851"/>
  <c r="D851"/>
  <c r="E851"/>
  <c r="F851"/>
  <c r="H851"/>
  <c r="J851"/>
  <c r="K851"/>
  <c r="L851" s="1"/>
  <c r="N851"/>
  <c r="O851"/>
  <c r="B852"/>
  <c r="D852"/>
  <c r="C851" s="1"/>
  <c r="E852"/>
  <c r="F852"/>
  <c r="H852"/>
  <c r="J852"/>
  <c r="K852"/>
  <c r="L852"/>
  <c r="M852"/>
  <c r="N852"/>
  <c r="O852"/>
  <c r="B853"/>
  <c r="D853"/>
  <c r="E853"/>
  <c r="F853"/>
  <c r="H853"/>
  <c r="J853"/>
  <c r="K853"/>
  <c r="L853" s="1"/>
  <c r="N853"/>
  <c r="O853"/>
  <c r="B854"/>
  <c r="D854"/>
  <c r="E854"/>
  <c r="F854"/>
  <c r="H854"/>
  <c r="J854"/>
  <c r="K854"/>
  <c r="L854"/>
  <c r="M854"/>
  <c r="N854"/>
  <c r="O854"/>
  <c r="B855"/>
  <c r="D855"/>
  <c r="E855"/>
  <c r="F855"/>
  <c r="H855"/>
  <c r="J855"/>
  <c r="K855"/>
  <c r="L855" s="1"/>
  <c r="N855"/>
  <c r="O855"/>
  <c r="B856"/>
  <c r="D856"/>
  <c r="C855" s="1"/>
  <c r="E856"/>
  <c r="F856"/>
  <c r="H856"/>
  <c r="J856"/>
  <c r="K856"/>
  <c r="L856"/>
  <c r="M856"/>
  <c r="N856"/>
  <c r="O856"/>
  <c r="B857"/>
  <c r="C857"/>
  <c r="D857"/>
  <c r="E857"/>
  <c r="F857"/>
  <c r="H857"/>
  <c r="I857"/>
  <c r="J857"/>
  <c r="K857"/>
  <c r="L857" s="1"/>
  <c r="N857"/>
  <c r="O857"/>
  <c r="B858"/>
  <c r="A858" s="1"/>
  <c r="D858"/>
  <c r="C858" s="1"/>
  <c r="E858"/>
  <c r="F858"/>
  <c r="H858"/>
  <c r="G858" s="1"/>
  <c r="J858"/>
  <c r="I858" s="1"/>
  <c r="K858"/>
  <c r="L858"/>
  <c r="M858"/>
  <c r="N858"/>
  <c r="O858"/>
  <c r="A859"/>
  <c r="B859"/>
  <c r="C859"/>
  <c r="D859"/>
  <c r="E859"/>
  <c r="F859"/>
  <c r="G859"/>
  <c r="H859"/>
  <c r="I859"/>
  <c r="J859"/>
  <c r="K859"/>
  <c r="L859" s="1"/>
  <c r="N859"/>
  <c r="O859"/>
  <c r="AK3" i="2"/>
  <c r="G827" i="3" l="1"/>
  <c r="G828"/>
  <c r="A828"/>
  <c r="A827"/>
  <c r="M857"/>
  <c r="G856"/>
  <c r="A856"/>
  <c r="I855"/>
  <c r="G855"/>
  <c r="A855"/>
  <c r="I854"/>
  <c r="C854"/>
  <c r="M853"/>
  <c r="G852"/>
  <c r="A852"/>
  <c r="I851"/>
  <c r="G851"/>
  <c r="A851"/>
  <c r="I850"/>
  <c r="C850"/>
  <c r="M849"/>
  <c r="G848"/>
  <c r="A848"/>
  <c r="I847"/>
  <c r="G847"/>
  <c r="A847"/>
  <c r="I846"/>
  <c r="C846"/>
  <c r="M845"/>
  <c r="G844"/>
  <c r="A844"/>
  <c r="I843"/>
  <c r="G843"/>
  <c r="A843"/>
  <c r="I842"/>
  <c r="C842"/>
  <c r="M841"/>
  <c r="G840"/>
  <c r="A840"/>
  <c r="I839"/>
  <c r="G839"/>
  <c r="A839"/>
  <c r="I838"/>
  <c r="C838"/>
  <c r="M837"/>
  <c r="G836"/>
  <c r="A836"/>
  <c r="I835"/>
  <c r="G835"/>
  <c r="A835"/>
  <c r="I834"/>
  <c r="C834"/>
  <c r="M833"/>
  <c r="G832"/>
  <c r="A832"/>
  <c r="I831"/>
  <c r="G831"/>
  <c r="A831"/>
  <c r="I830"/>
  <c r="C830"/>
  <c r="M829"/>
  <c r="C825"/>
  <c r="G824"/>
  <c r="A823"/>
  <c r="I822"/>
  <c r="C822"/>
  <c r="G820"/>
  <c r="A819"/>
  <c r="C817"/>
  <c r="A815"/>
  <c r="I814"/>
  <c r="C813"/>
  <c r="G811"/>
  <c r="A812"/>
  <c r="I810"/>
  <c r="C809"/>
  <c r="G807"/>
  <c r="A808"/>
  <c r="I806"/>
  <c r="C805"/>
  <c r="G804"/>
  <c r="A804"/>
  <c r="I802"/>
  <c r="C801"/>
  <c r="G800"/>
  <c r="A799"/>
  <c r="I797"/>
  <c r="C798"/>
  <c r="I795"/>
  <c r="C796"/>
  <c r="G793"/>
  <c r="A794"/>
  <c r="I791"/>
  <c r="C792"/>
  <c r="G789"/>
  <c r="A790"/>
  <c r="I785"/>
  <c r="C787"/>
  <c r="G786"/>
  <c r="A785"/>
  <c r="I783"/>
  <c r="C783"/>
  <c r="G781"/>
  <c r="A781"/>
  <c r="I779"/>
  <c r="C779"/>
  <c r="G778"/>
  <c r="A778"/>
  <c r="I777"/>
  <c r="C777"/>
  <c r="G776"/>
  <c r="A776"/>
  <c r="I775"/>
  <c r="C775"/>
  <c r="G774"/>
  <c r="A774"/>
  <c r="I773"/>
  <c r="C773"/>
  <c r="G772"/>
  <c r="A772"/>
  <c r="I828"/>
  <c r="I827"/>
  <c r="C827"/>
  <c r="C828"/>
  <c r="M859"/>
  <c r="G857"/>
  <c r="A857"/>
  <c r="I856"/>
  <c r="C856"/>
  <c r="M855"/>
  <c r="G854"/>
  <c r="A854"/>
  <c r="I853"/>
  <c r="G853"/>
  <c r="C853"/>
  <c r="A853"/>
  <c r="I852"/>
  <c r="C852"/>
  <c r="M851"/>
  <c r="G850"/>
  <c r="A850"/>
  <c r="I849"/>
  <c r="G849"/>
  <c r="C849"/>
  <c r="A849"/>
  <c r="I848"/>
  <c r="C848"/>
  <c r="M847"/>
  <c r="G846"/>
  <c r="A846"/>
  <c r="I845"/>
  <c r="G845"/>
  <c r="C845"/>
  <c r="A845"/>
  <c r="I844"/>
  <c r="C844"/>
  <c r="M843"/>
  <c r="G842"/>
  <c r="A842"/>
  <c r="I841"/>
  <c r="G841"/>
  <c r="C841"/>
  <c r="A841"/>
  <c r="I840"/>
  <c r="C840"/>
  <c r="M839"/>
  <c r="G838"/>
  <c r="A838"/>
  <c r="I837"/>
  <c r="G837"/>
  <c r="C837"/>
  <c r="A837"/>
  <c r="I836"/>
  <c r="C836"/>
  <c r="M835"/>
  <c r="G834"/>
  <c r="A834"/>
  <c r="I833"/>
  <c r="G833"/>
  <c r="C833"/>
  <c r="A833"/>
  <c r="I832"/>
  <c r="C832"/>
  <c r="M831"/>
  <c r="G830"/>
  <c r="A830"/>
  <c r="I829"/>
  <c r="G829"/>
  <c r="C829"/>
  <c r="A829"/>
  <c r="M827"/>
  <c r="G825"/>
  <c r="A826"/>
  <c r="I823"/>
  <c r="C824"/>
  <c r="G822"/>
  <c r="A821"/>
  <c r="I819"/>
  <c r="C820"/>
  <c r="A818"/>
  <c r="C816"/>
  <c r="G814"/>
  <c r="A814"/>
  <c r="I812"/>
  <c r="C811"/>
  <c r="G809"/>
  <c r="A810"/>
  <c r="I808"/>
  <c r="C807"/>
  <c r="G805"/>
  <c r="A806"/>
  <c r="I803"/>
  <c r="C803"/>
  <c r="G801"/>
  <c r="A802"/>
  <c r="I799"/>
  <c r="C800"/>
  <c r="G798"/>
  <c r="A797"/>
  <c r="G796"/>
  <c r="A795"/>
  <c r="I794"/>
  <c r="C793"/>
  <c r="G792"/>
  <c r="A791"/>
  <c r="I790"/>
  <c r="C789"/>
  <c r="G788"/>
  <c r="A788"/>
  <c r="I786"/>
  <c r="C785"/>
  <c r="G783"/>
  <c r="A783"/>
  <c r="I781"/>
  <c r="C781"/>
  <c r="G779"/>
  <c r="A779"/>
  <c r="I778"/>
  <c r="C778"/>
  <c r="G777"/>
  <c r="A777"/>
  <c r="I776"/>
  <c r="C776"/>
  <c r="G775"/>
  <c r="A775"/>
  <c r="I774"/>
  <c r="C774"/>
  <c r="G773"/>
  <c r="A773"/>
  <c r="I772"/>
  <c r="C772"/>
  <c r="I825"/>
  <c r="A825"/>
  <c r="G823"/>
  <c r="C823"/>
  <c r="C821"/>
  <c r="G819"/>
  <c r="C819"/>
  <c r="A817"/>
  <c r="C815"/>
  <c r="A813"/>
  <c r="I811"/>
  <c r="A811"/>
  <c r="I809"/>
  <c r="A809"/>
  <c r="I807"/>
  <c r="A807"/>
  <c r="I805"/>
  <c r="A805"/>
  <c r="G803"/>
  <c r="A803"/>
  <c r="I801"/>
  <c r="A801"/>
  <c r="G799"/>
  <c r="C799"/>
  <c r="G797"/>
  <c r="C797"/>
  <c r="G795"/>
  <c r="C795"/>
  <c r="I793"/>
  <c r="A793"/>
  <c r="G791"/>
  <c r="C791"/>
  <c r="I789"/>
  <c r="A789"/>
  <c r="G787"/>
  <c r="A787"/>
  <c r="G785"/>
  <c r="G826"/>
  <c r="C826"/>
  <c r="I824"/>
  <c r="A824"/>
  <c r="A822"/>
  <c r="I820"/>
  <c r="A820"/>
  <c r="C818"/>
  <c r="A816"/>
  <c r="C814"/>
  <c r="G812"/>
  <c r="C812"/>
  <c r="G810"/>
  <c r="C810"/>
  <c r="G808"/>
  <c r="C808"/>
  <c r="G806"/>
  <c r="C806"/>
  <c r="I804"/>
  <c r="C804"/>
  <c r="G802"/>
  <c r="C802"/>
  <c r="I800"/>
  <c r="A800"/>
  <c r="I798"/>
  <c r="A798"/>
  <c r="L797"/>
  <c r="I796"/>
  <c r="A796"/>
  <c r="G794"/>
  <c r="C794"/>
  <c r="I792"/>
  <c r="A792"/>
  <c r="G790"/>
  <c r="C790"/>
  <c r="I788"/>
  <c r="C788"/>
  <c r="C786"/>
  <c r="A786"/>
  <c r="I784"/>
  <c r="G784"/>
  <c r="C784"/>
  <c r="A784"/>
  <c r="I782"/>
  <c r="G782"/>
  <c r="C782"/>
  <c r="A782"/>
  <c r="I780"/>
  <c r="G780"/>
  <c r="C780"/>
  <c r="A780"/>
  <c r="I787"/>
  <c r="H137" l="1"/>
  <c r="G137" s="1"/>
  <c r="J137"/>
  <c r="I137" s="1"/>
  <c r="H138"/>
  <c r="J138"/>
  <c r="H139"/>
  <c r="G139" s="1"/>
  <c r="J139"/>
  <c r="I139" s="1"/>
  <c r="H140"/>
  <c r="G140" s="1"/>
  <c r="J140"/>
  <c r="I140" s="1"/>
  <c r="H141"/>
  <c r="G141" s="1"/>
  <c r="J141"/>
  <c r="I141" s="1"/>
  <c r="H142"/>
  <c r="G142" s="1"/>
  <c r="J142"/>
  <c r="I142" s="1"/>
  <c r="A355" i="8"/>
  <c r="B355" s="1"/>
  <c r="C355"/>
  <c r="F355"/>
  <c r="A356"/>
  <c r="B356" s="1"/>
  <c r="C356"/>
  <c r="F356"/>
  <c r="A357"/>
  <c r="B357" s="1"/>
  <c r="C357"/>
  <c r="F357"/>
  <c r="A358"/>
  <c r="B358" s="1"/>
  <c r="C358"/>
  <c r="F358"/>
  <c r="A359"/>
  <c r="B359" s="1"/>
  <c r="C359"/>
  <c r="F359"/>
  <c r="A354"/>
  <c r="B354"/>
  <c r="C354"/>
  <c r="F354"/>
  <c r="A347"/>
  <c r="B347"/>
  <c r="C347"/>
  <c r="F347"/>
  <c r="A348"/>
  <c r="B348"/>
  <c r="C348"/>
  <c r="F348"/>
  <c r="A349"/>
  <c r="B349"/>
  <c r="C349"/>
  <c r="F349"/>
  <c r="A350"/>
  <c r="B350"/>
  <c r="C350"/>
  <c r="F350"/>
  <c r="A351"/>
  <c r="B351"/>
  <c r="C351"/>
  <c r="F351"/>
  <c r="A352"/>
  <c r="B352"/>
  <c r="C352"/>
  <c r="F352"/>
  <c r="A353"/>
  <c r="B353"/>
  <c r="C353"/>
  <c r="F353"/>
  <c r="A334"/>
  <c r="B334" s="1"/>
  <c r="C334"/>
  <c r="F334"/>
  <c r="A335"/>
  <c r="B335" s="1"/>
  <c r="C335"/>
  <c r="F335"/>
  <c r="A336"/>
  <c r="B336" s="1"/>
  <c r="C336"/>
  <c r="F336"/>
  <c r="A337"/>
  <c r="B337" s="1"/>
  <c r="C337"/>
  <c r="F337"/>
  <c r="A338"/>
  <c r="B338" s="1"/>
  <c r="F338"/>
  <c r="A339"/>
  <c r="B339" s="1"/>
  <c r="C339"/>
  <c r="F339"/>
  <c r="A340"/>
  <c r="B340" s="1"/>
  <c r="C340"/>
  <c r="F340"/>
  <c r="A341"/>
  <c r="B341" s="1"/>
  <c r="C341"/>
  <c r="F341"/>
  <c r="A342"/>
  <c r="B342" s="1"/>
  <c r="C342"/>
  <c r="F342"/>
  <c r="A343"/>
  <c r="B343" s="1"/>
  <c r="C343"/>
  <c r="F343"/>
  <c r="A344"/>
  <c r="B344" s="1"/>
  <c r="C344"/>
  <c r="F344"/>
  <c r="A345"/>
  <c r="B345" s="1"/>
  <c r="C345"/>
  <c r="F345"/>
  <c r="A346"/>
  <c r="B346" s="1"/>
  <c r="C346"/>
  <c r="F346"/>
  <c r="C338" l="1"/>
  <c r="B766" i="3"/>
  <c r="D766"/>
  <c r="E766"/>
  <c r="F766"/>
  <c r="H766"/>
  <c r="J766"/>
  <c r="K766"/>
  <c r="L766" s="1"/>
  <c r="N766"/>
  <c r="O766"/>
  <c r="B767"/>
  <c r="D767"/>
  <c r="E767"/>
  <c r="F767"/>
  <c r="H767"/>
  <c r="J767"/>
  <c r="K767"/>
  <c r="L767"/>
  <c r="M767"/>
  <c r="N767"/>
  <c r="O767"/>
  <c r="B768"/>
  <c r="D768"/>
  <c r="E768"/>
  <c r="F768"/>
  <c r="H768"/>
  <c r="J768"/>
  <c r="K768"/>
  <c r="L768" s="1"/>
  <c r="N768"/>
  <c r="O768"/>
  <c r="B769"/>
  <c r="D769"/>
  <c r="E769"/>
  <c r="F769"/>
  <c r="H769"/>
  <c r="J769"/>
  <c r="K769"/>
  <c r="L769" s="1"/>
  <c r="N769"/>
  <c r="O769"/>
  <c r="B770"/>
  <c r="D770"/>
  <c r="E770"/>
  <c r="F770"/>
  <c r="H770"/>
  <c r="J770"/>
  <c r="K770"/>
  <c r="L770" s="1"/>
  <c r="M770"/>
  <c r="N770"/>
  <c r="O770"/>
  <c r="B771"/>
  <c r="D771"/>
  <c r="E771"/>
  <c r="F771"/>
  <c r="H771"/>
  <c r="J771"/>
  <c r="K771"/>
  <c r="L771"/>
  <c r="M771"/>
  <c r="N771"/>
  <c r="O771"/>
  <c r="M769" l="1"/>
  <c r="M766"/>
  <c r="M768"/>
  <c r="B696" l="1"/>
  <c r="D696"/>
  <c r="E696"/>
  <c r="F696"/>
  <c r="H696"/>
  <c r="J696"/>
  <c r="K696"/>
  <c r="L696" s="1"/>
  <c r="M696"/>
  <c r="N696"/>
  <c r="O696"/>
  <c r="B697"/>
  <c r="D697"/>
  <c r="E697"/>
  <c r="F697"/>
  <c r="H697"/>
  <c r="J697"/>
  <c r="K697"/>
  <c r="L697"/>
  <c r="M697"/>
  <c r="N697"/>
  <c r="O697"/>
  <c r="B698"/>
  <c r="D698"/>
  <c r="E698"/>
  <c r="F698"/>
  <c r="H698"/>
  <c r="J698"/>
  <c r="K698"/>
  <c r="L698" s="1"/>
  <c r="N698"/>
  <c r="O698"/>
  <c r="B699"/>
  <c r="D699"/>
  <c r="E699"/>
  <c r="F699"/>
  <c r="H699"/>
  <c r="J699"/>
  <c r="K699"/>
  <c r="L699"/>
  <c r="M699"/>
  <c r="N699"/>
  <c r="O699"/>
  <c r="B700"/>
  <c r="D700"/>
  <c r="E700"/>
  <c r="F700"/>
  <c r="H700"/>
  <c r="J700"/>
  <c r="K700"/>
  <c r="L700" s="1"/>
  <c r="M700"/>
  <c r="N700"/>
  <c r="O700"/>
  <c r="B701"/>
  <c r="D701"/>
  <c r="E701"/>
  <c r="F701"/>
  <c r="H701"/>
  <c r="J701"/>
  <c r="K701"/>
  <c r="L701"/>
  <c r="M701"/>
  <c r="N701"/>
  <c r="O701"/>
  <c r="B702"/>
  <c r="D702"/>
  <c r="E702"/>
  <c r="F702"/>
  <c r="H702"/>
  <c r="J702"/>
  <c r="K702"/>
  <c r="L702" s="1"/>
  <c r="N702"/>
  <c r="O702"/>
  <c r="B703"/>
  <c r="D703"/>
  <c r="E703"/>
  <c r="F703"/>
  <c r="H703"/>
  <c r="J703"/>
  <c r="K703"/>
  <c r="L703" s="1"/>
  <c r="M703"/>
  <c r="N703"/>
  <c r="O703"/>
  <c r="B704"/>
  <c r="D704"/>
  <c r="E704"/>
  <c r="F704"/>
  <c r="H704"/>
  <c r="J704"/>
  <c r="K704"/>
  <c r="L704" s="1"/>
  <c r="M704"/>
  <c r="N704"/>
  <c r="O704"/>
  <c r="B705"/>
  <c r="D705"/>
  <c r="E705"/>
  <c r="F705"/>
  <c r="H705"/>
  <c r="J705"/>
  <c r="K705"/>
  <c r="L705"/>
  <c r="M705"/>
  <c r="N705"/>
  <c r="O705"/>
  <c r="B706"/>
  <c r="D706"/>
  <c r="E706"/>
  <c r="F706"/>
  <c r="H706"/>
  <c r="J706"/>
  <c r="K706"/>
  <c r="L706" s="1"/>
  <c r="N706"/>
  <c r="O706"/>
  <c r="B707"/>
  <c r="D707"/>
  <c r="E707"/>
  <c r="F707"/>
  <c r="H707"/>
  <c r="J707"/>
  <c r="K707"/>
  <c r="L707" s="1"/>
  <c r="M707"/>
  <c r="N707"/>
  <c r="O707"/>
  <c r="B708"/>
  <c r="D708"/>
  <c r="E708"/>
  <c r="F708"/>
  <c r="H708"/>
  <c r="J708"/>
  <c r="K708"/>
  <c r="L708" s="1"/>
  <c r="M708"/>
  <c r="N708"/>
  <c r="O708"/>
  <c r="B709"/>
  <c r="D709"/>
  <c r="E709"/>
  <c r="F709"/>
  <c r="H709"/>
  <c r="J709"/>
  <c r="K709"/>
  <c r="L709"/>
  <c r="M709"/>
  <c r="N709"/>
  <c r="O709"/>
  <c r="B710"/>
  <c r="D710"/>
  <c r="E710"/>
  <c r="F710"/>
  <c r="H710"/>
  <c r="J710"/>
  <c r="K710"/>
  <c r="L710" s="1"/>
  <c r="N710"/>
  <c r="O710"/>
  <c r="B711"/>
  <c r="D711"/>
  <c r="E711"/>
  <c r="F711"/>
  <c r="H711"/>
  <c r="J711"/>
  <c r="K711"/>
  <c r="L711" s="1"/>
  <c r="M711"/>
  <c r="N711"/>
  <c r="O711"/>
  <c r="B712"/>
  <c r="D712"/>
  <c r="E712"/>
  <c r="F712"/>
  <c r="H712"/>
  <c r="J712"/>
  <c r="K712"/>
  <c r="L712" s="1"/>
  <c r="M712"/>
  <c r="N712"/>
  <c r="O712"/>
  <c r="B713"/>
  <c r="D713"/>
  <c r="E713"/>
  <c r="F713"/>
  <c r="H713"/>
  <c r="J713"/>
  <c r="K713"/>
  <c r="L713"/>
  <c r="M713"/>
  <c r="N713"/>
  <c r="O713"/>
  <c r="B714"/>
  <c r="D714"/>
  <c r="E714"/>
  <c r="F714"/>
  <c r="H714"/>
  <c r="J714"/>
  <c r="K714"/>
  <c r="L714" s="1"/>
  <c r="N714"/>
  <c r="O714"/>
  <c r="B715"/>
  <c r="D715"/>
  <c r="E715"/>
  <c r="F715"/>
  <c r="H715"/>
  <c r="J715"/>
  <c r="K715"/>
  <c r="L715" s="1"/>
  <c r="M715"/>
  <c r="N715"/>
  <c r="O715"/>
  <c r="B716"/>
  <c r="D716"/>
  <c r="E716"/>
  <c r="F716"/>
  <c r="H716"/>
  <c r="J716"/>
  <c r="K716"/>
  <c r="L716" s="1"/>
  <c r="M716"/>
  <c r="N716"/>
  <c r="O716"/>
  <c r="B717"/>
  <c r="D717"/>
  <c r="E717"/>
  <c r="F717"/>
  <c r="H717"/>
  <c r="J717"/>
  <c r="K717"/>
  <c r="L717"/>
  <c r="M717"/>
  <c r="N717"/>
  <c r="O717"/>
  <c r="B718"/>
  <c r="D718"/>
  <c r="E718"/>
  <c r="F718"/>
  <c r="H718"/>
  <c r="J718"/>
  <c r="K718"/>
  <c r="L718" s="1"/>
  <c r="N718"/>
  <c r="O718"/>
  <c r="B719"/>
  <c r="D719"/>
  <c r="E719"/>
  <c r="F719"/>
  <c r="H719"/>
  <c r="J719"/>
  <c r="K719"/>
  <c r="L719" s="1"/>
  <c r="M719"/>
  <c r="N719"/>
  <c r="O719"/>
  <c r="B720"/>
  <c r="D720"/>
  <c r="E720"/>
  <c r="F720"/>
  <c r="H720"/>
  <c r="J720"/>
  <c r="K720"/>
  <c r="L720" s="1"/>
  <c r="M720"/>
  <c r="N720"/>
  <c r="O720"/>
  <c r="B721"/>
  <c r="D721"/>
  <c r="E721"/>
  <c r="F721"/>
  <c r="H721"/>
  <c r="J721"/>
  <c r="K721"/>
  <c r="L721"/>
  <c r="M721"/>
  <c r="N721"/>
  <c r="O721"/>
  <c r="B722"/>
  <c r="D722"/>
  <c r="E722"/>
  <c r="F722"/>
  <c r="H722"/>
  <c r="J722"/>
  <c r="K722"/>
  <c r="L722" s="1"/>
  <c r="N722"/>
  <c r="O722"/>
  <c r="B723"/>
  <c r="D723"/>
  <c r="E723"/>
  <c r="F723"/>
  <c r="H723"/>
  <c r="J723"/>
  <c r="K723"/>
  <c r="L723" s="1"/>
  <c r="M723"/>
  <c r="N723"/>
  <c r="O723"/>
  <c r="B724"/>
  <c r="D724"/>
  <c r="E724"/>
  <c r="F724"/>
  <c r="H724"/>
  <c r="J724"/>
  <c r="K724"/>
  <c r="L724" s="1"/>
  <c r="M724"/>
  <c r="N724"/>
  <c r="O724"/>
  <c r="B725"/>
  <c r="D725"/>
  <c r="E725"/>
  <c r="F725"/>
  <c r="H725"/>
  <c r="J725"/>
  <c r="K725"/>
  <c r="L725"/>
  <c r="M725"/>
  <c r="N725"/>
  <c r="O725"/>
  <c r="B726"/>
  <c r="D726"/>
  <c r="E726"/>
  <c r="F726"/>
  <c r="H726"/>
  <c r="J726"/>
  <c r="K726"/>
  <c r="L726" s="1"/>
  <c r="N726"/>
  <c r="O726"/>
  <c r="B727"/>
  <c r="D727"/>
  <c r="E727"/>
  <c r="F727"/>
  <c r="H727"/>
  <c r="J727"/>
  <c r="K727"/>
  <c r="L727" s="1"/>
  <c r="M727"/>
  <c r="N727"/>
  <c r="O727"/>
  <c r="B728"/>
  <c r="D728"/>
  <c r="E728"/>
  <c r="F728"/>
  <c r="H728"/>
  <c r="J728"/>
  <c r="K728"/>
  <c r="L728" s="1"/>
  <c r="M728"/>
  <c r="N728"/>
  <c r="O728"/>
  <c r="B729"/>
  <c r="D729"/>
  <c r="E729"/>
  <c r="F729"/>
  <c r="H729"/>
  <c r="J729"/>
  <c r="K729"/>
  <c r="L729"/>
  <c r="M729"/>
  <c r="N729"/>
  <c r="O729"/>
  <c r="B730"/>
  <c r="D730"/>
  <c r="E730"/>
  <c r="F730"/>
  <c r="H730"/>
  <c r="J730"/>
  <c r="K730"/>
  <c r="L730" s="1"/>
  <c r="N730"/>
  <c r="O730"/>
  <c r="B731"/>
  <c r="D731"/>
  <c r="E731"/>
  <c r="F731"/>
  <c r="H731"/>
  <c r="J731"/>
  <c r="K731"/>
  <c r="L731" s="1"/>
  <c r="M731"/>
  <c r="N731"/>
  <c r="O731"/>
  <c r="B732"/>
  <c r="D732"/>
  <c r="E732"/>
  <c r="F732"/>
  <c r="H732"/>
  <c r="J732"/>
  <c r="K732"/>
  <c r="L732" s="1"/>
  <c r="M732"/>
  <c r="N732"/>
  <c r="O732"/>
  <c r="B733"/>
  <c r="D733"/>
  <c r="E733"/>
  <c r="F733"/>
  <c r="H733"/>
  <c r="J733"/>
  <c r="K733"/>
  <c r="L733"/>
  <c r="M733"/>
  <c r="N733"/>
  <c r="O733"/>
  <c r="B734"/>
  <c r="D734"/>
  <c r="E734"/>
  <c r="F734"/>
  <c r="H734"/>
  <c r="J734"/>
  <c r="K734"/>
  <c r="L734" s="1"/>
  <c r="M734"/>
  <c r="N734"/>
  <c r="O734"/>
  <c r="B735"/>
  <c r="D735"/>
  <c r="E735"/>
  <c r="F735"/>
  <c r="H735"/>
  <c r="J735"/>
  <c r="K735"/>
  <c r="L735"/>
  <c r="M735"/>
  <c r="N735"/>
  <c r="O735"/>
  <c r="B736"/>
  <c r="D736"/>
  <c r="E736"/>
  <c r="F736"/>
  <c r="H736"/>
  <c r="J736"/>
  <c r="K736"/>
  <c r="L736" s="1"/>
  <c r="N736"/>
  <c r="O736"/>
  <c r="B737"/>
  <c r="D737"/>
  <c r="E737"/>
  <c r="F737"/>
  <c r="H737"/>
  <c r="J737"/>
  <c r="K737"/>
  <c r="L737" s="1"/>
  <c r="M737"/>
  <c r="N737"/>
  <c r="O737"/>
  <c r="B738"/>
  <c r="D738"/>
  <c r="E738"/>
  <c r="F738"/>
  <c r="H738"/>
  <c r="G738" s="1"/>
  <c r="J738"/>
  <c r="I736" s="1"/>
  <c r="K738"/>
  <c r="L738" s="1"/>
  <c r="M738"/>
  <c r="N738"/>
  <c r="O738"/>
  <c r="B739"/>
  <c r="D739"/>
  <c r="E739"/>
  <c r="F739"/>
  <c r="H739"/>
  <c r="J739"/>
  <c r="K739"/>
  <c r="L739"/>
  <c r="M739"/>
  <c r="N739"/>
  <c r="O739"/>
  <c r="B740"/>
  <c r="D740"/>
  <c r="E740"/>
  <c r="F740"/>
  <c r="H740"/>
  <c r="J740"/>
  <c r="K740"/>
  <c r="L740" s="1"/>
  <c r="N740"/>
  <c r="O740"/>
  <c r="B741"/>
  <c r="D741"/>
  <c r="E741"/>
  <c r="F741"/>
  <c r="H741"/>
  <c r="J741"/>
  <c r="K741"/>
  <c r="L741" s="1"/>
  <c r="M741"/>
  <c r="N741"/>
  <c r="O741"/>
  <c r="B742"/>
  <c r="D742"/>
  <c r="E742"/>
  <c r="F742"/>
  <c r="H742"/>
  <c r="G742" s="1"/>
  <c r="J742"/>
  <c r="I740" s="1"/>
  <c r="K742"/>
  <c r="L742" s="1"/>
  <c r="M742"/>
  <c r="N742"/>
  <c r="O742"/>
  <c r="B743"/>
  <c r="D743"/>
  <c r="E743"/>
  <c r="F743"/>
  <c r="H743"/>
  <c r="J743"/>
  <c r="K743"/>
  <c r="L743"/>
  <c r="M743"/>
  <c r="N743"/>
  <c r="O743"/>
  <c r="B744"/>
  <c r="D744"/>
  <c r="E744"/>
  <c r="F744"/>
  <c r="H744"/>
  <c r="J744"/>
  <c r="K744"/>
  <c r="L744" s="1"/>
  <c r="N744"/>
  <c r="O744"/>
  <c r="B745"/>
  <c r="D745"/>
  <c r="E745"/>
  <c r="F745"/>
  <c r="H745"/>
  <c r="J745"/>
  <c r="K745"/>
  <c r="L745" s="1"/>
  <c r="M745"/>
  <c r="N745"/>
  <c r="O745"/>
  <c r="B746"/>
  <c r="D746"/>
  <c r="E746"/>
  <c r="F746"/>
  <c r="H746"/>
  <c r="G746" s="1"/>
  <c r="J746"/>
  <c r="I744" s="1"/>
  <c r="K746"/>
  <c r="L746" s="1"/>
  <c r="M746"/>
  <c r="N746"/>
  <c r="O746"/>
  <c r="B747"/>
  <c r="D747"/>
  <c r="E747"/>
  <c r="F747"/>
  <c r="H747"/>
  <c r="J747"/>
  <c r="K747"/>
  <c r="L747"/>
  <c r="M747"/>
  <c r="N747"/>
  <c r="O747"/>
  <c r="B748"/>
  <c r="D748"/>
  <c r="E748"/>
  <c r="F748"/>
  <c r="H748"/>
  <c r="J748"/>
  <c r="K748"/>
  <c r="L748" s="1"/>
  <c r="N748"/>
  <c r="O748"/>
  <c r="B749"/>
  <c r="D749"/>
  <c r="E749"/>
  <c r="F749"/>
  <c r="H749"/>
  <c r="J749"/>
  <c r="K749"/>
  <c r="L749" s="1"/>
  <c r="M749"/>
  <c r="N749"/>
  <c r="O749"/>
  <c r="B750"/>
  <c r="D750"/>
  <c r="E750"/>
  <c r="F750"/>
  <c r="H750"/>
  <c r="G750" s="1"/>
  <c r="J750"/>
  <c r="I748" s="1"/>
  <c r="K750"/>
  <c r="L750" s="1"/>
  <c r="M750"/>
  <c r="N750"/>
  <c r="O750"/>
  <c r="B751"/>
  <c r="D751"/>
  <c r="E751"/>
  <c r="F751"/>
  <c r="H751"/>
  <c r="J751"/>
  <c r="K751"/>
  <c r="L751"/>
  <c r="M751"/>
  <c r="N751"/>
  <c r="O751"/>
  <c r="B752"/>
  <c r="D752"/>
  <c r="E752"/>
  <c r="F752"/>
  <c r="H752"/>
  <c r="J752"/>
  <c r="K752"/>
  <c r="L752" s="1"/>
  <c r="N752"/>
  <c r="O752"/>
  <c r="B753"/>
  <c r="D753"/>
  <c r="E753"/>
  <c r="F753"/>
  <c r="H753"/>
  <c r="J753"/>
  <c r="K753"/>
  <c r="L753" s="1"/>
  <c r="M753"/>
  <c r="N753"/>
  <c r="O753"/>
  <c r="B754"/>
  <c r="D754"/>
  <c r="E754"/>
  <c r="F754"/>
  <c r="H754"/>
  <c r="J754"/>
  <c r="I752" s="1"/>
  <c r="K754"/>
  <c r="L754" s="1"/>
  <c r="N754"/>
  <c r="O754"/>
  <c r="B755"/>
  <c r="D755"/>
  <c r="E755"/>
  <c r="F755"/>
  <c r="H755"/>
  <c r="J755"/>
  <c r="K755"/>
  <c r="L755" s="1"/>
  <c r="N755"/>
  <c r="O755"/>
  <c r="B756"/>
  <c r="D756"/>
  <c r="E756"/>
  <c r="F756"/>
  <c r="H756"/>
  <c r="J756"/>
  <c r="K756"/>
  <c r="L756" s="1"/>
  <c r="N756"/>
  <c r="O756"/>
  <c r="B757"/>
  <c r="D757"/>
  <c r="E757"/>
  <c r="F757"/>
  <c r="H757"/>
  <c r="J757"/>
  <c r="K757"/>
  <c r="L757" s="1"/>
  <c r="M757"/>
  <c r="N757"/>
  <c r="O757"/>
  <c r="B758"/>
  <c r="D758"/>
  <c r="E758"/>
  <c r="F758"/>
  <c r="H758"/>
  <c r="J758"/>
  <c r="K758"/>
  <c r="L758" s="1"/>
  <c r="M758"/>
  <c r="N758"/>
  <c r="O758"/>
  <c r="B759"/>
  <c r="D759"/>
  <c r="E759"/>
  <c r="F759"/>
  <c r="H759"/>
  <c r="J759"/>
  <c r="K759"/>
  <c r="L759"/>
  <c r="M759"/>
  <c r="N759"/>
  <c r="O759"/>
  <c r="B760"/>
  <c r="D760"/>
  <c r="E760"/>
  <c r="F760"/>
  <c r="H760"/>
  <c r="J760"/>
  <c r="K760"/>
  <c r="L760" s="1"/>
  <c r="N760"/>
  <c r="O760"/>
  <c r="B761"/>
  <c r="D761"/>
  <c r="E761"/>
  <c r="F761"/>
  <c r="H761"/>
  <c r="J761"/>
  <c r="K761"/>
  <c r="L761" s="1"/>
  <c r="M761"/>
  <c r="N761"/>
  <c r="O761"/>
  <c r="B762"/>
  <c r="D762"/>
  <c r="E762"/>
  <c r="F762"/>
  <c r="H762"/>
  <c r="J762"/>
  <c r="K762"/>
  <c r="L762" s="1"/>
  <c r="M762"/>
  <c r="N762"/>
  <c r="O762"/>
  <c r="B763"/>
  <c r="D763"/>
  <c r="E763"/>
  <c r="F763"/>
  <c r="H763"/>
  <c r="J763"/>
  <c r="K763"/>
  <c r="L763"/>
  <c r="M763"/>
  <c r="N763"/>
  <c r="O763"/>
  <c r="B764"/>
  <c r="D764"/>
  <c r="E764"/>
  <c r="F764"/>
  <c r="H764"/>
  <c r="J764"/>
  <c r="K764"/>
  <c r="L764" s="1"/>
  <c r="N764"/>
  <c r="O764"/>
  <c r="B765"/>
  <c r="D765"/>
  <c r="E765"/>
  <c r="F765"/>
  <c r="H765"/>
  <c r="J765"/>
  <c r="I765" s="1"/>
  <c r="K765"/>
  <c r="L765" s="1"/>
  <c r="M765"/>
  <c r="N765"/>
  <c r="O765"/>
  <c r="G768" l="1"/>
  <c r="G771"/>
  <c r="G769"/>
  <c r="G766"/>
  <c r="G770"/>
  <c r="G767"/>
  <c r="G756"/>
  <c r="I751"/>
  <c r="G765"/>
  <c r="M760"/>
  <c r="M756"/>
  <c r="I756"/>
  <c r="M755"/>
  <c r="I753"/>
  <c r="M752"/>
  <c r="G751"/>
  <c r="I750"/>
  <c r="I749"/>
  <c r="M748"/>
  <c r="G747"/>
  <c r="I746"/>
  <c r="I745"/>
  <c r="M744"/>
  <c r="G743"/>
  <c r="I742"/>
  <c r="I741"/>
  <c r="M740"/>
  <c r="G739"/>
  <c r="I738"/>
  <c r="I737"/>
  <c r="M736"/>
  <c r="I770"/>
  <c r="I769"/>
  <c r="I768"/>
  <c r="I771"/>
  <c r="I767"/>
  <c r="I766"/>
  <c r="G753"/>
  <c r="G752"/>
  <c r="G749"/>
  <c r="G748"/>
  <c r="I747"/>
  <c r="G745"/>
  <c r="G744"/>
  <c r="I743"/>
  <c r="G741"/>
  <c r="G740"/>
  <c r="I739"/>
  <c r="G737"/>
  <c r="G736"/>
  <c r="M730"/>
  <c r="M726"/>
  <c r="M722"/>
  <c r="M718"/>
  <c r="M714"/>
  <c r="M710"/>
  <c r="M706"/>
  <c r="M702"/>
  <c r="M698"/>
  <c r="M764"/>
  <c r="M754"/>
  <c r="N376"/>
  <c r="N377"/>
  <c r="N378"/>
  <c r="N379"/>
  <c r="A329" i="8" l="1"/>
  <c r="B329"/>
  <c r="C329"/>
  <c r="F329"/>
  <c r="A330"/>
  <c r="B330"/>
  <c r="C330"/>
  <c r="F330"/>
  <c r="A331"/>
  <c r="B331"/>
  <c r="C331"/>
  <c r="F331"/>
  <c r="A332"/>
  <c r="B332"/>
  <c r="C332"/>
  <c r="F332"/>
  <c r="A333"/>
  <c r="B333"/>
  <c r="C333"/>
  <c r="F333"/>
  <c r="A322"/>
  <c r="B322"/>
  <c r="C322"/>
  <c r="F322"/>
  <c r="A323"/>
  <c r="B323"/>
  <c r="C323"/>
  <c r="F323"/>
  <c r="A324"/>
  <c r="B324"/>
  <c r="C324"/>
  <c r="F324"/>
  <c r="A325"/>
  <c r="B325"/>
  <c r="C325"/>
  <c r="F325"/>
  <c r="A326"/>
  <c r="B326"/>
  <c r="C326"/>
  <c r="F326"/>
  <c r="A327"/>
  <c r="B327"/>
  <c r="C327"/>
  <c r="F327"/>
  <c r="A328"/>
  <c r="B328"/>
  <c r="C328"/>
  <c r="F328"/>
  <c r="A314"/>
  <c r="B314"/>
  <c r="C314"/>
  <c r="F314"/>
  <c r="A315"/>
  <c r="B315" s="1"/>
  <c r="C315"/>
  <c r="F315"/>
  <c r="A316"/>
  <c r="B316" s="1"/>
  <c r="C316"/>
  <c r="F316"/>
  <c r="A317"/>
  <c r="B317" s="1"/>
  <c r="C317"/>
  <c r="F317"/>
  <c r="A318"/>
  <c r="B318" s="1"/>
  <c r="C318"/>
  <c r="F318"/>
  <c r="A319"/>
  <c r="B319" s="1"/>
  <c r="F319"/>
  <c r="A320"/>
  <c r="B320" s="1"/>
  <c r="C320"/>
  <c r="F320"/>
  <c r="A321"/>
  <c r="B321" s="1"/>
  <c r="C321"/>
  <c r="F321"/>
  <c r="B676" i="3"/>
  <c r="D676"/>
  <c r="E676"/>
  <c r="F676"/>
  <c r="H676"/>
  <c r="J676"/>
  <c r="K676"/>
  <c r="L676"/>
  <c r="M676"/>
  <c r="N676"/>
  <c r="O676"/>
  <c r="B677"/>
  <c r="D677"/>
  <c r="E677"/>
  <c r="F677"/>
  <c r="H677"/>
  <c r="J677"/>
  <c r="K677"/>
  <c r="L677"/>
  <c r="M677"/>
  <c r="N677"/>
  <c r="O677"/>
  <c r="B678"/>
  <c r="D678"/>
  <c r="E678"/>
  <c r="F678"/>
  <c r="H678"/>
  <c r="J678"/>
  <c r="K678"/>
  <c r="L678" s="1"/>
  <c r="M678"/>
  <c r="N678"/>
  <c r="O678"/>
  <c r="B679"/>
  <c r="D679"/>
  <c r="E679"/>
  <c r="F679"/>
  <c r="H679"/>
  <c r="J679"/>
  <c r="K679"/>
  <c r="L679"/>
  <c r="M679"/>
  <c r="N679"/>
  <c r="O679"/>
  <c r="B680"/>
  <c r="D680"/>
  <c r="E680"/>
  <c r="F680"/>
  <c r="H680"/>
  <c r="J680"/>
  <c r="K680"/>
  <c r="L680" s="1"/>
  <c r="N680"/>
  <c r="O680"/>
  <c r="B681"/>
  <c r="D681"/>
  <c r="E681"/>
  <c r="F681"/>
  <c r="H681"/>
  <c r="J681"/>
  <c r="K681"/>
  <c r="L681"/>
  <c r="M681"/>
  <c r="N681"/>
  <c r="O681"/>
  <c r="B682"/>
  <c r="D682"/>
  <c r="E682"/>
  <c r="F682"/>
  <c r="H682"/>
  <c r="J682"/>
  <c r="K682"/>
  <c r="L682" s="1"/>
  <c r="M682"/>
  <c r="N682"/>
  <c r="O682"/>
  <c r="B683"/>
  <c r="D683"/>
  <c r="E683"/>
  <c r="F683"/>
  <c r="H683"/>
  <c r="J683"/>
  <c r="K683"/>
  <c r="L683"/>
  <c r="M683"/>
  <c r="N683"/>
  <c r="O683"/>
  <c r="B684"/>
  <c r="D684"/>
  <c r="E684"/>
  <c r="F684"/>
  <c r="H684"/>
  <c r="J684"/>
  <c r="K684"/>
  <c r="L684" s="1"/>
  <c r="N684"/>
  <c r="O684"/>
  <c r="B685"/>
  <c r="D685"/>
  <c r="E685"/>
  <c r="F685"/>
  <c r="H685"/>
  <c r="J685"/>
  <c r="K685"/>
  <c r="L685" s="1"/>
  <c r="M685"/>
  <c r="N685"/>
  <c r="O685"/>
  <c r="B686"/>
  <c r="D686"/>
  <c r="E686"/>
  <c r="F686"/>
  <c r="H686"/>
  <c r="J686"/>
  <c r="K686"/>
  <c r="L686" s="1"/>
  <c r="M686"/>
  <c r="N686"/>
  <c r="O686"/>
  <c r="B687"/>
  <c r="D687"/>
  <c r="E687"/>
  <c r="F687"/>
  <c r="H687"/>
  <c r="J687"/>
  <c r="K687"/>
  <c r="L687"/>
  <c r="M687"/>
  <c r="N687"/>
  <c r="O687"/>
  <c r="B688"/>
  <c r="D688"/>
  <c r="E688"/>
  <c r="F688"/>
  <c r="H688"/>
  <c r="J688"/>
  <c r="K688"/>
  <c r="L688" s="1"/>
  <c r="N688"/>
  <c r="O688"/>
  <c r="B689"/>
  <c r="D689"/>
  <c r="E689"/>
  <c r="F689"/>
  <c r="H689"/>
  <c r="J689"/>
  <c r="K689"/>
  <c r="L689" s="1"/>
  <c r="M689"/>
  <c r="N689"/>
  <c r="O689"/>
  <c r="B690"/>
  <c r="D690"/>
  <c r="E690"/>
  <c r="F690"/>
  <c r="H690"/>
  <c r="J690"/>
  <c r="K690"/>
  <c r="L690" s="1"/>
  <c r="M690"/>
  <c r="N690"/>
  <c r="O690"/>
  <c r="B691"/>
  <c r="D691"/>
  <c r="E691"/>
  <c r="F691"/>
  <c r="H691"/>
  <c r="J691"/>
  <c r="K691"/>
  <c r="L691"/>
  <c r="M691"/>
  <c r="N691"/>
  <c r="O691"/>
  <c r="B692"/>
  <c r="D692"/>
  <c r="E692"/>
  <c r="F692"/>
  <c r="H692"/>
  <c r="J692"/>
  <c r="K692"/>
  <c r="L692" s="1"/>
  <c r="N692"/>
  <c r="O692"/>
  <c r="B693"/>
  <c r="D693"/>
  <c r="E693"/>
  <c r="F693"/>
  <c r="H693"/>
  <c r="J693"/>
  <c r="K693"/>
  <c r="L693" s="1"/>
  <c r="M693"/>
  <c r="N693"/>
  <c r="O693"/>
  <c r="B694"/>
  <c r="D694"/>
  <c r="E694"/>
  <c r="F694"/>
  <c r="H694"/>
  <c r="J694"/>
  <c r="K694"/>
  <c r="L694" s="1"/>
  <c r="M694"/>
  <c r="N694"/>
  <c r="O694"/>
  <c r="B695"/>
  <c r="D695"/>
  <c r="E695"/>
  <c r="F695"/>
  <c r="H695"/>
  <c r="J695"/>
  <c r="K695"/>
  <c r="L695" s="1"/>
  <c r="M695"/>
  <c r="N695"/>
  <c r="O695"/>
  <c r="M692" l="1"/>
  <c r="M688"/>
  <c r="M684"/>
  <c r="M680"/>
  <c r="C319" i="8"/>
  <c r="M68" i="4"/>
  <c r="O640" i="3" l="1"/>
  <c r="O670"/>
  <c r="O669"/>
  <c r="O668"/>
  <c r="O667"/>
  <c r="O666"/>
  <c r="O665"/>
  <c r="K110" l="1"/>
  <c r="L110" s="1"/>
  <c r="K111"/>
  <c r="L111" s="1"/>
  <c r="K112"/>
  <c r="L112" s="1"/>
  <c r="K113"/>
  <c r="L113" s="1"/>
  <c r="K114"/>
  <c r="L114" s="1"/>
  <c r="K115"/>
  <c r="L115" s="1"/>
  <c r="K116"/>
  <c r="L116" s="1"/>
  <c r="K117"/>
  <c r="L117" s="1"/>
  <c r="K118"/>
  <c r="L118" s="1"/>
  <c r="K119"/>
  <c r="L119" s="1"/>
  <c r="K120"/>
  <c r="L120" s="1"/>
  <c r="K121"/>
  <c r="L121" s="1"/>
  <c r="K122"/>
  <c r="L122" s="1"/>
  <c r="K123"/>
  <c r="L123" s="1"/>
  <c r="M123"/>
  <c r="K124"/>
  <c r="L124" s="1"/>
  <c r="M111" l="1"/>
  <c r="M119"/>
  <c r="M115"/>
  <c r="M122"/>
  <c r="M121"/>
  <c r="M118"/>
  <c r="M117"/>
  <c r="M114"/>
  <c r="M113"/>
  <c r="M110"/>
  <c r="M124"/>
  <c r="M120"/>
  <c r="M116"/>
  <c r="M112"/>
  <c r="K554"/>
  <c r="L554" s="1"/>
  <c r="K598"/>
  <c r="L598" s="1"/>
  <c r="M598"/>
  <c r="O651"/>
  <c r="B643"/>
  <c r="D643"/>
  <c r="E643"/>
  <c r="F643"/>
  <c r="H643"/>
  <c r="J643"/>
  <c r="K643"/>
  <c r="L643" s="1"/>
  <c r="N643"/>
  <c r="O643"/>
  <c r="B644"/>
  <c r="D644"/>
  <c r="E644"/>
  <c r="F644"/>
  <c r="H644"/>
  <c r="J644"/>
  <c r="K644"/>
  <c r="L644" s="1"/>
  <c r="M644"/>
  <c r="N644"/>
  <c r="O644"/>
  <c r="B645"/>
  <c r="D645"/>
  <c r="E645"/>
  <c r="F645"/>
  <c r="H645"/>
  <c r="J645"/>
  <c r="K645"/>
  <c r="L645" s="1"/>
  <c r="N645"/>
  <c r="O645"/>
  <c r="B646"/>
  <c r="D646"/>
  <c r="E646"/>
  <c r="F646"/>
  <c r="H646"/>
  <c r="J646"/>
  <c r="K646"/>
  <c r="L646" s="1"/>
  <c r="N646"/>
  <c r="O646"/>
  <c r="B647"/>
  <c r="D647"/>
  <c r="E647"/>
  <c r="F647"/>
  <c r="H647"/>
  <c r="J647"/>
  <c r="K647"/>
  <c r="L647" s="1"/>
  <c r="M647"/>
  <c r="N647"/>
  <c r="O647"/>
  <c r="B648"/>
  <c r="D648"/>
  <c r="E648"/>
  <c r="F648"/>
  <c r="H648"/>
  <c r="J648"/>
  <c r="K648"/>
  <c r="L648"/>
  <c r="M648"/>
  <c r="N648"/>
  <c r="O648"/>
  <c r="B649"/>
  <c r="D649"/>
  <c r="E649"/>
  <c r="F649"/>
  <c r="H649"/>
  <c r="J649"/>
  <c r="K649"/>
  <c r="L649" s="1"/>
  <c r="N649"/>
  <c r="O649"/>
  <c r="B650"/>
  <c r="D650"/>
  <c r="E650"/>
  <c r="F650"/>
  <c r="H650"/>
  <c r="J650"/>
  <c r="K650"/>
  <c r="L650" s="1"/>
  <c r="M650"/>
  <c r="N650"/>
  <c r="O650"/>
  <c r="B651"/>
  <c r="D651"/>
  <c r="E651"/>
  <c r="F651"/>
  <c r="H651"/>
  <c r="J651"/>
  <c r="K651"/>
  <c r="L651" s="1"/>
  <c r="M651"/>
  <c r="N651"/>
  <c r="B652"/>
  <c r="D652"/>
  <c r="E652"/>
  <c r="F652"/>
  <c r="H652"/>
  <c r="J652"/>
  <c r="K652"/>
  <c r="L652" s="1"/>
  <c r="N652"/>
  <c r="O652"/>
  <c r="B653"/>
  <c r="D653"/>
  <c r="E653"/>
  <c r="F653"/>
  <c r="H653"/>
  <c r="J653"/>
  <c r="K653"/>
  <c r="L653" s="1"/>
  <c r="N653"/>
  <c r="O653"/>
  <c r="B654"/>
  <c r="D654"/>
  <c r="E654"/>
  <c r="F654"/>
  <c r="H654"/>
  <c r="J654"/>
  <c r="K654"/>
  <c r="L654" s="1"/>
  <c r="N654"/>
  <c r="O654"/>
  <c r="B655"/>
  <c r="D655"/>
  <c r="E655"/>
  <c r="F655"/>
  <c r="H655"/>
  <c r="J655"/>
  <c r="K655"/>
  <c r="L655" s="1"/>
  <c r="N655"/>
  <c r="O655"/>
  <c r="B656"/>
  <c r="D656"/>
  <c r="E656"/>
  <c r="F656"/>
  <c r="H656"/>
  <c r="J656"/>
  <c r="K656"/>
  <c r="L656" s="1"/>
  <c r="N656"/>
  <c r="O656"/>
  <c r="B657"/>
  <c r="D657"/>
  <c r="E657"/>
  <c r="F657"/>
  <c r="H657"/>
  <c r="J657"/>
  <c r="K657"/>
  <c r="L657" s="1"/>
  <c r="N657"/>
  <c r="O657"/>
  <c r="B658"/>
  <c r="D658"/>
  <c r="E658"/>
  <c r="F658"/>
  <c r="H658"/>
  <c r="J658"/>
  <c r="K658"/>
  <c r="L658" s="1"/>
  <c r="N658"/>
  <c r="O658"/>
  <c r="B659"/>
  <c r="D659"/>
  <c r="E659"/>
  <c r="F659"/>
  <c r="H659"/>
  <c r="J659"/>
  <c r="K659"/>
  <c r="L659" s="1"/>
  <c r="N659"/>
  <c r="O659"/>
  <c r="B660"/>
  <c r="D660"/>
  <c r="E660"/>
  <c r="F660"/>
  <c r="H660"/>
  <c r="J660"/>
  <c r="K660"/>
  <c r="L660" s="1"/>
  <c r="N660"/>
  <c r="O660"/>
  <c r="B661"/>
  <c r="D661"/>
  <c r="E661"/>
  <c r="F661"/>
  <c r="H661"/>
  <c r="J661"/>
  <c r="K661"/>
  <c r="L661" s="1"/>
  <c r="N661"/>
  <c r="O661"/>
  <c r="B662"/>
  <c r="D662"/>
  <c r="E662"/>
  <c r="F662"/>
  <c r="H662"/>
  <c r="J662"/>
  <c r="K662"/>
  <c r="L662" s="1"/>
  <c r="N662"/>
  <c r="O662"/>
  <c r="B663"/>
  <c r="D663"/>
  <c r="E663"/>
  <c r="F663"/>
  <c r="H663"/>
  <c r="J663"/>
  <c r="K663"/>
  <c r="L663" s="1"/>
  <c r="N663"/>
  <c r="O663"/>
  <c r="B664"/>
  <c r="D664"/>
  <c r="E664"/>
  <c r="F664"/>
  <c r="H664"/>
  <c r="J664"/>
  <c r="K664"/>
  <c r="L664" s="1"/>
  <c r="N664"/>
  <c r="O664"/>
  <c r="B665"/>
  <c r="D665"/>
  <c r="E665"/>
  <c r="F665"/>
  <c r="H665"/>
  <c r="J665"/>
  <c r="K665"/>
  <c r="L665" s="1"/>
  <c r="N665"/>
  <c r="B666"/>
  <c r="D666"/>
  <c r="E666"/>
  <c r="F666"/>
  <c r="H666"/>
  <c r="J666"/>
  <c r="K666"/>
  <c r="L666" s="1"/>
  <c r="N666"/>
  <c r="B667"/>
  <c r="D667"/>
  <c r="E667"/>
  <c r="F667"/>
  <c r="H667"/>
  <c r="J667"/>
  <c r="K667"/>
  <c r="L667" s="1"/>
  <c r="N667"/>
  <c r="B668"/>
  <c r="D668"/>
  <c r="E668"/>
  <c r="F668"/>
  <c r="H668"/>
  <c r="J668"/>
  <c r="K668"/>
  <c r="L668" s="1"/>
  <c r="N668"/>
  <c r="B669"/>
  <c r="D669"/>
  <c r="E669"/>
  <c r="F669"/>
  <c r="H669"/>
  <c r="J669"/>
  <c r="K669"/>
  <c r="L669" s="1"/>
  <c r="N669"/>
  <c r="B670"/>
  <c r="D670"/>
  <c r="E670"/>
  <c r="F670"/>
  <c r="H670"/>
  <c r="J670"/>
  <c r="K670"/>
  <c r="L670" s="1"/>
  <c r="M670"/>
  <c r="N670"/>
  <c r="B671"/>
  <c r="D671"/>
  <c r="E671"/>
  <c r="F671"/>
  <c r="H671"/>
  <c r="J671"/>
  <c r="K671"/>
  <c r="L671" s="1"/>
  <c r="N671"/>
  <c r="O671"/>
  <c r="B672"/>
  <c r="D672"/>
  <c r="E672"/>
  <c r="F672"/>
  <c r="H672"/>
  <c r="J672"/>
  <c r="K672"/>
  <c r="L672" s="1"/>
  <c r="N672"/>
  <c r="O672"/>
  <c r="B673"/>
  <c r="D673"/>
  <c r="E673"/>
  <c r="F673"/>
  <c r="H673"/>
  <c r="J673"/>
  <c r="K673"/>
  <c r="L673" s="1"/>
  <c r="N673"/>
  <c r="O673"/>
  <c r="B674"/>
  <c r="D674"/>
  <c r="E674"/>
  <c r="F674"/>
  <c r="H674"/>
  <c r="J674"/>
  <c r="K674"/>
  <c r="L674" s="1"/>
  <c r="N674"/>
  <c r="O674"/>
  <c r="B675"/>
  <c r="D675"/>
  <c r="E675"/>
  <c r="F675"/>
  <c r="H675"/>
  <c r="J675"/>
  <c r="K675"/>
  <c r="L675" s="1"/>
  <c r="N675"/>
  <c r="O675"/>
  <c r="O637"/>
  <c r="O636"/>
  <c r="O635"/>
  <c r="O634"/>
  <c r="O633"/>
  <c r="O632"/>
  <c r="B596"/>
  <c r="D596"/>
  <c r="E596"/>
  <c r="F596"/>
  <c r="H596"/>
  <c r="J596"/>
  <c r="K596"/>
  <c r="L596" s="1"/>
  <c r="N596"/>
  <c r="O596"/>
  <c r="B597"/>
  <c r="D597"/>
  <c r="E597"/>
  <c r="F597"/>
  <c r="H597"/>
  <c r="J597"/>
  <c r="K597"/>
  <c r="L597" s="1"/>
  <c r="N597"/>
  <c r="O597"/>
  <c r="B598"/>
  <c r="D598"/>
  <c r="E598"/>
  <c r="F598"/>
  <c r="H598"/>
  <c r="J598"/>
  <c r="N598"/>
  <c r="O598"/>
  <c r="B599"/>
  <c r="D599"/>
  <c r="E599"/>
  <c r="F599"/>
  <c r="H599"/>
  <c r="J599"/>
  <c r="K599"/>
  <c r="L599" s="1"/>
  <c r="N599"/>
  <c r="O599"/>
  <c r="B600"/>
  <c r="D600"/>
  <c r="E600"/>
  <c r="F600"/>
  <c r="H600"/>
  <c r="J600"/>
  <c r="K600"/>
  <c r="L600" s="1"/>
  <c r="N600"/>
  <c r="O600"/>
  <c r="B601"/>
  <c r="D601"/>
  <c r="E601"/>
  <c r="F601"/>
  <c r="H601"/>
  <c r="J601"/>
  <c r="K601"/>
  <c r="L601" s="1"/>
  <c r="N601"/>
  <c r="O601"/>
  <c r="B602"/>
  <c r="D602"/>
  <c r="E602"/>
  <c r="F602"/>
  <c r="H602"/>
  <c r="J602"/>
  <c r="K602"/>
  <c r="L602" s="1"/>
  <c r="N602"/>
  <c r="O602"/>
  <c r="B603"/>
  <c r="D603"/>
  <c r="E603"/>
  <c r="F603"/>
  <c r="H603"/>
  <c r="J603"/>
  <c r="K603"/>
  <c r="L603" s="1"/>
  <c r="N603"/>
  <c r="O603"/>
  <c r="B604"/>
  <c r="D604"/>
  <c r="E604"/>
  <c r="F604"/>
  <c r="H604"/>
  <c r="J604"/>
  <c r="K604"/>
  <c r="L604" s="1"/>
  <c r="N604"/>
  <c r="O604"/>
  <c r="B605"/>
  <c r="D605"/>
  <c r="E605"/>
  <c r="F605"/>
  <c r="H605"/>
  <c r="J605"/>
  <c r="K605"/>
  <c r="L605" s="1"/>
  <c r="N605"/>
  <c r="O605"/>
  <c r="B606"/>
  <c r="D606"/>
  <c r="E606"/>
  <c r="F606"/>
  <c r="H606"/>
  <c r="J606"/>
  <c r="K606"/>
  <c r="L606" s="1"/>
  <c r="N606"/>
  <c r="O606"/>
  <c r="B607"/>
  <c r="D607"/>
  <c r="E607"/>
  <c r="F607"/>
  <c r="H607"/>
  <c r="J607"/>
  <c r="K607"/>
  <c r="L607" s="1"/>
  <c r="N607"/>
  <c r="O607"/>
  <c r="B608"/>
  <c r="D608"/>
  <c r="E608"/>
  <c r="F608"/>
  <c r="H608"/>
  <c r="J608"/>
  <c r="K608"/>
  <c r="L608" s="1"/>
  <c r="N608"/>
  <c r="O608"/>
  <c r="B609"/>
  <c r="D609"/>
  <c r="E609"/>
  <c r="F609"/>
  <c r="H609"/>
  <c r="J609"/>
  <c r="K609"/>
  <c r="L609" s="1"/>
  <c r="N609"/>
  <c r="O609"/>
  <c r="B610"/>
  <c r="D610"/>
  <c r="E610"/>
  <c r="F610"/>
  <c r="H610"/>
  <c r="J610"/>
  <c r="K610"/>
  <c r="L610" s="1"/>
  <c r="N610"/>
  <c r="O610"/>
  <c r="B611"/>
  <c r="D611"/>
  <c r="E611"/>
  <c r="F611"/>
  <c r="H611"/>
  <c r="J611"/>
  <c r="K611"/>
  <c r="L611" s="1"/>
  <c r="N611"/>
  <c r="O611"/>
  <c r="B612"/>
  <c r="D612"/>
  <c r="E612"/>
  <c r="F612"/>
  <c r="H612"/>
  <c r="J612"/>
  <c r="K612"/>
  <c r="L612" s="1"/>
  <c r="N612"/>
  <c r="O612"/>
  <c r="B613"/>
  <c r="D613"/>
  <c r="E613"/>
  <c r="F613"/>
  <c r="H613"/>
  <c r="J613"/>
  <c r="K613"/>
  <c r="L613" s="1"/>
  <c r="N613"/>
  <c r="O613"/>
  <c r="B614"/>
  <c r="D614"/>
  <c r="E614"/>
  <c r="F614"/>
  <c r="H614"/>
  <c r="J614"/>
  <c r="K614"/>
  <c r="L614" s="1"/>
  <c r="N614"/>
  <c r="O614"/>
  <c r="B615"/>
  <c r="D615"/>
  <c r="E615"/>
  <c r="F615"/>
  <c r="H615"/>
  <c r="J615"/>
  <c r="K615"/>
  <c r="L615" s="1"/>
  <c r="N615"/>
  <c r="O615"/>
  <c r="B616"/>
  <c r="D616"/>
  <c r="E616"/>
  <c r="F616"/>
  <c r="H616"/>
  <c r="J616"/>
  <c r="K616"/>
  <c r="L616" s="1"/>
  <c r="N616"/>
  <c r="O616"/>
  <c r="B617"/>
  <c r="D617"/>
  <c r="E617"/>
  <c r="F617"/>
  <c r="H617"/>
  <c r="J617"/>
  <c r="K617"/>
  <c r="L617" s="1"/>
  <c r="N617"/>
  <c r="O617"/>
  <c r="B618"/>
  <c r="D618"/>
  <c r="E618"/>
  <c r="F618"/>
  <c r="H618"/>
  <c r="J618"/>
  <c r="K618"/>
  <c r="L618" s="1"/>
  <c r="N618"/>
  <c r="O618"/>
  <c r="B619"/>
  <c r="D619"/>
  <c r="E619"/>
  <c r="F619"/>
  <c r="H619"/>
  <c r="J619"/>
  <c r="K619"/>
  <c r="L619" s="1"/>
  <c r="N619"/>
  <c r="O619"/>
  <c r="B620"/>
  <c r="D620"/>
  <c r="E620"/>
  <c r="F620"/>
  <c r="H620"/>
  <c r="J620"/>
  <c r="K620"/>
  <c r="L620" s="1"/>
  <c r="N620"/>
  <c r="O620"/>
  <c r="B621"/>
  <c r="D621"/>
  <c r="E621"/>
  <c r="F621"/>
  <c r="H621"/>
  <c r="J621"/>
  <c r="K621"/>
  <c r="L621" s="1"/>
  <c r="N621"/>
  <c r="O621"/>
  <c r="B622"/>
  <c r="D622"/>
  <c r="E622"/>
  <c r="F622"/>
  <c r="H622"/>
  <c r="J622"/>
  <c r="K622"/>
  <c r="L622" s="1"/>
  <c r="N622"/>
  <c r="O622"/>
  <c r="B623"/>
  <c r="D623"/>
  <c r="E623"/>
  <c r="F623"/>
  <c r="H623"/>
  <c r="J623"/>
  <c r="K623"/>
  <c r="L623" s="1"/>
  <c r="N623"/>
  <c r="O623"/>
  <c r="B624"/>
  <c r="D624"/>
  <c r="E624"/>
  <c r="F624"/>
  <c r="H624"/>
  <c r="J624"/>
  <c r="K624"/>
  <c r="L624" s="1"/>
  <c r="N624"/>
  <c r="O624"/>
  <c r="B625"/>
  <c r="D625"/>
  <c r="E625"/>
  <c r="F625"/>
  <c r="H625"/>
  <c r="J625"/>
  <c r="K625"/>
  <c r="L625" s="1"/>
  <c r="N625"/>
  <c r="O625"/>
  <c r="B626"/>
  <c r="D626"/>
  <c r="E626"/>
  <c r="F626"/>
  <c r="H626"/>
  <c r="J626"/>
  <c r="K626"/>
  <c r="L626" s="1"/>
  <c r="N626"/>
  <c r="O626"/>
  <c r="B627"/>
  <c r="D627"/>
  <c r="E627"/>
  <c r="F627"/>
  <c r="H627"/>
  <c r="J627"/>
  <c r="K627"/>
  <c r="L627" s="1"/>
  <c r="N627"/>
  <c r="O627"/>
  <c r="B628"/>
  <c r="D628"/>
  <c r="E628"/>
  <c r="F628"/>
  <c r="H628"/>
  <c r="J628"/>
  <c r="K628"/>
  <c r="L628" s="1"/>
  <c r="N628"/>
  <c r="O628"/>
  <c r="B629"/>
  <c r="D629"/>
  <c r="E629"/>
  <c r="F629"/>
  <c r="H629"/>
  <c r="J629"/>
  <c r="K629"/>
  <c r="L629" s="1"/>
  <c r="N629"/>
  <c r="O629"/>
  <c r="B630"/>
  <c r="D630"/>
  <c r="E630"/>
  <c r="F630"/>
  <c r="H630"/>
  <c r="J630"/>
  <c r="K630"/>
  <c r="L630" s="1"/>
  <c r="N630"/>
  <c r="O630"/>
  <c r="B631"/>
  <c r="D631"/>
  <c r="E631"/>
  <c r="F631"/>
  <c r="H631"/>
  <c r="J631"/>
  <c r="K631"/>
  <c r="L631" s="1"/>
  <c r="N631"/>
  <c r="O631"/>
  <c r="B632"/>
  <c r="D632"/>
  <c r="E632"/>
  <c r="F632"/>
  <c r="H632"/>
  <c r="J632"/>
  <c r="K632"/>
  <c r="L632" s="1"/>
  <c r="N632"/>
  <c r="B633"/>
  <c r="D633"/>
  <c r="E633"/>
  <c r="F633"/>
  <c r="H633"/>
  <c r="J633"/>
  <c r="K633"/>
  <c r="L633" s="1"/>
  <c r="N633"/>
  <c r="B634"/>
  <c r="D634"/>
  <c r="E634"/>
  <c r="F634"/>
  <c r="H634"/>
  <c r="J634"/>
  <c r="K634"/>
  <c r="L634" s="1"/>
  <c r="N634"/>
  <c r="B635"/>
  <c r="D635"/>
  <c r="E635"/>
  <c r="F635"/>
  <c r="H635"/>
  <c r="J635"/>
  <c r="K635"/>
  <c r="M635" s="1"/>
  <c r="N635"/>
  <c r="B636"/>
  <c r="D636"/>
  <c r="E636"/>
  <c r="F636"/>
  <c r="H636"/>
  <c r="J636"/>
  <c r="K636"/>
  <c r="L636" s="1"/>
  <c r="N636"/>
  <c r="B637"/>
  <c r="D637"/>
  <c r="E637"/>
  <c r="F637"/>
  <c r="H637"/>
  <c r="J637"/>
  <c r="K637"/>
  <c r="L637" s="1"/>
  <c r="N637"/>
  <c r="B638"/>
  <c r="D638"/>
  <c r="E638"/>
  <c r="F638"/>
  <c r="H638"/>
  <c r="J638"/>
  <c r="K638"/>
  <c r="L638" s="1"/>
  <c r="N638"/>
  <c r="O638"/>
  <c r="B639"/>
  <c r="D639"/>
  <c r="E639"/>
  <c r="F639"/>
  <c r="H639"/>
  <c r="J639"/>
  <c r="K639"/>
  <c r="L639" s="1"/>
  <c r="N639"/>
  <c r="O639"/>
  <c r="B640"/>
  <c r="D640"/>
  <c r="E640"/>
  <c r="F640"/>
  <c r="H640"/>
  <c r="J640"/>
  <c r="K640"/>
  <c r="L640" s="1"/>
  <c r="N640"/>
  <c r="B641"/>
  <c r="D641"/>
  <c r="E641"/>
  <c r="F641"/>
  <c r="H641"/>
  <c r="J641"/>
  <c r="K641"/>
  <c r="L641" s="1"/>
  <c r="N641"/>
  <c r="O641"/>
  <c r="B642"/>
  <c r="D642"/>
  <c r="E642"/>
  <c r="F642"/>
  <c r="H642"/>
  <c r="J642"/>
  <c r="K642"/>
  <c r="L642" s="1"/>
  <c r="N642"/>
  <c r="O642"/>
  <c r="G671" l="1"/>
  <c r="I671"/>
  <c r="M674"/>
  <c r="M620"/>
  <c r="M613"/>
  <c r="M658"/>
  <c r="M636"/>
  <c r="M605"/>
  <c r="M646"/>
  <c r="M643"/>
  <c r="M554"/>
  <c r="M628"/>
  <c r="M609"/>
  <c r="M599"/>
  <c r="M673"/>
  <c r="M666"/>
  <c r="M662"/>
  <c r="M654"/>
  <c r="M642"/>
  <c r="M632"/>
  <c r="M624"/>
  <c r="M612"/>
  <c r="M611"/>
  <c r="M608"/>
  <c r="M607"/>
  <c r="M604"/>
  <c r="M603"/>
  <c r="M672"/>
  <c r="M669"/>
  <c r="M668"/>
  <c r="M665"/>
  <c r="M664"/>
  <c r="M661"/>
  <c r="M660"/>
  <c r="M657"/>
  <c r="M656"/>
  <c r="M653"/>
  <c r="M652"/>
  <c r="M601"/>
  <c r="M597"/>
  <c r="M638"/>
  <c r="M633"/>
  <c r="M631"/>
  <c r="M630"/>
  <c r="M627"/>
  <c r="M626"/>
  <c r="M623"/>
  <c r="M622"/>
  <c r="M619"/>
  <c r="M616"/>
  <c r="M600"/>
  <c r="M596"/>
  <c r="M675"/>
  <c r="M671"/>
  <c r="M667"/>
  <c r="M663"/>
  <c r="M659"/>
  <c r="M655"/>
  <c r="M649"/>
  <c r="M645"/>
  <c r="M618"/>
  <c r="M615"/>
  <c r="M614"/>
  <c r="M610"/>
  <c r="M606"/>
  <c r="M602"/>
  <c r="M641"/>
  <c r="M640"/>
  <c r="M634"/>
  <c r="M639"/>
  <c r="M637"/>
  <c r="M629"/>
  <c r="M625"/>
  <c r="M621"/>
  <c r="M617"/>
  <c r="L635"/>
  <c r="N347" l="1"/>
  <c r="N348"/>
  <c r="N349"/>
  <c r="N350"/>
  <c r="O244" l="1"/>
  <c r="O245"/>
  <c r="K25" i="1" l="1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I30" l="1"/>
  <c r="K30" s="1"/>
  <c r="I16"/>
  <c r="I18" l="1"/>
  <c r="K18" s="1"/>
  <c r="I19"/>
  <c r="K19" s="1"/>
  <c r="I34"/>
  <c r="K34" s="1"/>
  <c r="I33"/>
  <c r="K33" s="1"/>
  <c r="I35"/>
  <c r="K35" s="1"/>
  <c r="K499" i="3" l="1"/>
  <c r="L499" s="1"/>
  <c r="O571"/>
  <c r="N548"/>
  <c r="B555"/>
  <c r="D555"/>
  <c r="E555"/>
  <c r="F555"/>
  <c r="H555"/>
  <c r="J555"/>
  <c r="K555"/>
  <c r="L555" s="1"/>
  <c r="N555"/>
  <c r="O555"/>
  <c r="B556"/>
  <c r="D556"/>
  <c r="E556"/>
  <c r="F556"/>
  <c r="H556"/>
  <c r="J556"/>
  <c r="K556"/>
  <c r="L556" s="1"/>
  <c r="N556"/>
  <c r="O556"/>
  <c r="B557"/>
  <c r="D557"/>
  <c r="E557"/>
  <c r="F557"/>
  <c r="H557"/>
  <c r="J557"/>
  <c r="K557"/>
  <c r="L557" s="1"/>
  <c r="N557"/>
  <c r="O557"/>
  <c r="B558"/>
  <c r="D558"/>
  <c r="E558"/>
  <c r="F558"/>
  <c r="H558"/>
  <c r="J558"/>
  <c r="K558"/>
  <c r="L558" s="1"/>
  <c r="N558"/>
  <c r="O558"/>
  <c r="B559"/>
  <c r="D559"/>
  <c r="E559"/>
  <c r="F559"/>
  <c r="H559"/>
  <c r="J559"/>
  <c r="K559"/>
  <c r="L559" s="1"/>
  <c r="N559"/>
  <c r="O559"/>
  <c r="B560"/>
  <c r="D560"/>
  <c r="E560"/>
  <c r="F560"/>
  <c r="H560"/>
  <c r="J560"/>
  <c r="K560"/>
  <c r="L560" s="1"/>
  <c r="M560"/>
  <c r="N560"/>
  <c r="O560"/>
  <c r="B561"/>
  <c r="D561"/>
  <c r="E561"/>
  <c r="F561"/>
  <c r="H561"/>
  <c r="J561"/>
  <c r="K561"/>
  <c r="L561" s="1"/>
  <c r="N561"/>
  <c r="O561"/>
  <c r="B562"/>
  <c r="D562"/>
  <c r="E562"/>
  <c r="F562"/>
  <c r="H562"/>
  <c r="J562"/>
  <c r="K562"/>
  <c r="L562" s="1"/>
  <c r="N562"/>
  <c r="O562"/>
  <c r="B563"/>
  <c r="D563"/>
  <c r="E563"/>
  <c r="F563"/>
  <c r="H563"/>
  <c r="J563"/>
  <c r="K563"/>
  <c r="L563" s="1"/>
  <c r="N563"/>
  <c r="O563"/>
  <c r="B564"/>
  <c r="D564"/>
  <c r="E564"/>
  <c r="F564"/>
  <c r="H564"/>
  <c r="J564"/>
  <c r="K564"/>
  <c r="L564" s="1"/>
  <c r="N564"/>
  <c r="O564"/>
  <c r="B565"/>
  <c r="D565"/>
  <c r="E565"/>
  <c r="F565"/>
  <c r="H565"/>
  <c r="J565"/>
  <c r="K565"/>
  <c r="L565" s="1"/>
  <c r="N565"/>
  <c r="O565"/>
  <c r="B566"/>
  <c r="D566"/>
  <c r="E566"/>
  <c r="F566"/>
  <c r="H566"/>
  <c r="J566"/>
  <c r="K566"/>
  <c r="L566" s="1"/>
  <c r="N566"/>
  <c r="O566"/>
  <c r="B567"/>
  <c r="D567"/>
  <c r="E567"/>
  <c r="F567"/>
  <c r="H567"/>
  <c r="J567"/>
  <c r="K567"/>
  <c r="L567" s="1"/>
  <c r="N567"/>
  <c r="O567"/>
  <c r="B568"/>
  <c r="D568"/>
  <c r="E568"/>
  <c r="F568"/>
  <c r="H568"/>
  <c r="J568"/>
  <c r="K568"/>
  <c r="L568" s="1"/>
  <c r="N568"/>
  <c r="O568"/>
  <c r="B569"/>
  <c r="D569"/>
  <c r="E569"/>
  <c r="F569"/>
  <c r="H569"/>
  <c r="J569"/>
  <c r="K569"/>
  <c r="L569" s="1"/>
  <c r="N569"/>
  <c r="O569"/>
  <c r="B570"/>
  <c r="D570"/>
  <c r="E570"/>
  <c r="F570"/>
  <c r="H570"/>
  <c r="J570"/>
  <c r="K570"/>
  <c r="L570" s="1"/>
  <c r="N570"/>
  <c r="O570"/>
  <c r="B571"/>
  <c r="D571"/>
  <c r="E571"/>
  <c r="F571"/>
  <c r="H571"/>
  <c r="J571"/>
  <c r="K571"/>
  <c r="L571" s="1"/>
  <c r="N571"/>
  <c r="B572"/>
  <c r="D572"/>
  <c r="E572"/>
  <c r="F572"/>
  <c r="H572"/>
  <c r="J572"/>
  <c r="K572"/>
  <c r="L572" s="1"/>
  <c r="N572"/>
  <c r="O572"/>
  <c r="B573"/>
  <c r="D573"/>
  <c r="E573"/>
  <c r="F573"/>
  <c r="H573"/>
  <c r="J573"/>
  <c r="K573"/>
  <c r="L573" s="1"/>
  <c r="N573"/>
  <c r="O573"/>
  <c r="B574"/>
  <c r="D574"/>
  <c r="E574"/>
  <c r="F574"/>
  <c r="H574"/>
  <c r="J574"/>
  <c r="K574"/>
  <c r="L574" s="1"/>
  <c r="N574"/>
  <c r="O574"/>
  <c r="B575"/>
  <c r="D575"/>
  <c r="E575"/>
  <c r="F575"/>
  <c r="H575"/>
  <c r="J575"/>
  <c r="K575"/>
  <c r="L575" s="1"/>
  <c r="N575"/>
  <c r="O575"/>
  <c r="B576"/>
  <c r="D576"/>
  <c r="E576"/>
  <c r="F576"/>
  <c r="H576"/>
  <c r="J576"/>
  <c r="K576"/>
  <c r="L576" s="1"/>
  <c r="N576"/>
  <c r="O576"/>
  <c r="B577"/>
  <c r="D577"/>
  <c r="E577"/>
  <c r="F577"/>
  <c r="H577"/>
  <c r="J577"/>
  <c r="K577"/>
  <c r="L577" s="1"/>
  <c r="N577"/>
  <c r="O577"/>
  <c r="B578"/>
  <c r="D578"/>
  <c r="E578"/>
  <c r="F578"/>
  <c r="H578"/>
  <c r="J578"/>
  <c r="K578"/>
  <c r="L578" s="1"/>
  <c r="M578"/>
  <c r="N578"/>
  <c r="O578"/>
  <c r="B579"/>
  <c r="D579"/>
  <c r="E579"/>
  <c r="F579"/>
  <c r="H579"/>
  <c r="J579"/>
  <c r="K579"/>
  <c r="L579" s="1"/>
  <c r="N579"/>
  <c r="O579"/>
  <c r="B580"/>
  <c r="D580"/>
  <c r="E580"/>
  <c r="F580"/>
  <c r="H580"/>
  <c r="J580"/>
  <c r="K580"/>
  <c r="L580" s="1"/>
  <c r="N580"/>
  <c r="O580"/>
  <c r="B581"/>
  <c r="D581"/>
  <c r="E581"/>
  <c r="F581"/>
  <c r="H581"/>
  <c r="J581"/>
  <c r="K581"/>
  <c r="L581" s="1"/>
  <c r="N581"/>
  <c r="O581"/>
  <c r="B582"/>
  <c r="D582"/>
  <c r="E582"/>
  <c r="F582"/>
  <c r="H582"/>
  <c r="J582"/>
  <c r="K582"/>
  <c r="L582" s="1"/>
  <c r="N582"/>
  <c r="O582"/>
  <c r="B583"/>
  <c r="D583"/>
  <c r="E583"/>
  <c r="F583"/>
  <c r="H583"/>
  <c r="J583"/>
  <c r="K583"/>
  <c r="L583" s="1"/>
  <c r="N583"/>
  <c r="O583"/>
  <c r="B584"/>
  <c r="D584"/>
  <c r="E584"/>
  <c r="F584"/>
  <c r="H584"/>
  <c r="J584"/>
  <c r="K584"/>
  <c r="L584" s="1"/>
  <c r="N584"/>
  <c r="O584"/>
  <c r="B585"/>
  <c r="D585"/>
  <c r="E585"/>
  <c r="F585"/>
  <c r="H585"/>
  <c r="J585"/>
  <c r="K585"/>
  <c r="L585" s="1"/>
  <c r="N585"/>
  <c r="O585"/>
  <c r="B586"/>
  <c r="D586"/>
  <c r="E586"/>
  <c r="F586"/>
  <c r="H586"/>
  <c r="J586"/>
  <c r="K586"/>
  <c r="L586" s="1"/>
  <c r="N586"/>
  <c r="O586"/>
  <c r="B587"/>
  <c r="D587"/>
  <c r="E587"/>
  <c r="F587"/>
  <c r="H587"/>
  <c r="J587"/>
  <c r="K587"/>
  <c r="L587" s="1"/>
  <c r="N587"/>
  <c r="O587"/>
  <c r="B588"/>
  <c r="D588"/>
  <c r="E588"/>
  <c r="F588"/>
  <c r="H588"/>
  <c r="J588"/>
  <c r="K588"/>
  <c r="L588" s="1"/>
  <c r="N588"/>
  <c r="O588"/>
  <c r="B589"/>
  <c r="D589"/>
  <c r="E589"/>
  <c r="F589"/>
  <c r="H589"/>
  <c r="J589"/>
  <c r="K589"/>
  <c r="L589" s="1"/>
  <c r="N589"/>
  <c r="O589"/>
  <c r="B590"/>
  <c r="D590"/>
  <c r="E590"/>
  <c r="F590"/>
  <c r="H590"/>
  <c r="J590"/>
  <c r="K590"/>
  <c r="L590" s="1"/>
  <c r="N590"/>
  <c r="O590"/>
  <c r="B591"/>
  <c r="D591"/>
  <c r="E591"/>
  <c r="F591"/>
  <c r="H591"/>
  <c r="J591"/>
  <c r="K591"/>
  <c r="L591" s="1"/>
  <c r="N591"/>
  <c r="O591"/>
  <c r="B592"/>
  <c r="D592"/>
  <c r="E592"/>
  <c r="F592"/>
  <c r="H592"/>
  <c r="J592"/>
  <c r="K592"/>
  <c r="L592" s="1"/>
  <c r="N592"/>
  <c r="O592"/>
  <c r="B593"/>
  <c r="D593"/>
  <c r="E593"/>
  <c r="F593"/>
  <c r="H593"/>
  <c r="J593"/>
  <c r="K593"/>
  <c r="L593" s="1"/>
  <c r="N593"/>
  <c r="O593"/>
  <c r="B594"/>
  <c r="D594"/>
  <c r="E594"/>
  <c r="F594"/>
  <c r="H594"/>
  <c r="J594"/>
  <c r="K594"/>
  <c r="L594" s="1"/>
  <c r="N594"/>
  <c r="O594"/>
  <c r="B595"/>
  <c r="D595"/>
  <c r="E595"/>
  <c r="F595"/>
  <c r="H595"/>
  <c r="J595"/>
  <c r="K595"/>
  <c r="L595" s="1"/>
  <c r="N595"/>
  <c r="O595"/>
  <c r="M556" l="1"/>
  <c r="M568"/>
  <c r="M594"/>
  <c r="M562"/>
  <c r="M559"/>
  <c r="M558"/>
  <c r="M555"/>
  <c r="M586"/>
  <c r="M564"/>
  <c r="M590"/>
  <c r="M582"/>
  <c r="M571"/>
  <c r="M570"/>
  <c r="M567"/>
  <c r="M566"/>
  <c r="M563"/>
  <c r="M593"/>
  <c r="M592"/>
  <c r="M589"/>
  <c r="M588"/>
  <c r="M585"/>
  <c r="M584"/>
  <c r="M581"/>
  <c r="M580"/>
  <c r="M574"/>
  <c r="M577"/>
  <c r="M576"/>
  <c r="M573"/>
  <c r="M572"/>
  <c r="M569"/>
  <c r="M565"/>
  <c r="M561"/>
  <c r="M557"/>
  <c r="M499"/>
  <c r="M595"/>
  <c r="M591"/>
  <c r="M587"/>
  <c r="M583"/>
  <c r="M579"/>
  <c r="M575"/>
  <c r="B488" l="1"/>
  <c r="D488"/>
  <c r="E488"/>
  <c r="F488"/>
  <c r="H488"/>
  <c r="J488"/>
  <c r="K488"/>
  <c r="L488"/>
  <c r="M488"/>
  <c r="N488"/>
  <c r="O488"/>
  <c r="B489"/>
  <c r="D489"/>
  <c r="E489"/>
  <c r="F489"/>
  <c r="H489"/>
  <c r="J489"/>
  <c r="K489"/>
  <c r="L489" s="1"/>
  <c r="N489"/>
  <c r="O489"/>
  <c r="B490"/>
  <c r="D490"/>
  <c r="E490"/>
  <c r="F490"/>
  <c r="H490"/>
  <c r="J490"/>
  <c r="K490"/>
  <c r="L490" s="1"/>
  <c r="N490"/>
  <c r="O490"/>
  <c r="B491"/>
  <c r="D491"/>
  <c r="E491"/>
  <c r="F491"/>
  <c r="H491"/>
  <c r="J491"/>
  <c r="K491"/>
  <c r="L491" s="1"/>
  <c r="N491"/>
  <c r="O491"/>
  <c r="B492"/>
  <c r="D492"/>
  <c r="E492"/>
  <c r="F492"/>
  <c r="H492"/>
  <c r="J492"/>
  <c r="K492"/>
  <c r="L492" s="1"/>
  <c r="N492"/>
  <c r="O492"/>
  <c r="B493"/>
  <c r="D493"/>
  <c r="E493"/>
  <c r="F493"/>
  <c r="H493"/>
  <c r="J493"/>
  <c r="K493"/>
  <c r="L493" s="1"/>
  <c r="N493"/>
  <c r="O493"/>
  <c r="B494"/>
  <c r="D494"/>
  <c r="E494"/>
  <c r="F494"/>
  <c r="H494"/>
  <c r="J494"/>
  <c r="K494"/>
  <c r="L494" s="1"/>
  <c r="N494"/>
  <c r="O494"/>
  <c r="B495"/>
  <c r="D495"/>
  <c r="E495"/>
  <c r="F495"/>
  <c r="H495"/>
  <c r="J495"/>
  <c r="K495"/>
  <c r="L495" s="1"/>
  <c r="N495"/>
  <c r="O495"/>
  <c r="B496"/>
  <c r="D496"/>
  <c r="E496"/>
  <c r="F496"/>
  <c r="H496"/>
  <c r="J496"/>
  <c r="K496"/>
  <c r="L496" s="1"/>
  <c r="N496"/>
  <c r="O496"/>
  <c r="B497"/>
  <c r="D497"/>
  <c r="E497"/>
  <c r="F497"/>
  <c r="H497"/>
  <c r="J497"/>
  <c r="K497"/>
  <c r="L497" s="1"/>
  <c r="N497"/>
  <c r="O497"/>
  <c r="B498"/>
  <c r="D498"/>
  <c r="E498"/>
  <c r="F498"/>
  <c r="H498"/>
  <c r="J498"/>
  <c r="K498"/>
  <c r="L498" s="1"/>
  <c r="M498"/>
  <c r="N498"/>
  <c r="O498"/>
  <c r="B499"/>
  <c r="D499"/>
  <c r="E499"/>
  <c r="F499"/>
  <c r="H499"/>
  <c r="J499"/>
  <c r="N499"/>
  <c r="O499"/>
  <c r="B500"/>
  <c r="D500"/>
  <c r="E500"/>
  <c r="F500"/>
  <c r="H500"/>
  <c r="J500"/>
  <c r="K500"/>
  <c r="L500" s="1"/>
  <c r="N500"/>
  <c r="O500"/>
  <c r="B501"/>
  <c r="D501"/>
  <c r="E501"/>
  <c r="F501"/>
  <c r="H501"/>
  <c r="J501"/>
  <c r="K501"/>
  <c r="L501" s="1"/>
  <c r="N501"/>
  <c r="O501"/>
  <c r="B502"/>
  <c r="D502"/>
  <c r="E502"/>
  <c r="F502"/>
  <c r="H502"/>
  <c r="J502"/>
  <c r="K502"/>
  <c r="L502" s="1"/>
  <c r="N502"/>
  <c r="O502"/>
  <c r="B503"/>
  <c r="D503"/>
  <c r="E503"/>
  <c r="F503"/>
  <c r="H503"/>
  <c r="J503"/>
  <c r="K503"/>
  <c r="L503" s="1"/>
  <c r="N503"/>
  <c r="O503"/>
  <c r="B504"/>
  <c r="D504"/>
  <c r="E504"/>
  <c r="F504"/>
  <c r="H504"/>
  <c r="J504"/>
  <c r="K504"/>
  <c r="L504" s="1"/>
  <c r="N504"/>
  <c r="O504"/>
  <c r="B505"/>
  <c r="D505"/>
  <c r="E505"/>
  <c r="F505"/>
  <c r="H505"/>
  <c r="J505"/>
  <c r="K505"/>
  <c r="L505" s="1"/>
  <c r="N505"/>
  <c r="O505"/>
  <c r="B506"/>
  <c r="D506"/>
  <c r="E506"/>
  <c r="F506"/>
  <c r="H506"/>
  <c r="J506"/>
  <c r="K506"/>
  <c r="L506" s="1"/>
  <c r="M506"/>
  <c r="N506"/>
  <c r="O506"/>
  <c r="B507"/>
  <c r="D507"/>
  <c r="E507"/>
  <c r="F507"/>
  <c r="H507"/>
  <c r="J507"/>
  <c r="K507"/>
  <c r="L507" s="1"/>
  <c r="N507"/>
  <c r="O507"/>
  <c r="B508"/>
  <c r="D508"/>
  <c r="E508"/>
  <c r="F508"/>
  <c r="H508"/>
  <c r="J508"/>
  <c r="K508"/>
  <c r="L508" s="1"/>
  <c r="N508"/>
  <c r="O508"/>
  <c r="B509"/>
  <c r="D509"/>
  <c r="E509"/>
  <c r="F509"/>
  <c r="H509"/>
  <c r="J509"/>
  <c r="K509"/>
  <c r="L509" s="1"/>
  <c r="N509"/>
  <c r="O509"/>
  <c r="B510"/>
  <c r="D510"/>
  <c r="E510"/>
  <c r="F510"/>
  <c r="H510"/>
  <c r="J510"/>
  <c r="K510"/>
  <c r="L510" s="1"/>
  <c r="N510"/>
  <c r="O510"/>
  <c r="B511"/>
  <c r="D511"/>
  <c r="E511"/>
  <c r="F511"/>
  <c r="H511"/>
  <c r="J511"/>
  <c r="K511"/>
  <c r="L511" s="1"/>
  <c r="N511"/>
  <c r="O511"/>
  <c r="B512"/>
  <c r="D512"/>
  <c r="E512"/>
  <c r="F512"/>
  <c r="H512"/>
  <c r="J512"/>
  <c r="K512"/>
  <c r="L512" s="1"/>
  <c r="N512"/>
  <c r="O512"/>
  <c r="B513"/>
  <c r="D513"/>
  <c r="E513"/>
  <c r="F513"/>
  <c r="H513"/>
  <c r="J513"/>
  <c r="K513"/>
  <c r="L513" s="1"/>
  <c r="N513"/>
  <c r="O513"/>
  <c r="B514"/>
  <c r="D514"/>
  <c r="E514"/>
  <c r="F514"/>
  <c r="H514"/>
  <c r="J514"/>
  <c r="K514"/>
  <c r="L514" s="1"/>
  <c r="N514"/>
  <c r="O514"/>
  <c r="B515"/>
  <c r="D515"/>
  <c r="E515"/>
  <c r="F515"/>
  <c r="H515"/>
  <c r="J515"/>
  <c r="K515"/>
  <c r="L515" s="1"/>
  <c r="N515"/>
  <c r="O515"/>
  <c r="B516"/>
  <c r="D516"/>
  <c r="E516"/>
  <c r="F516"/>
  <c r="H516"/>
  <c r="J516"/>
  <c r="K516"/>
  <c r="L516" s="1"/>
  <c r="N516"/>
  <c r="O516"/>
  <c r="B517"/>
  <c r="D517"/>
  <c r="E517"/>
  <c r="F517"/>
  <c r="H517"/>
  <c r="J517"/>
  <c r="K517"/>
  <c r="L517" s="1"/>
  <c r="N517"/>
  <c r="O517"/>
  <c r="B518"/>
  <c r="D518"/>
  <c r="E518"/>
  <c r="F518"/>
  <c r="H518"/>
  <c r="J518"/>
  <c r="K518"/>
  <c r="L518" s="1"/>
  <c r="N518"/>
  <c r="O518"/>
  <c r="B519"/>
  <c r="D519"/>
  <c r="E519"/>
  <c r="F519"/>
  <c r="H519"/>
  <c r="J519"/>
  <c r="K519"/>
  <c r="L519" s="1"/>
  <c r="N519"/>
  <c r="O519"/>
  <c r="B520"/>
  <c r="D520"/>
  <c r="E520"/>
  <c r="F520"/>
  <c r="H520"/>
  <c r="J520"/>
  <c r="K520"/>
  <c r="L520" s="1"/>
  <c r="N520"/>
  <c r="O520"/>
  <c r="B521"/>
  <c r="D521"/>
  <c r="E521"/>
  <c r="F521"/>
  <c r="H521"/>
  <c r="J521"/>
  <c r="K521"/>
  <c r="L521" s="1"/>
  <c r="N521"/>
  <c r="O521"/>
  <c r="B522"/>
  <c r="D522"/>
  <c r="E522"/>
  <c r="F522"/>
  <c r="H522"/>
  <c r="J522"/>
  <c r="K522"/>
  <c r="L522" s="1"/>
  <c r="N522"/>
  <c r="O522"/>
  <c r="B523"/>
  <c r="D523"/>
  <c r="E523"/>
  <c r="F523"/>
  <c r="H523"/>
  <c r="J523"/>
  <c r="K523"/>
  <c r="L523" s="1"/>
  <c r="N523"/>
  <c r="O523"/>
  <c r="B524"/>
  <c r="D524"/>
  <c r="E524"/>
  <c r="F524"/>
  <c r="H524"/>
  <c r="J524"/>
  <c r="K524"/>
  <c r="L524" s="1"/>
  <c r="N524"/>
  <c r="O524"/>
  <c r="B525"/>
  <c r="D525"/>
  <c r="E525"/>
  <c r="F525"/>
  <c r="H525"/>
  <c r="J525"/>
  <c r="K525"/>
  <c r="L525" s="1"/>
  <c r="N525"/>
  <c r="O525"/>
  <c r="B526"/>
  <c r="D526"/>
  <c r="E526"/>
  <c r="F526"/>
  <c r="H526"/>
  <c r="J526"/>
  <c r="K526"/>
  <c r="L526" s="1"/>
  <c r="N526"/>
  <c r="O526"/>
  <c r="B527"/>
  <c r="D527"/>
  <c r="E527"/>
  <c r="F527"/>
  <c r="H527"/>
  <c r="J527"/>
  <c r="K527"/>
  <c r="L527" s="1"/>
  <c r="N527"/>
  <c r="O527"/>
  <c r="B528"/>
  <c r="D528"/>
  <c r="E528"/>
  <c r="F528"/>
  <c r="H528"/>
  <c r="J528"/>
  <c r="K528"/>
  <c r="L528" s="1"/>
  <c r="N528"/>
  <c r="O528"/>
  <c r="B529"/>
  <c r="D529"/>
  <c r="E529"/>
  <c r="F529"/>
  <c r="H529"/>
  <c r="J529"/>
  <c r="K529"/>
  <c r="L529" s="1"/>
  <c r="N529"/>
  <c r="O529"/>
  <c r="B530"/>
  <c r="D530"/>
  <c r="E530"/>
  <c r="F530"/>
  <c r="H530"/>
  <c r="J530"/>
  <c r="K530"/>
  <c r="L530" s="1"/>
  <c r="N530"/>
  <c r="O530"/>
  <c r="B531"/>
  <c r="D531"/>
  <c r="E531"/>
  <c r="F531"/>
  <c r="H531"/>
  <c r="J531"/>
  <c r="K531"/>
  <c r="L531" s="1"/>
  <c r="N531"/>
  <c r="O531"/>
  <c r="B532"/>
  <c r="D532"/>
  <c r="E532"/>
  <c r="F532"/>
  <c r="H532"/>
  <c r="J532"/>
  <c r="K532"/>
  <c r="L532" s="1"/>
  <c r="N532"/>
  <c r="O532"/>
  <c r="B533"/>
  <c r="D533"/>
  <c r="E533"/>
  <c r="F533"/>
  <c r="H533"/>
  <c r="J533"/>
  <c r="K533"/>
  <c r="L533" s="1"/>
  <c r="N533"/>
  <c r="O533"/>
  <c r="B534"/>
  <c r="D534"/>
  <c r="E534"/>
  <c r="F534"/>
  <c r="H534"/>
  <c r="J534"/>
  <c r="K534"/>
  <c r="L534" s="1"/>
  <c r="N534"/>
  <c r="O534"/>
  <c r="B535"/>
  <c r="D535"/>
  <c r="E535"/>
  <c r="F535"/>
  <c r="H535"/>
  <c r="J535"/>
  <c r="K535"/>
  <c r="L535" s="1"/>
  <c r="N535"/>
  <c r="O535"/>
  <c r="B536"/>
  <c r="D536"/>
  <c r="E536"/>
  <c r="F536"/>
  <c r="H536"/>
  <c r="J536"/>
  <c r="K536"/>
  <c r="L536" s="1"/>
  <c r="N536"/>
  <c r="O536"/>
  <c r="B537"/>
  <c r="D537"/>
  <c r="E537"/>
  <c r="F537"/>
  <c r="H537"/>
  <c r="J537"/>
  <c r="K537"/>
  <c r="L537" s="1"/>
  <c r="N537"/>
  <c r="O537"/>
  <c r="B538"/>
  <c r="D538"/>
  <c r="E538"/>
  <c r="F538"/>
  <c r="H538"/>
  <c r="J538"/>
  <c r="K538"/>
  <c r="L538" s="1"/>
  <c r="N538"/>
  <c r="O538"/>
  <c r="B539"/>
  <c r="D539"/>
  <c r="E539"/>
  <c r="F539"/>
  <c r="H539"/>
  <c r="J539"/>
  <c r="K539"/>
  <c r="L539" s="1"/>
  <c r="N539"/>
  <c r="O539"/>
  <c r="B540"/>
  <c r="D540"/>
  <c r="E540"/>
  <c r="F540"/>
  <c r="H540"/>
  <c r="J540"/>
  <c r="K540"/>
  <c r="L540" s="1"/>
  <c r="N540"/>
  <c r="O540"/>
  <c r="B541"/>
  <c r="D541"/>
  <c r="E541"/>
  <c r="F541"/>
  <c r="H541"/>
  <c r="J541"/>
  <c r="K541"/>
  <c r="L541" s="1"/>
  <c r="N541"/>
  <c r="O541"/>
  <c r="B542"/>
  <c r="D542"/>
  <c r="E542"/>
  <c r="F542"/>
  <c r="H542"/>
  <c r="J542"/>
  <c r="K542"/>
  <c r="L542" s="1"/>
  <c r="N542"/>
  <c r="O542"/>
  <c r="B543"/>
  <c r="D543"/>
  <c r="E543"/>
  <c r="F543"/>
  <c r="H543"/>
  <c r="J543"/>
  <c r="K543"/>
  <c r="L543" s="1"/>
  <c r="N543"/>
  <c r="O543"/>
  <c r="B544"/>
  <c r="D544"/>
  <c r="E544"/>
  <c r="F544"/>
  <c r="H544"/>
  <c r="J544"/>
  <c r="K544"/>
  <c r="L544" s="1"/>
  <c r="N544"/>
  <c r="O544"/>
  <c r="B545"/>
  <c r="D545"/>
  <c r="E545"/>
  <c r="F545"/>
  <c r="H545"/>
  <c r="J545"/>
  <c r="K545"/>
  <c r="L545" s="1"/>
  <c r="N545"/>
  <c r="O545"/>
  <c r="B546"/>
  <c r="D546"/>
  <c r="E546"/>
  <c r="F546"/>
  <c r="H546"/>
  <c r="J546"/>
  <c r="K546"/>
  <c r="L546" s="1"/>
  <c r="N546"/>
  <c r="O546"/>
  <c r="B547"/>
  <c r="D547"/>
  <c r="E547"/>
  <c r="F547"/>
  <c r="H547"/>
  <c r="J547"/>
  <c r="K547"/>
  <c r="L547" s="1"/>
  <c r="N547"/>
  <c r="O547"/>
  <c r="B548"/>
  <c r="D548"/>
  <c r="E548"/>
  <c r="F548"/>
  <c r="H548"/>
  <c r="J548"/>
  <c r="K548"/>
  <c r="L548" s="1"/>
  <c r="O548"/>
  <c r="B549"/>
  <c r="D549"/>
  <c r="E549"/>
  <c r="F549"/>
  <c r="H549"/>
  <c r="J549"/>
  <c r="K549"/>
  <c r="L549" s="1"/>
  <c r="N549"/>
  <c r="O549"/>
  <c r="B550"/>
  <c r="D550"/>
  <c r="E550"/>
  <c r="F550"/>
  <c r="H550"/>
  <c r="J550"/>
  <c r="K550"/>
  <c r="L550" s="1"/>
  <c r="N550"/>
  <c r="O550"/>
  <c r="B551"/>
  <c r="D551"/>
  <c r="E551"/>
  <c r="F551"/>
  <c r="H551"/>
  <c r="J551"/>
  <c r="K551"/>
  <c r="L551" s="1"/>
  <c r="N551"/>
  <c r="O551"/>
  <c r="B552"/>
  <c r="D552"/>
  <c r="E552"/>
  <c r="F552"/>
  <c r="H552"/>
  <c r="J552"/>
  <c r="K552"/>
  <c r="L552" s="1"/>
  <c r="N552"/>
  <c r="O552"/>
  <c r="B553"/>
  <c r="D553"/>
  <c r="E553"/>
  <c r="F553"/>
  <c r="H553"/>
  <c r="J553"/>
  <c r="K553"/>
  <c r="L553" s="1"/>
  <c r="N553"/>
  <c r="O553"/>
  <c r="B554"/>
  <c r="D554"/>
  <c r="E554"/>
  <c r="F554"/>
  <c r="H554"/>
  <c r="J554"/>
  <c r="N554"/>
  <c r="O554"/>
  <c r="M542" l="1"/>
  <c r="M546"/>
  <c r="M526"/>
  <c r="M492"/>
  <c r="M550"/>
  <c r="M548"/>
  <c r="M545"/>
  <c r="M544"/>
  <c r="M514"/>
  <c r="M494"/>
  <c r="M534"/>
  <c r="M522"/>
  <c r="M538"/>
  <c r="M530"/>
  <c r="M518"/>
  <c r="M510"/>
  <c r="M497"/>
  <c r="M496"/>
  <c r="M491"/>
  <c r="M490"/>
  <c r="M541"/>
  <c r="M540"/>
  <c r="M537"/>
  <c r="M536"/>
  <c r="M533"/>
  <c r="M532"/>
  <c r="M529"/>
  <c r="M528"/>
  <c r="M525"/>
  <c r="M524"/>
  <c r="M521"/>
  <c r="M520"/>
  <c r="M517"/>
  <c r="M516"/>
  <c r="M513"/>
  <c r="M512"/>
  <c r="M502"/>
  <c r="M509"/>
  <c r="M508"/>
  <c r="M505"/>
  <c r="M504"/>
  <c r="M489"/>
  <c r="M501"/>
  <c r="M500"/>
  <c r="M553"/>
  <c r="M552"/>
  <c r="M549"/>
  <c r="M493"/>
  <c r="M551"/>
  <c r="M547"/>
  <c r="M543"/>
  <c r="M539"/>
  <c r="M535"/>
  <c r="M531"/>
  <c r="M527"/>
  <c r="M523"/>
  <c r="M519"/>
  <c r="M515"/>
  <c r="M511"/>
  <c r="M507"/>
  <c r="M503"/>
  <c r="M495"/>
  <c r="F309" i="8"/>
  <c r="F310"/>
  <c r="F311"/>
  <c r="F312"/>
  <c r="F313"/>
  <c r="F302"/>
  <c r="F303"/>
  <c r="F304"/>
  <c r="F305"/>
  <c r="F306"/>
  <c r="F307"/>
  <c r="F308"/>
  <c r="F296"/>
  <c r="F297"/>
  <c r="F298"/>
  <c r="F299"/>
  <c r="F300"/>
  <c r="F301"/>
  <c r="F289"/>
  <c r="F290"/>
  <c r="F291"/>
  <c r="F292"/>
  <c r="F293"/>
  <c r="F294"/>
  <c r="F295"/>
  <c r="F288"/>
  <c r="F285"/>
  <c r="F286"/>
  <c r="F287"/>
  <c r="B472" i="3"/>
  <c r="D472"/>
  <c r="E472"/>
  <c r="F472"/>
  <c r="H472"/>
  <c r="J472"/>
  <c r="K472"/>
  <c r="L472" s="1"/>
  <c r="N472"/>
  <c r="O472"/>
  <c r="B473"/>
  <c r="D473"/>
  <c r="E473"/>
  <c r="F473"/>
  <c r="H473"/>
  <c r="J473"/>
  <c r="K473"/>
  <c r="L473" s="1"/>
  <c r="N473"/>
  <c r="O473"/>
  <c r="B474"/>
  <c r="D474"/>
  <c r="E474"/>
  <c r="F474"/>
  <c r="H474"/>
  <c r="J474"/>
  <c r="K474"/>
  <c r="L474" s="1"/>
  <c r="N474"/>
  <c r="O474"/>
  <c r="B475"/>
  <c r="D475"/>
  <c r="E475"/>
  <c r="F475"/>
  <c r="H475"/>
  <c r="J475"/>
  <c r="K475"/>
  <c r="L475" s="1"/>
  <c r="N475"/>
  <c r="O475"/>
  <c r="B476"/>
  <c r="D476"/>
  <c r="E476"/>
  <c r="F476"/>
  <c r="H476"/>
  <c r="J476"/>
  <c r="K476"/>
  <c r="L476" s="1"/>
  <c r="N476"/>
  <c r="O476"/>
  <c r="B477"/>
  <c r="D477"/>
  <c r="E477"/>
  <c r="F477"/>
  <c r="H477"/>
  <c r="J477"/>
  <c r="K477"/>
  <c r="L477" s="1"/>
  <c r="N477"/>
  <c r="O477"/>
  <c r="B478"/>
  <c r="D478"/>
  <c r="E478"/>
  <c r="F478"/>
  <c r="H478"/>
  <c r="J478"/>
  <c r="K478"/>
  <c r="L478" s="1"/>
  <c r="N478"/>
  <c r="O478"/>
  <c r="B479"/>
  <c r="D479"/>
  <c r="E479"/>
  <c r="F479"/>
  <c r="H479"/>
  <c r="J479"/>
  <c r="K479"/>
  <c r="L479" s="1"/>
  <c r="N479"/>
  <c r="O479"/>
  <c r="B480"/>
  <c r="D480"/>
  <c r="E480"/>
  <c r="F480"/>
  <c r="H480"/>
  <c r="J480"/>
  <c r="K480"/>
  <c r="L480" s="1"/>
  <c r="N480"/>
  <c r="O480"/>
  <c r="B481"/>
  <c r="D481"/>
  <c r="E481"/>
  <c r="F481"/>
  <c r="H481"/>
  <c r="J481"/>
  <c r="K481"/>
  <c r="L481" s="1"/>
  <c r="N481"/>
  <c r="O481"/>
  <c r="B482"/>
  <c r="D482"/>
  <c r="E482"/>
  <c r="F482"/>
  <c r="H482"/>
  <c r="J482"/>
  <c r="K482"/>
  <c r="L482" s="1"/>
  <c r="N482"/>
  <c r="O482"/>
  <c r="B483"/>
  <c r="D483"/>
  <c r="E483"/>
  <c r="F483"/>
  <c r="H483"/>
  <c r="J483"/>
  <c r="K483"/>
  <c r="L483" s="1"/>
  <c r="N483"/>
  <c r="O483"/>
  <c r="B484"/>
  <c r="D484"/>
  <c r="E484"/>
  <c r="F484"/>
  <c r="H484"/>
  <c r="J484"/>
  <c r="K484"/>
  <c r="L484" s="1"/>
  <c r="N484"/>
  <c r="O484"/>
  <c r="B485"/>
  <c r="D485"/>
  <c r="E485"/>
  <c r="F485"/>
  <c r="H485"/>
  <c r="J485"/>
  <c r="K485"/>
  <c r="L485" s="1"/>
  <c r="N485"/>
  <c r="O485"/>
  <c r="B486"/>
  <c r="D486"/>
  <c r="E486"/>
  <c r="F486"/>
  <c r="H486"/>
  <c r="J486"/>
  <c r="K486"/>
  <c r="L486" s="1"/>
  <c r="N486"/>
  <c r="O486"/>
  <c r="B487"/>
  <c r="D487"/>
  <c r="E487"/>
  <c r="F487"/>
  <c r="H487"/>
  <c r="J487"/>
  <c r="K487"/>
  <c r="L487" s="1"/>
  <c r="N487"/>
  <c r="O487"/>
  <c r="M473" l="1"/>
  <c r="M477"/>
  <c r="M476"/>
  <c r="M475"/>
  <c r="M472"/>
  <c r="M484"/>
  <c r="M486"/>
  <c r="M480"/>
  <c r="M483"/>
  <c r="M482"/>
  <c r="M479"/>
  <c r="M478"/>
  <c r="M474"/>
  <c r="M487"/>
  <c r="M481"/>
  <c r="M485"/>
  <c r="B397"/>
  <c r="D397"/>
  <c r="E397"/>
  <c r="F397"/>
  <c r="H397"/>
  <c r="J397"/>
  <c r="K397"/>
  <c r="L397" s="1"/>
  <c r="M397"/>
  <c r="N397"/>
  <c r="O397"/>
  <c r="B398"/>
  <c r="D398"/>
  <c r="E398"/>
  <c r="F398"/>
  <c r="H398"/>
  <c r="J398"/>
  <c r="K398"/>
  <c r="L398" s="1"/>
  <c r="N398"/>
  <c r="O398"/>
  <c r="B399"/>
  <c r="D399"/>
  <c r="E399"/>
  <c r="F399"/>
  <c r="H399"/>
  <c r="J399"/>
  <c r="K399"/>
  <c r="L399" s="1"/>
  <c r="N399"/>
  <c r="O399"/>
  <c r="B400"/>
  <c r="D400"/>
  <c r="E400"/>
  <c r="F400"/>
  <c r="H400"/>
  <c r="J400"/>
  <c r="L400"/>
  <c r="N400"/>
  <c r="O400"/>
  <c r="B401"/>
  <c r="D401"/>
  <c r="E401"/>
  <c r="F401"/>
  <c r="H401"/>
  <c r="J401"/>
  <c r="L401"/>
  <c r="N401"/>
  <c r="O401"/>
  <c r="B402"/>
  <c r="D402"/>
  <c r="E402"/>
  <c r="F402"/>
  <c r="H402"/>
  <c r="J402"/>
  <c r="L402"/>
  <c r="N402"/>
  <c r="O402"/>
  <c r="B403"/>
  <c r="D403"/>
  <c r="E403"/>
  <c r="F403"/>
  <c r="H403"/>
  <c r="J403"/>
  <c r="L403"/>
  <c r="N403"/>
  <c r="O403"/>
  <c r="B404"/>
  <c r="D404"/>
  <c r="E404"/>
  <c r="F404"/>
  <c r="H404"/>
  <c r="J404"/>
  <c r="L404"/>
  <c r="N404"/>
  <c r="O404"/>
  <c r="B405"/>
  <c r="D405"/>
  <c r="E405"/>
  <c r="F405"/>
  <c r="H405"/>
  <c r="J405"/>
  <c r="L405"/>
  <c r="N405"/>
  <c r="O405"/>
  <c r="B406"/>
  <c r="D406"/>
  <c r="E406"/>
  <c r="F406"/>
  <c r="H406"/>
  <c r="J406"/>
  <c r="L406"/>
  <c r="N406"/>
  <c r="O406"/>
  <c r="B407"/>
  <c r="D407"/>
  <c r="E407"/>
  <c r="F407"/>
  <c r="H407"/>
  <c r="J407"/>
  <c r="L407"/>
  <c r="N407"/>
  <c r="O407"/>
  <c r="B408"/>
  <c r="D408"/>
  <c r="E408"/>
  <c r="F408"/>
  <c r="H408"/>
  <c r="J408"/>
  <c r="L408"/>
  <c r="N408"/>
  <c r="O408"/>
  <c r="B409"/>
  <c r="D409"/>
  <c r="E409"/>
  <c r="F409"/>
  <c r="H409"/>
  <c r="J409"/>
  <c r="L409"/>
  <c r="N409"/>
  <c r="O409"/>
  <c r="B410"/>
  <c r="D410"/>
  <c r="E410"/>
  <c r="F410"/>
  <c r="H410"/>
  <c r="J410"/>
  <c r="L410"/>
  <c r="N410"/>
  <c r="O410"/>
  <c r="B411"/>
  <c r="D411"/>
  <c r="E411"/>
  <c r="F411"/>
  <c r="H411"/>
  <c r="J411"/>
  <c r="L411"/>
  <c r="N411"/>
  <c r="O411"/>
  <c r="B412"/>
  <c r="D412"/>
  <c r="E412"/>
  <c r="F412"/>
  <c r="H412"/>
  <c r="J412"/>
  <c r="L412"/>
  <c r="N412"/>
  <c r="O412"/>
  <c r="B413"/>
  <c r="D413"/>
  <c r="E413"/>
  <c r="F413"/>
  <c r="H413"/>
  <c r="J413"/>
  <c r="L413"/>
  <c r="N413"/>
  <c r="O413"/>
  <c r="B414"/>
  <c r="D414"/>
  <c r="E414"/>
  <c r="F414"/>
  <c r="H414"/>
  <c r="J414"/>
  <c r="K414"/>
  <c r="L414" s="1"/>
  <c r="N414"/>
  <c r="O414"/>
  <c r="B415"/>
  <c r="D415"/>
  <c r="E415"/>
  <c r="F415"/>
  <c r="H415"/>
  <c r="J415"/>
  <c r="K415"/>
  <c r="L415" s="1"/>
  <c r="N415"/>
  <c r="O415"/>
  <c r="B416"/>
  <c r="D416"/>
  <c r="E416"/>
  <c r="F416"/>
  <c r="H416"/>
  <c r="J416"/>
  <c r="K416"/>
  <c r="L416" s="1"/>
  <c r="N416"/>
  <c r="O416"/>
  <c r="B417"/>
  <c r="D417"/>
  <c r="E417"/>
  <c r="F417"/>
  <c r="H417"/>
  <c r="J417"/>
  <c r="K417"/>
  <c r="L417" s="1"/>
  <c r="N417"/>
  <c r="O417"/>
  <c r="B418"/>
  <c r="D418"/>
  <c r="E418"/>
  <c r="F418"/>
  <c r="H418"/>
  <c r="J418"/>
  <c r="K418"/>
  <c r="L418" s="1"/>
  <c r="N418"/>
  <c r="O418"/>
  <c r="B419"/>
  <c r="D419"/>
  <c r="E419"/>
  <c r="F419"/>
  <c r="H419"/>
  <c r="J419"/>
  <c r="K419"/>
  <c r="L419" s="1"/>
  <c r="N419"/>
  <c r="O419"/>
  <c r="B420"/>
  <c r="D420"/>
  <c r="E420"/>
  <c r="F420"/>
  <c r="H420"/>
  <c r="J420"/>
  <c r="K420"/>
  <c r="L420" s="1"/>
  <c r="N420"/>
  <c r="O420"/>
  <c r="B421"/>
  <c r="D421"/>
  <c r="E421"/>
  <c r="F421"/>
  <c r="H421"/>
  <c r="J421"/>
  <c r="K421"/>
  <c r="L421" s="1"/>
  <c r="N421"/>
  <c r="O421"/>
  <c r="B422"/>
  <c r="D422"/>
  <c r="E422"/>
  <c r="F422"/>
  <c r="H422"/>
  <c r="J422"/>
  <c r="K422"/>
  <c r="L422" s="1"/>
  <c r="N422"/>
  <c r="O422"/>
  <c r="B423"/>
  <c r="D423"/>
  <c r="E423"/>
  <c r="F423"/>
  <c r="H423"/>
  <c r="J423"/>
  <c r="K423"/>
  <c r="L423" s="1"/>
  <c r="N423"/>
  <c r="O423"/>
  <c r="B424"/>
  <c r="D424"/>
  <c r="E424"/>
  <c r="F424"/>
  <c r="H424"/>
  <c r="J424"/>
  <c r="K424"/>
  <c r="L424" s="1"/>
  <c r="N424"/>
  <c r="O424"/>
  <c r="B425"/>
  <c r="D425"/>
  <c r="E425"/>
  <c r="F425"/>
  <c r="H425"/>
  <c r="J425"/>
  <c r="K425"/>
  <c r="L425" s="1"/>
  <c r="N425"/>
  <c r="O425"/>
  <c r="B426"/>
  <c r="D426"/>
  <c r="E426"/>
  <c r="F426"/>
  <c r="H426"/>
  <c r="J426"/>
  <c r="K426"/>
  <c r="L426" s="1"/>
  <c r="N426"/>
  <c r="O426"/>
  <c r="B427"/>
  <c r="D427"/>
  <c r="E427"/>
  <c r="F427"/>
  <c r="H427"/>
  <c r="J427"/>
  <c r="K427"/>
  <c r="L427" s="1"/>
  <c r="N427"/>
  <c r="O427"/>
  <c r="B428"/>
  <c r="D428"/>
  <c r="E428"/>
  <c r="F428"/>
  <c r="H428"/>
  <c r="J428"/>
  <c r="K428"/>
  <c r="L428" s="1"/>
  <c r="N428"/>
  <c r="O428"/>
  <c r="B429"/>
  <c r="D429"/>
  <c r="E429"/>
  <c r="F429"/>
  <c r="H429"/>
  <c r="J429"/>
  <c r="K429"/>
  <c r="L429" s="1"/>
  <c r="N429"/>
  <c r="O429"/>
  <c r="B430"/>
  <c r="D430"/>
  <c r="E430"/>
  <c r="F430"/>
  <c r="H430"/>
  <c r="J430"/>
  <c r="K430"/>
  <c r="L430" s="1"/>
  <c r="N430"/>
  <c r="O430"/>
  <c r="B431"/>
  <c r="D431"/>
  <c r="E431"/>
  <c r="F431"/>
  <c r="H431"/>
  <c r="J431"/>
  <c r="K431"/>
  <c r="L431" s="1"/>
  <c r="N431"/>
  <c r="O431"/>
  <c r="B432"/>
  <c r="D432"/>
  <c r="E432"/>
  <c r="F432"/>
  <c r="H432"/>
  <c r="J432"/>
  <c r="K432"/>
  <c r="L432" s="1"/>
  <c r="N432"/>
  <c r="O432"/>
  <c r="B433"/>
  <c r="D433"/>
  <c r="E433"/>
  <c r="F433"/>
  <c r="H433"/>
  <c r="J433"/>
  <c r="K433"/>
  <c r="L433" s="1"/>
  <c r="N433"/>
  <c r="O433"/>
  <c r="B434"/>
  <c r="D434"/>
  <c r="E434"/>
  <c r="F434"/>
  <c r="H434"/>
  <c r="J434"/>
  <c r="K434"/>
  <c r="L434" s="1"/>
  <c r="N434"/>
  <c r="O434"/>
  <c r="B435"/>
  <c r="D435"/>
  <c r="E435"/>
  <c r="F435"/>
  <c r="H435"/>
  <c r="J435"/>
  <c r="K435"/>
  <c r="L435" s="1"/>
  <c r="N435"/>
  <c r="O435"/>
  <c r="B436"/>
  <c r="D436"/>
  <c r="E436"/>
  <c r="F436"/>
  <c r="H436"/>
  <c r="J436"/>
  <c r="K436"/>
  <c r="L436" s="1"/>
  <c r="N436"/>
  <c r="O436"/>
  <c r="B437"/>
  <c r="D437"/>
  <c r="E437"/>
  <c r="F437"/>
  <c r="H437"/>
  <c r="J437"/>
  <c r="K437"/>
  <c r="L437" s="1"/>
  <c r="N437"/>
  <c r="O437"/>
  <c r="B438"/>
  <c r="D438"/>
  <c r="E438"/>
  <c r="F438"/>
  <c r="H438"/>
  <c r="J438"/>
  <c r="K438"/>
  <c r="L438" s="1"/>
  <c r="N438"/>
  <c r="O438"/>
  <c r="B439"/>
  <c r="D439"/>
  <c r="E439"/>
  <c r="F439"/>
  <c r="H439"/>
  <c r="J439"/>
  <c r="K439"/>
  <c r="L439" s="1"/>
  <c r="N439"/>
  <c r="O439"/>
  <c r="B440"/>
  <c r="D440"/>
  <c r="E440"/>
  <c r="F440"/>
  <c r="H440"/>
  <c r="J440"/>
  <c r="K440"/>
  <c r="L440" s="1"/>
  <c r="N440"/>
  <c r="O440"/>
  <c r="B441"/>
  <c r="D441"/>
  <c r="E441"/>
  <c r="F441"/>
  <c r="H441"/>
  <c r="J441"/>
  <c r="K441"/>
  <c r="L441" s="1"/>
  <c r="N441"/>
  <c r="O441"/>
  <c r="B442"/>
  <c r="D442"/>
  <c r="E442"/>
  <c r="F442"/>
  <c r="H442"/>
  <c r="J442"/>
  <c r="K442"/>
  <c r="L442" s="1"/>
  <c r="N442"/>
  <c r="O442"/>
  <c r="B443"/>
  <c r="D443"/>
  <c r="E443"/>
  <c r="F443"/>
  <c r="H443"/>
  <c r="J443"/>
  <c r="K443"/>
  <c r="L443" s="1"/>
  <c r="N443"/>
  <c r="O443"/>
  <c r="B444"/>
  <c r="D444"/>
  <c r="E444"/>
  <c r="F444"/>
  <c r="H444"/>
  <c r="J444"/>
  <c r="K444"/>
  <c r="L444" s="1"/>
  <c r="N444"/>
  <c r="O444"/>
  <c r="B445"/>
  <c r="D445"/>
  <c r="E445"/>
  <c r="F445"/>
  <c r="H445"/>
  <c r="J445"/>
  <c r="K445"/>
  <c r="L445" s="1"/>
  <c r="N445"/>
  <c r="O445"/>
  <c r="B446"/>
  <c r="D446"/>
  <c r="E446"/>
  <c r="F446"/>
  <c r="H446"/>
  <c r="J446"/>
  <c r="K446"/>
  <c r="L446" s="1"/>
  <c r="N446"/>
  <c r="O446"/>
  <c r="B447"/>
  <c r="D447"/>
  <c r="E447"/>
  <c r="F447"/>
  <c r="H447"/>
  <c r="J447"/>
  <c r="K447"/>
  <c r="L447" s="1"/>
  <c r="N447"/>
  <c r="O447"/>
  <c r="B448"/>
  <c r="D448"/>
  <c r="E448"/>
  <c r="F448"/>
  <c r="H448"/>
  <c r="J448"/>
  <c r="K448"/>
  <c r="L448" s="1"/>
  <c r="N448"/>
  <c r="O448"/>
  <c r="B449"/>
  <c r="D449"/>
  <c r="E449"/>
  <c r="F449"/>
  <c r="H449"/>
  <c r="G449" s="1"/>
  <c r="J449"/>
  <c r="I449" s="1"/>
  <c r="K449"/>
  <c r="L449" s="1"/>
  <c r="N449"/>
  <c r="O449"/>
  <c r="B450"/>
  <c r="D450"/>
  <c r="E450"/>
  <c r="F450"/>
  <c r="H450"/>
  <c r="J450"/>
  <c r="K450"/>
  <c r="L450" s="1"/>
  <c r="N450"/>
  <c r="O450"/>
  <c r="B451"/>
  <c r="D451"/>
  <c r="E451"/>
  <c r="F451"/>
  <c r="H451"/>
  <c r="J451"/>
  <c r="K451"/>
  <c r="L451" s="1"/>
  <c r="N451"/>
  <c r="O451"/>
  <c r="B452"/>
  <c r="D452"/>
  <c r="E452"/>
  <c r="F452"/>
  <c r="H452"/>
  <c r="J452"/>
  <c r="K452"/>
  <c r="L452" s="1"/>
  <c r="N452"/>
  <c r="O452"/>
  <c r="B453"/>
  <c r="D453"/>
  <c r="E453"/>
  <c r="F453"/>
  <c r="H453"/>
  <c r="J453"/>
  <c r="K453"/>
  <c r="L453" s="1"/>
  <c r="N453"/>
  <c r="O453"/>
  <c r="B454"/>
  <c r="D454"/>
  <c r="E454"/>
  <c r="F454"/>
  <c r="H454"/>
  <c r="J454"/>
  <c r="K454"/>
  <c r="L454" s="1"/>
  <c r="N454"/>
  <c r="O454"/>
  <c r="B455"/>
  <c r="D455"/>
  <c r="E455"/>
  <c r="F455"/>
  <c r="H455"/>
  <c r="J455"/>
  <c r="K455"/>
  <c r="L455" s="1"/>
  <c r="N455"/>
  <c r="O455"/>
  <c r="B456"/>
  <c r="D456"/>
  <c r="E456"/>
  <c r="F456"/>
  <c r="H456"/>
  <c r="J456"/>
  <c r="K456"/>
  <c r="L456" s="1"/>
  <c r="N456"/>
  <c r="O456"/>
  <c r="B457"/>
  <c r="D457"/>
  <c r="E457"/>
  <c r="F457"/>
  <c r="H457"/>
  <c r="J457"/>
  <c r="K457"/>
  <c r="L457" s="1"/>
  <c r="N457"/>
  <c r="O457"/>
  <c r="B458"/>
  <c r="D458"/>
  <c r="E458"/>
  <c r="F458"/>
  <c r="H458"/>
  <c r="J458"/>
  <c r="K458"/>
  <c r="L458" s="1"/>
  <c r="N458"/>
  <c r="O458"/>
  <c r="B459"/>
  <c r="D459"/>
  <c r="E459"/>
  <c r="F459"/>
  <c r="H459"/>
  <c r="J459"/>
  <c r="K459"/>
  <c r="L459" s="1"/>
  <c r="N459"/>
  <c r="O459"/>
  <c r="B460"/>
  <c r="D460"/>
  <c r="E460"/>
  <c r="F460"/>
  <c r="H460"/>
  <c r="J460"/>
  <c r="K460"/>
  <c r="L460" s="1"/>
  <c r="N460"/>
  <c r="O460"/>
  <c r="B461"/>
  <c r="D461"/>
  <c r="E461"/>
  <c r="F461"/>
  <c r="H461"/>
  <c r="J461"/>
  <c r="K461"/>
  <c r="L461" s="1"/>
  <c r="N461"/>
  <c r="O461"/>
  <c r="B462"/>
  <c r="D462"/>
  <c r="E462"/>
  <c r="F462"/>
  <c r="H462"/>
  <c r="J462"/>
  <c r="K462"/>
  <c r="L462" s="1"/>
  <c r="N462"/>
  <c r="O462"/>
  <c r="B463"/>
  <c r="D463"/>
  <c r="E463"/>
  <c r="F463"/>
  <c r="H463"/>
  <c r="J463"/>
  <c r="K463"/>
  <c r="L463" s="1"/>
  <c r="N463"/>
  <c r="O463"/>
  <c r="B464"/>
  <c r="D464"/>
  <c r="E464"/>
  <c r="F464"/>
  <c r="H464"/>
  <c r="J464"/>
  <c r="K464"/>
  <c r="L464" s="1"/>
  <c r="N464"/>
  <c r="O464"/>
  <c r="B465"/>
  <c r="D465"/>
  <c r="E465"/>
  <c r="F465"/>
  <c r="H465"/>
  <c r="J465"/>
  <c r="K465"/>
  <c r="L465" s="1"/>
  <c r="N465"/>
  <c r="O465"/>
  <c r="B466"/>
  <c r="D466"/>
  <c r="E466"/>
  <c r="F466"/>
  <c r="H466"/>
  <c r="J466"/>
  <c r="K466"/>
  <c r="L466" s="1"/>
  <c r="N466"/>
  <c r="O466"/>
  <c r="B467"/>
  <c r="D467"/>
  <c r="E467"/>
  <c r="F467"/>
  <c r="H467"/>
  <c r="J467"/>
  <c r="K467"/>
  <c r="L467" s="1"/>
  <c r="N467"/>
  <c r="O467"/>
  <c r="B468"/>
  <c r="D468"/>
  <c r="E468"/>
  <c r="F468"/>
  <c r="H468"/>
  <c r="J468"/>
  <c r="K468"/>
  <c r="L468" s="1"/>
  <c r="N468"/>
  <c r="O468"/>
  <c r="B469"/>
  <c r="D469"/>
  <c r="E469"/>
  <c r="F469"/>
  <c r="H469"/>
  <c r="J469"/>
  <c r="K469"/>
  <c r="L469" s="1"/>
  <c r="N469"/>
  <c r="O469"/>
  <c r="B470"/>
  <c r="D470"/>
  <c r="E470"/>
  <c r="F470"/>
  <c r="H470"/>
  <c r="J470"/>
  <c r="K470"/>
  <c r="L470" s="1"/>
  <c r="N470"/>
  <c r="O470"/>
  <c r="B471"/>
  <c r="D471"/>
  <c r="E471"/>
  <c r="F471"/>
  <c r="H471"/>
  <c r="J471"/>
  <c r="K471"/>
  <c r="L471" s="1"/>
  <c r="N471"/>
  <c r="O471"/>
  <c r="M443" l="1"/>
  <c r="M427"/>
  <c r="M451"/>
  <c r="M435"/>
  <c r="M419"/>
  <c r="M455"/>
  <c r="M447"/>
  <c r="M439"/>
  <c r="M431"/>
  <c r="M423"/>
  <c r="M415"/>
  <c r="M457"/>
  <c r="M454"/>
  <c r="M453"/>
  <c r="M450"/>
  <c r="M449"/>
  <c r="M446"/>
  <c r="M445"/>
  <c r="M442"/>
  <c r="M441"/>
  <c r="M438"/>
  <c r="M437"/>
  <c r="M434"/>
  <c r="M433"/>
  <c r="M430"/>
  <c r="M429"/>
  <c r="M426"/>
  <c r="M425"/>
  <c r="M422"/>
  <c r="M421"/>
  <c r="M399"/>
  <c r="M465"/>
  <c r="M418"/>
  <c r="M417"/>
  <c r="M469"/>
  <c r="M461"/>
  <c r="M407"/>
  <c r="M468"/>
  <c r="M467"/>
  <c r="M464"/>
  <c r="M463"/>
  <c r="M460"/>
  <c r="M459"/>
  <c r="M411"/>
  <c r="M403"/>
  <c r="M414"/>
  <c r="M413"/>
  <c r="M410"/>
  <c r="M409"/>
  <c r="M406"/>
  <c r="M405"/>
  <c r="M402"/>
  <c r="M401"/>
  <c r="M398"/>
  <c r="M471"/>
  <c r="M470"/>
  <c r="M466"/>
  <c r="M462"/>
  <c r="M456"/>
  <c r="M452"/>
  <c r="M448"/>
  <c r="M444"/>
  <c r="M440"/>
  <c r="M436"/>
  <c r="M432"/>
  <c r="M428"/>
  <c r="M424"/>
  <c r="M420"/>
  <c r="M416"/>
  <c r="M412"/>
  <c r="M408"/>
  <c r="M404"/>
  <c r="M400"/>
  <c r="M458"/>
  <c r="B322" l="1"/>
  <c r="D322"/>
  <c r="E322"/>
  <c r="F322"/>
  <c r="H322"/>
  <c r="J322"/>
  <c r="K322"/>
  <c r="L322" s="1"/>
  <c r="N322"/>
  <c r="O322"/>
  <c r="B323"/>
  <c r="D323"/>
  <c r="E323"/>
  <c r="F323"/>
  <c r="H323"/>
  <c r="J323"/>
  <c r="K323"/>
  <c r="L323" s="1"/>
  <c r="N323"/>
  <c r="O323"/>
  <c r="B324"/>
  <c r="D324"/>
  <c r="E324"/>
  <c r="F324"/>
  <c r="H324"/>
  <c r="J324"/>
  <c r="K324"/>
  <c r="L324" s="1"/>
  <c r="N324"/>
  <c r="O324"/>
  <c r="B325"/>
  <c r="D325"/>
  <c r="E325"/>
  <c r="F325"/>
  <c r="H325"/>
  <c r="J325"/>
  <c r="K325"/>
  <c r="L325" s="1"/>
  <c r="N325"/>
  <c r="O325"/>
  <c r="B326"/>
  <c r="D326"/>
  <c r="E326"/>
  <c r="F326"/>
  <c r="H326"/>
  <c r="J326"/>
  <c r="K326"/>
  <c r="L326" s="1"/>
  <c r="N326"/>
  <c r="O326"/>
  <c r="B327"/>
  <c r="D327"/>
  <c r="E327"/>
  <c r="F327"/>
  <c r="H327"/>
  <c r="J327"/>
  <c r="K327"/>
  <c r="L327" s="1"/>
  <c r="N327"/>
  <c r="O327"/>
  <c r="B328"/>
  <c r="D328"/>
  <c r="E328"/>
  <c r="F328"/>
  <c r="H328"/>
  <c r="J328"/>
  <c r="K328"/>
  <c r="L328" s="1"/>
  <c r="N328"/>
  <c r="O328"/>
  <c r="B329"/>
  <c r="D329"/>
  <c r="E329"/>
  <c r="F329"/>
  <c r="H329"/>
  <c r="J329"/>
  <c r="K329"/>
  <c r="L329" s="1"/>
  <c r="N329"/>
  <c r="O329"/>
  <c r="B330"/>
  <c r="D330"/>
  <c r="E330"/>
  <c r="F330"/>
  <c r="H330"/>
  <c r="J330"/>
  <c r="K330"/>
  <c r="L330" s="1"/>
  <c r="M330"/>
  <c r="N330"/>
  <c r="O330"/>
  <c r="B331"/>
  <c r="D331"/>
  <c r="E331"/>
  <c r="F331"/>
  <c r="H331"/>
  <c r="J331"/>
  <c r="K331"/>
  <c r="L331"/>
  <c r="M331"/>
  <c r="N331"/>
  <c r="O331"/>
  <c r="B332"/>
  <c r="D332"/>
  <c r="E332"/>
  <c r="F332"/>
  <c r="H332"/>
  <c r="J332"/>
  <c r="K332"/>
  <c r="L332" s="1"/>
  <c r="N332"/>
  <c r="O332"/>
  <c r="B333"/>
  <c r="D333"/>
  <c r="E333"/>
  <c r="F333"/>
  <c r="H333"/>
  <c r="J333"/>
  <c r="K333"/>
  <c r="L333" s="1"/>
  <c r="M333"/>
  <c r="N333"/>
  <c r="O333"/>
  <c r="B334"/>
  <c r="D334"/>
  <c r="E334"/>
  <c r="F334"/>
  <c r="H334"/>
  <c r="J334"/>
  <c r="K334"/>
  <c r="L334" s="1"/>
  <c r="M334"/>
  <c r="N334"/>
  <c r="O334"/>
  <c r="B335"/>
  <c r="D335"/>
  <c r="E335"/>
  <c r="F335"/>
  <c r="H335"/>
  <c r="J335"/>
  <c r="K335"/>
  <c r="L335"/>
  <c r="M335"/>
  <c r="N335"/>
  <c r="O335"/>
  <c r="B336"/>
  <c r="D336"/>
  <c r="E336"/>
  <c r="F336"/>
  <c r="H336"/>
  <c r="J336"/>
  <c r="K336"/>
  <c r="L336" s="1"/>
  <c r="N336"/>
  <c r="O336"/>
  <c r="B337"/>
  <c r="D337"/>
  <c r="E337"/>
  <c r="F337"/>
  <c r="H337"/>
  <c r="J337"/>
  <c r="K337"/>
  <c r="L337" s="1"/>
  <c r="N337"/>
  <c r="O337"/>
  <c r="B338"/>
  <c r="D338"/>
  <c r="E338"/>
  <c r="F338"/>
  <c r="H338"/>
  <c r="J338"/>
  <c r="K338"/>
  <c r="L338" s="1"/>
  <c r="N338"/>
  <c r="O338"/>
  <c r="B339"/>
  <c r="D339"/>
  <c r="E339"/>
  <c r="F339"/>
  <c r="H339"/>
  <c r="J339"/>
  <c r="K339"/>
  <c r="L339" s="1"/>
  <c r="M339"/>
  <c r="N339"/>
  <c r="O339"/>
  <c r="B340"/>
  <c r="D340"/>
  <c r="E340"/>
  <c r="F340"/>
  <c r="H340"/>
  <c r="J340"/>
  <c r="K340"/>
  <c r="L340" s="1"/>
  <c r="N340"/>
  <c r="O340"/>
  <c r="B341"/>
  <c r="D341"/>
  <c r="E341"/>
  <c r="F341"/>
  <c r="H341"/>
  <c r="J341"/>
  <c r="K341"/>
  <c r="L341" s="1"/>
  <c r="N341"/>
  <c r="O341"/>
  <c r="B342"/>
  <c r="D342"/>
  <c r="E342"/>
  <c r="F342"/>
  <c r="H342"/>
  <c r="J342"/>
  <c r="K342"/>
  <c r="L342" s="1"/>
  <c r="N342"/>
  <c r="O342"/>
  <c r="B343"/>
  <c r="D343"/>
  <c r="E343"/>
  <c r="F343"/>
  <c r="H343"/>
  <c r="J343"/>
  <c r="K343"/>
  <c r="L343" s="1"/>
  <c r="M343"/>
  <c r="N343"/>
  <c r="O343"/>
  <c r="B344"/>
  <c r="D344"/>
  <c r="E344"/>
  <c r="F344"/>
  <c r="H344"/>
  <c r="J344"/>
  <c r="K344"/>
  <c r="L344" s="1"/>
  <c r="N344"/>
  <c r="O344"/>
  <c r="B345"/>
  <c r="D345"/>
  <c r="E345"/>
  <c r="F345"/>
  <c r="H345"/>
  <c r="J345"/>
  <c r="K345"/>
  <c r="L345" s="1"/>
  <c r="N345"/>
  <c r="O345"/>
  <c r="B346"/>
  <c r="D346"/>
  <c r="E346"/>
  <c r="F346"/>
  <c r="H346"/>
  <c r="J346"/>
  <c r="K346"/>
  <c r="L346" s="1"/>
  <c r="N346"/>
  <c r="O346"/>
  <c r="B347"/>
  <c r="D347"/>
  <c r="E347"/>
  <c r="F347"/>
  <c r="H347"/>
  <c r="J347"/>
  <c r="K347"/>
  <c r="L347" s="1"/>
  <c r="M347"/>
  <c r="O347"/>
  <c r="B348"/>
  <c r="D348"/>
  <c r="E348"/>
  <c r="F348"/>
  <c r="H348"/>
  <c r="J348"/>
  <c r="K348"/>
  <c r="L348" s="1"/>
  <c r="O348"/>
  <c r="B349"/>
  <c r="D349"/>
  <c r="E349"/>
  <c r="F349"/>
  <c r="H349"/>
  <c r="J349"/>
  <c r="K349"/>
  <c r="L349" s="1"/>
  <c r="O349"/>
  <c r="B350"/>
  <c r="D350"/>
  <c r="E350"/>
  <c r="F350"/>
  <c r="H350"/>
  <c r="J350"/>
  <c r="K350"/>
  <c r="L350" s="1"/>
  <c r="O350"/>
  <c r="B351"/>
  <c r="D351"/>
  <c r="E351"/>
  <c r="F351"/>
  <c r="H351"/>
  <c r="J351"/>
  <c r="K351"/>
  <c r="L351" s="1"/>
  <c r="N351"/>
  <c r="O351"/>
  <c r="B352"/>
  <c r="D352"/>
  <c r="E352"/>
  <c r="F352"/>
  <c r="H352"/>
  <c r="J352"/>
  <c r="K352"/>
  <c r="L352" s="1"/>
  <c r="N352"/>
  <c r="O352"/>
  <c r="B353"/>
  <c r="D353"/>
  <c r="E353"/>
  <c r="F353"/>
  <c r="H353"/>
  <c r="J353"/>
  <c r="K353"/>
  <c r="L353" s="1"/>
  <c r="N353"/>
  <c r="O353"/>
  <c r="B354"/>
  <c r="D354"/>
  <c r="E354"/>
  <c r="F354"/>
  <c r="H354"/>
  <c r="J354"/>
  <c r="K354"/>
  <c r="L354" s="1"/>
  <c r="N354"/>
  <c r="O354"/>
  <c r="B355"/>
  <c r="D355"/>
  <c r="E355"/>
  <c r="F355"/>
  <c r="H355"/>
  <c r="J355"/>
  <c r="K355"/>
  <c r="L355" s="1"/>
  <c r="N355"/>
  <c r="O355"/>
  <c r="B356"/>
  <c r="D356"/>
  <c r="E356"/>
  <c r="F356"/>
  <c r="H356"/>
  <c r="J356"/>
  <c r="K356"/>
  <c r="L356" s="1"/>
  <c r="N356"/>
  <c r="O356"/>
  <c r="B357"/>
  <c r="D357"/>
  <c r="E357"/>
  <c r="F357"/>
  <c r="H357"/>
  <c r="J357"/>
  <c r="K357"/>
  <c r="L357" s="1"/>
  <c r="N357"/>
  <c r="O357"/>
  <c r="B358"/>
  <c r="D358"/>
  <c r="E358"/>
  <c r="F358"/>
  <c r="H358"/>
  <c r="J358"/>
  <c r="K358"/>
  <c r="L358" s="1"/>
  <c r="N358"/>
  <c r="O358"/>
  <c r="B359"/>
  <c r="D359"/>
  <c r="E359"/>
  <c r="F359"/>
  <c r="H359"/>
  <c r="J359"/>
  <c r="K359"/>
  <c r="L359" s="1"/>
  <c r="N359"/>
  <c r="O359"/>
  <c r="B360"/>
  <c r="D360"/>
  <c r="E360"/>
  <c r="F360"/>
  <c r="H360"/>
  <c r="J360"/>
  <c r="K360"/>
  <c r="L360" s="1"/>
  <c r="N360"/>
  <c r="O360"/>
  <c r="B361"/>
  <c r="D361"/>
  <c r="E361"/>
  <c r="F361"/>
  <c r="H361"/>
  <c r="J361"/>
  <c r="K361"/>
  <c r="L361" s="1"/>
  <c r="N361"/>
  <c r="O361"/>
  <c r="B362"/>
  <c r="D362"/>
  <c r="E362"/>
  <c r="F362"/>
  <c r="H362"/>
  <c r="J362"/>
  <c r="K362"/>
  <c r="L362" s="1"/>
  <c r="N362"/>
  <c r="O362"/>
  <c r="B363"/>
  <c r="D363"/>
  <c r="E363"/>
  <c r="F363"/>
  <c r="H363"/>
  <c r="J363"/>
  <c r="K363"/>
  <c r="L363" s="1"/>
  <c r="N363"/>
  <c r="O363"/>
  <c r="B364"/>
  <c r="D364"/>
  <c r="E364"/>
  <c r="F364"/>
  <c r="H364"/>
  <c r="J364"/>
  <c r="K364"/>
  <c r="L364" s="1"/>
  <c r="N364"/>
  <c r="O364"/>
  <c r="B365"/>
  <c r="D365"/>
  <c r="E365"/>
  <c r="F365"/>
  <c r="H365"/>
  <c r="J365"/>
  <c r="K365"/>
  <c r="L365" s="1"/>
  <c r="N365"/>
  <c r="O365"/>
  <c r="B366"/>
  <c r="D366"/>
  <c r="E366"/>
  <c r="F366"/>
  <c r="H366"/>
  <c r="J366"/>
  <c r="K366"/>
  <c r="L366" s="1"/>
  <c r="N366"/>
  <c r="O366"/>
  <c r="B367"/>
  <c r="D367"/>
  <c r="E367"/>
  <c r="F367"/>
  <c r="H367"/>
  <c r="J367"/>
  <c r="K367"/>
  <c r="L367" s="1"/>
  <c r="N367"/>
  <c r="O367"/>
  <c r="B368"/>
  <c r="D368"/>
  <c r="E368"/>
  <c r="F368"/>
  <c r="H368"/>
  <c r="J368"/>
  <c r="K368"/>
  <c r="L368" s="1"/>
  <c r="N368"/>
  <c r="O368"/>
  <c r="B369"/>
  <c r="D369"/>
  <c r="E369"/>
  <c r="F369"/>
  <c r="H369"/>
  <c r="J369"/>
  <c r="K369"/>
  <c r="L369" s="1"/>
  <c r="N369"/>
  <c r="O369"/>
  <c r="B370"/>
  <c r="D370"/>
  <c r="E370"/>
  <c r="F370"/>
  <c r="H370"/>
  <c r="J370"/>
  <c r="K370"/>
  <c r="L370" s="1"/>
  <c r="N370"/>
  <c r="O370"/>
  <c r="B371"/>
  <c r="D371"/>
  <c r="E371"/>
  <c r="F371"/>
  <c r="H371"/>
  <c r="J371"/>
  <c r="K371"/>
  <c r="L371" s="1"/>
  <c r="N371"/>
  <c r="O371"/>
  <c r="B372"/>
  <c r="D372"/>
  <c r="E372"/>
  <c r="F372"/>
  <c r="H372"/>
  <c r="J372"/>
  <c r="K372"/>
  <c r="L372" s="1"/>
  <c r="N372"/>
  <c r="O372"/>
  <c r="B373"/>
  <c r="D373"/>
  <c r="E373"/>
  <c r="F373"/>
  <c r="H373"/>
  <c r="J373"/>
  <c r="K373"/>
  <c r="L373" s="1"/>
  <c r="N373"/>
  <c r="O373"/>
  <c r="B374"/>
  <c r="D374"/>
  <c r="E374"/>
  <c r="F374"/>
  <c r="H374"/>
  <c r="J374"/>
  <c r="K374"/>
  <c r="L374" s="1"/>
  <c r="N374"/>
  <c r="O374"/>
  <c r="B375"/>
  <c r="D375"/>
  <c r="E375"/>
  <c r="F375"/>
  <c r="H375"/>
  <c r="J375"/>
  <c r="K375"/>
  <c r="L375" s="1"/>
  <c r="N375"/>
  <c r="O375"/>
  <c r="B376"/>
  <c r="D376"/>
  <c r="E376"/>
  <c r="F376"/>
  <c r="H376"/>
  <c r="J376"/>
  <c r="K376"/>
  <c r="L376" s="1"/>
  <c r="O376"/>
  <c r="B377"/>
  <c r="D377"/>
  <c r="E377"/>
  <c r="F377"/>
  <c r="H377"/>
  <c r="J377"/>
  <c r="K377"/>
  <c r="L377" s="1"/>
  <c r="O377"/>
  <c r="B378"/>
  <c r="D378"/>
  <c r="E378"/>
  <c r="F378"/>
  <c r="H378"/>
  <c r="J378"/>
  <c r="K378"/>
  <c r="L378" s="1"/>
  <c r="O378"/>
  <c r="B379"/>
  <c r="D379"/>
  <c r="E379"/>
  <c r="F379"/>
  <c r="H379"/>
  <c r="J379"/>
  <c r="K379"/>
  <c r="L379" s="1"/>
  <c r="M379"/>
  <c r="O379"/>
  <c r="B380"/>
  <c r="D380"/>
  <c r="E380"/>
  <c r="F380"/>
  <c r="H380"/>
  <c r="J380"/>
  <c r="K380"/>
  <c r="L380" s="1"/>
  <c r="N380"/>
  <c r="O380"/>
  <c r="B381"/>
  <c r="D381"/>
  <c r="E381"/>
  <c r="F381"/>
  <c r="H381"/>
  <c r="J381"/>
  <c r="K381"/>
  <c r="L381" s="1"/>
  <c r="N381"/>
  <c r="O381"/>
  <c r="B382"/>
  <c r="D382"/>
  <c r="E382"/>
  <c r="F382"/>
  <c r="H382"/>
  <c r="J382"/>
  <c r="K382"/>
  <c r="L382" s="1"/>
  <c r="N382"/>
  <c r="O382"/>
  <c r="B383"/>
  <c r="D383"/>
  <c r="E383"/>
  <c r="F383"/>
  <c r="H383"/>
  <c r="J383"/>
  <c r="K383"/>
  <c r="L383" s="1"/>
  <c r="N383"/>
  <c r="O383"/>
  <c r="B384"/>
  <c r="D384"/>
  <c r="E384"/>
  <c r="F384"/>
  <c r="H384"/>
  <c r="J384"/>
  <c r="K384"/>
  <c r="L384" s="1"/>
  <c r="N384"/>
  <c r="O384"/>
  <c r="B385"/>
  <c r="D385"/>
  <c r="E385"/>
  <c r="F385"/>
  <c r="H385"/>
  <c r="J385"/>
  <c r="K385"/>
  <c r="L385" s="1"/>
  <c r="N385"/>
  <c r="O385"/>
  <c r="B386"/>
  <c r="D386"/>
  <c r="E386"/>
  <c r="F386"/>
  <c r="H386"/>
  <c r="J386"/>
  <c r="K386"/>
  <c r="L386" s="1"/>
  <c r="N386"/>
  <c r="O386"/>
  <c r="B387"/>
  <c r="D387"/>
  <c r="E387"/>
  <c r="F387"/>
  <c r="H387"/>
  <c r="J387"/>
  <c r="K387"/>
  <c r="L387" s="1"/>
  <c r="N387"/>
  <c r="O387"/>
  <c r="B388"/>
  <c r="D388"/>
  <c r="E388"/>
  <c r="F388"/>
  <c r="H388"/>
  <c r="J388"/>
  <c r="K388"/>
  <c r="L388" s="1"/>
  <c r="N388"/>
  <c r="O388"/>
  <c r="B389"/>
  <c r="D389"/>
  <c r="E389"/>
  <c r="F389"/>
  <c r="H389"/>
  <c r="J389"/>
  <c r="K389"/>
  <c r="L389" s="1"/>
  <c r="N389"/>
  <c r="O389"/>
  <c r="B390"/>
  <c r="D390"/>
  <c r="E390"/>
  <c r="F390"/>
  <c r="H390"/>
  <c r="J390"/>
  <c r="K390"/>
  <c r="L390" s="1"/>
  <c r="N390"/>
  <c r="O390"/>
  <c r="B391"/>
  <c r="D391"/>
  <c r="E391"/>
  <c r="F391"/>
  <c r="H391"/>
  <c r="J391"/>
  <c r="K391"/>
  <c r="L391" s="1"/>
  <c r="N391"/>
  <c r="O391"/>
  <c r="B392"/>
  <c r="D392"/>
  <c r="E392"/>
  <c r="F392"/>
  <c r="H392"/>
  <c r="J392"/>
  <c r="K392"/>
  <c r="L392" s="1"/>
  <c r="N392"/>
  <c r="O392"/>
  <c r="B393"/>
  <c r="D393"/>
  <c r="E393"/>
  <c r="F393"/>
  <c r="H393"/>
  <c r="J393"/>
  <c r="K393"/>
  <c r="L393" s="1"/>
  <c r="N393"/>
  <c r="O393"/>
  <c r="B394"/>
  <c r="D394"/>
  <c r="E394"/>
  <c r="F394"/>
  <c r="H394"/>
  <c r="J394"/>
  <c r="K394"/>
  <c r="L394" s="1"/>
  <c r="N394"/>
  <c r="O394"/>
  <c r="B395"/>
  <c r="D395"/>
  <c r="E395"/>
  <c r="F395"/>
  <c r="H395"/>
  <c r="J395"/>
  <c r="K395"/>
  <c r="L395" s="1"/>
  <c r="N395"/>
  <c r="O395"/>
  <c r="B396"/>
  <c r="D396"/>
  <c r="E396"/>
  <c r="F396"/>
  <c r="H396"/>
  <c r="J396"/>
  <c r="K396"/>
  <c r="L396" s="1"/>
  <c r="N396"/>
  <c r="O396"/>
  <c r="M349" l="1"/>
  <c r="M346"/>
  <c r="M345"/>
  <c r="M342"/>
  <c r="M341"/>
  <c r="M338"/>
  <c r="M337"/>
  <c r="M396"/>
  <c r="M393"/>
  <c r="M363"/>
  <c r="M385"/>
  <c r="M371"/>
  <c r="M355"/>
  <c r="M323"/>
  <c r="M389"/>
  <c r="M381"/>
  <c r="M375"/>
  <c r="M367"/>
  <c r="M359"/>
  <c r="M351"/>
  <c r="M395"/>
  <c r="M392"/>
  <c r="M391"/>
  <c r="M388"/>
  <c r="M387"/>
  <c r="M384"/>
  <c r="M383"/>
  <c r="M378"/>
  <c r="M377"/>
  <c r="M374"/>
  <c r="M373"/>
  <c r="M370"/>
  <c r="M369"/>
  <c r="M366"/>
  <c r="M365"/>
  <c r="M362"/>
  <c r="M361"/>
  <c r="M358"/>
  <c r="M357"/>
  <c r="M354"/>
  <c r="M353"/>
  <c r="M327"/>
  <c r="M350"/>
  <c r="M325"/>
  <c r="M322"/>
  <c r="M329"/>
  <c r="M326"/>
  <c r="M394"/>
  <c r="M390"/>
  <c r="M386"/>
  <c r="M382"/>
  <c r="M376"/>
  <c r="M372"/>
  <c r="M368"/>
  <c r="M364"/>
  <c r="M360"/>
  <c r="M356"/>
  <c r="M352"/>
  <c r="M348"/>
  <c r="M344"/>
  <c r="M340"/>
  <c r="M336"/>
  <c r="M332"/>
  <c r="M328"/>
  <c r="M324"/>
  <c r="M380"/>
  <c r="B310"/>
  <c r="D310"/>
  <c r="E310"/>
  <c r="F310"/>
  <c r="H310"/>
  <c r="J310"/>
  <c r="K310"/>
  <c r="L310" s="1"/>
  <c r="N310"/>
  <c r="O310"/>
  <c r="B311"/>
  <c r="D311"/>
  <c r="E311"/>
  <c r="F311"/>
  <c r="H311"/>
  <c r="J311"/>
  <c r="K311"/>
  <c r="L311" s="1"/>
  <c r="N311"/>
  <c r="O311"/>
  <c r="B312"/>
  <c r="D312"/>
  <c r="E312"/>
  <c r="F312"/>
  <c r="H312"/>
  <c r="J312"/>
  <c r="K312"/>
  <c r="L312" s="1"/>
  <c r="N312"/>
  <c r="O312"/>
  <c r="B313"/>
  <c r="D313"/>
  <c r="E313"/>
  <c r="F313"/>
  <c r="H313"/>
  <c r="J313"/>
  <c r="K313"/>
  <c r="L313" s="1"/>
  <c r="N313"/>
  <c r="O313"/>
  <c r="B314"/>
  <c r="D314"/>
  <c r="E314"/>
  <c r="F314"/>
  <c r="H314"/>
  <c r="J314"/>
  <c r="K314"/>
  <c r="L314" s="1"/>
  <c r="N314"/>
  <c r="O314"/>
  <c r="B315"/>
  <c r="D315"/>
  <c r="E315"/>
  <c r="F315"/>
  <c r="H315"/>
  <c r="J315"/>
  <c r="K315"/>
  <c r="L315" s="1"/>
  <c r="N315"/>
  <c r="O315"/>
  <c r="B316"/>
  <c r="D316"/>
  <c r="E316"/>
  <c r="F316"/>
  <c r="H316"/>
  <c r="J316"/>
  <c r="K316"/>
  <c r="L316" s="1"/>
  <c r="N316"/>
  <c r="O316"/>
  <c r="B317"/>
  <c r="D317"/>
  <c r="E317"/>
  <c r="F317"/>
  <c r="H317"/>
  <c r="J317"/>
  <c r="K317"/>
  <c r="L317" s="1"/>
  <c r="N317"/>
  <c r="O317"/>
  <c r="B318"/>
  <c r="D318"/>
  <c r="E318"/>
  <c r="F318"/>
  <c r="H318"/>
  <c r="J318"/>
  <c r="K318"/>
  <c r="L318" s="1"/>
  <c r="N318"/>
  <c r="O318"/>
  <c r="B319"/>
  <c r="D319"/>
  <c r="E319"/>
  <c r="F319"/>
  <c r="H319"/>
  <c r="J319"/>
  <c r="K319"/>
  <c r="L319" s="1"/>
  <c r="N319"/>
  <c r="O319"/>
  <c r="B320"/>
  <c r="D320"/>
  <c r="E320"/>
  <c r="F320"/>
  <c r="H320"/>
  <c r="J320"/>
  <c r="K320"/>
  <c r="L320" s="1"/>
  <c r="N320"/>
  <c r="O320"/>
  <c r="B321"/>
  <c r="D321"/>
  <c r="E321"/>
  <c r="F321"/>
  <c r="H321"/>
  <c r="J321"/>
  <c r="K321"/>
  <c r="L321" s="1"/>
  <c r="N321"/>
  <c r="O321"/>
  <c r="M310" l="1"/>
  <c r="M314"/>
  <c r="M316"/>
  <c r="M313"/>
  <c r="M312"/>
  <c r="M320"/>
  <c r="M319"/>
  <c r="M318"/>
  <c r="M321"/>
  <c r="M315"/>
  <c r="M311"/>
  <c r="M317"/>
  <c r="B231" l="1"/>
  <c r="D231"/>
  <c r="E231"/>
  <c r="F231"/>
  <c r="H231"/>
  <c r="J231"/>
  <c r="K231"/>
  <c r="L231" s="1"/>
  <c r="M231"/>
  <c r="N231"/>
  <c r="O231"/>
  <c r="B232"/>
  <c r="D232"/>
  <c r="E232"/>
  <c r="F232"/>
  <c r="H232"/>
  <c r="J232"/>
  <c r="K232"/>
  <c r="L232" s="1"/>
  <c r="M232"/>
  <c r="N232"/>
  <c r="O232"/>
  <c r="B233"/>
  <c r="D233"/>
  <c r="E233"/>
  <c r="F233"/>
  <c r="H233"/>
  <c r="J233"/>
  <c r="K233"/>
  <c r="L233" s="1"/>
  <c r="M233"/>
  <c r="N233"/>
  <c r="O233"/>
  <c r="B234"/>
  <c r="D234"/>
  <c r="E234"/>
  <c r="F234"/>
  <c r="H234"/>
  <c r="J234"/>
  <c r="K234"/>
  <c r="L234"/>
  <c r="M234"/>
  <c r="N234"/>
  <c r="O234"/>
  <c r="B235"/>
  <c r="D235"/>
  <c r="E235"/>
  <c r="F235"/>
  <c r="H235"/>
  <c r="J235"/>
  <c r="K235"/>
  <c r="L235" s="1"/>
  <c r="N235"/>
  <c r="O235"/>
  <c r="B236"/>
  <c r="D236"/>
  <c r="E236"/>
  <c r="F236"/>
  <c r="H236"/>
  <c r="G236" s="1"/>
  <c r="J236"/>
  <c r="I236" s="1"/>
  <c r="K236"/>
  <c r="L236" s="1"/>
  <c r="M236"/>
  <c r="N236"/>
  <c r="O236"/>
  <c r="B237"/>
  <c r="D237"/>
  <c r="E237"/>
  <c r="F237"/>
  <c r="H237"/>
  <c r="J237"/>
  <c r="K237"/>
  <c r="L237"/>
  <c r="M237"/>
  <c r="N237"/>
  <c r="O237"/>
  <c r="B238"/>
  <c r="D238"/>
  <c r="E238"/>
  <c r="F238"/>
  <c r="H238"/>
  <c r="J238"/>
  <c r="K238"/>
  <c r="L238" s="1"/>
  <c r="N238"/>
  <c r="O238"/>
  <c r="B239"/>
  <c r="D239"/>
  <c r="E239"/>
  <c r="F239"/>
  <c r="H239"/>
  <c r="J239"/>
  <c r="K239"/>
  <c r="L239" s="1"/>
  <c r="M239"/>
  <c r="N239"/>
  <c r="O239"/>
  <c r="B240"/>
  <c r="D240"/>
  <c r="E240"/>
  <c r="F240"/>
  <c r="H240"/>
  <c r="J240"/>
  <c r="K240"/>
  <c r="L240" s="1"/>
  <c r="M240"/>
  <c r="N240"/>
  <c r="O240"/>
  <c r="B241"/>
  <c r="D241"/>
  <c r="E241"/>
  <c r="F241"/>
  <c r="H241"/>
  <c r="J241"/>
  <c r="K241"/>
  <c r="L241"/>
  <c r="M241"/>
  <c r="N241"/>
  <c r="O241"/>
  <c r="B242"/>
  <c r="D242"/>
  <c r="E242"/>
  <c r="F242"/>
  <c r="H242"/>
  <c r="J242"/>
  <c r="K242"/>
  <c r="L242" s="1"/>
  <c r="N242"/>
  <c r="O242"/>
  <c r="B243"/>
  <c r="D243"/>
  <c r="E243"/>
  <c r="F243"/>
  <c r="H243"/>
  <c r="J243"/>
  <c r="K243"/>
  <c r="L243" s="1"/>
  <c r="N243"/>
  <c r="O243"/>
  <c r="B244"/>
  <c r="D244"/>
  <c r="E244"/>
  <c r="F244"/>
  <c r="H244"/>
  <c r="J244"/>
  <c r="K244"/>
  <c r="L244" s="1"/>
  <c r="N244"/>
  <c r="B245"/>
  <c r="D245"/>
  <c r="E245"/>
  <c r="F245"/>
  <c r="H245"/>
  <c r="J245"/>
  <c r="K245"/>
  <c r="L245" s="1"/>
  <c r="N245"/>
  <c r="B246"/>
  <c r="D246"/>
  <c r="E246"/>
  <c r="F246"/>
  <c r="H246"/>
  <c r="J246"/>
  <c r="K246"/>
  <c r="L246" s="1"/>
  <c r="N246"/>
  <c r="O246"/>
  <c r="B247"/>
  <c r="D247"/>
  <c r="E247"/>
  <c r="F247"/>
  <c r="H247"/>
  <c r="J247"/>
  <c r="K247"/>
  <c r="L247" s="1"/>
  <c r="N247"/>
  <c r="O247"/>
  <c r="B248"/>
  <c r="D248"/>
  <c r="E248"/>
  <c r="F248"/>
  <c r="H248"/>
  <c r="J248"/>
  <c r="K248"/>
  <c r="L248" s="1"/>
  <c r="N248"/>
  <c r="O248"/>
  <c r="B249"/>
  <c r="D249"/>
  <c r="E249"/>
  <c r="F249"/>
  <c r="H249"/>
  <c r="J249"/>
  <c r="K249"/>
  <c r="L249" s="1"/>
  <c r="N249"/>
  <c r="O249"/>
  <c r="B250"/>
  <c r="D250"/>
  <c r="E250"/>
  <c r="F250"/>
  <c r="H250"/>
  <c r="J250"/>
  <c r="K250"/>
  <c r="L250" s="1"/>
  <c r="N250"/>
  <c r="O250"/>
  <c r="B251"/>
  <c r="D251"/>
  <c r="E251"/>
  <c r="F251"/>
  <c r="H251"/>
  <c r="J251"/>
  <c r="K251"/>
  <c r="L251" s="1"/>
  <c r="N251"/>
  <c r="O251"/>
  <c r="B252"/>
  <c r="D252"/>
  <c r="E252"/>
  <c r="F252"/>
  <c r="H252"/>
  <c r="J252"/>
  <c r="K252"/>
  <c r="L252" s="1"/>
  <c r="N252"/>
  <c r="O252"/>
  <c r="B253"/>
  <c r="D253"/>
  <c r="E253"/>
  <c r="F253"/>
  <c r="H253"/>
  <c r="J253"/>
  <c r="K253"/>
  <c r="L253" s="1"/>
  <c r="N253"/>
  <c r="O253"/>
  <c r="B254"/>
  <c r="D254"/>
  <c r="E254"/>
  <c r="F254"/>
  <c r="H254"/>
  <c r="J254"/>
  <c r="K254"/>
  <c r="L254" s="1"/>
  <c r="N254"/>
  <c r="O254"/>
  <c r="B255"/>
  <c r="D255"/>
  <c r="E255"/>
  <c r="F255"/>
  <c r="H255"/>
  <c r="J255"/>
  <c r="K255"/>
  <c r="L255" s="1"/>
  <c r="N255"/>
  <c r="O255"/>
  <c r="B256"/>
  <c r="D256"/>
  <c r="E256"/>
  <c r="F256"/>
  <c r="H256"/>
  <c r="J256"/>
  <c r="K256"/>
  <c r="L256" s="1"/>
  <c r="N256"/>
  <c r="O256"/>
  <c r="B257"/>
  <c r="D257"/>
  <c r="E257"/>
  <c r="F257"/>
  <c r="H257"/>
  <c r="J257"/>
  <c r="K257"/>
  <c r="L257" s="1"/>
  <c r="N257"/>
  <c r="O257"/>
  <c r="B258"/>
  <c r="D258"/>
  <c r="E258"/>
  <c r="F258"/>
  <c r="H258"/>
  <c r="J258"/>
  <c r="K258"/>
  <c r="L258" s="1"/>
  <c r="N258"/>
  <c r="O258"/>
  <c r="B259"/>
  <c r="D259"/>
  <c r="E259"/>
  <c r="F259"/>
  <c r="H259"/>
  <c r="J259"/>
  <c r="K259"/>
  <c r="L259" s="1"/>
  <c r="N259"/>
  <c r="O259"/>
  <c r="B260"/>
  <c r="D260"/>
  <c r="E260"/>
  <c r="F260"/>
  <c r="H260"/>
  <c r="J260"/>
  <c r="K260"/>
  <c r="L260" s="1"/>
  <c r="M260"/>
  <c r="N260"/>
  <c r="O260"/>
  <c r="B261"/>
  <c r="D261"/>
  <c r="E261"/>
  <c r="F261"/>
  <c r="H261"/>
  <c r="J261"/>
  <c r="K261"/>
  <c r="L261" s="1"/>
  <c r="N261"/>
  <c r="O261"/>
  <c r="B262"/>
  <c r="D262"/>
  <c r="E262"/>
  <c r="F262"/>
  <c r="H262"/>
  <c r="J262"/>
  <c r="K262"/>
  <c r="L262" s="1"/>
  <c r="N262"/>
  <c r="O262"/>
  <c r="B263"/>
  <c r="D263"/>
  <c r="E263"/>
  <c r="F263"/>
  <c r="H263"/>
  <c r="J263"/>
  <c r="K263"/>
  <c r="L263" s="1"/>
  <c r="N263"/>
  <c r="O263"/>
  <c r="B264"/>
  <c r="D264"/>
  <c r="E264"/>
  <c r="F264"/>
  <c r="H264"/>
  <c r="J264"/>
  <c r="K264"/>
  <c r="L264" s="1"/>
  <c r="N264"/>
  <c r="O264"/>
  <c r="B265"/>
  <c r="D265"/>
  <c r="E265"/>
  <c r="F265"/>
  <c r="H265"/>
  <c r="J265"/>
  <c r="K265"/>
  <c r="L265" s="1"/>
  <c r="N265"/>
  <c r="O265"/>
  <c r="B266"/>
  <c r="D266"/>
  <c r="E266"/>
  <c r="F266"/>
  <c r="H266"/>
  <c r="J266"/>
  <c r="K266"/>
  <c r="L266" s="1"/>
  <c r="N266"/>
  <c r="O266"/>
  <c r="B267"/>
  <c r="D267"/>
  <c r="E267"/>
  <c r="F267"/>
  <c r="H267"/>
  <c r="J267"/>
  <c r="K267"/>
  <c r="L267" s="1"/>
  <c r="N267"/>
  <c r="O267"/>
  <c r="B268"/>
  <c r="D268"/>
  <c r="E268"/>
  <c r="F268"/>
  <c r="H268"/>
  <c r="J268"/>
  <c r="K268"/>
  <c r="L268" s="1"/>
  <c r="N268"/>
  <c r="O268"/>
  <c r="B269"/>
  <c r="D269"/>
  <c r="E269"/>
  <c r="F269"/>
  <c r="H269"/>
  <c r="J269"/>
  <c r="K269"/>
  <c r="L269" s="1"/>
  <c r="N269"/>
  <c r="O269"/>
  <c r="B270"/>
  <c r="D270"/>
  <c r="E270"/>
  <c r="F270"/>
  <c r="H270"/>
  <c r="J270"/>
  <c r="K270"/>
  <c r="L270" s="1"/>
  <c r="N270"/>
  <c r="O270"/>
  <c r="B271"/>
  <c r="D271"/>
  <c r="E271"/>
  <c r="F271"/>
  <c r="H271"/>
  <c r="J271"/>
  <c r="K271"/>
  <c r="L271" s="1"/>
  <c r="N271"/>
  <c r="O271"/>
  <c r="B272"/>
  <c r="D272"/>
  <c r="E272"/>
  <c r="F272"/>
  <c r="H272"/>
  <c r="J272"/>
  <c r="K272"/>
  <c r="L272" s="1"/>
  <c r="N272"/>
  <c r="O272"/>
  <c r="B273"/>
  <c r="D273"/>
  <c r="E273"/>
  <c r="F273"/>
  <c r="H273"/>
  <c r="J273"/>
  <c r="K273"/>
  <c r="L273" s="1"/>
  <c r="N273"/>
  <c r="O273"/>
  <c r="B274"/>
  <c r="D274"/>
  <c r="E274"/>
  <c r="F274"/>
  <c r="H274"/>
  <c r="J274"/>
  <c r="K274"/>
  <c r="L274" s="1"/>
  <c r="N274"/>
  <c r="O274"/>
  <c r="B275"/>
  <c r="D275"/>
  <c r="E275"/>
  <c r="F275"/>
  <c r="H275"/>
  <c r="J275"/>
  <c r="K275"/>
  <c r="M275" s="1"/>
  <c r="N275"/>
  <c r="O275"/>
  <c r="B276"/>
  <c r="D276"/>
  <c r="E276"/>
  <c r="F276"/>
  <c r="H276"/>
  <c r="J276"/>
  <c r="K276"/>
  <c r="L276" s="1"/>
  <c r="N276"/>
  <c r="O276"/>
  <c r="B277"/>
  <c r="D277"/>
  <c r="E277"/>
  <c r="F277"/>
  <c r="H277"/>
  <c r="J277"/>
  <c r="K277"/>
  <c r="L277" s="1"/>
  <c r="N277"/>
  <c r="O277"/>
  <c r="B278"/>
  <c r="D278"/>
  <c r="E278"/>
  <c r="F278"/>
  <c r="H278"/>
  <c r="J278"/>
  <c r="K278"/>
  <c r="L278" s="1"/>
  <c r="N278"/>
  <c r="O278"/>
  <c r="B279"/>
  <c r="D279"/>
  <c r="E279"/>
  <c r="F279"/>
  <c r="H279"/>
  <c r="J279"/>
  <c r="K279"/>
  <c r="L279" s="1"/>
  <c r="N279"/>
  <c r="O279"/>
  <c r="B280"/>
  <c r="D280"/>
  <c r="E280"/>
  <c r="F280"/>
  <c r="H280"/>
  <c r="J280"/>
  <c r="K280"/>
  <c r="L280" s="1"/>
  <c r="N280"/>
  <c r="O280"/>
  <c r="B281"/>
  <c r="D281"/>
  <c r="E281"/>
  <c r="F281"/>
  <c r="H281"/>
  <c r="J281"/>
  <c r="K281"/>
  <c r="L281" s="1"/>
  <c r="N281"/>
  <c r="O281"/>
  <c r="B282"/>
  <c r="D282"/>
  <c r="E282"/>
  <c r="F282"/>
  <c r="H282"/>
  <c r="J282"/>
  <c r="K282"/>
  <c r="L282" s="1"/>
  <c r="N282"/>
  <c r="O282"/>
  <c r="B283"/>
  <c r="D283"/>
  <c r="E283"/>
  <c r="F283"/>
  <c r="H283"/>
  <c r="J283"/>
  <c r="K283"/>
  <c r="L283" s="1"/>
  <c r="N283"/>
  <c r="O283"/>
  <c r="B284"/>
  <c r="D284"/>
  <c r="E284"/>
  <c r="F284"/>
  <c r="H284"/>
  <c r="J284"/>
  <c r="K284"/>
  <c r="L284" s="1"/>
  <c r="N284"/>
  <c r="O284"/>
  <c r="B285"/>
  <c r="D285"/>
  <c r="E285"/>
  <c r="F285"/>
  <c r="H285"/>
  <c r="J285"/>
  <c r="K285"/>
  <c r="L285" s="1"/>
  <c r="N285"/>
  <c r="O285"/>
  <c r="B286"/>
  <c r="D286"/>
  <c r="E286"/>
  <c r="F286"/>
  <c r="H286"/>
  <c r="J286"/>
  <c r="K286"/>
  <c r="L286" s="1"/>
  <c r="N286"/>
  <c r="O286"/>
  <c r="B287"/>
  <c r="D287"/>
  <c r="E287"/>
  <c r="F287"/>
  <c r="H287"/>
  <c r="J287"/>
  <c r="K287"/>
  <c r="M287" s="1"/>
  <c r="N287"/>
  <c r="O287"/>
  <c r="B288"/>
  <c r="D288"/>
  <c r="E288"/>
  <c r="F288"/>
  <c r="H288"/>
  <c r="J288"/>
  <c r="K288"/>
  <c r="L288" s="1"/>
  <c r="N288"/>
  <c r="O288"/>
  <c r="B289"/>
  <c r="D289"/>
  <c r="E289"/>
  <c r="F289"/>
  <c r="H289"/>
  <c r="J289"/>
  <c r="K289"/>
  <c r="L289" s="1"/>
  <c r="N289"/>
  <c r="O289"/>
  <c r="B290"/>
  <c r="D290"/>
  <c r="E290"/>
  <c r="F290"/>
  <c r="H290"/>
  <c r="J290"/>
  <c r="K290"/>
  <c r="L290" s="1"/>
  <c r="N290"/>
  <c r="O290"/>
  <c r="B291"/>
  <c r="D291"/>
  <c r="E291"/>
  <c r="F291"/>
  <c r="H291"/>
  <c r="J291"/>
  <c r="K291"/>
  <c r="L291" s="1"/>
  <c r="N291"/>
  <c r="O291"/>
  <c r="B292"/>
  <c r="D292"/>
  <c r="E292"/>
  <c r="F292"/>
  <c r="H292"/>
  <c r="J292"/>
  <c r="K292"/>
  <c r="L292" s="1"/>
  <c r="N292"/>
  <c r="O292"/>
  <c r="B293"/>
  <c r="D293"/>
  <c r="E293"/>
  <c r="F293"/>
  <c r="H293"/>
  <c r="J293"/>
  <c r="K293"/>
  <c r="L293" s="1"/>
  <c r="N293"/>
  <c r="O293"/>
  <c r="B294"/>
  <c r="D294"/>
  <c r="E294"/>
  <c r="F294"/>
  <c r="H294"/>
  <c r="J294"/>
  <c r="K294"/>
  <c r="L294" s="1"/>
  <c r="N294"/>
  <c r="O294"/>
  <c r="B295"/>
  <c r="D295"/>
  <c r="E295"/>
  <c r="F295"/>
  <c r="H295"/>
  <c r="J295"/>
  <c r="K295"/>
  <c r="L295" s="1"/>
  <c r="N295"/>
  <c r="O295"/>
  <c r="B296"/>
  <c r="D296"/>
  <c r="E296"/>
  <c r="F296"/>
  <c r="H296"/>
  <c r="J296"/>
  <c r="K296"/>
  <c r="L296" s="1"/>
  <c r="N296"/>
  <c r="O296"/>
  <c r="B297"/>
  <c r="D297"/>
  <c r="E297"/>
  <c r="F297"/>
  <c r="H297"/>
  <c r="J297"/>
  <c r="K297"/>
  <c r="L297" s="1"/>
  <c r="N297"/>
  <c r="O297"/>
  <c r="B298"/>
  <c r="D298"/>
  <c r="E298"/>
  <c r="F298"/>
  <c r="H298"/>
  <c r="J298"/>
  <c r="K298"/>
  <c r="L298" s="1"/>
  <c r="N298"/>
  <c r="O298"/>
  <c r="B299"/>
  <c r="D299"/>
  <c r="E299"/>
  <c r="F299"/>
  <c r="H299"/>
  <c r="J299"/>
  <c r="K299"/>
  <c r="L299" s="1"/>
  <c r="N299"/>
  <c r="O299"/>
  <c r="B300"/>
  <c r="D300"/>
  <c r="E300"/>
  <c r="F300"/>
  <c r="H300"/>
  <c r="J300"/>
  <c r="K300"/>
  <c r="L300" s="1"/>
  <c r="N300"/>
  <c r="O300"/>
  <c r="B301"/>
  <c r="D301"/>
  <c r="E301"/>
  <c r="F301"/>
  <c r="H301"/>
  <c r="J301"/>
  <c r="K301"/>
  <c r="L301" s="1"/>
  <c r="N301"/>
  <c r="O301"/>
  <c r="B302"/>
  <c r="D302"/>
  <c r="E302"/>
  <c r="F302"/>
  <c r="H302"/>
  <c r="J302"/>
  <c r="K302"/>
  <c r="L302" s="1"/>
  <c r="N302"/>
  <c r="O302"/>
  <c r="B303"/>
  <c r="D303"/>
  <c r="E303"/>
  <c r="F303"/>
  <c r="H303"/>
  <c r="J303"/>
  <c r="K303"/>
  <c r="L303" s="1"/>
  <c r="N303"/>
  <c r="O303"/>
  <c r="B304"/>
  <c r="D304"/>
  <c r="E304"/>
  <c r="F304"/>
  <c r="H304"/>
  <c r="J304"/>
  <c r="K304"/>
  <c r="L304" s="1"/>
  <c r="N304"/>
  <c r="O304"/>
  <c r="B305"/>
  <c r="D305"/>
  <c r="E305"/>
  <c r="F305"/>
  <c r="H305"/>
  <c r="J305"/>
  <c r="K305"/>
  <c r="L305" s="1"/>
  <c r="N305"/>
  <c r="O305"/>
  <c r="B306"/>
  <c r="D306"/>
  <c r="E306"/>
  <c r="F306"/>
  <c r="H306"/>
  <c r="J306"/>
  <c r="K306"/>
  <c r="L306" s="1"/>
  <c r="N306"/>
  <c r="O306"/>
  <c r="B307"/>
  <c r="D307"/>
  <c r="E307"/>
  <c r="F307"/>
  <c r="H307"/>
  <c r="J307"/>
  <c r="K307"/>
  <c r="L307" s="1"/>
  <c r="N307"/>
  <c r="O307"/>
  <c r="B308"/>
  <c r="D308"/>
  <c r="E308"/>
  <c r="F308"/>
  <c r="H308"/>
  <c r="J308"/>
  <c r="K308"/>
  <c r="L308" s="1"/>
  <c r="N308"/>
  <c r="O308"/>
  <c r="B309"/>
  <c r="D309"/>
  <c r="E309"/>
  <c r="F309"/>
  <c r="H309"/>
  <c r="J309"/>
  <c r="K309"/>
  <c r="L309" s="1"/>
  <c r="N309"/>
  <c r="O309"/>
  <c r="M250" l="1"/>
  <c r="M245"/>
  <c r="M235"/>
  <c r="M254"/>
  <c r="M246"/>
  <c r="M244"/>
  <c r="M262"/>
  <c r="M259"/>
  <c r="M258"/>
  <c r="M257"/>
  <c r="M256"/>
  <c r="M253"/>
  <c r="M252"/>
  <c r="M249"/>
  <c r="M248"/>
  <c r="M243"/>
  <c r="M242"/>
  <c r="M238"/>
  <c r="M276"/>
  <c r="M292"/>
  <c r="M270"/>
  <c r="M255"/>
  <c r="M251"/>
  <c r="M247"/>
  <c r="M286"/>
  <c r="M274"/>
  <c r="M266"/>
  <c r="M288"/>
  <c r="M280"/>
  <c r="M273"/>
  <c r="M272"/>
  <c r="M269"/>
  <c r="M268"/>
  <c r="M291"/>
  <c r="M290"/>
  <c r="M285"/>
  <c r="M282"/>
  <c r="M265"/>
  <c r="M264"/>
  <c r="M261"/>
  <c r="M279"/>
  <c r="M284"/>
  <c r="M278"/>
  <c r="M300"/>
  <c r="M297"/>
  <c r="M306"/>
  <c r="M296"/>
  <c r="M295"/>
  <c r="M309"/>
  <c r="M308"/>
  <c r="M305"/>
  <c r="M304"/>
  <c r="M303"/>
  <c r="M302"/>
  <c r="M299"/>
  <c r="M298"/>
  <c r="M294"/>
  <c r="M293"/>
  <c r="M289"/>
  <c r="M283"/>
  <c r="M277"/>
  <c r="M271"/>
  <c r="M267"/>
  <c r="M263"/>
  <c r="M307"/>
  <c r="M301"/>
  <c r="M281"/>
  <c r="L287"/>
  <c r="L275"/>
  <c r="F262" i="8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61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E199"/>
  <c r="E200" s="1"/>
  <c r="E201" s="1"/>
  <c r="E202" s="1"/>
  <c r="E203" s="1"/>
  <c r="E204" s="1"/>
  <c r="B226" i="3"/>
  <c r="D226"/>
  <c r="E226"/>
  <c r="F226"/>
  <c r="H226"/>
  <c r="J226"/>
  <c r="K226"/>
  <c r="L226" s="1"/>
  <c r="N226"/>
  <c r="O226"/>
  <c r="B227"/>
  <c r="D227"/>
  <c r="E227"/>
  <c r="F227"/>
  <c r="H227"/>
  <c r="J227"/>
  <c r="K227"/>
  <c r="L227" s="1"/>
  <c r="N227"/>
  <c r="O227"/>
  <c r="B228"/>
  <c r="D228"/>
  <c r="E228"/>
  <c r="F228"/>
  <c r="H228"/>
  <c r="J228"/>
  <c r="K228"/>
  <c r="L228" s="1"/>
  <c r="N228"/>
  <c r="O228"/>
  <c r="B229"/>
  <c r="D229"/>
  <c r="E229"/>
  <c r="F229"/>
  <c r="H229"/>
  <c r="J229"/>
  <c r="K229"/>
  <c r="L229" s="1"/>
  <c r="N229"/>
  <c r="O229"/>
  <c r="B230"/>
  <c r="D230"/>
  <c r="E230"/>
  <c r="F230"/>
  <c r="H230"/>
  <c r="J230"/>
  <c r="K230"/>
  <c r="L230" s="1"/>
  <c r="N230"/>
  <c r="O230"/>
  <c r="O225"/>
  <c r="N225"/>
  <c r="K225"/>
  <c r="L225" s="1"/>
  <c r="J225"/>
  <c r="H225"/>
  <c r="F225"/>
  <c r="E225"/>
  <c r="D225"/>
  <c r="B225"/>
  <c r="O224"/>
  <c r="N224"/>
  <c r="K224"/>
  <c r="M224" s="1"/>
  <c r="J224"/>
  <c r="H224"/>
  <c r="F224"/>
  <c r="E224"/>
  <c r="D224"/>
  <c r="B224"/>
  <c r="O223"/>
  <c r="N223"/>
  <c r="K223"/>
  <c r="M223" s="1"/>
  <c r="J223"/>
  <c r="H223"/>
  <c r="F223"/>
  <c r="E223"/>
  <c r="D223"/>
  <c r="B223"/>
  <c r="O222"/>
  <c r="N222"/>
  <c r="K222"/>
  <c r="M222" s="1"/>
  <c r="J222"/>
  <c r="H222"/>
  <c r="F222"/>
  <c r="E222"/>
  <c r="D222"/>
  <c r="B222"/>
  <c r="O221"/>
  <c r="N221"/>
  <c r="K221"/>
  <c r="M221" s="1"/>
  <c r="J221"/>
  <c r="H221"/>
  <c r="F221"/>
  <c r="E221"/>
  <c r="D221"/>
  <c r="B221"/>
  <c r="O220"/>
  <c r="N220"/>
  <c r="K220"/>
  <c r="M220" s="1"/>
  <c r="J220"/>
  <c r="H220"/>
  <c r="F220"/>
  <c r="E220"/>
  <c r="D220"/>
  <c r="B220"/>
  <c r="O219"/>
  <c r="N219"/>
  <c r="K219"/>
  <c r="M219" s="1"/>
  <c r="J219"/>
  <c r="H219"/>
  <c r="F219"/>
  <c r="E219"/>
  <c r="D219"/>
  <c r="B219"/>
  <c r="O218"/>
  <c r="N218"/>
  <c r="K218"/>
  <c r="M218" s="1"/>
  <c r="J218"/>
  <c r="H218"/>
  <c r="F218"/>
  <c r="E218"/>
  <c r="D218"/>
  <c r="B218"/>
  <c r="O217"/>
  <c r="N217"/>
  <c r="K217"/>
  <c r="M217" s="1"/>
  <c r="J217"/>
  <c r="H217"/>
  <c r="F217"/>
  <c r="E217"/>
  <c r="D217"/>
  <c r="B217"/>
  <c r="O216"/>
  <c r="N216"/>
  <c r="K216"/>
  <c r="L216" s="1"/>
  <c r="J216"/>
  <c r="H216"/>
  <c r="F216"/>
  <c r="E216"/>
  <c r="D216"/>
  <c r="B216"/>
  <c r="O215"/>
  <c r="N215"/>
  <c r="K215"/>
  <c r="M215" s="1"/>
  <c r="J215"/>
  <c r="H215"/>
  <c r="F215"/>
  <c r="E215"/>
  <c r="D215"/>
  <c r="B215"/>
  <c r="O214"/>
  <c r="N214"/>
  <c r="K214"/>
  <c r="L214" s="1"/>
  <c r="J214"/>
  <c r="H214"/>
  <c r="F214"/>
  <c r="E214"/>
  <c r="D214"/>
  <c r="B214"/>
  <c r="O213"/>
  <c r="N213"/>
  <c r="K213"/>
  <c r="M213" s="1"/>
  <c r="J213"/>
  <c r="H213"/>
  <c r="F213"/>
  <c r="E213"/>
  <c r="D213"/>
  <c r="B213"/>
  <c r="O212"/>
  <c r="N212"/>
  <c r="K212"/>
  <c r="L212" s="1"/>
  <c r="J212"/>
  <c r="H212"/>
  <c r="F212"/>
  <c r="E212"/>
  <c r="D212"/>
  <c r="B212"/>
  <c r="O211"/>
  <c r="N211"/>
  <c r="K211"/>
  <c r="M211" s="1"/>
  <c r="J211"/>
  <c r="H211"/>
  <c r="F211"/>
  <c r="E211"/>
  <c r="D211"/>
  <c r="B211"/>
  <c r="O210"/>
  <c r="N210"/>
  <c r="K210"/>
  <c r="M210" s="1"/>
  <c r="J210"/>
  <c r="H210"/>
  <c r="F210"/>
  <c r="E210"/>
  <c r="D210"/>
  <c r="B210"/>
  <c r="B204"/>
  <c r="D204"/>
  <c r="E204"/>
  <c r="F204"/>
  <c r="H204"/>
  <c r="J204"/>
  <c r="K204"/>
  <c r="L204" s="1"/>
  <c r="N204"/>
  <c r="O204"/>
  <c r="B205"/>
  <c r="D205"/>
  <c r="E205"/>
  <c r="F205"/>
  <c r="H205"/>
  <c r="J205"/>
  <c r="K205"/>
  <c r="L205" s="1"/>
  <c r="N205"/>
  <c r="O205"/>
  <c r="B206"/>
  <c r="D206"/>
  <c r="E206"/>
  <c r="F206"/>
  <c r="H206"/>
  <c r="J206"/>
  <c r="K206"/>
  <c r="L206" s="1"/>
  <c r="N206"/>
  <c r="O206"/>
  <c r="B207"/>
  <c r="D207"/>
  <c r="E207"/>
  <c r="F207"/>
  <c r="H207"/>
  <c r="J207"/>
  <c r="K207"/>
  <c r="L207" s="1"/>
  <c r="N207"/>
  <c r="O207"/>
  <c r="B208"/>
  <c r="D208"/>
  <c r="E208"/>
  <c r="F208"/>
  <c r="H208"/>
  <c r="J208"/>
  <c r="K208"/>
  <c r="L208" s="1"/>
  <c r="N208"/>
  <c r="O208"/>
  <c r="B209"/>
  <c r="D209"/>
  <c r="E209"/>
  <c r="F209"/>
  <c r="H209"/>
  <c r="J209"/>
  <c r="K209"/>
  <c r="L209" s="1"/>
  <c r="N209"/>
  <c r="O209"/>
  <c r="M227" l="1"/>
  <c r="M208"/>
  <c r="M204"/>
  <c r="M207"/>
  <c r="M206"/>
  <c r="L217"/>
  <c r="M229"/>
  <c r="M226"/>
  <c r="M228"/>
  <c r="M205"/>
  <c r="L213"/>
  <c r="M230"/>
  <c r="L211"/>
  <c r="L215"/>
  <c r="L221"/>
  <c r="L219"/>
  <c r="L223"/>
  <c r="M209"/>
  <c r="M212"/>
  <c r="M214"/>
  <c r="M216"/>
  <c r="L210"/>
  <c r="L218"/>
  <c r="L220"/>
  <c r="L222"/>
  <c r="L224"/>
  <c r="M225"/>
  <c r="B177" l="1"/>
  <c r="D177"/>
  <c r="E177"/>
  <c r="F177"/>
  <c r="H177"/>
  <c r="J177"/>
  <c r="K177"/>
  <c r="L177" s="1"/>
  <c r="M177"/>
  <c r="N177"/>
  <c r="O177"/>
  <c r="B178"/>
  <c r="D178"/>
  <c r="E178"/>
  <c r="F178"/>
  <c r="H178"/>
  <c r="J178"/>
  <c r="K178"/>
  <c r="L178" s="1"/>
  <c r="N178"/>
  <c r="O178"/>
  <c r="B179"/>
  <c r="D179"/>
  <c r="E179"/>
  <c r="F179"/>
  <c r="H179"/>
  <c r="J179"/>
  <c r="K179"/>
  <c r="L179" s="1"/>
  <c r="N179"/>
  <c r="O179"/>
  <c r="B180"/>
  <c r="D180"/>
  <c r="E180"/>
  <c r="F180"/>
  <c r="H180"/>
  <c r="J180"/>
  <c r="K180"/>
  <c r="L180" s="1"/>
  <c r="M180"/>
  <c r="N180"/>
  <c r="O180"/>
  <c r="B181"/>
  <c r="D181"/>
  <c r="E181"/>
  <c r="F181"/>
  <c r="H181"/>
  <c r="J181"/>
  <c r="K181"/>
  <c r="L181"/>
  <c r="M181"/>
  <c r="N181"/>
  <c r="O181"/>
  <c r="B182"/>
  <c r="D182"/>
  <c r="E182"/>
  <c r="F182"/>
  <c r="H182"/>
  <c r="J182"/>
  <c r="K182"/>
  <c r="L182" s="1"/>
  <c r="N182"/>
  <c r="O182"/>
  <c r="B183"/>
  <c r="D183"/>
  <c r="E183"/>
  <c r="F183"/>
  <c r="H183"/>
  <c r="J183"/>
  <c r="K183"/>
  <c r="L183" s="1"/>
  <c r="M183"/>
  <c r="N183"/>
  <c r="O183"/>
  <c r="B184"/>
  <c r="D184"/>
  <c r="E184"/>
  <c r="F184"/>
  <c r="H184"/>
  <c r="J184"/>
  <c r="K184"/>
  <c r="L184" s="1"/>
  <c r="M184"/>
  <c r="N184"/>
  <c r="O184"/>
  <c r="B185"/>
  <c r="D185"/>
  <c r="E185"/>
  <c r="F185"/>
  <c r="H185"/>
  <c r="J185"/>
  <c r="K185"/>
  <c r="L185"/>
  <c r="M185"/>
  <c r="N185"/>
  <c r="O185"/>
  <c r="B186"/>
  <c r="D186"/>
  <c r="E186"/>
  <c r="F186"/>
  <c r="H186"/>
  <c r="J186"/>
  <c r="K186"/>
  <c r="L186" s="1"/>
  <c r="N186"/>
  <c r="O186"/>
  <c r="B187"/>
  <c r="D187"/>
  <c r="E187"/>
  <c r="F187"/>
  <c r="H187"/>
  <c r="J187"/>
  <c r="K187"/>
  <c r="L187" s="1"/>
  <c r="M187"/>
  <c r="N187"/>
  <c r="O187"/>
  <c r="B188"/>
  <c r="D188"/>
  <c r="E188"/>
  <c r="F188"/>
  <c r="H188"/>
  <c r="J188"/>
  <c r="K188"/>
  <c r="L188" s="1"/>
  <c r="M188"/>
  <c r="N188"/>
  <c r="O188"/>
  <c r="B189"/>
  <c r="D189"/>
  <c r="E189"/>
  <c r="F189"/>
  <c r="H189"/>
  <c r="J189"/>
  <c r="K189"/>
  <c r="L189"/>
  <c r="M189"/>
  <c r="N189"/>
  <c r="O189"/>
  <c r="B190"/>
  <c r="D190"/>
  <c r="E190"/>
  <c r="F190"/>
  <c r="H190"/>
  <c r="J190"/>
  <c r="K190"/>
  <c r="L190" s="1"/>
  <c r="N190"/>
  <c r="O190"/>
  <c r="B191"/>
  <c r="D191"/>
  <c r="E191"/>
  <c r="F191"/>
  <c r="H191"/>
  <c r="J191"/>
  <c r="K191"/>
  <c r="L191" s="1"/>
  <c r="M191"/>
  <c r="N191"/>
  <c r="O191"/>
  <c r="B192"/>
  <c r="D192"/>
  <c r="E192"/>
  <c r="F192"/>
  <c r="H192"/>
  <c r="J192"/>
  <c r="K192"/>
  <c r="L192" s="1"/>
  <c r="M192"/>
  <c r="N192"/>
  <c r="O192"/>
  <c r="B193"/>
  <c r="D193"/>
  <c r="E193"/>
  <c r="F193"/>
  <c r="H193"/>
  <c r="J193"/>
  <c r="K193"/>
  <c r="L193"/>
  <c r="M193"/>
  <c r="N193"/>
  <c r="O193"/>
  <c r="B194"/>
  <c r="D194"/>
  <c r="E194"/>
  <c r="F194"/>
  <c r="H194"/>
  <c r="J194"/>
  <c r="K194"/>
  <c r="L194" s="1"/>
  <c r="N194"/>
  <c r="O194"/>
  <c r="B195"/>
  <c r="D195"/>
  <c r="E195"/>
  <c r="F195"/>
  <c r="H195"/>
  <c r="J195"/>
  <c r="K195"/>
  <c r="L195" s="1"/>
  <c r="M195"/>
  <c r="N195"/>
  <c r="O195"/>
  <c r="B196"/>
  <c r="D196"/>
  <c r="E196"/>
  <c r="F196"/>
  <c r="H196"/>
  <c r="J196"/>
  <c r="K196"/>
  <c r="L196" s="1"/>
  <c r="M196"/>
  <c r="N196"/>
  <c r="O196"/>
  <c r="B197"/>
  <c r="D197"/>
  <c r="E197"/>
  <c r="F197"/>
  <c r="H197"/>
  <c r="J197"/>
  <c r="K197"/>
  <c r="L197"/>
  <c r="M197"/>
  <c r="N197"/>
  <c r="O197"/>
  <c r="B198"/>
  <c r="D198"/>
  <c r="E198"/>
  <c r="F198"/>
  <c r="H198"/>
  <c r="J198"/>
  <c r="K198"/>
  <c r="L198" s="1"/>
  <c r="N198"/>
  <c r="O198"/>
  <c r="B199"/>
  <c r="D199"/>
  <c r="E199"/>
  <c r="F199"/>
  <c r="H199"/>
  <c r="J199"/>
  <c r="K199"/>
  <c r="L199" s="1"/>
  <c r="M199"/>
  <c r="N199"/>
  <c r="O199"/>
  <c r="B200"/>
  <c r="D200"/>
  <c r="E200"/>
  <c r="F200"/>
  <c r="H200"/>
  <c r="J200"/>
  <c r="K200"/>
  <c r="L200" s="1"/>
  <c r="N200"/>
  <c r="O200"/>
  <c r="B201"/>
  <c r="D201"/>
  <c r="E201"/>
  <c r="F201"/>
  <c r="H201"/>
  <c r="J201"/>
  <c r="K201"/>
  <c r="L201" s="1"/>
  <c r="N201"/>
  <c r="O201"/>
  <c r="B202"/>
  <c r="D202"/>
  <c r="E202"/>
  <c r="F202"/>
  <c r="H202"/>
  <c r="J202"/>
  <c r="K202"/>
  <c r="L202" s="1"/>
  <c r="N202"/>
  <c r="O202"/>
  <c r="B203"/>
  <c r="D203"/>
  <c r="E203"/>
  <c r="F203"/>
  <c r="H203"/>
  <c r="J203"/>
  <c r="K203"/>
  <c r="L203" s="1"/>
  <c r="N203"/>
  <c r="O203"/>
  <c r="M203" l="1"/>
  <c r="M179"/>
  <c r="M202"/>
  <c r="M201"/>
  <c r="M198"/>
  <c r="M194"/>
  <c r="M190"/>
  <c r="M186"/>
  <c r="M182"/>
  <c r="M178"/>
  <c r="M200"/>
  <c r="B153" l="1"/>
  <c r="D153"/>
  <c r="E153"/>
  <c r="F153"/>
  <c r="H153"/>
  <c r="J153"/>
  <c r="K153"/>
  <c r="L153"/>
  <c r="M153"/>
  <c r="N153"/>
  <c r="O153"/>
  <c r="B154"/>
  <c r="D154"/>
  <c r="E154"/>
  <c r="F154"/>
  <c r="H154"/>
  <c r="J154"/>
  <c r="K154"/>
  <c r="L154" s="1"/>
  <c r="N154"/>
  <c r="O154"/>
  <c r="B155"/>
  <c r="D155"/>
  <c r="E155"/>
  <c r="F155"/>
  <c r="H155"/>
  <c r="J155"/>
  <c r="K155"/>
  <c r="L155" s="1"/>
  <c r="N155"/>
  <c r="O155"/>
  <c r="B156"/>
  <c r="D156"/>
  <c r="E156"/>
  <c r="F156"/>
  <c r="H156"/>
  <c r="J156"/>
  <c r="K156"/>
  <c r="L156" s="1"/>
  <c r="N156"/>
  <c r="O156"/>
  <c r="B157"/>
  <c r="D157"/>
  <c r="E157"/>
  <c r="F157"/>
  <c r="H157"/>
  <c r="J157"/>
  <c r="K157"/>
  <c r="L157" s="1"/>
  <c r="N157"/>
  <c r="O157"/>
  <c r="B158"/>
  <c r="D158"/>
  <c r="E158"/>
  <c r="F158"/>
  <c r="H158"/>
  <c r="J158"/>
  <c r="K158"/>
  <c r="L158" s="1"/>
  <c r="N158"/>
  <c r="O158"/>
  <c r="B159"/>
  <c r="D159"/>
  <c r="E159"/>
  <c r="F159"/>
  <c r="H159"/>
  <c r="J159"/>
  <c r="K159"/>
  <c r="L159" s="1"/>
  <c r="N159"/>
  <c r="O159"/>
  <c r="B160"/>
  <c r="D160"/>
  <c r="E160"/>
  <c r="F160"/>
  <c r="H160"/>
  <c r="J160"/>
  <c r="K160"/>
  <c r="L160" s="1"/>
  <c r="N160"/>
  <c r="O160"/>
  <c r="B161"/>
  <c r="D161"/>
  <c r="E161"/>
  <c r="F161"/>
  <c r="H161"/>
  <c r="J161"/>
  <c r="K161"/>
  <c r="L161" s="1"/>
  <c r="N161"/>
  <c r="O161"/>
  <c r="B162"/>
  <c r="D162"/>
  <c r="E162"/>
  <c r="F162"/>
  <c r="H162"/>
  <c r="J162"/>
  <c r="K162"/>
  <c r="L162" s="1"/>
  <c r="N162"/>
  <c r="O162"/>
  <c r="B163"/>
  <c r="D163"/>
  <c r="E163"/>
  <c r="F163"/>
  <c r="H163"/>
  <c r="J163"/>
  <c r="K163"/>
  <c r="L163" s="1"/>
  <c r="N163"/>
  <c r="O163"/>
  <c r="B164"/>
  <c r="D164"/>
  <c r="E164"/>
  <c r="F164"/>
  <c r="H164"/>
  <c r="J164"/>
  <c r="K164"/>
  <c r="L164" s="1"/>
  <c r="N164"/>
  <c r="O164"/>
  <c r="B165"/>
  <c r="D165"/>
  <c r="E165"/>
  <c r="F165"/>
  <c r="H165"/>
  <c r="J165"/>
  <c r="K165"/>
  <c r="L165" s="1"/>
  <c r="N165"/>
  <c r="O165"/>
  <c r="B166"/>
  <c r="D166"/>
  <c r="E166"/>
  <c r="F166"/>
  <c r="H166"/>
  <c r="J166"/>
  <c r="K166"/>
  <c r="L166" s="1"/>
  <c r="N166"/>
  <c r="O166"/>
  <c r="B167"/>
  <c r="D167"/>
  <c r="E167"/>
  <c r="F167"/>
  <c r="H167"/>
  <c r="J167"/>
  <c r="K167"/>
  <c r="L167" s="1"/>
  <c r="N167"/>
  <c r="O167"/>
  <c r="B168"/>
  <c r="D168"/>
  <c r="E168"/>
  <c r="F168"/>
  <c r="H168"/>
  <c r="J168"/>
  <c r="K168"/>
  <c r="L168" s="1"/>
  <c r="N168"/>
  <c r="O168"/>
  <c r="B169"/>
  <c r="D169"/>
  <c r="E169"/>
  <c r="F169"/>
  <c r="H169"/>
  <c r="J169"/>
  <c r="K169"/>
  <c r="L169" s="1"/>
  <c r="M169"/>
  <c r="N169"/>
  <c r="O169"/>
  <c r="B170"/>
  <c r="D170"/>
  <c r="E170"/>
  <c r="F170"/>
  <c r="H170"/>
  <c r="J170"/>
  <c r="K170"/>
  <c r="L170" s="1"/>
  <c r="N170"/>
  <c r="O170"/>
  <c r="B171"/>
  <c r="D171"/>
  <c r="E171"/>
  <c r="F171"/>
  <c r="H171"/>
  <c r="J171"/>
  <c r="K171"/>
  <c r="L171" s="1"/>
  <c r="N171"/>
  <c r="O171"/>
  <c r="B172"/>
  <c r="D172"/>
  <c r="E172"/>
  <c r="F172"/>
  <c r="H172"/>
  <c r="J172"/>
  <c r="K172"/>
  <c r="L172" s="1"/>
  <c r="N172"/>
  <c r="O172"/>
  <c r="B173"/>
  <c r="D173"/>
  <c r="E173"/>
  <c r="F173"/>
  <c r="H173"/>
  <c r="J173"/>
  <c r="K173"/>
  <c r="L173" s="1"/>
  <c r="N173"/>
  <c r="O173"/>
  <c r="B174"/>
  <c r="D174"/>
  <c r="E174"/>
  <c r="F174"/>
  <c r="H174"/>
  <c r="J174"/>
  <c r="K174"/>
  <c r="L174" s="1"/>
  <c r="N174"/>
  <c r="O174"/>
  <c r="B175"/>
  <c r="D175"/>
  <c r="E175"/>
  <c r="F175"/>
  <c r="H175"/>
  <c r="J175"/>
  <c r="K175"/>
  <c r="L175" s="1"/>
  <c r="N175"/>
  <c r="O175"/>
  <c r="B176"/>
  <c r="D176"/>
  <c r="E176"/>
  <c r="F176"/>
  <c r="H176"/>
  <c r="J176"/>
  <c r="K176"/>
  <c r="L176" s="1"/>
  <c r="N176"/>
  <c r="O176"/>
  <c r="M173" l="1"/>
  <c r="M172"/>
  <c r="M171"/>
  <c r="M168"/>
  <c r="M157"/>
  <c r="M165"/>
  <c r="M161"/>
  <c r="M167"/>
  <c r="M164"/>
  <c r="M163"/>
  <c r="M160"/>
  <c r="M159"/>
  <c r="M156"/>
  <c r="M176"/>
  <c r="M155"/>
  <c r="M175"/>
  <c r="M174"/>
  <c r="M170"/>
  <c r="M166"/>
  <c r="M162"/>
  <c r="M158"/>
  <c r="M154"/>
  <c r="B133" l="1"/>
  <c r="D133"/>
  <c r="E133"/>
  <c r="F133"/>
  <c r="H133"/>
  <c r="J133"/>
  <c r="K133"/>
  <c r="L133" s="1"/>
  <c r="N133"/>
  <c r="O133"/>
  <c r="B134"/>
  <c r="D134"/>
  <c r="E134"/>
  <c r="F134"/>
  <c r="H134"/>
  <c r="J134"/>
  <c r="K134"/>
  <c r="L134" s="1"/>
  <c r="N134"/>
  <c r="O134"/>
  <c r="B135"/>
  <c r="D135"/>
  <c r="E135"/>
  <c r="F135"/>
  <c r="H135"/>
  <c r="J135"/>
  <c r="K135"/>
  <c r="L135" s="1"/>
  <c r="N135"/>
  <c r="O135"/>
  <c r="B136"/>
  <c r="D136"/>
  <c r="E136"/>
  <c r="F136"/>
  <c r="H136"/>
  <c r="J136"/>
  <c r="K136"/>
  <c r="L136" s="1"/>
  <c r="N136"/>
  <c r="O136"/>
  <c r="B137"/>
  <c r="D137"/>
  <c r="E137"/>
  <c r="F137"/>
  <c r="K137"/>
  <c r="L137" s="1"/>
  <c r="N137"/>
  <c r="O137"/>
  <c r="B138"/>
  <c r="D138"/>
  <c r="E138"/>
  <c r="F138"/>
  <c r="K138"/>
  <c r="L138" s="1"/>
  <c r="N138"/>
  <c r="O138"/>
  <c r="B139"/>
  <c r="D139"/>
  <c r="E139"/>
  <c r="F139"/>
  <c r="K139"/>
  <c r="L139" s="1"/>
  <c r="N139"/>
  <c r="O139"/>
  <c r="B140"/>
  <c r="D140"/>
  <c r="E140"/>
  <c r="F140"/>
  <c r="K140"/>
  <c r="L140" s="1"/>
  <c r="N140"/>
  <c r="O140"/>
  <c r="B141"/>
  <c r="D141"/>
  <c r="E141"/>
  <c r="F141"/>
  <c r="K141"/>
  <c r="L141" s="1"/>
  <c r="N141"/>
  <c r="O141"/>
  <c r="B142"/>
  <c r="D142"/>
  <c r="E142"/>
  <c r="F142"/>
  <c r="K142"/>
  <c r="L142" s="1"/>
  <c r="N142"/>
  <c r="O142"/>
  <c r="B143"/>
  <c r="D143"/>
  <c r="E143"/>
  <c r="F143"/>
  <c r="H143"/>
  <c r="J143"/>
  <c r="K143"/>
  <c r="L143" s="1"/>
  <c r="N143"/>
  <c r="O143"/>
  <c r="B144"/>
  <c r="D144"/>
  <c r="E144"/>
  <c r="F144"/>
  <c r="H144"/>
  <c r="J144"/>
  <c r="K144"/>
  <c r="L144" s="1"/>
  <c r="N144"/>
  <c r="O144"/>
  <c r="B145"/>
  <c r="D145"/>
  <c r="E145"/>
  <c r="F145"/>
  <c r="H145"/>
  <c r="J145"/>
  <c r="K145"/>
  <c r="L145" s="1"/>
  <c r="N145"/>
  <c r="O145"/>
  <c r="B146"/>
  <c r="D146"/>
  <c r="E146"/>
  <c r="F146"/>
  <c r="H146"/>
  <c r="J146"/>
  <c r="K146"/>
  <c r="L146" s="1"/>
  <c r="N146"/>
  <c r="O146"/>
  <c r="B147"/>
  <c r="D147"/>
  <c r="E147"/>
  <c r="F147"/>
  <c r="H147"/>
  <c r="J147"/>
  <c r="K147"/>
  <c r="L147" s="1"/>
  <c r="N147"/>
  <c r="O147"/>
  <c r="B148"/>
  <c r="D148"/>
  <c r="E148"/>
  <c r="F148"/>
  <c r="H148"/>
  <c r="J148"/>
  <c r="K148"/>
  <c r="L148" s="1"/>
  <c r="N148"/>
  <c r="O148"/>
  <c r="B149"/>
  <c r="D149"/>
  <c r="E149"/>
  <c r="F149"/>
  <c r="H149"/>
  <c r="J149"/>
  <c r="K149"/>
  <c r="L149" s="1"/>
  <c r="N149"/>
  <c r="O149"/>
  <c r="B150"/>
  <c r="D150"/>
  <c r="E150"/>
  <c r="F150"/>
  <c r="H150"/>
  <c r="J150"/>
  <c r="K150"/>
  <c r="L150" s="1"/>
  <c r="N150"/>
  <c r="O150"/>
  <c r="B151"/>
  <c r="D151"/>
  <c r="E151"/>
  <c r="F151"/>
  <c r="H151"/>
  <c r="J151"/>
  <c r="K151"/>
  <c r="L151" s="1"/>
  <c r="N151"/>
  <c r="O151"/>
  <c r="B152"/>
  <c r="D152"/>
  <c r="E152"/>
  <c r="F152"/>
  <c r="H152"/>
  <c r="J152"/>
  <c r="K152"/>
  <c r="L152" s="1"/>
  <c r="N152"/>
  <c r="O152"/>
  <c r="G138" l="1"/>
  <c r="G274"/>
  <c r="G231"/>
  <c r="G252"/>
  <c r="G239"/>
  <c r="G280"/>
  <c r="G259"/>
  <c r="G220"/>
  <c r="G211"/>
  <c r="G229"/>
  <c r="G222"/>
  <c r="G223"/>
  <c r="G186"/>
  <c r="G195"/>
  <c r="G188"/>
  <c r="G189"/>
  <c r="G187"/>
  <c r="I138"/>
  <c r="I252"/>
  <c r="I274"/>
  <c r="I239"/>
  <c r="I280"/>
  <c r="I259"/>
  <c r="I231"/>
  <c r="I223"/>
  <c r="I222"/>
  <c r="I211"/>
  <c r="I229"/>
  <c r="I220"/>
  <c r="I186"/>
  <c r="I189"/>
  <c r="I187"/>
  <c r="I195"/>
  <c r="I188"/>
  <c r="M142"/>
  <c r="M150"/>
  <c r="M134"/>
  <c r="M152"/>
  <c r="M146"/>
  <c r="M138"/>
  <c r="M149"/>
  <c r="M148"/>
  <c r="M145"/>
  <c r="M144"/>
  <c r="M141"/>
  <c r="M140"/>
  <c r="M137"/>
  <c r="M136"/>
  <c r="M133"/>
  <c r="M147"/>
  <c r="M143"/>
  <c r="M139"/>
  <c r="M135"/>
  <c r="M151"/>
  <c r="O132"/>
  <c r="N132"/>
  <c r="K132"/>
  <c r="L132" s="1"/>
  <c r="J132"/>
  <c r="H132"/>
  <c r="F132"/>
  <c r="E132"/>
  <c r="D132"/>
  <c r="B132"/>
  <c r="O131"/>
  <c r="N131"/>
  <c r="K131"/>
  <c r="M131" s="1"/>
  <c r="J131"/>
  <c r="H131"/>
  <c r="F131"/>
  <c r="E131"/>
  <c r="D131"/>
  <c r="B131"/>
  <c r="O130"/>
  <c r="N130"/>
  <c r="K130"/>
  <c r="M130" s="1"/>
  <c r="J130"/>
  <c r="H130"/>
  <c r="F130"/>
  <c r="E130"/>
  <c r="D130"/>
  <c r="B130"/>
  <c r="O129"/>
  <c r="N129"/>
  <c r="K129"/>
  <c r="M129" s="1"/>
  <c r="J129"/>
  <c r="H129"/>
  <c r="F129"/>
  <c r="E129"/>
  <c r="D129"/>
  <c r="B129"/>
  <c r="O128"/>
  <c r="N128"/>
  <c r="K128"/>
  <c r="M128" s="1"/>
  <c r="J128"/>
  <c r="H128"/>
  <c r="F128"/>
  <c r="E128"/>
  <c r="D128"/>
  <c r="B128"/>
  <c r="O127"/>
  <c r="N127"/>
  <c r="K127"/>
  <c r="M127" s="1"/>
  <c r="J127"/>
  <c r="H127"/>
  <c r="F127"/>
  <c r="E127"/>
  <c r="D127"/>
  <c r="B127"/>
  <c r="O126"/>
  <c r="N126"/>
  <c r="K126"/>
  <c r="M126" s="1"/>
  <c r="J126"/>
  <c r="H126"/>
  <c r="F126"/>
  <c r="E126"/>
  <c r="D126"/>
  <c r="B126"/>
  <c r="O125"/>
  <c r="N125"/>
  <c r="K125"/>
  <c r="M125" s="1"/>
  <c r="J125"/>
  <c r="H125"/>
  <c r="F125"/>
  <c r="E125"/>
  <c r="D125"/>
  <c r="B125"/>
  <c r="O124"/>
  <c r="N124"/>
  <c r="J124"/>
  <c r="H124"/>
  <c r="F124"/>
  <c r="E124"/>
  <c r="D124"/>
  <c r="B124"/>
  <c r="O123"/>
  <c r="N123"/>
  <c r="J123"/>
  <c r="H123"/>
  <c r="F123"/>
  <c r="E123"/>
  <c r="D123"/>
  <c r="B123"/>
  <c r="O122"/>
  <c r="N122"/>
  <c r="J122"/>
  <c r="H122"/>
  <c r="F122"/>
  <c r="E122"/>
  <c r="D122"/>
  <c r="B122"/>
  <c r="O121"/>
  <c r="N121"/>
  <c r="J121"/>
  <c r="H121"/>
  <c r="F121"/>
  <c r="E121"/>
  <c r="D121"/>
  <c r="B121"/>
  <c r="O120"/>
  <c r="N120"/>
  <c r="J120"/>
  <c r="H120"/>
  <c r="F120"/>
  <c r="E120"/>
  <c r="D120"/>
  <c r="B120"/>
  <c r="O119"/>
  <c r="N119"/>
  <c r="J119"/>
  <c r="H119"/>
  <c r="F119"/>
  <c r="E119"/>
  <c r="D119"/>
  <c r="B119"/>
  <c r="O118"/>
  <c r="N118"/>
  <c r="J118"/>
  <c r="H118"/>
  <c r="F118"/>
  <c r="E118"/>
  <c r="D118"/>
  <c r="B118"/>
  <c r="O117"/>
  <c r="N117"/>
  <c r="J117"/>
  <c r="H117"/>
  <c r="F117"/>
  <c r="E117"/>
  <c r="D117"/>
  <c r="B117"/>
  <c r="O116"/>
  <c r="N116"/>
  <c r="J116"/>
  <c r="H116"/>
  <c r="F116"/>
  <c r="E116"/>
  <c r="D116"/>
  <c r="B116"/>
  <c r="O115"/>
  <c r="N115"/>
  <c r="J115"/>
  <c r="H115"/>
  <c r="F115"/>
  <c r="E115"/>
  <c r="D115"/>
  <c r="B115"/>
  <c r="O114"/>
  <c r="N114"/>
  <c r="J114"/>
  <c r="H114"/>
  <c r="F114"/>
  <c r="E114"/>
  <c r="D114"/>
  <c r="B114"/>
  <c r="O113"/>
  <c r="N113"/>
  <c r="J113"/>
  <c r="H113"/>
  <c r="F113"/>
  <c r="E113"/>
  <c r="D113"/>
  <c r="B113"/>
  <c r="O112"/>
  <c r="N112"/>
  <c r="J112"/>
  <c r="H112"/>
  <c r="F112"/>
  <c r="E112"/>
  <c r="D112"/>
  <c r="B112"/>
  <c r="O111"/>
  <c r="N111"/>
  <c r="J111"/>
  <c r="H111"/>
  <c r="F111"/>
  <c r="E111"/>
  <c r="D111"/>
  <c r="B111"/>
  <c r="O110"/>
  <c r="N110"/>
  <c r="J110"/>
  <c r="H110"/>
  <c r="F110"/>
  <c r="E110"/>
  <c r="D110"/>
  <c r="B110"/>
  <c r="O109"/>
  <c r="N109"/>
  <c r="K109"/>
  <c r="L109" s="1"/>
  <c r="J109"/>
  <c r="H109"/>
  <c r="F109"/>
  <c r="E109"/>
  <c r="D109"/>
  <c r="B109"/>
  <c r="O108"/>
  <c r="N108"/>
  <c r="K108"/>
  <c r="M108" s="1"/>
  <c r="J108"/>
  <c r="H108"/>
  <c r="F108"/>
  <c r="E108"/>
  <c r="D108"/>
  <c r="B108"/>
  <c r="E142" i="4"/>
  <c r="D142"/>
  <c r="L108" i="3" l="1"/>
  <c r="L128"/>
  <c r="L126"/>
  <c r="L130"/>
  <c r="L125"/>
  <c r="L127"/>
  <c r="L129"/>
  <c r="L131"/>
  <c r="M132"/>
  <c r="M109"/>
  <c r="K69" l="1"/>
  <c r="M69" s="1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  <c r="F107"/>
  <c r="L69" l="1"/>
  <c r="I38" i="1"/>
  <c r="K38" s="1"/>
  <c r="I37"/>
  <c r="K37" s="1"/>
  <c r="I36"/>
  <c r="K36" s="1"/>
  <c r="I31"/>
  <c r="K31" s="1"/>
  <c r="I29"/>
  <c r="K29" s="1"/>
  <c r="I28"/>
  <c r="K28" s="1"/>
  <c r="I27"/>
  <c r="K27" s="1"/>
  <c r="I26"/>
  <c r="K26" s="1"/>
  <c r="I24"/>
  <c r="K24" s="1"/>
  <c r="I23"/>
  <c r="K23" s="1"/>
  <c r="I22"/>
  <c r="K22" s="1"/>
  <c r="I21"/>
  <c r="K21" s="1"/>
  <c r="I20"/>
  <c r="K20" s="1"/>
  <c r="I32"/>
  <c r="K32" s="1"/>
  <c r="I17"/>
  <c r="K17" s="1"/>
  <c r="I15"/>
  <c r="K15" s="1"/>
  <c r="I14"/>
  <c r="K14" s="1"/>
  <c r="I13"/>
  <c r="K13" s="1"/>
  <c r="I12"/>
  <c r="K12" s="1"/>
  <c r="I11"/>
  <c r="K11" s="1"/>
  <c r="I10"/>
  <c r="K10" s="1"/>
  <c r="I9"/>
  <c r="K9" s="1"/>
  <c r="I8"/>
  <c r="K8" s="1"/>
  <c r="I7"/>
  <c r="K7" s="1"/>
  <c r="N3" i="3" l="1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2"/>
  <c r="A3" i="8"/>
  <c r="A4" s="1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E3"/>
  <c r="E4" s="1"/>
  <c r="E5" s="1"/>
  <c r="E6" s="1"/>
  <c r="E7" s="1"/>
  <c r="E8" s="1"/>
  <c r="D3"/>
  <c r="F37"/>
  <c r="F72"/>
  <c r="F100"/>
  <c r="F135"/>
  <c r="F163"/>
  <c r="F191"/>
  <c r="F9"/>
  <c r="E16"/>
  <c r="E17" s="1"/>
  <c r="E18" s="1"/>
  <c r="E19" s="1"/>
  <c r="E20" s="1"/>
  <c r="E21" s="1"/>
  <c r="E22" s="1"/>
  <c r="E10"/>
  <c r="E11" s="1"/>
  <c r="E12" s="1"/>
  <c r="E13" s="1"/>
  <c r="E14" s="1"/>
  <c r="E15" s="1"/>
  <c r="D10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D35" s="1"/>
  <c r="D36" s="1"/>
  <c r="D38" s="1"/>
  <c r="D39" s="1"/>
  <c r="D40" s="1"/>
  <c r="D41" s="1"/>
  <c r="D42" s="1"/>
  <c r="D43" s="1"/>
  <c r="D44" s="1"/>
  <c r="D45" s="1"/>
  <c r="D46" s="1"/>
  <c r="D47" s="1"/>
  <c r="D48" s="1"/>
  <c r="D49" s="1"/>
  <c r="D50" s="1"/>
  <c r="D51" s="1"/>
  <c r="D52" s="1"/>
  <c r="D53" s="1"/>
  <c r="D54" s="1"/>
  <c r="D55" s="1"/>
  <c r="D56" s="1"/>
  <c r="D57" s="1"/>
  <c r="D58" s="1"/>
  <c r="D59" s="1"/>
  <c r="D60" s="1"/>
  <c r="D61" s="1"/>
  <c r="D62" s="1"/>
  <c r="D63" s="1"/>
  <c r="D64" s="1"/>
  <c r="D65" s="1"/>
  <c r="D66" s="1"/>
  <c r="D67" s="1"/>
  <c r="D68" s="1"/>
  <c r="D69" s="1"/>
  <c r="D70" s="1"/>
  <c r="D71" s="1"/>
  <c r="D73" s="1"/>
  <c r="D74" s="1"/>
  <c r="D75" s="1"/>
  <c r="D76" s="1"/>
  <c r="D77" s="1"/>
  <c r="D78" s="1"/>
  <c r="D79" s="1"/>
  <c r="D80" s="1"/>
  <c r="D81" s="1"/>
  <c r="D82" s="1"/>
  <c r="D83" s="1"/>
  <c r="D84" s="1"/>
  <c r="D85" s="1"/>
  <c r="D86" s="1"/>
  <c r="D87" s="1"/>
  <c r="D88" s="1"/>
  <c r="D89" s="1"/>
  <c r="D90" s="1"/>
  <c r="D91" s="1"/>
  <c r="D92" s="1"/>
  <c r="D93" s="1"/>
  <c r="D94" s="1"/>
  <c r="D95" s="1"/>
  <c r="D96" s="1"/>
  <c r="D97" s="1"/>
  <c r="D98" s="1"/>
  <c r="D99" s="1"/>
  <c r="D101" s="1"/>
  <c r="D102" s="1"/>
  <c r="D103" s="1"/>
  <c r="D104" s="1"/>
  <c r="D105" s="1"/>
  <c r="D106" s="1"/>
  <c r="D107" s="1"/>
  <c r="D108" s="1"/>
  <c r="D109" s="1"/>
  <c r="D110" s="1"/>
  <c r="D111" s="1"/>
  <c r="D112" s="1"/>
  <c r="D113" s="1"/>
  <c r="D114" s="1"/>
  <c r="D115" s="1"/>
  <c r="D116" s="1"/>
  <c r="D117" s="1"/>
  <c r="D118" s="1"/>
  <c r="D119" s="1"/>
  <c r="D120" s="1"/>
  <c r="D121" s="1"/>
  <c r="D122" s="1"/>
  <c r="D123" s="1"/>
  <c r="D124" s="1"/>
  <c r="D125" s="1"/>
  <c r="D126" s="1"/>
  <c r="D127" s="1"/>
  <c r="D128" s="1"/>
  <c r="D129" s="1"/>
  <c r="D130" s="1"/>
  <c r="D131" s="1"/>
  <c r="D132" s="1"/>
  <c r="D133" s="1"/>
  <c r="D134" s="1"/>
  <c r="D136" s="1"/>
  <c r="D137" s="1"/>
  <c r="D138" s="1"/>
  <c r="D139" s="1"/>
  <c r="D140" s="1"/>
  <c r="D141" s="1"/>
  <c r="D142" s="1"/>
  <c r="D143" s="1"/>
  <c r="D144" s="1"/>
  <c r="D145" s="1"/>
  <c r="D146" s="1"/>
  <c r="D147" s="1"/>
  <c r="D148" s="1"/>
  <c r="D149" s="1"/>
  <c r="D150" s="1"/>
  <c r="D151" s="1"/>
  <c r="D152" s="1"/>
  <c r="D153" s="1"/>
  <c r="D154" s="1"/>
  <c r="D155" s="1"/>
  <c r="D156" s="1"/>
  <c r="D157" s="1"/>
  <c r="D158" s="1"/>
  <c r="D159" s="1"/>
  <c r="D160" s="1"/>
  <c r="D161" s="1"/>
  <c r="D162" s="1"/>
  <c r="D164" s="1"/>
  <c r="D165" s="1"/>
  <c r="D166" s="1"/>
  <c r="D167" s="1"/>
  <c r="D168" s="1"/>
  <c r="D169" s="1"/>
  <c r="D170" s="1"/>
  <c r="D171" s="1"/>
  <c r="D172" s="1"/>
  <c r="D173" s="1"/>
  <c r="D174" s="1"/>
  <c r="D175" s="1"/>
  <c r="D176" s="1"/>
  <c r="D177" s="1"/>
  <c r="D178" s="1"/>
  <c r="D179" s="1"/>
  <c r="D180" s="1"/>
  <c r="D181" s="1"/>
  <c r="D182" s="1"/>
  <c r="D183" s="1"/>
  <c r="D184" s="1"/>
  <c r="D185" s="1"/>
  <c r="D186" s="1"/>
  <c r="D187" s="1"/>
  <c r="D188" s="1"/>
  <c r="D189" s="1"/>
  <c r="D190" s="1"/>
  <c r="D192" s="1"/>
  <c r="D193" s="1"/>
  <c r="D194" s="1"/>
  <c r="D195" s="1"/>
  <c r="D196" s="1"/>
  <c r="D197" s="1"/>
  <c r="D198" s="1"/>
  <c r="A199" l="1"/>
  <c r="C198"/>
  <c r="B198"/>
  <c r="D199"/>
  <c r="F198"/>
  <c r="F10"/>
  <c r="C9"/>
  <c r="B9"/>
  <c r="C3"/>
  <c r="B3"/>
  <c r="F21"/>
  <c r="F19"/>
  <c r="F17"/>
  <c r="F15"/>
  <c r="F13"/>
  <c r="F11"/>
  <c r="D4"/>
  <c r="F3"/>
  <c r="F22"/>
  <c r="F20"/>
  <c r="F18"/>
  <c r="F16"/>
  <c r="F14"/>
  <c r="F12"/>
  <c r="B2"/>
  <c r="F2"/>
  <c r="C2"/>
  <c r="E23"/>
  <c r="E30" s="1"/>
  <c r="F30" s="1"/>
  <c r="B10"/>
  <c r="C10"/>
  <c r="E24" l="1"/>
  <c r="E25" s="1"/>
  <c r="E26" s="1"/>
  <c r="E27" s="1"/>
  <c r="F199"/>
  <c r="D200"/>
  <c r="A200"/>
  <c r="C199"/>
  <c r="B199"/>
  <c r="E31"/>
  <c r="F31" s="1"/>
  <c r="F23"/>
  <c r="E32"/>
  <c r="D5"/>
  <c r="F4"/>
  <c r="F26"/>
  <c r="F25"/>
  <c r="E28"/>
  <c r="F27"/>
  <c r="F24"/>
  <c r="C4"/>
  <c r="B4"/>
  <c r="E44"/>
  <c r="F44" s="1"/>
  <c r="E38"/>
  <c r="C11"/>
  <c r="B11"/>
  <c r="T24" i="1"/>
  <c r="A201" i="8" l="1"/>
  <c r="C200"/>
  <c r="B200"/>
  <c r="D201"/>
  <c r="F200"/>
  <c r="E39"/>
  <c r="F38"/>
  <c r="C5"/>
  <c r="B5"/>
  <c r="E29"/>
  <c r="F29" s="1"/>
  <c r="F28"/>
  <c r="D6"/>
  <c r="F5"/>
  <c r="E33"/>
  <c r="F32"/>
  <c r="E51"/>
  <c r="F51" s="1"/>
  <c r="E45"/>
  <c r="B12"/>
  <c r="C12"/>
  <c r="D202" l="1"/>
  <c r="F201"/>
  <c r="A202"/>
  <c r="C201"/>
  <c r="B201"/>
  <c r="E34"/>
  <c r="F33"/>
  <c r="D7"/>
  <c r="F6"/>
  <c r="C6"/>
  <c r="B6"/>
  <c r="E40"/>
  <c r="F39"/>
  <c r="E46"/>
  <c r="F45"/>
  <c r="E58"/>
  <c r="F58" s="1"/>
  <c r="E52"/>
  <c r="C13"/>
  <c r="B13"/>
  <c r="J39" i="1"/>
  <c r="T32"/>
  <c r="T31"/>
  <c r="T30"/>
  <c r="T29"/>
  <c r="T28"/>
  <c r="T27"/>
  <c r="T26"/>
  <c r="T25"/>
  <c r="T23"/>
  <c r="T22"/>
  <c r="T21"/>
  <c r="T20"/>
  <c r="T19"/>
  <c r="T18"/>
  <c r="T16"/>
  <c r="T15"/>
  <c r="T14"/>
  <c r="T13"/>
  <c r="T12"/>
  <c r="T11"/>
  <c r="T10"/>
  <c r="T9"/>
  <c r="T8"/>
  <c r="T7"/>
  <c r="A203" i="8" l="1"/>
  <c r="C202"/>
  <c r="B202"/>
  <c r="F202"/>
  <c r="D203"/>
  <c r="E53"/>
  <c r="F52"/>
  <c r="C7"/>
  <c r="B7"/>
  <c r="D8"/>
  <c r="F8" s="1"/>
  <c r="F7"/>
  <c r="E35"/>
  <c r="F34"/>
  <c r="E47"/>
  <c r="F46"/>
  <c r="E41"/>
  <c r="F40"/>
  <c r="E65"/>
  <c r="F65" s="1"/>
  <c r="E59"/>
  <c r="B14"/>
  <c r="C14"/>
  <c r="T17" i="1"/>
  <c r="G25" i="7"/>
  <c r="F25"/>
  <c r="C23"/>
  <c r="B23"/>
  <c r="F203" i="8" l="1"/>
  <c r="D204"/>
  <c r="A204"/>
  <c r="C203"/>
  <c r="B203"/>
  <c r="E36"/>
  <c r="F36" s="1"/>
  <c r="F35"/>
  <c r="C8"/>
  <c r="B8"/>
  <c r="E54"/>
  <c r="F53"/>
  <c r="E42"/>
  <c r="F41"/>
  <c r="E48"/>
  <c r="F47"/>
  <c r="E60"/>
  <c r="F59"/>
  <c r="E66"/>
  <c r="C15"/>
  <c r="B15"/>
  <c r="D205" l="1"/>
  <c r="F204"/>
  <c r="A205"/>
  <c r="C204"/>
  <c r="B204"/>
  <c r="E67"/>
  <c r="F66"/>
  <c r="E61"/>
  <c r="F60"/>
  <c r="E49"/>
  <c r="F48"/>
  <c r="E43"/>
  <c r="F43" s="1"/>
  <c r="F42"/>
  <c r="E55"/>
  <c r="F54"/>
  <c r="E79"/>
  <c r="F79" s="1"/>
  <c r="E73"/>
  <c r="B16"/>
  <c r="C16"/>
  <c r="A206" l="1"/>
  <c r="C205"/>
  <c r="B205"/>
  <c r="D206"/>
  <c r="F205"/>
  <c r="E74"/>
  <c r="F73"/>
  <c r="E56"/>
  <c r="F55"/>
  <c r="E50"/>
  <c r="F50" s="1"/>
  <c r="F49"/>
  <c r="E62"/>
  <c r="F61"/>
  <c r="E68"/>
  <c r="F67"/>
  <c r="E86"/>
  <c r="F86" s="1"/>
  <c r="E80"/>
  <c r="C17"/>
  <c r="B17"/>
  <c r="O3" i="3"/>
  <c r="O4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2"/>
  <c r="Z6" i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Z37" s="1"/>
  <c r="Z38" s="1"/>
  <c r="Z39" s="1"/>
  <c r="Z40" s="1"/>
  <c r="Z41" s="1"/>
  <c r="Z42" s="1"/>
  <c r="Z43" s="1"/>
  <c r="Z44" s="1"/>
  <c r="Z45" s="1"/>
  <c r="Z46" s="1"/>
  <c r="Z47" s="1"/>
  <c r="Z48" s="1"/>
  <c r="Z49" s="1"/>
  <c r="Z50" s="1"/>
  <c r="Z51" s="1"/>
  <c r="Z52" s="1"/>
  <c r="Z53" s="1"/>
  <c r="Z54" s="1"/>
  <c r="Z55" s="1"/>
  <c r="Z56" s="1"/>
  <c r="Z57" s="1"/>
  <c r="Z58" s="1"/>
  <c r="Z59" s="1"/>
  <c r="Z60" s="1"/>
  <c r="Z61" s="1"/>
  <c r="Z62" s="1"/>
  <c r="Z63" s="1"/>
  <c r="Z64" s="1"/>
  <c r="Z65" s="1"/>
  <c r="Z66" s="1"/>
  <c r="Z67" s="1"/>
  <c r="Z68" s="1"/>
  <c r="Z69" s="1"/>
  <c r="Z70" s="1"/>
  <c r="Z71" s="1"/>
  <c r="Z72" s="1"/>
  <c r="Z73" s="1"/>
  <c r="Z74" s="1"/>
  <c r="Z75" s="1"/>
  <c r="Z76" s="1"/>
  <c r="Z77" s="1"/>
  <c r="Z78" s="1"/>
  <c r="Z79" s="1"/>
  <c r="Z80" s="1"/>
  <c r="Z81" s="1"/>
  <c r="Z82" s="1"/>
  <c r="Z83" s="1"/>
  <c r="Z84" s="1"/>
  <c r="Z85" s="1"/>
  <c r="Z86" s="1"/>
  <c r="Z87" s="1"/>
  <c r="Z88" s="1"/>
  <c r="Z89" s="1"/>
  <c r="Z90" s="1"/>
  <c r="Z91" s="1"/>
  <c r="Z92" s="1"/>
  <c r="Z93" s="1"/>
  <c r="Z94" s="1"/>
  <c r="Z95" s="1"/>
  <c r="Y6"/>
  <c r="Y7" s="1"/>
  <c r="L39"/>
  <c r="K39"/>
  <c r="E162" i="4"/>
  <c r="D162"/>
  <c r="E161"/>
  <c r="D161"/>
  <c r="E160"/>
  <c r="D160"/>
  <c r="E159"/>
  <c r="D159"/>
  <c r="E158"/>
  <c r="D158"/>
  <c r="E157"/>
  <c r="D157"/>
  <c r="E156"/>
  <c r="D156"/>
  <c r="E155"/>
  <c r="D155"/>
  <c r="E154"/>
  <c r="D154"/>
  <c r="E153"/>
  <c r="D153"/>
  <c r="E152"/>
  <c r="D152"/>
  <c r="E151"/>
  <c r="D151"/>
  <c r="E150"/>
  <c r="D150"/>
  <c r="E149"/>
  <c r="D149"/>
  <c r="E148"/>
  <c r="D148"/>
  <c r="E147"/>
  <c r="D147"/>
  <c r="E146"/>
  <c r="D146"/>
  <c r="E145"/>
  <c r="D145"/>
  <c r="E144"/>
  <c r="D144"/>
  <c r="E143"/>
  <c r="D143"/>
  <c r="E141"/>
  <c r="D141"/>
  <c r="E140"/>
  <c r="D140"/>
  <c r="E139"/>
  <c r="D139"/>
  <c r="E138"/>
  <c r="D138"/>
  <c r="E137"/>
  <c r="D137"/>
  <c r="E136"/>
  <c r="D136"/>
  <c r="E135"/>
  <c r="D135"/>
  <c r="E134"/>
  <c r="D134"/>
  <c r="E133"/>
  <c r="D133"/>
  <c r="E132"/>
  <c r="D132"/>
  <c r="E131"/>
  <c r="D131"/>
  <c r="E130"/>
  <c r="D130"/>
  <c r="E129"/>
  <c r="D129"/>
  <c r="E128"/>
  <c r="D128"/>
  <c r="E127"/>
  <c r="D127"/>
  <c r="E126"/>
  <c r="D126"/>
  <c r="E125"/>
  <c r="D125"/>
  <c r="E124"/>
  <c r="D124"/>
  <c r="E123"/>
  <c r="D123"/>
  <c r="E122"/>
  <c r="D122"/>
  <c r="E121"/>
  <c r="D121"/>
  <c r="E120"/>
  <c r="D120"/>
  <c r="E119"/>
  <c r="D119"/>
  <c r="E118"/>
  <c r="D118"/>
  <c r="E117"/>
  <c r="D117"/>
  <c r="E116"/>
  <c r="D116"/>
  <c r="AF114"/>
  <c r="AF113"/>
  <c r="AF112"/>
  <c r="AF111"/>
  <c r="E111"/>
  <c r="D111"/>
  <c r="AF110"/>
  <c r="E110"/>
  <c r="D110"/>
  <c r="AF109"/>
  <c r="E109"/>
  <c r="D109"/>
  <c r="AF108"/>
  <c r="E108"/>
  <c r="D108"/>
  <c r="AF107"/>
  <c r="E107"/>
  <c r="D107"/>
  <c r="AF106"/>
  <c r="E106"/>
  <c r="D106"/>
  <c r="AF105"/>
  <c r="E105"/>
  <c r="D105"/>
  <c r="E104"/>
  <c r="D104"/>
  <c r="E103"/>
  <c r="D103"/>
  <c r="AF102"/>
  <c r="E102"/>
  <c r="D102"/>
  <c r="E101"/>
  <c r="D101"/>
  <c r="E100"/>
  <c r="D100"/>
  <c r="E99"/>
  <c r="D99"/>
  <c r="AF98"/>
  <c r="E98"/>
  <c r="D98"/>
  <c r="AF97"/>
  <c r="E97"/>
  <c r="D97"/>
  <c r="AF96"/>
  <c r="E96"/>
  <c r="D96"/>
  <c r="AF95"/>
  <c r="E95"/>
  <c r="D95"/>
  <c r="AF94"/>
  <c r="E94"/>
  <c r="D94"/>
  <c r="AF93"/>
  <c r="E93"/>
  <c r="D93"/>
  <c r="AF92"/>
  <c r="E92"/>
  <c r="D92"/>
  <c r="AF91"/>
  <c r="E91"/>
  <c r="D91"/>
  <c r="AF90"/>
  <c r="E90"/>
  <c r="D90"/>
  <c r="AF89"/>
  <c r="E89"/>
  <c r="D89"/>
  <c r="AF88"/>
  <c r="E88"/>
  <c r="D88"/>
  <c r="AF87"/>
  <c r="E87"/>
  <c r="D87"/>
  <c r="AF86"/>
  <c r="E86"/>
  <c r="D86"/>
  <c r="AF85"/>
  <c r="E85"/>
  <c r="D85"/>
  <c r="AF84"/>
  <c r="E84"/>
  <c r="D84"/>
  <c r="AF83"/>
  <c r="E83"/>
  <c r="D83"/>
  <c r="AF82"/>
  <c r="E82"/>
  <c r="D82"/>
  <c r="AF81"/>
  <c r="E81"/>
  <c r="D81"/>
  <c r="AF80"/>
  <c r="E80"/>
  <c r="D80"/>
  <c r="AF79"/>
  <c r="E79"/>
  <c r="D79"/>
  <c r="AF78"/>
  <c r="E78"/>
  <c r="D78"/>
  <c r="AF77"/>
  <c r="E77"/>
  <c r="D77"/>
  <c r="AF76"/>
  <c r="E76"/>
  <c r="D76"/>
  <c r="AF75"/>
  <c r="E75"/>
  <c r="D75"/>
  <c r="AF74"/>
  <c r="E74"/>
  <c r="D74"/>
  <c r="AF73"/>
  <c r="E73"/>
  <c r="D73"/>
  <c r="AF72"/>
  <c r="E72"/>
  <c r="D72"/>
  <c r="AF71"/>
  <c r="E71"/>
  <c r="D71"/>
  <c r="AF70"/>
  <c r="E70"/>
  <c r="D70"/>
  <c r="AF69"/>
  <c r="E69"/>
  <c r="D69"/>
  <c r="AF68"/>
  <c r="E68"/>
  <c r="D68"/>
  <c r="AF67"/>
  <c r="E67"/>
  <c r="D67"/>
  <c r="AF66"/>
  <c r="E66"/>
  <c r="D66"/>
  <c r="AF65"/>
  <c r="E65"/>
  <c r="D65"/>
  <c r="AF64"/>
  <c r="E64"/>
  <c r="D64"/>
  <c r="AF63"/>
  <c r="E63"/>
  <c r="D63"/>
  <c r="AF62"/>
  <c r="E62"/>
  <c r="D62"/>
  <c r="AF61"/>
  <c r="E61"/>
  <c r="D61"/>
  <c r="AF60"/>
  <c r="E60"/>
  <c r="D60"/>
  <c r="AF59"/>
  <c r="E59"/>
  <c r="D59"/>
  <c r="AF58"/>
  <c r="E58"/>
  <c r="D58"/>
  <c r="AF57"/>
  <c r="E57"/>
  <c r="D57"/>
  <c r="AF56"/>
  <c r="E56"/>
  <c r="D56"/>
  <c r="AF55"/>
  <c r="E55"/>
  <c r="D55"/>
  <c r="AF54"/>
  <c r="E54"/>
  <c r="D54"/>
  <c r="AF53"/>
  <c r="E53"/>
  <c r="D53"/>
  <c r="AF52"/>
  <c r="E52"/>
  <c r="D52"/>
  <c r="AF51"/>
  <c r="E51"/>
  <c r="AF50"/>
  <c r="M50"/>
  <c r="E50"/>
  <c r="AF49"/>
  <c r="M49"/>
  <c r="E49"/>
  <c r="AF48"/>
  <c r="M48"/>
  <c r="E48"/>
  <c r="AF47"/>
  <c r="M47"/>
  <c r="E47"/>
  <c r="AF46"/>
  <c r="M46"/>
  <c r="E46"/>
  <c r="AF45"/>
  <c r="M45"/>
  <c r="E45"/>
  <c r="AF44"/>
  <c r="M44"/>
  <c r="E44"/>
  <c r="AF43"/>
  <c r="M43"/>
  <c r="E43"/>
  <c r="AF42"/>
  <c r="M42"/>
  <c r="E42"/>
  <c r="AF41"/>
  <c r="M41"/>
  <c r="E41"/>
  <c r="AF40"/>
  <c r="M40"/>
  <c r="E40"/>
  <c r="AF39"/>
  <c r="M39"/>
  <c r="E39"/>
  <c r="AF38"/>
  <c r="M38"/>
  <c r="E38"/>
  <c r="AF37"/>
  <c r="M37"/>
  <c r="E37"/>
  <c r="AL36"/>
  <c r="AF36"/>
  <c r="E36"/>
  <c r="AL35"/>
  <c r="AF35"/>
  <c r="E35"/>
  <c r="AL34"/>
  <c r="AF34"/>
  <c r="M34"/>
  <c r="E34"/>
  <c r="AL33"/>
  <c r="AF33"/>
  <c r="M33"/>
  <c r="E33"/>
  <c r="AF32"/>
  <c r="M32"/>
  <c r="E32"/>
  <c r="AL31"/>
  <c r="AF31"/>
  <c r="M31"/>
  <c r="E31"/>
  <c r="AL30"/>
  <c r="AF30"/>
  <c r="M30"/>
  <c r="E30"/>
  <c r="AL29"/>
  <c r="AF29"/>
  <c r="M29"/>
  <c r="E29"/>
  <c r="AL28"/>
  <c r="AF28"/>
  <c r="M28"/>
  <c r="E28"/>
  <c r="AL27"/>
  <c r="AF27"/>
  <c r="M27"/>
  <c r="E27"/>
  <c r="AL26"/>
  <c r="AF26"/>
  <c r="M26"/>
  <c r="E26"/>
  <c r="AL25"/>
  <c r="AF25"/>
  <c r="M25"/>
  <c r="E25"/>
  <c r="AL24"/>
  <c r="AF24"/>
  <c r="M24"/>
  <c r="E24"/>
  <c r="AF23"/>
  <c r="M23"/>
  <c r="E23"/>
  <c r="AL22"/>
  <c r="AF22"/>
  <c r="M22"/>
  <c r="E22"/>
  <c r="AL21"/>
  <c r="AF21"/>
  <c r="M21"/>
  <c r="E21"/>
  <c r="AX20"/>
  <c r="AL20"/>
  <c r="AF20"/>
  <c r="M20"/>
  <c r="E20"/>
  <c r="AX19"/>
  <c r="AL19"/>
  <c r="AF19"/>
  <c r="M19"/>
  <c r="E19"/>
  <c r="AX18"/>
  <c r="AL18"/>
  <c r="AF18"/>
  <c r="M18"/>
  <c r="E18"/>
  <c r="AX17"/>
  <c r="AL17"/>
  <c r="AF17"/>
  <c r="M17"/>
  <c r="E17"/>
  <c r="AX16"/>
  <c r="AL16"/>
  <c r="AF16"/>
  <c r="M16"/>
  <c r="E16"/>
  <c r="AX15"/>
  <c r="AL15"/>
  <c r="AF15"/>
  <c r="M15"/>
  <c r="E15"/>
  <c r="AX14"/>
  <c r="AL14"/>
  <c r="AF14"/>
  <c r="M14"/>
  <c r="E14"/>
  <c r="AX13"/>
  <c r="AF13"/>
  <c r="Y13"/>
  <c r="T13"/>
  <c r="M13"/>
  <c r="E13"/>
  <c r="AX12"/>
  <c r="AL12"/>
  <c r="AF12"/>
  <c r="Y12"/>
  <c r="T12"/>
  <c r="M12"/>
  <c r="E12"/>
  <c r="AX11"/>
  <c r="AL11"/>
  <c r="AF11"/>
  <c r="Y11"/>
  <c r="T11"/>
  <c r="M11"/>
  <c r="E11"/>
  <c r="D11"/>
  <c r="AX10"/>
  <c r="AL10"/>
  <c r="AF10"/>
  <c r="Y10"/>
  <c r="T10"/>
  <c r="M10"/>
  <c r="E10"/>
  <c r="D10"/>
  <c r="AX9"/>
  <c r="AT9"/>
  <c r="AL9"/>
  <c r="AF9"/>
  <c r="Y9"/>
  <c r="T9"/>
  <c r="M9"/>
  <c r="E9"/>
  <c r="AX8"/>
  <c r="AT8"/>
  <c r="AL8"/>
  <c r="AF8"/>
  <c r="Y8"/>
  <c r="T8"/>
  <c r="M8"/>
  <c r="E8"/>
  <c r="D8"/>
  <c r="AX7"/>
  <c r="AT7"/>
  <c r="AL7"/>
  <c r="AF7"/>
  <c r="Y7"/>
  <c r="T7"/>
  <c r="M7"/>
  <c r="E7"/>
  <c r="D7"/>
  <c r="AX6"/>
  <c r="AT6"/>
  <c r="AP6"/>
  <c r="AL6"/>
  <c r="AF6"/>
  <c r="Y6"/>
  <c r="T6"/>
  <c r="M6"/>
  <c r="E6"/>
  <c r="D6"/>
  <c r="AX5"/>
  <c r="AT5"/>
  <c r="AP5"/>
  <c r="AL5"/>
  <c r="AF5"/>
  <c r="Y5"/>
  <c r="T5"/>
  <c r="M5"/>
  <c r="E5"/>
  <c r="D5"/>
  <c r="AX4"/>
  <c r="AT4"/>
  <c r="AP4"/>
  <c r="AL4"/>
  <c r="AF4"/>
  <c r="Y4"/>
  <c r="T4"/>
  <c r="M4"/>
  <c r="E4"/>
  <c r="D4"/>
  <c r="B89" i="3"/>
  <c r="D89"/>
  <c r="E89"/>
  <c r="H89"/>
  <c r="J89"/>
  <c r="K89"/>
  <c r="M89" s="1"/>
  <c r="B90"/>
  <c r="D90"/>
  <c r="E90"/>
  <c r="H90"/>
  <c r="J90"/>
  <c r="K90"/>
  <c r="M90" s="1"/>
  <c r="B91"/>
  <c r="D91"/>
  <c r="E91"/>
  <c r="H91"/>
  <c r="J91"/>
  <c r="K91"/>
  <c r="M91" s="1"/>
  <c r="B92"/>
  <c r="D92"/>
  <c r="E92"/>
  <c r="H92"/>
  <c r="J92"/>
  <c r="K92"/>
  <c r="M92" s="1"/>
  <c r="B93"/>
  <c r="D93"/>
  <c r="E93"/>
  <c r="H93"/>
  <c r="J93"/>
  <c r="K93"/>
  <c r="M93" s="1"/>
  <c r="B94"/>
  <c r="D94"/>
  <c r="E94"/>
  <c r="H94"/>
  <c r="J94"/>
  <c r="K94"/>
  <c r="M94" s="1"/>
  <c r="B95"/>
  <c r="D95"/>
  <c r="E95"/>
  <c r="H95"/>
  <c r="J95"/>
  <c r="K95"/>
  <c r="M95" s="1"/>
  <c r="B96"/>
  <c r="D96"/>
  <c r="E96"/>
  <c r="H96"/>
  <c r="J96"/>
  <c r="K96"/>
  <c r="M96" s="1"/>
  <c r="B97"/>
  <c r="D97"/>
  <c r="E97"/>
  <c r="H97"/>
  <c r="J97"/>
  <c r="K97"/>
  <c r="M97" s="1"/>
  <c r="B98"/>
  <c r="D98"/>
  <c r="E98"/>
  <c r="H98"/>
  <c r="J98"/>
  <c r="K98"/>
  <c r="M98" s="1"/>
  <c r="B99"/>
  <c r="D99"/>
  <c r="E99"/>
  <c r="H99"/>
  <c r="J99"/>
  <c r="K99"/>
  <c r="M99" s="1"/>
  <c r="B100"/>
  <c r="D100"/>
  <c r="E100"/>
  <c r="H100"/>
  <c r="J100"/>
  <c r="K100"/>
  <c r="M100" s="1"/>
  <c r="B101"/>
  <c r="D101"/>
  <c r="E101"/>
  <c r="H101"/>
  <c r="J101"/>
  <c r="K101"/>
  <c r="M101" s="1"/>
  <c r="B102"/>
  <c r="D102"/>
  <c r="E102"/>
  <c r="H102"/>
  <c r="J102"/>
  <c r="K102"/>
  <c r="M102" s="1"/>
  <c r="B103"/>
  <c r="D103"/>
  <c r="E103"/>
  <c r="H103"/>
  <c r="J103"/>
  <c r="K103"/>
  <c r="M103" s="1"/>
  <c r="B104"/>
  <c r="D104"/>
  <c r="E104"/>
  <c r="H104"/>
  <c r="J104"/>
  <c r="K104"/>
  <c r="M104" s="1"/>
  <c r="B105"/>
  <c r="D105"/>
  <c r="E105"/>
  <c r="H105"/>
  <c r="J105"/>
  <c r="K105"/>
  <c r="M105" s="1"/>
  <c r="B106"/>
  <c r="D106"/>
  <c r="E106"/>
  <c r="H106"/>
  <c r="J106"/>
  <c r="K106"/>
  <c r="M106" s="1"/>
  <c r="B107"/>
  <c r="D107"/>
  <c r="E107"/>
  <c r="H107"/>
  <c r="J107"/>
  <c r="K107"/>
  <c r="M107" s="1"/>
  <c r="D207" i="8" l="1"/>
  <c r="F206"/>
  <c r="A207"/>
  <c r="C206"/>
  <c r="B206"/>
  <c r="Z96" i="1"/>
  <c r="E81" i="8"/>
  <c r="F80"/>
  <c r="E69"/>
  <c r="F68"/>
  <c r="E63"/>
  <c r="F62"/>
  <c r="E57"/>
  <c r="F57" s="1"/>
  <c r="F56"/>
  <c r="E75"/>
  <c r="F74"/>
  <c r="L107" i="3"/>
  <c r="L106"/>
  <c r="L105"/>
  <c r="L104"/>
  <c r="L103"/>
  <c r="L102"/>
  <c r="L101"/>
  <c r="L100"/>
  <c r="L99"/>
  <c r="L98"/>
  <c r="L97"/>
  <c r="L96"/>
  <c r="L95"/>
  <c r="L94"/>
  <c r="L93"/>
  <c r="L92"/>
  <c r="L91"/>
  <c r="L90"/>
  <c r="L89"/>
  <c r="E93" i="8"/>
  <c r="F93" s="1"/>
  <c r="E87"/>
  <c r="B18"/>
  <c r="C18"/>
  <c r="X7" i="1"/>
  <c r="X6"/>
  <c r="Y8"/>
  <c r="X8" s="1"/>
  <c r="A208" i="8" l="1"/>
  <c r="C207"/>
  <c r="B207"/>
  <c r="D208"/>
  <c r="F207"/>
  <c r="Z97" i="1"/>
  <c r="E88" i="8"/>
  <c r="F87"/>
  <c r="E76"/>
  <c r="F75"/>
  <c r="E64"/>
  <c r="F64" s="1"/>
  <c r="F63"/>
  <c r="E70"/>
  <c r="F69"/>
  <c r="E82"/>
  <c r="F81"/>
  <c r="E94"/>
  <c r="C19"/>
  <c r="B19"/>
  <c r="Y9" i="1"/>
  <c r="X9" s="1"/>
  <c r="D209" i="8" l="1"/>
  <c r="F208"/>
  <c r="A209"/>
  <c r="C208"/>
  <c r="B208"/>
  <c r="Z98" i="1"/>
  <c r="E83" i="8"/>
  <c r="F82"/>
  <c r="E71"/>
  <c r="F71" s="1"/>
  <c r="F70"/>
  <c r="E77"/>
  <c r="F76"/>
  <c r="E89"/>
  <c r="F88"/>
  <c r="E95"/>
  <c r="F94"/>
  <c r="E107"/>
  <c r="F107" s="1"/>
  <c r="E101"/>
  <c r="B20"/>
  <c r="C20"/>
  <c r="Y10" i="1"/>
  <c r="X10" s="1"/>
  <c r="J7" i="2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6"/>
  <c r="J3" i="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2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2"/>
  <c r="B2"/>
  <c r="I124" l="1"/>
  <c r="I764"/>
  <c r="I755"/>
  <c r="I754"/>
  <c r="I762"/>
  <c r="I760"/>
  <c r="I759"/>
  <c r="I757"/>
  <c r="I735"/>
  <c r="I731"/>
  <c r="I727"/>
  <c r="I723"/>
  <c r="I719"/>
  <c r="I715"/>
  <c r="I711"/>
  <c r="I707"/>
  <c r="I703"/>
  <c r="I699"/>
  <c r="I734"/>
  <c r="I732"/>
  <c r="I730"/>
  <c r="I728"/>
  <c r="I726"/>
  <c r="I724"/>
  <c r="I722"/>
  <c r="I720"/>
  <c r="I718"/>
  <c r="I716"/>
  <c r="I714"/>
  <c r="I712"/>
  <c r="I710"/>
  <c r="I708"/>
  <c r="I706"/>
  <c r="I763"/>
  <c r="I761"/>
  <c r="I758"/>
  <c r="I733"/>
  <c r="I729"/>
  <c r="I725"/>
  <c r="I721"/>
  <c r="I717"/>
  <c r="I713"/>
  <c r="I709"/>
  <c r="I705"/>
  <c r="I701"/>
  <c r="I697"/>
  <c r="I704"/>
  <c r="I702"/>
  <c r="I700"/>
  <c r="I698"/>
  <c r="I696"/>
  <c r="I693"/>
  <c r="I689"/>
  <c r="I685"/>
  <c r="I681"/>
  <c r="I676"/>
  <c r="I692"/>
  <c r="I688"/>
  <c r="I684"/>
  <c r="I680"/>
  <c r="I672"/>
  <c r="I664"/>
  <c r="I654"/>
  <c r="I652"/>
  <c r="I695"/>
  <c r="I691"/>
  <c r="I687"/>
  <c r="I683"/>
  <c r="I679"/>
  <c r="I694"/>
  <c r="I690"/>
  <c r="I686"/>
  <c r="I682"/>
  <c r="I678"/>
  <c r="I674"/>
  <c r="I665"/>
  <c r="I663"/>
  <c r="I653"/>
  <c r="I649"/>
  <c r="I634"/>
  <c r="I456"/>
  <c r="I464"/>
  <c r="I450"/>
  <c r="I270"/>
  <c r="I266"/>
  <c r="I238"/>
  <c r="I257"/>
  <c r="I253"/>
  <c r="I237"/>
  <c r="I256"/>
  <c r="I242"/>
  <c r="I271"/>
  <c r="I267"/>
  <c r="I250"/>
  <c r="I228"/>
  <c r="I210"/>
  <c r="I215"/>
  <c r="I212"/>
  <c r="I224"/>
  <c r="I207"/>
  <c r="I200"/>
  <c r="I193"/>
  <c r="I178"/>
  <c r="I180"/>
  <c r="I272"/>
  <c r="I268"/>
  <c r="I260"/>
  <c r="I232"/>
  <c r="I255"/>
  <c r="I240"/>
  <c r="I258"/>
  <c r="I254"/>
  <c r="I279"/>
  <c r="I269"/>
  <c r="I265"/>
  <c r="I241"/>
  <c r="I226"/>
  <c r="I213"/>
  <c r="I225"/>
  <c r="I214"/>
  <c r="I230"/>
  <c r="I227"/>
  <c r="I177"/>
  <c r="I154"/>
  <c r="I179"/>
  <c r="I181"/>
  <c r="C764"/>
  <c r="C766"/>
  <c r="C767"/>
  <c r="C770"/>
  <c r="C760"/>
  <c r="C757"/>
  <c r="C755"/>
  <c r="C753"/>
  <c r="C749"/>
  <c r="C745"/>
  <c r="C741"/>
  <c r="C737"/>
  <c r="C733"/>
  <c r="C729"/>
  <c r="C725"/>
  <c r="C721"/>
  <c r="C717"/>
  <c r="C713"/>
  <c r="C709"/>
  <c r="C705"/>
  <c r="C701"/>
  <c r="C697"/>
  <c r="C761"/>
  <c r="C751"/>
  <c r="C747"/>
  <c r="C743"/>
  <c r="C739"/>
  <c r="C752"/>
  <c r="C750"/>
  <c r="C748"/>
  <c r="C746"/>
  <c r="C744"/>
  <c r="C742"/>
  <c r="C740"/>
  <c r="C738"/>
  <c r="C736"/>
  <c r="C734"/>
  <c r="C732"/>
  <c r="C730"/>
  <c r="C728"/>
  <c r="C726"/>
  <c r="C724"/>
  <c r="C722"/>
  <c r="C720"/>
  <c r="C718"/>
  <c r="C716"/>
  <c r="C714"/>
  <c r="C712"/>
  <c r="C710"/>
  <c r="C708"/>
  <c r="C706"/>
  <c r="C704"/>
  <c r="C702"/>
  <c r="C700"/>
  <c r="C698"/>
  <c r="C696"/>
  <c r="C765"/>
  <c r="C768"/>
  <c r="C771"/>
  <c r="C769"/>
  <c r="C763"/>
  <c r="C759"/>
  <c r="C756"/>
  <c r="C754"/>
  <c r="C762"/>
  <c r="C758"/>
  <c r="C735"/>
  <c r="C731"/>
  <c r="C727"/>
  <c r="C723"/>
  <c r="C719"/>
  <c r="C715"/>
  <c r="C711"/>
  <c r="C707"/>
  <c r="C703"/>
  <c r="C699"/>
  <c r="I115"/>
  <c r="I114"/>
  <c r="I87"/>
  <c r="I83"/>
  <c r="I67"/>
  <c r="I65"/>
  <c r="I677"/>
  <c r="I675"/>
  <c r="I667"/>
  <c r="I598"/>
  <c r="I660"/>
  <c r="I646"/>
  <c r="I669"/>
  <c r="I633"/>
  <c r="I644"/>
  <c r="I635"/>
  <c r="I631"/>
  <c r="I601"/>
  <c r="I600"/>
  <c r="I616"/>
  <c r="I670"/>
  <c r="I656"/>
  <c r="I673"/>
  <c r="I647"/>
  <c r="I645"/>
  <c r="I658"/>
  <c r="I648"/>
  <c r="I643"/>
  <c r="I639"/>
  <c r="I636"/>
  <c r="I512"/>
  <c r="I437"/>
  <c r="I262"/>
  <c r="I248"/>
  <c r="I273"/>
  <c r="I261"/>
  <c r="I249"/>
  <c r="I204"/>
  <c r="I205"/>
  <c r="I190"/>
  <c r="I198"/>
  <c r="I199"/>
  <c r="I173"/>
  <c r="I175"/>
  <c r="I153"/>
  <c r="I174"/>
  <c r="I169"/>
  <c r="I167"/>
  <c r="I152"/>
  <c r="I150"/>
  <c r="I264"/>
  <c r="I251"/>
  <c r="I235"/>
  <c r="I263"/>
  <c r="I234"/>
  <c r="I206"/>
  <c r="I221"/>
  <c r="I218"/>
  <c r="I194"/>
  <c r="I184"/>
  <c r="I185"/>
  <c r="I168"/>
  <c r="I170"/>
  <c r="I171"/>
  <c r="I172"/>
  <c r="I176"/>
  <c r="I81"/>
  <c r="I73"/>
  <c r="I71"/>
  <c r="I69"/>
  <c r="I61"/>
  <c r="I59"/>
  <c r="I57"/>
  <c r="I55"/>
  <c r="I53"/>
  <c r="C695"/>
  <c r="C693"/>
  <c r="C691"/>
  <c r="C689"/>
  <c r="C687"/>
  <c r="C685"/>
  <c r="C683"/>
  <c r="C681"/>
  <c r="C679"/>
  <c r="C676"/>
  <c r="C677"/>
  <c r="C694"/>
  <c r="C692"/>
  <c r="C690"/>
  <c r="C688"/>
  <c r="C686"/>
  <c r="C684"/>
  <c r="C682"/>
  <c r="C680"/>
  <c r="C678"/>
  <c r="I75"/>
  <c r="I63"/>
  <c r="I85"/>
  <c r="I79"/>
  <c r="I77"/>
  <c r="I659"/>
  <c r="I629"/>
  <c r="I620"/>
  <c r="I611"/>
  <c r="I638"/>
  <c r="I627"/>
  <c r="I642"/>
  <c r="I563"/>
  <c r="I632"/>
  <c r="I640"/>
  <c r="I606"/>
  <c r="I568"/>
  <c r="I566"/>
  <c r="I621"/>
  <c r="I641"/>
  <c r="I613"/>
  <c r="I602"/>
  <c r="I655"/>
  <c r="I625"/>
  <c r="I623"/>
  <c r="I650"/>
  <c r="I657"/>
  <c r="I628"/>
  <c r="I610"/>
  <c r="I612"/>
  <c r="I615"/>
  <c r="I603"/>
  <c r="I630"/>
  <c r="I583"/>
  <c r="I567"/>
  <c r="I564"/>
  <c r="I637"/>
  <c r="I619"/>
  <c r="I614"/>
  <c r="I565"/>
  <c r="I460"/>
  <c r="I499"/>
  <c r="I463"/>
  <c r="I462"/>
  <c r="I459"/>
  <c r="I452"/>
  <c r="I411"/>
  <c r="I401"/>
  <c r="I421"/>
  <c r="I419"/>
  <c r="I412"/>
  <c r="I402"/>
  <c r="I415"/>
  <c r="I403"/>
  <c r="I453"/>
  <c r="I418"/>
  <c r="I417"/>
  <c r="I404"/>
  <c r="I400"/>
  <c r="I355"/>
  <c r="I127"/>
  <c r="I247"/>
  <c r="I233"/>
  <c r="I216"/>
  <c r="I196"/>
  <c r="I203"/>
  <c r="I202"/>
  <c r="I156"/>
  <c r="I164"/>
  <c r="I182"/>
  <c r="I160"/>
  <c r="I163"/>
  <c r="I151"/>
  <c r="I146"/>
  <c r="I126"/>
  <c r="I130"/>
  <c r="I145"/>
  <c r="I149"/>
  <c r="I129"/>
  <c r="I243"/>
  <c r="I219"/>
  <c r="I217"/>
  <c r="I183"/>
  <c r="I201"/>
  <c r="I197"/>
  <c r="I166"/>
  <c r="I155"/>
  <c r="I162"/>
  <c r="I165"/>
  <c r="I161"/>
  <c r="I144"/>
  <c r="I148"/>
  <c r="I128"/>
  <c r="I143"/>
  <c r="I147"/>
  <c r="I541"/>
  <c r="I624"/>
  <c r="I608"/>
  <c r="I622"/>
  <c r="I562"/>
  <c r="I558"/>
  <c r="I617"/>
  <c r="I668"/>
  <c r="I618"/>
  <c r="I575"/>
  <c r="I586"/>
  <c r="I578"/>
  <c r="I574"/>
  <c r="I590"/>
  <c r="I559"/>
  <c r="I561"/>
  <c r="I666"/>
  <c r="I596"/>
  <c r="I605"/>
  <c r="I593"/>
  <c r="I585"/>
  <c r="I580"/>
  <c r="I592"/>
  <c r="I581"/>
  <c r="I544"/>
  <c r="I540"/>
  <c r="I607"/>
  <c r="I626"/>
  <c r="I609"/>
  <c r="I560"/>
  <c r="I589"/>
  <c r="I661"/>
  <c r="I599"/>
  <c r="I577"/>
  <c r="I573"/>
  <c r="I584"/>
  <c r="I576"/>
  <c r="I572"/>
  <c r="I588"/>
  <c r="I595"/>
  <c r="I651"/>
  <c r="I597"/>
  <c r="I662"/>
  <c r="I604"/>
  <c r="I591"/>
  <c r="I582"/>
  <c r="I594"/>
  <c r="I587"/>
  <c r="I579"/>
  <c r="I27"/>
  <c r="I23"/>
  <c r="C673"/>
  <c r="C643"/>
  <c r="C651"/>
  <c r="C659"/>
  <c r="C667"/>
  <c r="C654"/>
  <c r="C660"/>
  <c r="C644"/>
  <c r="C674"/>
  <c r="C675"/>
  <c r="C645"/>
  <c r="C653"/>
  <c r="C661"/>
  <c r="C669"/>
  <c r="C650"/>
  <c r="C656"/>
  <c r="C670"/>
  <c r="C647"/>
  <c r="C655"/>
  <c r="C663"/>
  <c r="C671"/>
  <c r="C662"/>
  <c r="C646"/>
  <c r="C652"/>
  <c r="C666"/>
  <c r="C672"/>
  <c r="C649"/>
  <c r="C657"/>
  <c r="C665"/>
  <c r="C658"/>
  <c r="C668"/>
  <c r="C648"/>
  <c r="C664"/>
  <c r="I570"/>
  <c r="I555"/>
  <c r="I557"/>
  <c r="I571"/>
  <c r="I556"/>
  <c r="I569"/>
  <c r="I525"/>
  <c r="I523"/>
  <c r="I537"/>
  <c r="I532"/>
  <c r="I526"/>
  <c r="I524"/>
  <c r="I551"/>
  <c r="I552"/>
  <c r="I543"/>
  <c r="I539"/>
  <c r="I538"/>
  <c r="I533"/>
  <c r="I531"/>
  <c r="I530"/>
  <c r="I528"/>
  <c r="I506"/>
  <c r="I542"/>
  <c r="I529"/>
  <c r="I527"/>
  <c r="I504"/>
  <c r="I503"/>
  <c r="I522"/>
  <c r="I507"/>
  <c r="I535"/>
  <c r="I473"/>
  <c r="I472"/>
  <c r="I502"/>
  <c r="I536"/>
  <c r="I534"/>
  <c r="I469"/>
  <c r="I470"/>
  <c r="I468"/>
  <c r="I455"/>
  <c r="I448"/>
  <c r="I447"/>
  <c r="I442"/>
  <c r="I440"/>
  <c r="I434"/>
  <c r="I461"/>
  <c r="I454"/>
  <c r="I444"/>
  <c r="I435"/>
  <c r="I433"/>
  <c r="I471"/>
  <c r="I467"/>
  <c r="I446"/>
  <c r="I443"/>
  <c r="I441"/>
  <c r="I436"/>
  <c r="I386"/>
  <c r="I394"/>
  <c r="I332"/>
  <c r="I390"/>
  <c r="I389"/>
  <c r="I387"/>
  <c r="I395"/>
  <c r="I391"/>
  <c r="I384"/>
  <c r="I393"/>
  <c r="I388"/>
  <c r="I396"/>
  <c r="I392"/>
  <c r="I385"/>
  <c r="I209"/>
  <c r="I192"/>
  <c r="I159"/>
  <c r="I136"/>
  <c r="I134"/>
  <c r="I135"/>
  <c r="I108"/>
  <c r="I122"/>
  <c r="I113"/>
  <c r="I125"/>
  <c r="I132"/>
  <c r="I123"/>
  <c r="C615"/>
  <c r="C617"/>
  <c r="C619"/>
  <c r="C621"/>
  <c r="C623"/>
  <c r="C625"/>
  <c r="C627"/>
  <c r="C635"/>
  <c r="C641"/>
  <c r="C629"/>
  <c r="C631"/>
  <c r="C633"/>
  <c r="C637"/>
  <c r="C639"/>
  <c r="C632"/>
  <c r="C628"/>
  <c r="C624"/>
  <c r="C620"/>
  <c r="C616"/>
  <c r="C613"/>
  <c r="C611"/>
  <c r="C609"/>
  <c r="C607"/>
  <c r="C605"/>
  <c r="C603"/>
  <c r="C601"/>
  <c r="C599"/>
  <c r="C597"/>
  <c r="C634"/>
  <c r="C630"/>
  <c r="C626"/>
  <c r="C622"/>
  <c r="C618"/>
  <c r="C614"/>
  <c r="C612"/>
  <c r="C610"/>
  <c r="C608"/>
  <c r="C606"/>
  <c r="C604"/>
  <c r="C602"/>
  <c r="C600"/>
  <c r="C598"/>
  <c r="C596"/>
  <c r="C642"/>
  <c r="C638"/>
  <c r="C640"/>
  <c r="C636"/>
  <c r="I39"/>
  <c r="I33"/>
  <c r="I29"/>
  <c r="I25"/>
  <c r="I19"/>
  <c r="I17"/>
  <c r="I7"/>
  <c r="I5"/>
  <c r="I416"/>
  <c r="I420"/>
  <c r="I451"/>
  <c r="I439"/>
  <c r="I438"/>
  <c r="I431"/>
  <c r="I430"/>
  <c r="I429"/>
  <c r="I423"/>
  <c r="I422"/>
  <c r="I432"/>
  <c r="I424"/>
  <c r="I428"/>
  <c r="I458"/>
  <c r="I457"/>
  <c r="I445"/>
  <c r="I427"/>
  <c r="I426"/>
  <c r="I425"/>
  <c r="I380"/>
  <c r="I382"/>
  <c r="I381"/>
  <c r="I354"/>
  <c r="I383"/>
  <c r="I379"/>
  <c r="I328"/>
  <c r="I326"/>
  <c r="I324"/>
  <c r="I327"/>
  <c r="I325"/>
  <c r="I323"/>
  <c r="I322"/>
  <c r="I319"/>
  <c r="I293"/>
  <c r="I291"/>
  <c r="I292"/>
  <c r="I294"/>
  <c r="I208"/>
  <c r="I133"/>
  <c r="I131"/>
  <c r="I119"/>
  <c r="I110"/>
  <c r="I116"/>
  <c r="I120"/>
  <c r="I112"/>
  <c r="I9"/>
  <c r="A210" i="8"/>
  <c r="C209"/>
  <c r="B209"/>
  <c r="D210"/>
  <c r="F209"/>
  <c r="C575" i="3"/>
  <c r="C579"/>
  <c r="C583"/>
  <c r="C587"/>
  <c r="C591"/>
  <c r="C595"/>
  <c r="C588"/>
  <c r="C580"/>
  <c r="C572"/>
  <c r="C568"/>
  <c r="C564"/>
  <c r="C560"/>
  <c r="C556"/>
  <c r="C590"/>
  <c r="C582"/>
  <c r="C574"/>
  <c r="C569"/>
  <c r="C565"/>
  <c r="C561"/>
  <c r="C557"/>
  <c r="C573"/>
  <c r="C577"/>
  <c r="C581"/>
  <c r="C585"/>
  <c r="C589"/>
  <c r="C593"/>
  <c r="C592"/>
  <c r="C584"/>
  <c r="C576"/>
  <c r="C570"/>
  <c r="C566"/>
  <c r="C562"/>
  <c r="C558"/>
  <c r="C594"/>
  <c r="C586"/>
  <c r="C578"/>
  <c r="C571"/>
  <c r="C567"/>
  <c r="C563"/>
  <c r="C559"/>
  <c r="C555"/>
  <c r="I521"/>
  <c r="I513"/>
  <c r="I492"/>
  <c r="I491"/>
  <c r="I498"/>
  <c r="I296"/>
  <c r="I278"/>
  <c r="I414"/>
  <c r="I410"/>
  <c r="I399"/>
  <c r="I408"/>
  <c r="I406"/>
  <c r="I356"/>
  <c r="I364"/>
  <c r="I367"/>
  <c r="I362"/>
  <c r="I357"/>
  <c r="I369"/>
  <c r="I363"/>
  <c r="I358"/>
  <c r="I330"/>
  <c r="I321"/>
  <c r="I300"/>
  <c r="I298"/>
  <c r="I297"/>
  <c r="I299"/>
  <c r="I290"/>
  <c r="I397"/>
  <c r="I413"/>
  <c r="I409"/>
  <c r="I398"/>
  <c r="I407"/>
  <c r="I405"/>
  <c r="I360"/>
  <c r="I368"/>
  <c r="I365"/>
  <c r="I359"/>
  <c r="I331"/>
  <c r="I366"/>
  <c r="I361"/>
  <c r="I353"/>
  <c r="I329"/>
  <c r="I118"/>
  <c r="I121"/>
  <c r="C489"/>
  <c r="C491"/>
  <c r="C493"/>
  <c r="C495"/>
  <c r="C497"/>
  <c r="C499"/>
  <c r="C501"/>
  <c r="C503"/>
  <c r="C505"/>
  <c r="C507"/>
  <c r="C509"/>
  <c r="C511"/>
  <c r="C513"/>
  <c r="C515"/>
  <c r="C517"/>
  <c r="C519"/>
  <c r="C521"/>
  <c r="C523"/>
  <c r="C525"/>
  <c r="C527"/>
  <c r="C529"/>
  <c r="C531"/>
  <c r="C533"/>
  <c r="C535"/>
  <c r="C537"/>
  <c r="C539"/>
  <c r="C541"/>
  <c r="C543"/>
  <c r="C547"/>
  <c r="C549"/>
  <c r="C553"/>
  <c r="C545"/>
  <c r="C551"/>
  <c r="C550"/>
  <c r="C546"/>
  <c r="C542"/>
  <c r="C538"/>
  <c r="C534"/>
  <c r="C530"/>
  <c r="C526"/>
  <c r="C522"/>
  <c r="C518"/>
  <c r="C514"/>
  <c r="C506"/>
  <c r="C502"/>
  <c r="C490"/>
  <c r="C552"/>
  <c r="C548"/>
  <c r="C520"/>
  <c r="C516"/>
  <c r="C500"/>
  <c r="C492"/>
  <c r="C488"/>
  <c r="C544"/>
  <c r="C554"/>
  <c r="C510"/>
  <c r="C498"/>
  <c r="C494"/>
  <c r="C540"/>
  <c r="C536"/>
  <c r="C532"/>
  <c r="C528"/>
  <c r="C524"/>
  <c r="C512"/>
  <c r="C508"/>
  <c r="C504"/>
  <c r="C496"/>
  <c r="I489"/>
  <c r="I493"/>
  <c r="I495"/>
  <c r="I497"/>
  <c r="I501"/>
  <c r="I505"/>
  <c r="I509"/>
  <c r="I511"/>
  <c r="I515"/>
  <c r="I517"/>
  <c r="I519"/>
  <c r="I549"/>
  <c r="I553"/>
  <c r="I545"/>
  <c r="I547"/>
  <c r="I554"/>
  <c r="I510"/>
  <c r="I494"/>
  <c r="I508"/>
  <c r="I496"/>
  <c r="I487"/>
  <c r="I548"/>
  <c r="I550"/>
  <c r="I546"/>
  <c r="I518"/>
  <c r="I514"/>
  <c r="I490"/>
  <c r="I520"/>
  <c r="I516"/>
  <c r="I500"/>
  <c r="I488"/>
  <c r="I481"/>
  <c r="I485"/>
  <c r="I479"/>
  <c r="I478"/>
  <c r="I476"/>
  <c r="I474"/>
  <c r="I483"/>
  <c r="I484"/>
  <c r="I480"/>
  <c r="I477"/>
  <c r="I475"/>
  <c r="I486"/>
  <c r="I482"/>
  <c r="I340"/>
  <c r="I344"/>
  <c r="I348"/>
  <c r="I352"/>
  <c r="I372"/>
  <c r="I376"/>
  <c r="I378"/>
  <c r="I370"/>
  <c r="I346"/>
  <c r="I338"/>
  <c r="I373"/>
  <c r="I345"/>
  <c r="I351"/>
  <c r="I347"/>
  <c r="I343"/>
  <c r="I339"/>
  <c r="I374"/>
  <c r="I350"/>
  <c r="I342"/>
  <c r="I377"/>
  <c r="I349"/>
  <c r="I341"/>
  <c r="I375"/>
  <c r="I371"/>
  <c r="I316"/>
  <c r="I320"/>
  <c r="I317"/>
  <c r="I318"/>
  <c r="I275"/>
  <c r="I277"/>
  <c r="I281"/>
  <c r="I283"/>
  <c r="I287"/>
  <c r="I289"/>
  <c r="I288"/>
  <c r="I285"/>
  <c r="I282"/>
  <c r="I295"/>
  <c r="I286"/>
  <c r="I284"/>
  <c r="I276"/>
  <c r="I117"/>
  <c r="I109"/>
  <c r="I41"/>
  <c r="I37"/>
  <c r="I35"/>
  <c r="I15"/>
  <c r="I11"/>
  <c r="I88"/>
  <c r="I466"/>
  <c r="I465"/>
  <c r="I334"/>
  <c r="I336"/>
  <c r="I335"/>
  <c r="I337"/>
  <c r="I333"/>
  <c r="I311"/>
  <c r="I312"/>
  <c r="I313"/>
  <c r="I310"/>
  <c r="I315"/>
  <c r="I314"/>
  <c r="I246"/>
  <c r="I244"/>
  <c r="I309"/>
  <c r="I306"/>
  <c r="I305"/>
  <c r="I307"/>
  <c r="I301"/>
  <c r="I245"/>
  <c r="I308"/>
  <c r="I304"/>
  <c r="I303"/>
  <c r="I302"/>
  <c r="I191"/>
  <c r="I158"/>
  <c r="I157"/>
  <c r="I111"/>
  <c r="C479"/>
  <c r="C481"/>
  <c r="C483"/>
  <c r="C485"/>
  <c r="C487"/>
  <c r="C486"/>
  <c r="C482"/>
  <c r="C478"/>
  <c r="C476"/>
  <c r="C474"/>
  <c r="C472"/>
  <c r="C468"/>
  <c r="C484"/>
  <c r="C480"/>
  <c r="C477"/>
  <c r="C475"/>
  <c r="C473"/>
  <c r="C398"/>
  <c r="C400"/>
  <c r="C402"/>
  <c r="C404"/>
  <c r="C406"/>
  <c r="C408"/>
  <c r="C410"/>
  <c r="C412"/>
  <c r="C414"/>
  <c r="C416"/>
  <c r="C418"/>
  <c r="C420"/>
  <c r="C422"/>
  <c r="C424"/>
  <c r="C426"/>
  <c r="C428"/>
  <c r="C430"/>
  <c r="C432"/>
  <c r="C434"/>
  <c r="C436"/>
  <c r="C438"/>
  <c r="C440"/>
  <c r="C442"/>
  <c r="C444"/>
  <c r="C446"/>
  <c r="C448"/>
  <c r="C450"/>
  <c r="C452"/>
  <c r="C454"/>
  <c r="C456"/>
  <c r="C458"/>
  <c r="C460"/>
  <c r="C462"/>
  <c r="C464"/>
  <c r="C466"/>
  <c r="C470"/>
  <c r="C471"/>
  <c r="C467"/>
  <c r="C457"/>
  <c r="C453"/>
  <c r="C449"/>
  <c r="C445"/>
  <c r="C441"/>
  <c r="C437"/>
  <c r="C433"/>
  <c r="C429"/>
  <c r="C425"/>
  <c r="C421"/>
  <c r="C417"/>
  <c r="C413"/>
  <c r="C409"/>
  <c r="C405"/>
  <c r="C401"/>
  <c r="C397"/>
  <c r="C469"/>
  <c r="C465"/>
  <c r="C461"/>
  <c r="C463"/>
  <c r="C459"/>
  <c r="C455"/>
  <c r="C451"/>
  <c r="C447"/>
  <c r="C443"/>
  <c r="C439"/>
  <c r="C435"/>
  <c r="C431"/>
  <c r="C427"/>
  <c r="C423"/>
  <c r="C419"/>
  <c r="C415"/>
  <c r="C411"/>
  <c r="C407"/>
  <c r="C403"/>
  <c r="C399"/>
  <c r="C322"/>
  <c r="C324"/>
  <c r="C326"/>
  <c r="C328"/>
  <c r="C330"/>
  <c r="C332"/>
  <c r="C334"/>
  <c r="C336"/>
  <c r="C338"/>
  <c r="C340"/>
  <c r="C342"/>
  <c r="C344"/>
  <c r="C346"/>
  <c r="C348"/>
  <c r="C350"/>
  <c r="C352"/>
  <c r="C354"/>
  <c r="C356"/>
  <c r="C358"/>
  <c r="C360"/>
  <c r="C362"/>
  <c r="C364"/>
  <c r="C366"/>
  <c r="C368"/>
  <c r="C370"/>
  <c r="C372"/>
  <c r="C374"/>
  <c r="C376"/>
  <c r="C378"/>
  <c r="C380"/>
  <c r="C384"/>
  <c r="C386"/>
  <c r="C396"/>
  <c r="C382"/>
  <c r="C388"/>
  <c r="C390"/>
  <c r="C392"/>
  <c r="C394"/>
  <c r="C393"/>
  <c r="C389"/>
  <c r="C385"/>
  <c r="C381"/>
  <c r="C331"/>
  <c r="C327"/>
  <c r="C323"/>
  <c r="C377"/>
  <c r="C373"/>
  <c r="C369"/>
  <c r="C365"/>
  <c r="C361"/>
  <c r="C357"/>
  <c r="C353"/>
  <c r="C349"/>
  <c r="C345"/>
  <c r="C341"/>
  <c r="C379"/>
  <c r="C375"/>
  <c r="C371"/>
  <c r="C367"/>
  <c r="C363"/>
  <c r="C359"/>
  <c r="C355"/>
  <c r="C351"/>
  <c r="C347"/>
  <c r="C343"/>
  <c r="C339"/>
  <c r="C335"/>
  <c r="C395"/>
  <c r="C391"/>
  <c r="C387"/>
  <c r="C383"/>
  <c r="C337"/>
  <c r="C333"/>
  <c r="C329"/>
  <c r="C325"/>
  <c r="C321"/>
  <c r="C313"/>
  <c r="C310"/>
  <c r="C316"/>
  <c r="C317"/>
  <c r="C315"/>
  <c r="C314"/>
  <c r="C312"/>
  <c r="C320"/>
  <c r="C318"/>
  <c r="C311"/>
  <c r="C319"/>
  <c r="C307"/>
  <c r="C304"/>
  <c r="C299"/>
  <c r="C293"/>
  <c r="C306"/>
  <c r="C300"/>
  <c r="C302"/>
  <c r="C232"/>
  <c r="C297"/>
  <c r="C295"/>
  <c r="C283"/>
  <c r="C271"/>
  <c r="C267"/>
  <c r="C263"/>
  <c r="C285"/>
  <c r="C282"/>
  <c r="C273"/>
  <c r="C269"/>
  <c r="C265"/>
  <c r="C261"/>
  <c r="C290"/>
  <c r="C284"/>
  <c r="C280"/>
  <c r="C276"/>
  <c r="C274"/>
  <c r="C270"/>
  <c r="C268"/>
  <c r="C266"/>
  <c r="C264"/>
  <c r="C262"/>
  <c r="C259"/>
  <c r="C257"/>
  <c r="C255"/>
  <c r="C253"/>
  <c r="C251"/>
  <c r="C249"/>
  <c r="C247"/>
  <c r="C245"/>
  <c r="C243"/>
  <c r="C241"/>
  <c r="C239"/>
  <c r="C237"/>
  <c r="C235"/>
  <c r="C233"/>
  <c r="C231"/>
  <c r="C260"/>
  <c r="C258"/>
  <c r="C256"/>
  <c r="C254"/>
  <c r="C252"/>
  <c r="C250"/>
  <c r="C248"/>
  <c r="C246"/>
  <c r="C244"/>
  <c r="C242"/>
  <c r="C240"/>
  <c r="C238"/>
  <c r="C236"/>
  <c r="C234"/>
  <c r="C309"/>
  <c r="C305"/>
  <c r="C308"/>
  <c r="C303"/>
  <c r="C296"/>
  <c r="C301"/>
  <c r="C298"/>
  <c r="C289"/>
  <c r="C278"/>
  <c r="C294"/>
  <c r="C292"/>
  <c r="C288"/>
  <c r="C279"/>
  <c r="C275"/>
  <c r="C291"/>
  <c r="C287"/>
  <c r="C281"/>
  <c r="C277"/>
  <c r="C286"/>
  <c r="C272"/>
  <c r="I51"/>
  <c r="I49"/>
  <c r="I47"/>
  <c r="I45"/>
  <c r="C228"/>
  <c r="C230"/>
  <c r="C227"/>
  <c r="C229"/>
  <c r="C226"/>
  <c r="I43"/>
  <c r="C210"/>
  <c r="C209"/>
  <c r="C220"/>
  <c r="C215"/>
  <c r="C219"/>
  <c r="C224"/>
  <c r="C213"/>
  <c r="C217"/>
  <c r="C221"/>
  <c r="C225"/>
  <c r="C218"/>
  <c r="C222"/>
  <c r="C208"/>
  <c r="C207"/>
  <c r="C204"/>
  <c r="C223"/>
  <c r="C212"/>
  <c r="C214"/>
  <c r="C216"/>
  <c r="C205"/>
  <c r="C211"/>
  <c r="C206"/>
  <c r="C200"/>
  <c r="C195"/>
  <c r="C186"/>
  <c r="C178"/>
  <c r="C196"/>
  <c r="C192"/>
  <c r="C189"/>
  <c r="C184"/>
  <c r="C180"/>
  <c r="C177"/>
  <c r="C198"/>
  <c r="C194"/>
  <c r="C190"/>
  <c r="C185"/>
  <c r="C181"/>
  <c r="C199"/>
  <c r="C191"/>
  <c r="C182"/>
  <c r="C203"/>
  <c r="C202"/>
  <c r="C188"/>
  <c r="C201"/>
  <c r="C197"/>
  <c r="C193"/>
  <c r="C187"/>
  <c r="C183"/>
  <c r="C179"/>
  <c r="C173"/>
  <c r="C171"/>
  <c r="C163"/>
  <c r="C154"/>
  <c r="C170"/>
  <c r="C175"/>
  <c r="C167"/>
  <c r="C176"/>
  <c r="C174"/>
  <c r="C166"/>
  <c r="C158"/>
  <c r="C169"/>
  <c r="C162"/>
  <c r="C160"/>
  <c r="C156"/>
  <c r="C153"/>
  <c r="C172"/>
  <c r="C168"/>
  <c r="C165"/>
  <c r="C161"/>
  <c r="C159"/>
  <c r="C157"/>
  <c r="C155"/>
  <c r="C164"/>
  <c r="I31"/>
  <c r="I21"/>
  <c r="C149"/>
  <c r="C151"/>
  <c r="C133"/>
  <c r="C135"/>
  <c r="C137"/>
  <c r="C139"/>
  <c r="C141"/>
  <c r="C143"/>
  <c r="C145"/>
  <c r="C147"/>
  <c r="C148"/>
  <c r="C144"/>
  <c r="C140"/>
  <c r="C136"/>
  <c r="C152"/>
  <c r="C146"/>
  <c r="C142"/>
  <c r="C138"/>
  <c r="C134"/>
  <c r="C150"/>
  <c r="C126"/>
  <c r="C112"/>
  <c r="C110"/>
  <c r="C118"/>
  <c r="C116"/>
  <c r="C120"/>
  <c r="C115"/>
  <c r="C108"/>
  <c r="C130"/>
  <c r="C124"/>
  <c r="C128"/>
  <c r="C132"/>
  <c r="C114"/>
  <c r="C122"/>
  <c r="C123"/>
  <c r="C125"/>
  <c r="C127"/>
  <c r="C129"/>
  <c r="C131"/>
  <c r="C111"/>
  <c r="C109"/>
  <c r="C113"/>
  <c r="C117"/>
  <c r="C121"/>
  <c r="C119"/>
  <c r="I13"/>
  <c r="I3"/>
  <c r="I4"/>
  <c r="I6"/>
  <c r="I8"/>
  <c r="I10"/>
  <c r="I12"/>
  <c r="I14"/>
  <c r="I16"/>
  <c r="I18"/>
  <c r="I20"/>
  <c r="I22"/>
  <c r="I24"/>
  <c r="I26"/>
  <c r="I28"/>
  <c r="I30"/>
  <c r="I32"/>
  <c r="I34"/>
  <c r="I36"/>
  <c r="I38"/>
  <c r="I40"/>
  <c r="I42"/>
  <c r="I44"/>
  <c r="I46"/>
  <c r="I48"/>
  <c r="I50"/>
  <c r="I52"/>
  <c r="I54"/>
  <c r="I56"/>
  <c r="I58"/>
  <c r="I60"/>
  <c r="I62"/>
  <c r="I64"/>
  <c r="I66"/>
  <c r="I68"/>
  <c r="I70"/>
  <c r="I72"/>
  <c r="I74"/>
  <c r="I76"/>
  <c r="I78"/>
  <c r="I80"/>
  <c r="I82"/>
  <c r="I84"/>
  <c r="I86"/>
  <c r="Z99" i="1"/>
  <c r="E96" i="8"/>
  <c r="F95"/>
  <c r="E90"/>
  <c r="F89"/>
  <c r="E78"/>
  <c r="F78" s="1"/>
  <c r="F77"/>
  <c r="E84"/>
  <c r="F83"/>
  <c r="E102"/>
  <c r="F101"/>
  <c r="E114"/>
  <c r="F114" s="1"/>
  <c r="E108"/>
  <c r="C21"/>
  <c r="B21"/>
  <c r="I105" i="3"/>
  <c r="I100"/>
  <c r="I91"/>
  <c r="I89"/>
  <c r="I104"/>
  <c r="I98"/>
  <c r="I90"/>
  <c r="I106"/>
  <c r="I102"/>
  <c r="I99"/>
  <c r="I95"/>
  <c r="I93"/>
  <c r="I101"/>
  <c r="I94"/>
  <c r="I103"/>
  <c r="I97"/>
  <c r="I92"/>
  <c r="I96"/>
  <c r="Y11" i="1"/>
  <c r="X11" s="1"/>
  <c r="I107" i="3"/>
  <c r="C107"/>
  <c r="C105"/>
  <c r="C103"/>
  <c r="C101"/>
  <c r="C99"/>
  <c r="C97"/>
  <c r="C95"/>
  <c r="C93"/>
  <c r="C91"/>
  <c r="C89"/>
  <c r="C106"/>
  <c r="C104"/>
  <c r="C102"/>
  <c r="C100"/>
  <c r="C98"/>
  <c r="C96"/>
  <c r="C94"/>
  <c r="C92"/>
  <c r="C90"/>
  <c r="I2"/>
  <c r="C88"/>
  <c r="C86"/>
  <c r="C84"/>
  <c r="C82"/>
  <c r="C80"/>
  <c r="C78"/>
  <c r="C76"/>
  <c r="C75"/>
  <c r="C73"/>
  <c r="C71"/>
  <c r="C69"/>
  <c r="C67"/>
  <c r="C64"/>
  <c r="C62"/>
  <c r="C60"/>
  <c r="C58"/>
  <c r="C56"/>
  <c r="C54"/>
  <c r="C52"/>
  <c r="C50"/>
  <c r="C48"/>
  <c r="C47"/>
  <c r="C45"/>
  <c r="C43"/>
  <c r="C41"/>
  <c r="C39"/>
  <c r="C37"/>
  <c r="C35"/>
  <c r="C33"/>
  <c r="C31"/>
  <c r="C29"/>
  <c r="C27"/>
  <c r="C25"/>
  <c r="C23"/>
  <c r="C21"/>
  <c r="C19"/>
  <c r="C16"/>
  <c r="C14"/>
  <c r="C12"/>
  <c r="C10"/>
  <c r="C8"/>
  <c r="C6"/>
  <c r="C4"/>
  <c r="C2"/>
  <c r="C87"/>
  <c r="C85"/>
  <c r="C83"/>
  <c r="C81"/>
  <c r="C79"/>
  <c r="C77"/>
  <c r="C74"/>
  <c r="C72"/>
  <c r="C70"/>
  <c r="C68"/>
  <c r="C66"/>
  <c r="C65"/>
  <c r="C63"/>
  <c r="C61"/>
  <c r="C59"/>
  <c r="C57"/>
  <c r="C55"/>
  <c r="C53"/>
  <c r="C51"/>
  <c r="C49"/>
  <c r="C46"/>
  <c r="C44"/>
  <c r="C42"/>
  <c r="C40"/>
  <c r="C38"/>
  <c r="C36"/>
  <c r="C34"/>
  <c r="C32"/>
  <c r="C30"/>
  <c r="C28"/>
  <c r="C26"/>
  <c r="C24"/>
  <c r="C22"/>
  <c r="C20"/>
  <c r="C18"/>
  <c r="C17"/>
  <c r="C15"/>
  <c r="C13"/>
  <c r="C11"/>
  <c r="C9"/>
  <c r="C7"/>
  <c r="C5"/>
  <c r="C3"/>
  <c r="D211" i="8" l="1"/>
  <c r="F210"/>
  <c r="A211"/>
  <c r="C210"/>
  <c r="B210"/>
  <c r="Z100" i="1"/>
  <c r="E109" i="8"/>
  <c r="F108"/>
  <c r="E103"/>
  <c r="F102"/>
  <c r="E85"/>
  <c r="F85" s="1"/>
  <c r="F84"/>
  <c r="E91"/>
  <c r="F90"/>
  <c r="E97"/>
  <c r="F96"/>
  <c r="E121"/>
  <c r="F121" s="1"/>
  <c r="E115"/>
  <c r="B22"/>
  <c r="C22"/>
  <c r="Y12" i="1"/>
  <c r="X12" s="1"/>
  <c r="A212" i="8" l="1"/>
  <c r="C211"/>
  <c r="B211"/>
  <c r="D212"/>
  <c r="F211"/>
  <c r="Z101" i="1"/>
  <c r="E98" i="8"/>
  <c r="F97"/>
  <c r="E92"/>
  <c r="F92" s="1"/>
  <c r="F91"/>
  <c r="E104"/>
  <c r="F103"/>
  <c r="E110"/>
  <c r="F109"/>
  <c r="E116"/>
  <c r="F115"/>
  <c r="E128"/>
  <c r="F128" s="1"/>
  <c r="E122"/>
  <c r="C23"/>
  <c r="B23"/>
  <c r="Y13" i="1"/>
  <c r="X13" s="1"/>
  <c r="D39"/>
  <c r="C39"/>
  <c r="T33" s="1"/>
  <c r="H3" i="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2"/>
  <c r="G124" l="1"/>
  <c r="G762"/>
  <c r="G761"/>
  <c r="G759"/>
  <c r="G754"/>
  <c r="G733"/>
  <c r="G729"/>
  <c r="G725"/>
  <c r="G721"/>
  <c r="G717"/>
  <c r="G713"/>
  <c r="G709"/>
  <c r="G705"/>
  <c r="G701"/>
  <c r="G697"/>
  <c r="G763"/>
  <c r="G760"/>
  <c r="G758"/>
  <c r="G757"/>
  <c r="G764"/>
  <c r="G755"/>
  <c r="G735"/>
  <c r="G731"/>
  <c r="G727"/>
  <c r="G723"/>
  <c r="G719"/>
  <c r="G715"/>
  <c r="G711"/>
  <c r="G707"/>
  <c r="G703"/>
  <c r="G699"/>
  <c r="G734"/>
  <c r="G732"/>
  <c r="G730"/>
  <c r="G728"/>
  <c r="G726"/>
  <c r="G724"/>
  <c r="G722"/>
  <c r="G720"/>
  <c r="G718"/>
  <c r="G716"/>
  <c r="G714"/>
  <c r="G712"/>
  <c r="G710"/>
  <c r="G708"/>
  <c r="G706"/>
  <c r="G704"/>
  <c r="G702"/>
  <c r="G700"/>
  <c r="G698"/>
  <c r="G696"/>
  <c r="G674"/>
  <c r="G693"/>
  <c r="G689"/>
  <c r="G685"/>
  <c r="G681"/>
  <c r="G695"/>
  <c r="G692"/>
  <c r="G688"/>
  <c r="G684"/>
  <c r="G680"/>
  <c r="G664"/>
  <c r="G654"/>
  <c r="G652"/>
  <c r="G672"/>
  <c r="G653"/>
  <c r="G676"/>
  <c r="G691"/>
  <c r="G687"/>
  <c r="G683"/>
  <c r="G679"/>
  <c r="G694"/>
  <c r="G690"/>
  <c r="G686"/>
  <c r="G682"/>
  <c r="G678"/>
  <c r="G649"/>
  <c r="G665"/>
  <c r="G663"/>
  <c r="G634"/>
  <c r="G456"/>
  <c r="G464"/>
  <c r="G450"/>
  <c r="G257"/>
  <c r="G253"/>
  <c r="G272"/>
  <c r="G268"/>
  <c r="G260"/>
  <c r="G279"/>
  <c r="G269"/>
  <c r="G265"/>
  <c r="G240"/>
  <c r="G258"/>
  <c r="G254"/>
  <c r="G232"/>
  <c r="G215"/>
  <c r="G210"/>
  <c r="G226"/>
  <c r="G207"/>
  <c r="G214"/>
  <c r="G230"/>
  <c r="G200"/>
  <c r="G178"/>
  <c r="G154"/>
  <c r="G181"/>
  <c r="G255"/>
  <c r="G241"/>
  <c r="G270"/>
  <c r="G266"/>
  <c r="G242"/>
  <c r="G271"/>
  <c r="G267"/>
  <c r="G250"/>
  <c r="G237"/>
  <c r="G256"/>
  <c r="G238"/>
  <c r="G213"/>
  <c r="G225"/>
  <c r="G228"/>
  <c r="G227"/>
  <c r="G212"/>
  <c r="G224"/>
  <c r="G193"/>
  <c r="G177"/>
  <c r="G179"/>
  <c r="G180"/>
  <c r="G115"/>
  <c r="G114"/>
  <c r="G677"/>
  <c r="G645"/>
  <c r="G644"/>
  <c r="G669"/>
  <c r="G633"/>
  <c r="G673"/>
  <c r="G648"/>
  <c r="G643"/>
  <c r="G670"/>
  <c r="G658"/>
  <c r="G635"/>
  <c r="G636"/>
  <c r="G647"/>
  <c r="G616"/>
  <c r="G656"/>
  <c r="G598"/>
  <c r="G660"/>
  <c r="G646"/>
  <c r="G675"/>
  <c r="G667"/>
  <c r="G639"/>
  <c r="G600"/>
  <c r="G631"/>
  <c r="G601"/>
  <c r="G512"/>
  <c r="G437"/>
  <c r="G248"/>
  <c r="G263"/>
  <c r="G249"/>
  <c r="G264"/>
  <c r="G235"/>
  <c r="G218"/>
  <c r="G204"/>
  <c r="G190"/>
  <c r="G198"/>
  <c r="G184"/>
  <c r="G170"/>
  <c r="G175"/>
  <c r="G168"/>
  <c r="G167"/>
  <c r="G174"/>
  <c r="G169"/>
  <c r="G251"/>
  <c r="G273"/>
  <c r="G261"/>
  <c r="G234"/>
  <c r="G262"/>
  <c r="G205"/>
  <c r="G206"/>
  <c r="G221"/>
  <c r="G194"/>
  <c r="G199"/>
  <c r="G185"/>
  <c r="G153"/>
  <c r="G173"/>
  <c r="G171"/>
  <c r="G176"/>
  <c r="G172"/>
  <c r="G152"/>
  <c r="G150"/>
  <c r="G655"/>
  <c r="G657"/>
  <c r="G611"/>
  <c r="G620"/>
  <c r="G629"/>
  <c r="G638"/>
  <c r="G612"/>
  <c r="G610"/>
  <c r="G640"/>
  <c r="G606"/>
  <c r="G568"/>
  <c r="G564"/>
  <c r="G621"/>
  <c r="G619"/>
  <c r="G602"/>
  <c r="G603"/>
  <c r="G615"/>
  <c r="G567"/>
  <c r="G659"/>
  <c r="G628"/>
  <c r="G627"/>
  <c r="G650"/>
  <c r="G625"/>
  <c r="G642"/>
  <c r="G623"/>
  <c r="G563"/>
  <c r="G630"/>
  <c r="G613"/>
  <c r="G566"/>
  <c r="G565"/>
  <c r="G637"/>
  <c r="G614"/>
  <c r="G632"/>
  <c r="G641"/>
  <c r="G583"/>
  <c r="G463"/>
  <c r="G460"/>
  <c r="G459"/>
  <c r="G499"/>
  <c r="G462"/>
  <c r="G418"/>
  <c r="G411"/>
  <c r="G401"/>
  <c r="G421"/>
  <c r="G404"/>
  <c r="G400"/>
  <c r="G419"/>
  <c r="G415"/>
  <c r="G403"/>
  <c r="G453"/>
  <c r="G412"/>
  <c r="G402"/>
  <c r="G452"/>
  <c r="G417"/>
  <c r="G355"/>
  <c r="G127"/>
  <c r="G126"/>
  <c r="G130"/>
  <c r="G146"/>
  <c r="G233"/>
  <c r="G247"/>
  <c r="G216"/>
  <c r="G202"/>
  <c r="G183"/>
  <c r="G203"/>
  <c r="G161"/>
  <c r="G164"/>
  <c r="G160"/>
  <c r="G165"/>
  <c r="G156"/>
  <c r="G145"/>
  <c r="G149"/>
  <c r="G151"/>
  <c r="G129"/>
  <c r="G128"/>
  <c r="G144"/>
  <c r="G148"/>
  <c r="G243"/>
  <c r="G217"/>
  <c r="G219"/>
  <c r="G197"/>
  <c r="G201"/>
  <c r="G196"/>
  <c r="G166"/>
  <c r="G162"/>
  <c r="G155"/>
  <c r="G163"/>
  <c r="G182"/>
  <c r="G143"/>
  <c r="G147"/>
  <c r="G626"/>
  <c r="G608"/>
  <c r="G607"/>
  <c r="G595"/>
  <c r="G560"/>
  <c r="G594"/>
  <c r="G586"/>
  <c r="G581"/>
  <c r="G651"/>
  <c r="G662"/>
  <c r="G599"/>
  <c r="G597"/>
  <c r="G591"/>
  <c r="G580"/>
  <c r="G590"/>
  <c r="G559"/>
  <c r="G578"/>
  <c r="G574"/>
  <c r="G617"/>
  <c r="G605"/>
  <c r="G618"/>
  <c r="G577"/>
  <c r="G573"/>
  <c r="G609"/>
  <c r="G622"/>
  <c r="G624"/>
  <c r="G589"/>
  <c r="G562"/>
  <c r="G558"/>
  <c r="G592"/>
  <c r="G584"/>
  <c r="G579"/>
  <c r="G668"/>
  <c r="G604"/>
  <c r="G666"/>
  <c r="G593"/>
  <c r="G582"/>
  <c r="G561"/>
  <c r="G588"/>
  <c r="G587"/>
  <c r="G576"/>
  <c r="G572"/>
  <c r="G661"/>
  <c r="G596"/>
  <c r="G585"/>
  <c r="G575"/>
  <c r="G544"/>
  <c r="G540"/>
  <c r="G541"/>
  <c r="G557"/>
  <c r="G570"/>
  <c r="G555"/>
  <c r="G569"/>
  <c r="G571"/>
  <c r="G556"/>
  <c r="G543"/>
  <c r="G551"/>
  <c r="G542"/>
  <c r="G537"/>
  <c r="G532"/>
  <c r="G529"/>
  <c r="G527"/>
  <c r="G552"/>
  <c r="G539"/>
  <c r="G530"/>
  <c r="G528"/>
  <c r="G506"/>
  <c r="G526"/>
  <c r="G524"/>
  <c r="G538"/>
  <c r="G533"/>
  <c r="G531"/>
  <c r="G525"/>
  <c r="G523"/>
  <c r="G472"/>
  <c r="G534"/>
  <c r="G535"/>
  <c r="G536"/>
  <c r="G473"/>
  <c r="G502"/>
  <c r="G507"/>
  <c r="G503"/>
  <c r="G522"/>
  <c r="G504"/>
  <c r="G461"/>
  <c r="G444"/>
  <c r="G436"/>
  <c r="G468"/>
  <c r="G447"/>
  <c r="G442"/>
  <c r="G440"/>
  <c r="G470"/>
  <c r="G471"/>
  <c r="G469"/>
  <c r="G467"/>
  <c r="G454"/>
  <c r="G446"/>
  <c r="G443"/>
  <c r="G441"/>
  <c r="G435"/>
  <c r="G433"/>
  <c r="G455"/>
  <c r="G448"/>
  <c r="G434"/>
  <c r="G386"/>
  <c r="G332"/>
  <c r="G390"/>
  <c r="G394"/>
  <c r="G395"/>
  <c r="G392"/>
  <c r="G389"/>
  <c r="G387"/>
  <c r="G384"/>
  <c r="G396"/>
  <c r="G393"/>
  <c r="G391"/>
  <c r="G388"/>
  <c r="G385"/>
  <c r="G209"/>
  <c r="G192"/>
  <c r="G159"/>
  <c r="G135"/>
  <c r="G136"/>
  <c r="G134"/>
  <c r="G122"/>
  <c r="G132"/>
  <c r="G125"/>
  <c r="G108"/>
  <c r="G113"/>
  <c r="G123"/>
  <c r="G428"/>
  <c r="G432"/>
  <c r="G424"/>
  <c r="G457"/>
  <c r="G445"/>
  <c r="G423"/>
  <c r="G438"/>
  <c r="G429"/>
  <c r="G426"/>
  <c r="G420"/>
  <c r="G458"/>
  <c r="G451"/>
  <c r="G431"/>
  <c r="G422"/>
  <c r="G439"/>
  <c r="G430"/>
  <c r="G427"/>
  <c r="G425"/>
  <c r="G416"/>
  <c r="G380"/>
  <c r="G382"/>
  <c r="G327"/>
  <c r="G325"/>
  <c r="G323"/>
  <c r="G383"/>
  <c r="G379"/>
  <c r="G328"/>
  <c r="G326"/>
  <c r="G324"/>
  <c r="G322"/>
  <c r="G381"/>
  <c r="G354"/>
  <c r="G319"/>
  <c r="G291"/>
  <c r="G293"/>
  <c r="G294"/>
  <c r="G292"/>
  <c r="G208"/>
  <c r="G131"/>
  <c r="G133"/>
  <c r="G112"/>
  <c r="G110"/>
  <c r="G116"/>
  <c r="G120"/>
  <c r="G119"/>
  <c r="D213" i="8"/>
  <c r="F212"/>
  <c r="A213"/>
  <c r="C212"/>
  <c r="B212"/>
  <c r="G513" i="3"/>
  <c r="G521"/>
  <c r="G498"/>
  <c r="G492"/>
  <c r="G491"/>
  <c r="G408"/>
  <c r="G409"/>
  <c r="G399"/>
  <c r="G410"/>
  <c r="G405"/>
  <c r="G397"/>
  <c r="G360"/>
  <c r="G368"/>
  <c r="G365"/>
  <c r="G359"/>
  <c r="G331"/>
  <c r="G369"/>
  <c r="G363"/>
  <c r="G358"/>
  <c r="G330"/>
  <c r="G300"/>
  <c r="G298"/>
  <c r="G290"/>
  <c r="G413"/>
  <c r="G406"/>
  <c r="G414"/>
  <c r="G407"/>
  <c r="G398"/>
  <c r="G356"/>
  <c r="G364"/>
  <c r="G367"/>
  <c r="G362"/>
  <c r="G357"/>
  <c r="G329"/>
  <c r="G366"/>
  <c r="G361"/>
  <c r="G353"/>
  <c r="G321"/>
  <c r="G297"/>
  <c r="G299"/>
  <c r="G296"/>
  <c r="G278"/>
  <c r="G121"/>
  <c r="G118"/>
  <c r="G489"/>
  <c r="G493"/>
  <c r="G495"/>
  <c r="G497"/>
  <c r="G501"/>
  <c r="G505"/>
  <c r="G509"/>
  <c r="G511"/>
  <c r="G515"/>
  <c r="G517"/>
  <c r="G519"/>
  <c r="G545"/>
  <c r="G547"/>
  <c r="G549"/>
  <c r="G553"/>
  <c r="G550"/>
  <c r="G546"/>
  <c r="G508"/>
  <c r="G496"/>
  <c r="G510"/>
  <c r="G494"/>
  <c r="G487"/>
  <c r="G554"/>
  <c r="G548"/>
  <c r="G520"/>
  <c r="G516"/>
  <c r="G500"/>
  <c r="G488"/>
  <c r="G518"/>
  <c r="G514"/>
  <c r="G490"/>
  <c r="G481"/>
  <c r="G485"/>
  <c r="G479"/>
  <c r="G482"/>
  <c r="G478"/>
  <c r="G476"/>
  <c r="G474"/>
  <c r="G484"/>
  <c r="G483"/>
  <c r="G486"/>
  <c r="G480"/>
  <c r="G477"/>
  <c r="G475"/>
  <c r="G340"/>
  <c r="G344"/>
  <c r="G348"/>
  <c r="G352"/>
  <c r="G372"/>
  <c r="G376"/>
  <c r="G350"/>
  <c r="G370"/>
  <c r="G338"/>
  <c r="G371"/>
  <c r="G351"/>
  <c r="G343"/>
  <c r="G377"/>
  <c r="G373"/>
  <c r="G374"/>
  <c r="G342"/>
  <c r="G378"/>
  <c r="G346"/>
  <c r="G375"/>
  <c r="G347"/>
  <c r="G339"/>
  <c r="G349"/>
  <c r="G345"/>
  <c r="G341"/>
  <c r="G316"/>
  <c r="G317"/>
  <c r="G320"/>
  <c r="G318"/>
  <c r="G275"/>
  <c r="G277"/>
  <c r="G281"/>
  <c r="G283"/>
  <c r="G287"/>
  <c r="G289"/>
  <c r="G288"/>
  <c r="G285"/>
  <c r="G282"/>
  <c r="G295"/>
  <c r="G286"/>
  <c r="G284"/>
  <c r="G276"/>
  <c r="G117"/>
  <c r="G109"/>
  <c r="G466"/>
  <c r="G465"/>
  <c r="G334"/>
  <c r="G336"/>
  <c r="G337"/>
  <c r="G333"/>
  <c r="G335"/>
  <c r="G311"/>
  <c r="G314"/>
  <c r="G315"/>
  <c r="G312"/>
  <c r="G310"/>
  <c r="G313"/>
  <c r="G307"/>
  <c r="G246"/>
  <c r="G244"/>
  <c r="G306"/>
  <c r="G303"/>
  <c r="G301"/>
  <c r="G245"/>
  <c r="G309"/>
  <c r="G308"/>
  <c r="G305"/>
  <c r="G304"/>
  <c r="G302"/>
  <c r="G191"/>
  <c r="G158"/>
  <c r="G157"/>
  <c r="G111"/>
  <c r="Z102" i="1"/>
  <c r="E117" i="8"/>
  <c r="F116"/>
  <c r="E111"/>
  <c r="F110"/>
  <c r="E105"/>
  <c r="F104"/>
  <c r="E99"/>
  <c r="F99" s="1"/>
  <c r="F98"/>
  <c r="E123"/>
  <c r="F122"/>
  <c r="E129"/>
  <c r="B24"/>
  <c r="C24"/>
  <c r="G104" i="3"/>
  <c r="G98"/>
  <c r="G90"/>
  <c r="G105"/>
  <c r="G100"/>
  <c r="G91"/>
  <c r="G89"/>
  <c r="G106"/>
  <c r="G102"/>
  <c r="G99"/>
  <c r="G95"/>
  <c r="G93"/>
  <c r="G101"/>
  <c r="G94"/>
  <c r="G103"/>
  <c r="G97"/>
  <c r="G92"/>
  <c r="G96"/>
  <c r="Y14" i="1"/>
  <c r="G107" i="3"/>
  <c r="H29" i="5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I5"/>
  <c r="G29"/>
  <c r="F29"/>
  <c r="G28"/>
  <c r="F28"/>
  <c r="G27"/>
  <c r="F27"/>
  <c r="G26"/>
  <c r="F26"/>
  <c r="G25"/>
  <c r="F25"/>
  <c r="G24"/>
  <c r="F24"/>
  <c r="G23"/>
  <c r="F23"/>
  <c r="G22"/>
  <c r="F22"/>
  <c r="G21"/>
  <c r="F21"/>
  <c r="G20"/>
  <c r="F20"/>
  <c r="G19"/>
  <c r="F19"/>
  <c r="G18"/>
  <c r="F18"/>
  <c r="G17"/>
  <c r="F17"/>
  <c r="G16"/>
  <c r="F16"/>
  <c r="G15"/>
  <c r="F15"/>
  <c r="G14"/>
  <c r="F14"/>
  <c r="G13"/>
  <c r="F13"/>
  <c r="G12"/>
  <c r="F12"/>
  <c r="G11"/>
  <c r="F11"/>
  <c r="G10"/>
  <c r="F10"/>
  <c r="G9"/>
  <c r="F9"/>
  <c r="G8"/>
  <c r="F8"/>
  <c r="G7"/>
  <c r="F7"/>
  <c r="G6"/>
  <c r="F6"/>
  <c r="G5"/>
  <c r="F5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A214" i="8" l="1"/>
  <c r="C213"/>
  <c r="B213"/>
  <c r="D214"/>
  <c r="F213"/>
  <c r="Z103" i="1"/>
  <c r="E130" i="8"/>
  <c r="F129"/>
  <c r="E124"/>
  <c r="F123"/>
  <c r="E106"/>
  <c r="F106" s="1"/>
  <c r="F105"/>
  <c r="E112"/>
  <c r="F111"/>
  <c r="E118"/>
  <c r="F117"/>
  <c r="E142"/>
  <c r="F142" s="1"/>
  <c r="E136"/>
  <c r="C25"/>
  <c r="B25"/>
  <c r="X14" i="1"/>
  <c r="Y15"/>
  <c r="J5" i="5"/>
  <c r="K5" s="1"/>
  <c r="H30"/>
  <c r="D215" i="8" l="1"/>
  <c r="F214"/>
  <c r="A215"/>
  <c r="C214"/>
  <c r="B214"/>
  <c r="Z104" i="1"/>
  <c r="E137" i="8"/>
  <c r="F136"/>
  <c r="E119"/>
  <c r="F118"/>
  <c r="E113"/>
  <c r="F113" s="1"/>
  <c r="F112"/>
  <c r="E125"/>
  <c r="F124"/>
  <c r="E131"/>
  <c r="F130"/>
  <c r="E149"/>
  <c r="F149" s="1"/>
  <c r="E143"/>
  <c r="B26"/>
  <c r="C26"/>
  <c r="X15" i="1"/>
  <c r="Y16"/>
  <c r="I29" i="5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A216" i="8" l="1"/>
  <c r="B215"/>
  <c r="C215"/>
  <c r="D216"/>
  <c r="F215"/>
  <c r="Z105" i="1"/>
  <c r="E144" i="8"/>
  <c r="F143"/>
  <c r="E132"/>
  <c r="F131"/>
  <c r="E126"/>
  <c r="F125"/>
  <c r="E120"/>
  <c r="F120" s="1"/>
  <c r="F119"/>
  <c r="E138"/>
  <c r="F137"/>
  <c r="E156"/>
  <c r="F156" s="1"/>
  <c r="E150"/>
  <c r="C27"/>
  <c r="B27"/>
  <c r="Y17" i="1"/>
  <c r="X16"/>
  <c r="J7" i="5"/>
  <c r="K7" s="1"/>
  <c r="J11"/>
  <c r="K11" s="1"/>
  <c r="J13"/>
  <c r="K13" s="1"/>
  <c r="J6"/>
  <c r="K6" s="1"/>
  <c r="J8"/>
  <c r="K8" s="1"/>
  <c r="J10"/>
  <c r="K10" s="1"/>
  <c r="J12"/>
  <c r="K12" s="1"/>
  <c r="J14"/>
  <c r="K14" s="1"/>
  <c r="J16"/>
  <c r="K16" s="1"/>
  <c r="J18"/>
  <c r="K18" s="1"/>
  <c r="J20"/>
  <c r="K20" s="1"/>
  <c r="J22"/>
  <c r="K22" s="1"/>
  <c r="J24"/>
  <c r="K24" s="1"/>
  <c r="J26"/>
  <c r="K26" s="1"/>
  <c r="J28"/>
  <c r="K28" s="1"/>
  <c r="J9"/>
  <c r="K9" s="1"/>
  <c r="J15"/>
  <c r="K15" s="1"/>
  <c r="J17"/>
  <c r="K17" s="1"/>
  <c r="J19"/>
  <c r="K19" s="1"/>
  <c r="J21"/>
  <c r="K21" s="1"/>
  <c r="J23"/>
  <c r="K23" s="1"/>
  <c r="J25"/>
  <c r="K25" s="1"/>
  <c r="J27"/>
  <c r="K27" s="1"/>
  <c r="J29"/>
  <c r="K29" s="1"/>
  <c r="I30"/>
  <c r="D217" i="8" l="1"/>
  <c r="F216"/>
  <c r="A217"/>
  <c r="C216"/>
  <c r="B216"/>
  <c r="Z106" i="1"/>
  <c r="E139" i="8"/>
  <c r="F138"/>
  <c r="E127"/>
  <c r="F127" s="1"/>
  <c r="F126"/>
  <c r="E133"/>
  <c r="F132"/>
  <c r="E145"/>
  <c r="F144"/>
  <c r="E151"/>
  <c r="F150"/>
  <c r="E157"/>
  <c r="B28"/>
  <c r="C28"/>
  <c r="X17" i="1"/>
  <c r="Y18"/>
  <c r="J30" i="5"/>
  <c r="K30" s="1"/>
  <c r="A218" i="8" l="1"/>
  <c r="B217"/>
  <c r="C217"/>
  <c r="D218"/>
  <c r="F217"/>
  <c r="Z107" i="1"/>
  <c r="E158" i="8"/>
  <c r="F157"/>
  <c r="E152"/>
  <c r="F151"/>
  <c r="E146"/>
  <c r="F145"/>
  <c r="E134"/>
  <c r="F134" s="1"/>
  <c r="F133"/>
  <c r="E140"/>
  <c r="F139"/>
  <c r="E170"/>
  <c r="F170" s="1"/>
  <c r="E164"/>
  <c r="C29"/>
  <c r="B29"/>
  <c r="X18" i="1"/>
  <c r="Y19"/>
  <c r="K3" i="3"/>
  <c r="M3" s="1"/>
  <c r="K4"/>
  <c r="M4" s="1"/>
  <c r="K5"/>
  <c r="M5" s="1"/>
  <c r="K6"/>
  <c r="M6" s="1"/>
  <c r="K7"/>
  <c r="M7" s="1"/>
  <c r="K8"/>
  <c r="M8" s="1"/>
  <c r="K9"/>
  <c r="M9" s="1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K23"/>
  <c r="M23" s="1"/>
  <c r="K24"/>
  <c r="M24" s="1"/>
  <c r="K25"/>
  <c r="M25" s="1"/>
  <c r="K26"/>
  <c r="M26" s="1"/>
  <c r="K27"/>
  <c r="M27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K38"/>
  <c r="M38" s="1"/>
  <c r="K39"/>
  <c r="M39" s="1"/>
  <c r="K40"/>
  <c r="M40" s="1"/>
  <c r="K41"/>
  <c r="M41" s="1"/>
  <c r="K42"/>
  <c r="M42" s="1"/>
  <c r="K43"/>
  <c r="M43" s="1"/>
  <c r="K44"/>
  <c r="M44" s="1"/>
  <c r="K45"/>
  <c r="M45" s="1"/>
  <c r="K46"/>
  <c r="M46" s="1"/>
  <c r="K47"/>
  <c r="M47" s="1"/>
  <c r="K48"/>
  <c r="M48" s="1"/>
  <c r="K49"/>
  <c r="M49" s="1"/>
  <c r="K50"/>
  <c r="M50" s="1"/>
  <c r="K51"/>
  <c r="M51" s="1"/>
  <c r="K52"/>
  <c r="M52" s="1"/>
  <c r="K53"/>
  <c r="M53" s="1"/>
  <c r="K54"/>
  <c r="M54" s="1"/>
  <c r="K55"/>
  <c r="M55" s="1"/>
  <c r="K56"/>
  <c r="M56" s="1"/>
  <c r="K57"/>
  <c r="M57" s="1"/>
  <c r="K58"/>
  <c r="M58" s="1"/>
  <c r="K59"/>
  <c r="M59" s="1"/>
  <c r="K60"/>
  <c r="M60" s="1"/>
  <c r="K61"/>
  <c r="M61" s="1"/>
  <c r="K62"/>
  <c r="M62" s="1"/>
  <c r="K63"/>
  <c r="M63" s="1"/>
  <c r="K64"/>
  <c r="M64" s="1"/>
  <c r="K65"/>
  <c r="M65" s="1"/>
  <c r="K66"/>
  <c r="M66" s="1"/>
  <c r="K67"/>
  <c r="M67" s="1"/>
  <c r="K68"/>
  <c r="M68" s="1"/>
  <c r="K70"/>
  <c r="M70" s="1"/>
  <c r="K71"/>
  <c r="M71" s="1"/>
  <c r="K72"/>
  <c r="M72" s="1"/>
  <c r="K73"/>
  <c r="M73" s="1"/>
  <c r="K74"/>
  <c r="M74" s="1"/>
  <c r="K75"/>
  <c r="M75" s="1"/>
  <c r="K76"/>
  <c r="M76" s="1"/>
  <c r="K77"/>
  <c r="M77" s="1"/>
  <c r="K78"/>
  <c r="M78" s="1"/>
  <c r="K79"/>
  <c r="M79" s="1"/>
  <c r="K80"/>
  <c r="M80" s="1"/>
  <c r="K81"/>
  <c r="M81" s="1"/>
  <c r="K82"/>
  <c r="M82" s="1"/>
  <c r="K83"/>
  <c r="M83" s="1"/>
  <c r="K84"/>
  <c r="M84" s="1"/>
  <c r="K85"/>
  <c r="M85" s="1"/>
  <c r="K86"/>
  <c r="M86" s="1"/>
  <c r="K87"/>
  <c r="M87" s="1"/>
  <c r="K88"/>
  <c r="M88" s="1"/>
  <c r="K2"/>
  <c r="M2" s="1"/>
  <c r="L22" l="1"/>
  <c r="M22"/>
  <c r="D219" i="8"/>
  <c r="F218"/>
  <c r="A219"/>
  <c r="C218"/>
  <c r="B218"/>
  <c r="Z108" i="1"/>
  <c r="E165" i="8"/>
  <c r="F164"/>
  <c r="E141"/>
  <c r="F141" s="1"/>
  <c r="F140"/>
  <c r="E147"/>
  <c r="F146"/>
  <c r="E153"/>
  <c r="F152"/>
  <c r="E159"/>
  <c r="F158"/>
  <c r="L2" i="3"/>
  <c r="L87"/>
  <c r="L85"/>
  <c r="L83"/>
  <c r="L81"/>
  <c r="L79"/>
  <c r="L77"/>
  <c r="L75"/>
  <c r="L73"/>
  <c r="L71"/>
  <c r="L67"/>
  <c r="L64"/>
  <c r="L62"/>
  <c r="L60"/>
  <c r="L58"/>
  <c r="L56"/>
  <c r="L54"/>
  <c r="L52"/>
  <c r="L50"/>
  <c r="L48"/>
  <c r="L46"/>
  <c r="L44"/>
  <c r="L42"/>
  <c r="L40"/>
  <c r="L38"/>
  <c r="L36"/>
  <c r="L34"/>
  <c r="L32"/>
  <c r="L30"/>
  <c r="L28"/>
  <c r="L26"/>
  <c r="L24"/>
  <c r="L20"/>
  <c r="L18"/>
  <c r="L16"/>
  <c r="L14"/>
  <c r="L12"/>
  <c r="L10"/>
  <c r="L8"/>
  <c r="L6"/>
  <c r="L4"/>
  <c r="L88"/>
  <c r="L86"/>
  <c r="L84"/>
  <c r="L82"/>
  <c r="L80"/>
  <c r="L78"/>
  <c r="L76"/>
  <c r="L74"/>
  <c r="L72"/>
  <c r="L70"/>
  <c r="L68"/>
  <c r="L66"/>
  <c r="L65"/>
  <c r="L63"/>
  <c r="L61"/>
  <c r="L59"/>
  <c r="L57"/>
  <c r="L55"/>
  <c r="L53"/>
  <c r="L51"/>
  <c r="L49"/>
  <c r="L47"/>
  <c r="L45"/>
  <c r="L43"/>
  <c r="L41"/>
  <c r="L39"/>
  <c r="L37"/>
  <c r="L35"/>
  <c r="L33"/>
  <c r="L31"/>
  <c r="L29"/>
  <c r="L27"/>
  <c r="L25"/>
  <c r="L23"/>
  <c r="L21"/>
  <c r="L19"/>
  <c r="L17"/>
  <c r="L15"/>
  <c r="L13"/>
  <c r="L11"/>
  <c r="L9"/>
  <c r="L7"/>
  <c r="L5"/>
  <c r="L3"/>
  <c r="E177" i="8"/>
  <c r="F177" s="1"/>
  <c r="E171"/>
  <c r="B30"/>
  <c r="C30"/>
  <c r="X19" i="1"/>
  <c r="Y20"/>
  <c r="E3" i="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2"/>
  <c r="G48"/>
  <c r="B48"/>
  <c r="G49"/>
  <c r="B49"/>
  <c r="G50"/>
  <c r="B50"/>
  <c r="G51"/>
  <c r="B51"/>
  <c r="G52"/>
  <c r="B52"/>
  <c r="G53"/>
  <c r="B53"/>
  <c r="G54"/>
  <c r="B54"/>
  <c r="G55"/>
  <c r="B55"/>
  <c r="G56"/>
  <c r="B56"/>
  <c r="G57"/>
  <c r="B57"/>
  <c r="G58"/>
  <c r="B58"/>
  <c r="G59"/>
  <c r="B59"/>
  <c r="G60"/>
  <c r="B60"/>
  <c r="G61"/>
  <c r="B61"/>
  <c r="G62"/>
  <c r="B62"/>
  <c r="G63"/>
  <c r="B63"/>
  <c r="G64"/>
  <c r="B64"/>
  <c r="G65"/>
  <c r="B65"/>
  <c r="B66"/>
  <c r="B67"/>
  <c r="B68"/>
  <c r="B69"/>
  <c r="B70"/>
  <c r="B71"/>
  <c r="B72"/>
  <c r="G73"/>
  <c r="B73"/>
  <c r="G74"/>
  <c r="B74"/>
  <c r="G75"/>
  <c r="B75"/>
  <c r="B76"/>
  <c r="B77"/>
  <c r="B78"/>
  <c r="B79"/>
  <c r="B80"/>
  <c r="B81"/>
  <c r="B82"/>
  <c r="B83"/>
  <c r="B84"/>
  <c r="B85"/>
  <c r="B86"/>
  <c r="B87"/>
  <c r="B88"/>
  <c r="B20"/>
  <c r="G21"/>
  <c r="B21"/>
  <c r="B22"/>
  <c r="G23"/>
  <c r="B23"/>
  <c r="B24"/>
  <c r="B25"/>
  <c r="B26"/>
  <c r="G27"/>
  <c r="B27"/>
  <c r="B28"/>
  <c r="G29"/>
  <c r="B29"/>
  <c r="B30"/>
  <c r="B31"/>
  <c r="B32"/>
  <c r="G33"/>
  <c r="B33"/>
  <c r="G34"/>
  <c r="B34"/>
  <c r="G35"/>
  <c r="B35"/>
  <c r="G36"/>
  <c r="B36"/>
  <c r="G37"/>
  <c r="B37"/>
  <c r="G38"/>
  <c r="B38"/>
  <c r="G39"/>
  <c r="B39"/>
  <c r="G40"/>
  <c r="B40"/>
  <c r="G41"/>
  <c r="B41"/>
  <c r="G42"/>
  <c r="B42"/>
  <c r="G43"/>
  <c r="B43"/>
  <c r="G44"/>
  <c r="B44"/>
  <c r="G45"/>
  <c r="B45"/>
  <c r="G46"/>
  <c r="B46"/>
  <c r="G47"/>
  <c r="B47"/>
  <c r="A220" i="8" l="1"/>
  <c r="B219"/>
  <c r="C219"/>
  <c r="D220"/>
  <c r="F219"/>
  <c r="Z109" i="1"/>
  <c r="E172" i="8"/>
  <c r="F171"/>
  <c r="E160"/>
  <c r="F159"/>
  <c r="E154"/>
  <c r="F153"/>
  <c r="E148"/>
  <c r="F148" s="1"/>
  <c r="F147"/>
  <c r="E166"/>
  <c r="F165"/>
  <c r="E184"/>
  <c r="F184" s="1"/>
  <c r="E178"/>
  <c r="C31"/>
  <c r="B31"/>
  <c r="X20" i="1"/>
  <c r="Y21"/>
  <c r="B19" i="3"/>
  <c r="B18"/>
  <c r="B17"/>
  <c r="B16"/>
  <c r="G16"/>
  <c r="B15"/>
  <c r="B14"/>
  <c r="B13"/>
  <c r="B12"/>
  <c r="B11"/>
  <c r="B10"/>
  <c r="B9"/>
  <c r="B8"/>
  <c r="B7"/>
  <c r="B6"/>
  <c r="B5"/>
  <c r="B4"/>
  <c r="B3"/>
  <c r="A758" l="1"/>
  <c r="A771"/>
  <c r="A768"/>
  <c r="A735"/>
  <c r="A727"/>
  <c r="A719"/>
  <c r="A711"/>
  <c r="A703"/>
  <c r="A763"/>
  <c r="A755"/>
  <c r="A756"/>
  <c r="A770"/>
  <c r="A760"/>
  <c r="A747"/>
  <c r="A739"/>
  <c r="A757"/>
  <c r="A749"/>
  <c r="A741"/>
  <c r="A733"/>
  <c r="A725"/>
  <c r="A717"/>
  <c r="A709"/>
  <c r="A701"/>
  <c r="A752"/>
  <c r="A748"/>
  <c r="A744"/>
  <c r="A740"/>
  <c r="A736"/>
  <c r="A732"/>
  <c r="A728"/>
  <c r="A724"/>
  <c r="A720"/>
  <c r="A716"/>
  <c r="A712"/>
  <c r="A708"/>
  <c r="A704"/>
  <c r="A700"/>
  <c r="A696"/>
  <c r="A765"/>
  <c r="A754"/>
  <c r="A766"/>
  <c r="A764"/>
  <c r="A731"/>
  <c r="A723"/>
  <c r="A715"/>
  <c r="A707"/>
  <c r="A699"/>
  <c r="A759"/>
  <c r="A762"/>
  <c r="A769"/>
  <c r="A767"/>
  <c r="A751"/>
  <c r="A743"/>
  <c r="A761"/>
  <c r="A753"/>
  <c r="A745"/>
  <c r="A737"/>
  <c r="A729"/>
  <c r="A721"/>
  <c r="A713"/>
  <c r="A705"/>
  <c r="A697"/>
  <c r="A750"/>
  <c r="A746"/>
  <c r="A742"/>
  <c r="A738"/>
  <c r="A734"/>
  <c r="A730"/>
  <c r="A726"/>
  <c r="A722"/>
  <c r="A718"/>
  <c r="A714"/>
  <c r="A710"/>
  <c r="A706"/>
  <c r="A702"/>
  <c r="A698"/>
  <c r="A695"/>
  <c r="A693"/>
  <c r="A689"/>
  <c r="A683"/>
  <c r="A694"/>
  <c r="A690"/>
  <c r="A686"/>
  <c r="A682"/>
  <c r="A678"/>
  <c r="A685"/>
  <c r="A676"/>
  <c r="A691"/>
  <c r="A687"/>
  <c r="A679"/>
  <c r="A692"/>
  <c r="A688"/>
  <c r="A684"/>
  <c r="A680"/>
  <c r="A677"/>
  <c r="A681"/>
  <c r="A655"/>
  <c r="A675"/>
  <c r="A656"/>
  <c r="A646"/>
  <c r="A645"/>
  <c r="A661"/>
  <c r="A674"/>
  <c r="A644"/>
  <c r="A671"/>
  <c r="A651"/>
  <c r="A667"/>
  <c r="A672"/>
  <c r="A668"/>
  <c r="A654"/>
  <c r="A657"/>
  <c r="A652"/>
  <c r="A647"/>
  <c r="A663"/>
  <c r="A670"/>
  <c r="A662"/>
  <c r="A653"/>
  <c r="A673"/>
  <c r="A664"/>
  <c r="A660"/>
  <c r="A650"/>
  <c r="A643"/>
  <c r="A659"/>
  <c r="A648"/>
  <c r="A669"/>
  <c r="A649"/>
  <c r="A665"/>
  <c r="A666"/>
  <c r="A658"/>
  <c r="A617"/>
  <c r="A621"/>
  <c r="A625"/>
  <c r="A629"/>
  <c r="A633"/>
  <c r="A637"/>
  <c r="A641"/>
  <c r="A636"/>
  <c r="A638"/>
  <c r="A630"/>
  <c r="A622"/>
  <c r="A614"/>
  <c r="A610"/>
  <c r="A606"/>
  <c r="A602"/>
  <c r="A598"/>
  <c r="A632"/>
  <c r="A624"/>
  <c r="A616"/>
  <c r="A611"/>
  <c r="A607"/>
  <c r="A603"/>
  <c r="A599"/>
  <c r="A615"/>
  <c r="A619"/>
  <c r="A623"/>
  <c r="A627"/>
  <c r="A631"/>
  <c r="A635"/>
  <c r="A639"/>
  <c r="A640"/>
  <c r="A642"/>
  <c r="A634"/>
  <c r="A626"/>
  <c r="A618"/>
  <c r="A612"/>
  <c r="A608"/>
  <c r="A604"/>
  <c r="A600"/>
  <c r="A596"/>
  <c r="A628"/>
  <c r="A620"/>
  <c r="A613"/>
  <c r="A609"/>
  <c r="A605"/>
  <c r="A601"/>
  <c r="A597"/>
  <c r="D221" i="8"/>
  <c r="F220"/>
  <c r="A221"/>
  <c r="C220"/>
  <c r="B220"/>
  <c r="A579" i="3"/>
  <c r="A587"/>
  <c r="A595"/>
  <c r="A582"/>
  <c r="A569"/>
  <c r="A561"/>
  <c r="A592"/>
  <c r="A576"/>
  <c r="A566"/>
  <c r="A558"/>
  <c r="A577"/>
  <c r="A585"/>
  <c r="A593"/>
  <c r="A586"/>
  <c r="A571"/>
  <c r="A563"/>
  <c r="A555"/>
  <c r="A580"/>
  <c r="A568"/>
  <c r="A560"/>
  <c r="A575"/>
  <c r="A583"/>
  <c r="A591"/>
  <c r="A590"/>
  <c r="A574"/>
  <c r="A565"/>
  <c r="A557"/>
  <c r="A584"/>
  <c r="A570"/>
  <c r="A562"/>
  <c r="A573"/>
  <c r="A581"/>
  <c r="A589"/>
  <c r="A594"/>
  <c r="A578"/>
  <c r="A567"/>
  <c r="A559"/>
  <c r="A588"/>
  <c r="A572"/>
  <c r="A564"/>
  <c r="A556"/>
  <c r="A489"/>
  <c r="A493"/>
  <c r="A497"/>
  <c r="A501"/>
  <c r="A505"/>
  <c r="A509"/>
  <c r="A513"/>
  <c r="A517"/>
  <c r="A521"/>
  <c r="A525"/>
  <c r="A529"/>
  <c r="A533"/>
  <c r="A537"/>
  <c r="A541"/>
  <c r="A545"/>
  <c r="A551"/>
  <c r="A549"/>
  <c r="A548"/>
  <c r="A516"/>
  <c r="A492"/>
  <c r="A542"/>
  <c r="A534"/>
  <c r="A526"/>
  <c r="A518"/>
  <c r="A506"/>
  <c r="A490"/>
  <c r="A540"/>
  <c r="A532"/>
  <c r="A524"/>
  <c r="A508"/>
  <c r="A496"/>
  <c r="A550"/>
  <c r="A510"/>
  <c r="A494"/>
  <c r="A491"/>
  <c r="A495"/>
  <c r="A499"/>
  <c r="A503"/>
  <c r="A507"/>
  <c r="A511"/>
  <c r="A515"/>
  <c r="A519"/>
  <c r="A523"/>
  <c r="A527"/>
  <c r="A531"/>
  <c r="A535"/>
  <c r="A539"/>
  <c r="A543"/>
  <c r="A547"/>
  <c r="A553"/>
  <c r="A552"/>
  <c r="A520"/>
  <c r="A500"/>
  <c r="A488"/>
  <c r="A538"/>
  <c r="A530"/>
  <c r="A522"/>
  <c r="A514"/>
  <c r="A502"/>
  <c r="A544"/>
  <c r="A536"/>
  <c r="A528"/>
  <c r="A512"/>
  <c r="A504"/>
  <c r="A554"/>
  <c r="A546"/>
  <c r="A498"/>
  <c r="A481"/>
  <c r="A485"/>
  <c r="A482"/>
  <c r="A476"/>
  <c r="A472"/>
  <c r="A460"/>
  <c r="A470"/>
  <c r="A486"/>
  <c r="A477"/>
  <c r="A473"/>
  <c r="A400"/>
  <c r="A404"/>
  <c r="A408"/>
  <c r="A412"/>
  <c r="A416"/>
  <c r="A420"/>
  <c r="A424"/>
  <c r="A428"/>
  <c r="A432"/>
  <c r="A436"/>
  <c r="A440"/>
  <c r="A444"/>
  <c r="A448"/>
  <c r="A452"/>
  <c r="A456"/>
  <c r="A464"/>
  <c r="A465"/>
  <c r="A457"/>
  <c r="A449"/>
  <c r="A441"/>
  <c r="A433"/>
  <c r="A425"/>
  <c r="A417"/>
  <c r="A409"/>
  <c r="A401"/>
  <c r="A467"/>
  <c r="A455"/>
  <c r="A447"/>
  <c r="A439"/>
  <c r="A431"/>
  <c r="A423"/>
  <c r="A415"/>
  <c r="A407"/>
  <c r="A399"/>
  <c r="A463"/>
  <c r="A322"/>
  <c r="A326"/>
  <c r="A330"/>
  <c r="A334"/>
  <c r="A338"/>
  <c r="A342"/>
  <c r="A346"/>
  <c r="A350"/>
  <c r="A354"/>
  <c r="A358"/>
  <c r="A362"/>
  <c r="A366"/>
  <c r="A370"/>
  <c r="A374"/>
  <c r="A378"/>
  <c r="A382"/>
  <c r="A386"/>
  <c r="A396"/>
  <c r="A392"/>
  <c r="A377"/>
  <c r="A369"/>
  <c r="A361"/>
  <c r="A353"/>
  <c r="A345"/>
  <c r="A393"/>
  <c r="A385"/>
  <c r="A331"/>
  <c r="A323"/>
  <c r="A395"/>
  <c r="A387"/>
  <c r="A337"/>
  <c r="A329"/>
  <c r="A379"/>
  <c r="A371"/>
  <c r="A363"/>
  <c r="A355"/>
  <c r="A347"/>
  <c r="A339"/>
  <c r="A317"/>
  <c r="A311"/>
  <c r="A310"/>
  <c r="A318"/>
  <c r="A313"/>
  <c r="A312"/>
  <c r="A308"/>
  <c r="A303"/>
  <c r="A293"/>
  <c r="A291"/>
  <c r="A280"/>
  <c r="A301"/>
  <c r="A290"/>
  <c r="A289"/>
  <c r="A279"/>
  <c r="A271"/>
  <c r="A296"/>
  <c r="A304"/>
  <c r="A299"/>
  <c r="A297"/>
  <c r="A286"/>
  <c r="A274"/>
  <c r="A265"/>
  <c r="A284"/>
  <c r="A267"/>
  <c r="A283"/>
  <c r="A292"/>
  <c r="A282"/>
  <c r="A270"/>
  <c r="A266"/>
  <c r="A262"/>
  <c r="A257"/>
  <c r="A253"/>
  <c r="A249"/>
  <c r="A245"/>
  <c r="A241"/>
  <c r="A237"/>
  <c r="A233"/>
  <c r="A260"/>
  <c r="A256"/>
  <c r="A252"/>
  <c r="A248"/>
  <c r="A244"/>
  <c r="A240"/>
  <c r="A236"/>
  <c r="A479"/>
  <c r="A483"/>
  <c r="A487"/>
  <c r="A478"/>
  <c r="A474"/>
  <c r="A458"/>
  <c r="A468"/>
  <c r="A484"/>
  <c r="A480"/>
  <c r="A475"/>
  <c r="A398"/>
  <c r="A402"/>
  <c r="A406"/>
  <c r="A410"/>
  <c r="A414"/>
  <c r="A418"/>
  <c r="A422"/>
  <c r="A426"/>
  <c r="A430"/>
  <c r="A434"/>
  <c r="A438"/>
  <c r="A442"/>
  <c r="A446"/>
  <c r="A450"/>
  <c r="A454"/>
  <c r="A462"/>
  <c r="A466"/>
  <c r="A461"/>
  <c r="A453"/>
  <c r="A445"/>
  <c r="A437"/>
  <c r="A429"/>
  <c r="A421"/>
  <c r="A413"/>
  <c r="A405"/>
  <c r="A397"/>
  <c r="A469"/>
  <c r="A451"/>
  <c r="A443"/>
  <c r="A435"/>
  <c r="A427"/>
  <c r="A419"/>
  <c r="A411"/>
  <c r="A403"/>
  <c r="A471"/>
  <c r="A459"/>
  <c r="A324"/>
  <c r="A328"/>
  <c r="A332"/>
  <c r="A336"/>
  <c r="A340"/>
  <c r="A344"/>
  <c r="A348"/>
  <c r="A352"/>
  <c r="A356"/>
  <c r="A360"/>
  <c r="A364"/>
  <c r="A368"/>
  <c r="A372"/>
  <c r="A376"/>
  <c r="A380"/>
  <c r="A384"/>
  <c r="A388"/>
  <c r="A390"/>
  <c r="A394"/>
  <c r="A373"/>
  <c r="A365"/>
  <c r="A357"/>
  <c r="A349"/>
  <c r="A341"/>
  <c r="A389"/>
  <c r="A381"/>
  <c r="A327"/>
  <c r="A321"/>
  <c r="A391"/>
  <c r="A383"/>
  <c r="A333"/>
  <c r="A325"/>
  <c r="A375"/>
  <c r="A367"/>
  <c r="A359"/>
  <c r="A351"/>
  <c r="A343"/>
  <c r="A335"/>
  <c r="A315"/>
  <c r="A319"/>
  <c r="A320"/>
  <c r="A316"/>
  <c r="A314"/>
  <c r="A309"/>
  <c r="A305"/>
  <c r="A298"/>
  <c r="A300"/>
  <c r="A287"/>
  <c r="A276"/>
  <c r="A294"/>
  <c r="A277"/>
  <c r="A285"/>
  <c r="A275"/>
  <c r="A306"/>
  <c r="A307"/>
  <c r="A302"/>
  <c r="A232"/>
  <c r="A295"/>
  <c r="A281"/>
  <c r="A269"/>
  <c r="A261"/>
  <c r="A272"/>
  <c r="A263"/>
  <c r="A273"/>
  <c r="A288"/>
  <c r="A278"/>
  <c r="A268"/>
  <c r="A264"/>
  <c r="A259"/>
  <c r="A255"/>
  <c r="A251"/>
  <c r="A247"/>
  <c r="A243"/>
  <c r="A239"/>
  <c r="A235"/>
  <c r="A231"/>
  <c r="A258"/>
  <c r="A254"/>
  <c r="A250"/>
  <c r="A246"/>
  <c r="A242"/>
  <c r="A238"/>
  <c r="A234"/>
  <c r="A230"/>
  <c r="A226"/>
  <c r="A228"/>
  <c r="A229"/>
  <c r="A227"/>
  <c r="A210"/>
  <c r="A221"/>
  <c r="A204"/>
  <c r="A213"/>
  <c r="A225"/>
  <c r="A220"/>
  <c r="A219"/>
  <c r="A218"/>
  <c r="A216"/>
  <c r="A207"/>
  <c r="A206"/>
  <c r="A184"/>
  <c r="A201"/>
  <c r="A199"/>
  <c r="A202"/>
  <c r="A188"/>
  <c r="A198"/>
  <c r="A190"/>
  <c r="A182"/>
  <c r="A200"/>
  <c r="A192"/>
  <c r="A187"/>
  <c r="A183"/>
  <c r="A179"/>
  <c r="A176"/>
  <c r="A160"/>
  <c r="A170"/>
  <c r="A162"/>
  <c r="A154"/>
  <c r="A166"/>
  <c r="A163"/>
  <c r="A157"/>
  <c r="A165"/>
  <c r="A175"/>
  <c r="A173"/>
  <c r="A159"/>
  <c r="A209"/>
  <c r="A205"/>
  <c r="A208"/>
  <c r="A214"/>
  <c r="A217"/>
  <c r="A224"/>
  <c r="A215"/>
  <c r="A223"/>
  <c r="A212"/>
  <c r="A222"/>
  <c r="A211"/>
  <c r="A193"/>
  <c r="A177"/>
  <c r="A203"/>
  <c r="A191"/>
  <c r="A197"/>
  <c r="A180"/>
  <c r="A194"/>
  <c r="A186"/>
  <c r="A178"/>
  <c r="A196"/>
  <c r="A189"/>
  <c r="A185"/>
  <c r="A181"/>
  <c r="A195"/>
  <c r="A168"/>
  <c r="A153"/>
  <c r="A167"/>
  <c r="A158"/>
  <c r="A174"/>
  <c r="A171"/>
  <c r="A161"/>
  <c r="A172"/>
  <c r="A156"/>
  <c r="A164"/>
  <c r="A169"/>
  <c r="A155"/>
  <c r="A135"/>
  <c r="A139"/>
  <c r="A143"/>
  <c r="A147"/>
  <c r="A151"/>
  <c r="A148"/>
  <c r="A146"/>
  <c r="A138"/>
  <c r="A144"/>
  <c r="A136"/>
  <c r="A110"/>
  <c r="A130"/>
  <c r="A120"/>
  <c r="A125"/>
  <c r="A129"/>
  <c r="A109"/>
  <c r="A117"/>
  <c r="A132"/>
  <c r="A116"/>
  <c r="A118"/>
  <c r="A111"/>
  <c r="A119"/>
  <c r="A133"/>
  <c r="A137"/>
  <c r="A141"/>
  <c r="A145"/>
  <c r="A149"/>
  <c r="A152"/>
  <c r="A150"/>
  <c r="A142"/>
  <c r="A134"/>
  <c r="A140"/>
  <c r="A128"/>
  <c r="A126"/>
  <c r="A112"/>
  <c r="A123"/>
  <c r="A127"/>
  <c r="A131"/>
  <c r="A113"/>
  <c r="A124"/>
  <c r="A108"/>
  <c r="A114"/>
  <c r="A122"/>
  <c r="A115"/>
  <c r="A121"/>
  <c r="Z110" i="1"/>
  <c r="E167" i="8"/>
  <c r="F166"/>
  <c r="E155"/>
  <c r="F155" s="1"/>
  <c r="F154"/>
  <c r="E161"/>
  <c r="F160"/>
  <c r="E173"/>
  <c r="F172"/>
  <c r="E179"/>
  <c r="F178"/>
  <c r="E185"/>
  <c r="B32"/>
  <c r="C32"/>
  <c r="X21" i="1"/>
  <c r="Y22"/>
  <c r="A92" i="3"/>
  <c r="A96"/>
  <c r="A100"/>
  <c r="A104"/>
  <c r="A91"/>
  <c r="A95"/>
  <c r="A99"/>
  <c r="A103"/>
  <c r="A107"/>
  <c r="A89"/>
  <c r="A90"/>
  <c r="A94"/>
  <c r="A98"/>
  <c r="A102"/>
  <c r="A106"/>
  <c r="A93"/>
  <c r="A97"/>
  <c r="A101"/>
  <c r="A105"/>
  <c r="G25"/>
  <c r="G31"/>
  <c r="G76"/>
  <c r="G79"/>
  <c r="G81"/>
  <c r="G85"/>
  <c r="G82"/>
  <c r="G86"/>
  <c r="G78"/>
  <c r="G83"/>
  <c r="G87"/>
  <c r="G77"/>
  <c r="G80"/>
  <c r="G84"/>
  <c r="G88"/>
  <c r="G67"/>
  <c r="G70"/>
  <c r="G30"/>
  <c r="G71"/>
  <c r="G2"/>
  <c r="A2"/>
  <c r="G66"/>
  <c r="G68"/>
  <c r="G72"/>
  <c r="G22"/>
  <c r="G32"/>
  <c r="G26"/>
  <c r="G20"/>
  <c r="G24"/>
  <c r="G11"/>
  <c r="G13"/>
  <c r="G14"/>
  <c r="G15"/>
  <c r="G17"/>
  <c r="G69"/>
  <c r="G28"/>
  <c r="A49"/>
  <c r="A51"/>
  <c r="A53"/>
  <c r="A55"/>
  <c r="A58"/>
  <c r="A62"/>
  <c r="A67"/>
  <c r="A71"/>
  <c r="A75"/>
  <c r="A76"/>
  <c r="A82"/>
  <c r="A86"/>
  <c r="A56"/>
  <c r="A61"/>
  <c r="A65"/>
  <c r="A66"/>
  <c r="A70"/>
  <c r="A74"/>
  <c r="A79"/>
  <c r="A81"/>
  <c r="A85"/>
  <c r="A48"/>
  <c r="A50"/>
  <c r="A52"/>
  <c r="A54"/>
  <c r="A57"/>
  <c r="A60"/>
  <c r="A64"/>
  <c r="A69"/>
  <c r="A73"/>
  <c r="A78"/>
  <c r="A80"/>
  <c r="A84"/>
  <c r="A88"/>
  <c r="A59"/>
  <c r="A63"/>
  <c r="A68"/>
  <c r="A72"/>
  <c r="A77"/>
  <c r="A83"/>
  <c r="A87"/>
  <c r="G8"/>
  <c r="G10"/>
  <c r="A3"/>
  <c r="A8"/>
  <c r="G7"/>
  <c r="G9"/>
  <c r="G12"/>
  <c r="G18"/>
  <c r="G19"/>
  <c r="A10"/>
  <c r="A12"/>
  <c r="A14"/>
  <c r="A16"/>
  <c r="A18"/>
  <c r="A7"/>
  <c r="A44"/>
  <c r="A40"/>
  <c r="A36"/>
  <c r="A32"/>
  <c r="A28"/>
  <c r="A24"/>
  <c r="A45"/>
  <c r="A41"/>
  <c r="A37"/>
  <c r="A33"/>
  <c r="A29"/>
  <c r="A25"/>
  <c r="A22"/>
  <c r="A46"/>
  <c r="A42"/>
  <c r="A38"/>
  <c r="A34"/>
  <c r="A30"/>
  <c r="A26"/>
  <c r="A21"/>
  <c r="A47"/>
  <c r="A43"/>
  <c r="A39"/>
  <c r="A35"/>
  <c r="A31"/>
  <c r="A27"/>
  <c r="A23"/>
  <c r="A20"/>
  <c r="A9"/>
  <c r="A11"/>
  <c r="A13"/>
  <c r="A15"/>
  <c r="A17"/>
  <c r="A19"/>
  <c r="A4"/>
  <c r="G3"/>
  <c r="G4"/>
  <c r="G5"/>
  <c r="G6"/>
  <c r="A5"/>
  <c r="A6"/>
  <c r="A222" i="8" l="1"/>
  <c r="B221"/>
  <c r="C221"/>
  <c r="D222"/>
  <c r="F221"/>
  <c r="Z111" i="1"/>
  <c r="E186" i="8"/>
  <c r="F185"/>
  <c r="E180"/>
  <c r="F179"/>
  <c r="E174"/>
  <c r="F173"/>
  <c r="E162"/>
  <c r="F162" s="1"/>
  <c r="F161"/>
  <c r="E168"/>
  <c r="F167"/>
  <c r="E192"/>
  <c r="C33"/>
  <c r="B33"/>
  <c r="X22" i="1"/>
  <c r="Y23"/>
  <c r="D223" i="8" l="1"/>
  <c r="F222"/>
  <c r="A223"/>
  <c r="C222"/>
  <c r="B222"/>
  <c r="Z112" i="1"/>
  <c r="Z113" s="1"/>
  <c r="Z114" s="1"/>
  <c r="Z115" s="1"/>
  <c r="Z116" s="1"/>
  <c r="Z117" s="1"/>
  <c r="Z118" s="1"/>
  <c r="Z119" s="1"/>
  <c r="Z120" s="1"/>
  <c r="Z121" s="1"/>
  <c r="Z122" s="1"/>
  <c r="Z123" s="1"/>
  <c r="Z124" s="1"/>
  <c r="Z125" s="1"/>
  <c r="Z126" s="1"/>
  <c r="Z127" s="1"/>
  <c r="Z128" s="1"/>
  <c r="E193" i="8"/>
  <c r="F192"/>
  <c r="E169"/>
  <c r="F169" s="1"/>
  <c r="F168"/>
  <c r="E175"/>
  <c r="F174"/>
  <c r="E181"/>
  <c r="F180"/>
  <c r="E187"/>
  <c r="F186"/>
  <c r="B34"/>
  <c r="C34"/>
  <c r="X23" i="1"/>
  <c r="Y24"/>
  <c r="A224" i="8" l="1"/>
  <c r="B223"/>
  <c r="C223"/>
  <c r="D224"/>
  <c r="F224" s="1"/>
  <c r="F223"/>
  <c r="E188"/>
  <c r="F187"/>
  <c r="E182"/>
  <c r="F181"/>
  <c r="E176"/>
  <c r="F176" s="1"/>
  <c r="F175"/>
  <c r="E194"/>
  <c r="F193"/>
  <c r="C35"/>
  <c r="B35"/>
  <c r="X24" i="1"/>
  <c r="Y25"/>
  <c r="A225" i="8" l="1"/>
  <c r="C224"/>
  <c r="B224"/>
  <c r="E195"/>
  <c r="F194"/>
  <c r="E183"/>
  <c r="F183" s="1"/>
  <c r="F182"/>
  <c r="E189"/>
  <c r="F188"/>
  <c r="B36"/>
  <c r="C36"/>
  <c r="Y26" i="1"/>
  <c r="X25"/>
  <c r="A226" i="8" l="1"/>
  <c r="B225"/>
  <c r="C225"/>
  <c r="E190"/>
  <c r="F190" s="1"/>
  <c r="F189"/>
  <c r="E196"/>
  <c r="F195"/>
  <c r="C37"/>
  <c r="B37"/>
  <c r="X26" i="1"/>
  <c r="Y27"/>
  <c r="A227" i="8" l="1"/>
  <c r="C226"/>
  <c r="B226"/>
  <c r="E197"/>
  <c r="F197" s="1"/>
  <c r="F196"/>
  <c r="B38"/>
  <c r="C38"/>
  <c r="X27" i="1"/>
  <c r="Y28"/>
  <c r="A228" i="8" l="1"/>
  <c r="B227"/>
  <c r="C227"/>
  <c r="C39"/>
  <c r="B39"/>
  <c r="X28" i="1"/>
  <c r="Y29"/>
  <c r="A229" i="8" l="1"/>
  <c r="C228"/>
  <c r="B228"/>
  <c r="B40"/>
  <c r="C40"/>
  <c r="X29" i="1"/>
  <c r="Y30"/>
  <c r="A230" i="8" l="1"/>
  <c r="B229"/>
  <c r="C229"/>
  <c r="C41"/>
  <c r="B41"/>
  <c r="X30" i="1"/>
  <c r="Y31"/>
  <c r="A231" i="8" l="1"/>
  <c r="C230"/>
  <c r="B230"/>
  <c r="B42"/>
  <c r="C42"/>
  <c r="X31" i="1"/>
  <c r="Y32"/>
  <c r="A232" i="8" l="1"/>
  <c r="B231"/>
  <c r="C231"/>
  <c r="C43"/>
  <c r="B43"/>
  <c r="X32" i="1"/>
  <c r="Y33"/>
  <c r="A233" i="8" l="1"/>
  <c r="C232"/>
  <c r="B232"/>
  <c r="B44"/>
  <c r="C44"/>
  <c r="X33" i="1"/>
  <c r="Y34"/>
  <c r="A234" i="8" l="1"/>
  <c r="B233"/>
  <c r="C233"/>
  <c r="C45"/>
  <c r="B45"/>
  <c r="X34" i="1"/>
  <c r="Y35"/>
  <c r="A235" i="8" l="1"/>
  <c r="C234"/>
  <c r="B234"/>
  <c r="C46"/>
  <c r="B46"/>
  <c r="X35" i="1"/>
  <c r="Y36"/>
  <c r="A236" i="8" l="1"/>
  <c r="B235"/>
  <c r="C235"/>
  <c r="C47"/>
  <c r="B47"/>
  <c r="X36" i="1"/>
  <c r="Y37"/>
  <c r="A237" i="8" l="1"/>
  <c r="C236"/>
  <c r="B236"/>
  <c r="C48"/>
  <c r="B48"/>
  <c r="Y38" i="1"/>
  <c r="X37"/>
  <c r="A238" i="8" l="1"/>
  <c r="B237"/>
  <c r="C237"/>
  <c r="C49"/>
  <c r="B49"/>
  <c r="Y39" i="1"/>
  <c r="X38"/>
  <c r="A239" i="8" l="1"/>
  <c r="C238"/>
  <c r="B238"/>
  <c r="C50"/>
  <c r="B50"/>
  <c r="Y40" i="1"/>
  <c r="X39"/>
  <c r="B239" i="8" l="1"/>
  <c r="C239"/>
  <c r="A240"/>
  <c r="C51"/>
  <c r="B51"/>
  <c r="X40" i="1"/>
  <c r="Y41"/>
  <c r="C240" i="8" l="1"/>
  <c r="B240"/>
  <c r="A241"/>
  <c r="C52"/>
  <c r="B52"/>
  <c r="X41" i="1"/>
  <c r="Y42"/>
  <c r="A242" i="8" l="1"/>
  <c r="B241"/>
  <c r="C241"/>
  <c r="C53"/>
  <c r="B53"/>
  <c r="X42" i="1"/>
  <c r="Y43"/>
  <c r="A243" i="8" l="1"/>
  <c r="C242"/>
  <c r="B242"/>
  <c r="C54"/>
  <c r="B54"/>
  <c r="X43" i="1"/>
  <c r="Y44"/>
  <c r="A244" i="8" l="1"/>
  <c r="B243"/>
  <c r="C243"/>
  <c r="C55"/>
  <c r="B55"/>
  <c r="X44" i="1"/>
  <c r="Y45"/>
  <c r="A245" i="8" l="1"/>
  <c r="C244"/>
  <c r="B244"/>
  <c r="C56"/>
  <c r="B56"/>
  <c r="X45" i="1"/>
  <c r="Y46"/>
  <c r="A246" i="8" l="1"/>
  <c r="B245"/>
  <c r="C245"/>
  <c r="C57"/>
  <c r="B57"/>
  <c r="X46" i="1"/>
  <c r="Y47"/>
  <c r="A247" i="8" l="1"/>
  <c r="C246"/>
  <c r="B246"/>
  <c r="C58"/>
  <c r="B58"/>
  <c r="Y48" i="1"/>
  <c r="X47"/>
  <c r="A248" i="8" l="1"/>
  <c r="B247"/>
  <c r="C247"/>
  <c r="C59"/>
  <c r="B59"/>
  <c r="X48" i="1"/>
  <c r="Y49"/>
  <c r="A249" i="8" l="1"/>
  <c r="C248"/>
  <c r="B248"/>
  <c r="C60"/>
  <c r="B60"/>
  <c r="X49" i="1"/>
  <c r="Y50"/>
  <c r="A250" i="8" l="1"/>
  <c r="B249"/>
  <c r="C249"/>
  <c r="C61"/>
  <c r="B61"/>
  <c r="Y51" i="1"/>
  <c r="X50"/>
  <c r="A251" i="8" l="1"/>
  <c r="C250"/>
  <c r="B250"/>
  <c r="C62"/>
  <c r="B62"/>
  <c r="X51" i="1"/>
  <c r="Y52"/>
  <c r="A252" i="8" l="1"/>
  <c r="B251"/>
  <c r="C251"/>
  <c r="C63"/>
  <c r="B63"/>
  <c r="X52" i="1"/>
  <c r="Y53"/>
  <c r="A253" i="8" l="1"/>
  <c r="C252"/>
  <c r="B252"/>
  <c r="C64"/>
  <c r="B64"/>
  <c r="X53" i="1"/>
  <c r="Y54"/>
  <c r="A254" i="8" l="1"/>
  <c r="B253"/>
  <c r="C253"/>
  <c r="C65"/>
  <c r="B65"/>
  <c r="X54" i="1"/>
  <c r="Y55"/>
  <c r="A255" i="8" l="1"/>
  <c r="C254"/>
  <c r="B254"/>
  <c r="C66"/>
  <c r="B66"/>
  <c r="Y56" i="1"/>
  <c r="X55"/>
  <c r="B255" i="8" l="1"/>
  <c r="C255"/>
  <c r="A256"/>
  <c r="C67"/>
  <c r="B67"/>
  <c r="Y57" i="1"/>
  <c r="X56"/>
  <c r="C256" i="8" l="1"/>
  <c r="B256"/>
  <c r="A257"/>
  <c r="C68"/>
  <c r="B68"/>
  <c r="X57" i="1"/>
  <c r="Y58"/>
  <c r="A258" i="8" l="1"/>
  <c r="B257"/>
  <c r="C257"/>
  <c r="C69"/>
  <c r="B69"/>
  <c r="X58" i="1"/>
  <c r="Y59"/>
  <c r="A259" i="8" l="1"/>
  <c r="C258"/>
  <c r="B258"/>
  <c r="C70"/>
  <c r="B70"/>
  <c r="Y60" i="1"/>
  <c r="X59"/>
  <c r="A260" i="8" l="1"/>
  <c r="B259"/>
  <c r="C259"/>
  <c r="C71"/>
  <c r="B71"/>
  <c r="X60" i="1"/>
  <c r="Y61"/>
  <c r="A261" i="8" l="1"/>
  <c r="C260"/>
  <c r="B260"/>
  <c r="X61" i="1"/>
  <c r="Y62"/>
  <c r="C72" i="8"/>
  <c r="B72"/>
  <c r="A262" l="1"/>
  <c r="B261"/>
  <c r="C261"/>
  <c r="X62" i="1"/>
  <c r="Y63"/>
  <c r="C73" i="8"/>
  <c r="B73"/>
  <c r="C262" l="1"/>
  <c r="B262"/>
  <c r="A263"/>
  <c r="Y64" i="1"/>
  <c r="X63"/>
  <c r="C74" i="8"/>
  <c r="B74"/>
  <c r="B263" l="1"/>
  <c r="C263"/>
  <c r="A264"/>
  <c r="X64" i="1"/>
  <c r="Y65"/>
  <c r="C75" i="8"/>
  <c r="B75"/>
  <c r="C264" l="1"/>
  <c r="A265"/>
  <c r="B264"/>
  <c r="Y66" i="1"/>
  <c r="X65"/>
  <c r="C76" i="8"/>
  <c r="B76"/>
  <c r="B265" l="1"/>
  <c r="C265"/>
  <c r="A266"/>
  <c r="X66" i="1"/>
  <c r="Y67"/>
  <c r="C77" i="8"/>
  <c r="B77"/>
  <c r="C266" l="1"/>
  <c r="A267"/>
  <c r="B266"/>
  <c r="Y68" i="1"/>
  <c r="X67"/>
  <c r="C78" i="8"/>
  <c r="B78"/>
  <c r="B267" l="1"/>
  <c r="C267"/>
  <c r="A268"/>
  <c r="X68" i="1"/>
  <c r="Y69"/>
  <c r="C79" i="8"/>
  <c r="B79"/>
  <c r="C268" l="1"/>
  <c r="A269"/>
  <c r="B268"/>
  <c r="X69" i="1"/>
  <c r="Y70"/>
  <c r="C80" i="8"/>
  <c r="B80"/>
  <c r="B269" l="1"/>
  <c r="C269"/>
  <c r="A270"/>
  <c r="Y71" i="1"/>
  <c r="X70"/>
  <c r="C81" i="8"/>
  <c r="B81"/>
  <c r="C270" l="1"/>
  <c r="A271"/>
  <c r="B270"/>
  <c r="Y72" i="1"/>
  <c r="X71"/>
  <c r="C82" i="8"/>
  <c r="B82"/>
  <c r="B271" l="1"/>
  <c r="C271"/>
  <c r="A272"/>
  <c r="X72" i="1"/>
  <c r="Y73"/>
  <c r="C83" i="8"/>
  <c r="B83"/>
  <c r="B272" l="1"/>
  <c r="C272"/>
  <c r="A273"/>
  <c r="X73" i="1"/>
  <c r="Y74"/>
  <c r="C84" i="8"/>
  <c r="B84"/>
  <c r="B273" l="1"/>
  <c r="C273"/>
  <c r="A274"/>
  <c r="X74" i="1"/>
  <c r="Y75"/>
  <c r="C85" i="8"/>
  <c r="B85"/>
  <c r="C274" l="1"/>
  <c r="A275"/>
  <c r="B274"/>
  <c r="X75" i="1"/>
  <c r="Y76"/>
  <c r="C86" i="8"/>
  <c r="B86"/>
  <c r="A276" l="1"/>
  <c r="B275"/>
  <c r="C275"/>
  <c r="Y77" i="1"/>
  <c r="X76"/>
  <c r="C87" i="8"/>
  <c r="B87"/>
  <c r="C276" l="1"/>
  <c r="A277"/>
  <c r="B276"/>
  <c r="X77" i="1"/>
  <c r="Y78"/>
  <c r="C88" i="8"/>
  <c r="B88"/>
  <c r="A278" l="1"/>
  <c r="B277"/>
  <c r="C277"/>
  <c r="X78" i="1"/>
  <c r="Y79"/>
  <c r="C89" i="8"/>
  <c r="B89"/>
  <c r="B278" l="1"/>
  <c r="C278"/>
  <c r="A279"/>
  <c r="X79" i="1"/>
  <c r="Y80"/>
  <c r="C90" i="8"/>
  <c r="B90"/>
  <c r="A280" l="1"/>
  <c r="B279"/>
  <c r="C279"/>
  <c r="Y81" i="1"/>
  <c r="X80"/>
  <c r="C91" i="8"/>
  <c r="B91"/>
  <c r="B280" l="1"/>
  <c r="C280"/>
  <c r="A281"/>
  <c r="Y82" i="1"/>
  <c r="X81"/>
  <c r="C92" i="8"/>
  <c r="B92"/>
  <c r="B281" l="1"/>
  <c r="C281"/>
  <c r="A282"/>
  <c r="X82" i="1"/>
  <c r="Y83"/>
  <c r="C93" i="8"/>
  <c r="B93"/>
  <c r="B282" l="1"/>
  <c r="C282"/>
  <c r="A283"/>
  <c r="X83" i="1"/>
  <c r="Y84"/>
  <c r="C94" i="8"/>
  <c r="B94"/>
  <c r="A284" l="1"/>
  <c r="B283"/>
  <c r="C283"/>
  <c r="Y85" i="1"/>
  <c r="X84"/>
  <c r="C95" i="8"/>
  <c r="B95"/>
  <c r="A285" l="1"/>
  <c r="C284"/>
  <c r="B284"/>
  <c r="X85" i="1"/>
  <c r="Y86"/>
  <c r="C96" i="8"/>
  <c r="B96"/>
  <c r="B285" l="1"/>
  <c r="C285"/>
  <c r="A286"/>
  <c r="X86" i="1"/>
  <c r="Y87"/>
  <c r="C97" i="8"/>
  <c r="B97"/>
  <c r="C286" l="1"/>
  <c r="A287"/>
  <c r="B286"/>
  <c r="X87" i="1"/>
  <c r="Y88"/>
  <c r="C98" i="8"/>
  <c r="B98"/>
  <c r="B287" l="1"/>
  <c r="A288"/>
  <c r="C287"/>
  <c r="Y89" i="1"/>
  <c r="X88"/>
  <c r="C99" i="8"/>
  <c r="B99"/>
  <c r="A289" l="1"/>
  <c r="C288"/>
  <c r="B288"/>
  <c r="X89" i="1"/>
  <c r="Y90"/>
  <c r="C100" i="8"/>
  <c r="B100"/>
  <c r="A290" l="1"/>
  <c r="B289"/>
  <c r="C289"/>
  <c r="X90" i="1"/>
  <c r="Y91"/>
  <c r="C101" i="8"/>
  <c r="B101"/>
  <c r="A291" l="1"/>
  <c r="C290"/>
  <c r="B290"/>
  <c r="X91" i="1"/>
  <c r="Y92"/>
  <c r="C102" i="8"/>
  <c r="B102"/>
  <c r="A292" l="1"/>
  <c r="B291"/>
  <c r="C291"/>
  <c r="Y93" i="1"/>
  <c r="X92"/>
  <c r="C103" i="8"/>
  <c r="B103"/>
  <c r="A293" l="1"/>
  <c r="C292"/>
  <c r="B292"/>
  <c r="X93" i="1"/>
  <c r="Y94"/>
  <c r="C104" i="8"/>
  <c r="B104"/>
  <c r="A294" l="1"/>
  <c r="B293"/>
  <c r="C293"/>
  <c r="Y95" i="1"/>
  <c r="X94"/>
  <c r="C105" i="8"/>
  <c r="B105"/>
  <c r="A295" l="1"/>
  <c r="C294"/>
  <c r="B294"/>
  <c r="Y96" i="1"/>
  <c r="X95"/>
  <c r="C106" i="8"/>
  <c r="B106"/>
  <c r="A296" l="1"/>
  <c r="B295"/>
  <c r="C295"/>
  <c r="X96" i="1"/>
  <c r="Y97"/>
  <c r="C107" i="8"/>
  <c r="B107"/>
  <c r="A297" l="1"/>
  <c r="B296"/>
  <c r="C296"/>
  <c r="X97" i="1"/>
  <c r="Y98"/>
  <c r="C108" i="8"/>
  <c r="B108"/>
  <c r="A298" l="1"/>
  <c r="C297"/>
  <c r="B297"/>
  <c r="Y99" i="1"/>
  <c r="X98"/>
  <c r="C109" i="8"/>
  <c r="B109"/>
  <c r="A299" l="1"/>
  <c r="B298"/>
  <c r="C298"/>
  <c r="Y100" i="1"/>
  <c r="X99"/>
  <c r="C110" i="8"/>
  <c r="B110"/>
  <c r="A300" l="1"/>
  <c r="C299"/>
  <c r="B299"/>
  <c r="X100" i="1"/>
  <c r="Y101"/>
  <c r="C111" i="8"/>
  <c r="B111"/>
  <c r="A301" l="1"/>
  <c r="B300"/>
  <c r="C300"/>
  <c r="X101" i="1"/>
  <c r="Y102"/>
  <c r="C112" i="8"/>
  <c r="B112"/>
  <c r="A302" l="1"/>
  <c r="C301"/>
  <c r="B301"/>
  <c r="X102" i="1"/>
  <c r="Y103"/>
  <c r="C113" i="8"/>
  <c r="B113"/>
  <c r="A303" l="1"/>
  <c r="C302"/>
  <c r="B302"/>
  <c r="X103" i="1"/>
  <c r="Y104"/>
  <c r="C114" i="8"/>
  <c r="B114"/>
  <c r="A304" l="1"/>
  <c r="B303"/>
  <c r="C303"/>
  <c r="Y105" i="1"/>
  <c r="X104"/>
  <c r="C115" i="8"/>
  <c r="B115"/>
  <c r="A305" l="1"/>
  <c r="C304"/>
  <c r="B304"/>
  <c r="Y106" i="1"/>
  <c r="X105"/>
  <c r="C116" i="8"/>
  <c r="B116"/>
  <c r="B305" l="1"/>
  <c r="C305"/>
  <c r="A306"/>
  <c r="X106" i="1"/>
  <c r="Y107"/>
  <c r="C117" i="8"/>
  <c r="B117"/>
  <c r="C306" l="1"/>
  <c r="A307"/>
  <c r="B306"/>
  <c r="X107" i="1"/>
  <c r="Y108"/>
  <c r="C118" i="8"/>
  <c r="B118"/>
  <c r="A308" l="1"/>
  <c r="B307"/>
  <c r="C307"/>
  <c r="X108" i="1"/>
  <c r="Y109"/>
  <c r="C119" i="8"/>
  <c r="B119"/>
  <c r="A309" l="1"/>
  <c r="C308"/>
  <c r="B308"/>
  <c r="X109" i="1"/>
  <c r="Y110"/>
  <c r="C120" i="8"/>
  <c r="B120"/>
  <c r="A310" l="1"/>
  <c r="B309"/>
  <c r="C309"/>
  <c r="X110" i="1"/>
  <c r="Y111"/>
  <c r="C121" i="8"/>
  <c r="B121"/>
  <c r="A311" l="1"/>
  <c r="C310"/>
  <c r="B310"/>
  <c r="X111" i="1"/>
  <c r="Y112"/>
  <c r="C122" i="8"/>
  <c r="B122"/>
  <c r="A312" l="1"/>
  <c r="B311"/>
  <c r="C311"/>
  <c r="X112" i="1"/>
  <c r="Y113"/>
  <c r="C123" i="8"/>
  <c r="B123"/>
  <c r="C312" l="1"/>
  <c r="A313"/>
  <c r="B312"/>
  <c r="X113" i="1"/>
  <c r="Y114"/>
  <c r="C124" i="8"/>
  <c r="B124"/>
  <c r="B313" l="1"/>
  <c r="C313"/>
  <c r="X114" i="1"/>
  <c r="Y115"/>
  <c r="C125" i="8"/>
  <c r="B125"/>
  <c r="Y116" i="1" l="1"/>
  <c r="X115"/>
  <c r="C126" i="8"/>
  <c r="B126"/>
  <c r="X116" i="1" l="1"/>
  <c r="Y117"/>
  <c r="C127" i="8"/>
  <c r="B127"/>
  <c r="Y118" i="1" l="1"/>
  <c r="X117"/>
  <c r="C128" i="8"/>
  <c r="B128"/>
  <c r="X118" i="1" l="1"/>
  <c r="Y119"/>
  <c r="C129" i="8"/>
  <c r="B129"/>
  <c r="X119" i="1" l="1"/>
  <c r="Y120"/>
  <c r="C130" i="8"/>
  <c r="B130"/>
  <c r="Y121" i="1" l="1"/>
  <c r="X120"/>
  <c r="C131" i="8"/>
  <c r="B131"/>
  <c r="Y122" i="1" l="1"/>
  <c r="X121"/>
  <c r="C132" i="8"/>
  <c r="B132"/>
  <c r="Y123" i="1" l="1"/>
  <c r="X122"/>
  <c r="C133" i="8"/>
  <c r="B133"/>
  <c r="Y124" i="1" l="1"/>
  <c r="X123"/>
  <c r="C134" i="8"/>
  <c r="B134"/>
  <c r="Y125" i="1" l="1"/>
  <c r="X124"/>
  <c r="C135" i="8"/>
  <c r="B135"/>
  <c r="X125" i="1" l="1"/>
  <c r="Y126"/>
  <c r="C136" i="8"/>
  <c r="B136"/>
  <c r="X126" i="1" l="1"/>
  <c r="Y127"/>
  <c r="C137" i="8"/>
  <c r="B137"/>
  <c r="X127" i="1" l="1"/>
  <c r="O35" s="1"/>
  <c r="Y128"/>
  <c r="X128" s="1"/>
  <c r="O38"/>
  <c r="O19"/>
  <c r="N18"/>
  <c r="M17"/>
  <c r="P15"/>
  <c r="O14"/>
  <c r="N13"/>
  <c r="M12"/>
  <c r="P10"/>
  <c r="N36"/>
  <c r="M35"/>
  <c r="P33"/>
  <c r="O32"/>
  <c r="N31"/>
  <c r="M30"/>
  <c r="P28"/>
  <c r="O31"/>
  <c r="N30"/>
  <c r="M29"/>
  <c r="P27"/>
  <c r="O26"/>
  <c r="N25"/>
  <c r="M24"/>
  <c r="P22"/>
  <c r="O17"/>
  <c r="N16"/>
  <c r="M15"/>
  <c r="P13"/>
  <c r="O12"/>
  <c r="N11"/>
  <c r="M10"/>
  <c r="P8"/>
  <c r="O11"/>
  <c r="N10"/>
  <c r="R10" s="1"/>
  <c r="M9"/>
  <c r="M8"/>
  <c r="N37"/>
  <c r="M36"/>
  <c r="P34"/>
  <c r="O29"/>
  <c r="N28"/>
  <c r="R28" s="1"/>
  <c r="M27"/>
  <c r="P25"/>
  <c r="O24"/>
  <c r="N23"/>
  <c r="M22"/>
  <c r="P20"/>
  <c r="N38"/>
  <c r="M37"/>
  <c r="P35"/>
  <c r="O34"/>
  <c r="N33"/>
  <c r="R33" s="1"/>
  <c r="M32"/>
  <c r="Q32" s="1"/>
  <c r="P30"/>
  <c r="O25"/>
  <c r="N24"/>
  <c r="M23"/>
  <c r="P37"/>
  <c r="P21"/>
  <c r="O36"/>
  <c r="O20"/>
  <c r="N35"/>
  <c r="N19"/>
  <c r="M34"/>
  <c r="M18"/>
  <c r="P32"/>
  <c r="P16"/>
  <c r="O37"/>
  <c r="E10"/>
  <c r="G10" s="1"/>
  <c r="F37"/>
  <c r="H37" s="1"/>
  <c r="E37"/>
  <c r="G37" s="1"/>
  <c r="E19"/>
  <c r="G19" s="1"/>
  <c r="E17"/>
  <c r="G17" s="1"/>
  <c r="E31"/>
  <c r="G31" s="1"/>
  <c r="E13"/>
  <c r="G13" s="1"/>
  <c r="E27"/>
  <c r="G27" s="1"/>
  <c r="E25"/>
  <c r="G25" s="1"/>
  <c r="F30"/>
  <c r="H30" s="1"/>
  <c r="F12"/>
  <c r="H12" s="1"/>
  <c r="F34"/>
  <c r="H34" s="1"/>
  <c r="F17"/>
  <c r="H17" s="1"/>
  <c r="F27"/>
  <c r="H27" s="1"/>
  <c r="F9"/>
  <c r="H9" s="1"/>
  <c r="E9"/>
  <c r="G9" s="1"/>
  <c r="F15"/>
  <c r="H15" s="1"/>
  <c r="E38"/>
  <c r="G38" s="1"/>
  <c r="F23"/>
  <c r="H23" s="1"/>
  <c r="E30"/>
  <c r="G30" s="1"/>
  <c r="E14"/>
  <c r="G14" s="1"/>
  <c r="E34"/>
  <c r="G34" s="1"/>
  <c r="E24"/>
  <c r="G24" s="1"/>
  <c r="E16"/>
  <c r="G16" s="1"/>
  <c r="E12"/>
  <c r="G12" s="1"/>
  <c r="F33"/>
  <c r="H33" s="1"/>
  <c r="F31"/>
  <c r="H31" s="1"/>
  <c r="E15"/>
  <c r="G15" s="1"/>
  <c r="E29"/>
  <c r="G29" s="1"/>
  <c r="E11"/>
  <c r="G11" s="1"/>
  <c r="F24"/>
  <c r="H24" s="1"/>
  <c r="F7"/>
  <c r="O7"/>
  <c r="E7"/>
  <c r="E33"/>
  <c r="G33" s="1"/>
  <c r="F14"/>
  <c r="H14" s="1"/>
  <c r="F28"/>
  <c r="H28" s="1"/>
  <c r="F18"/>
  <c r="H18" s="1"/>
  <c r="F32"/>
  <c r="H32" s="1"/>
  <c r="F22"/>
  <c r="H22" s="1"/>
  <c r="F36"/>
  <c r="H36" s="1"/>
  <c r="F26"/>
  <c r="H26" s="1"/>
  <c r="E23"/>
  <c r="G23" s="1"/>
  <c r="E21"/>
  <c r="G21" s="1"/>
  <c r="E35"/>
  <c r="G35" s="1"/>
  <c r="F19"/>
  <c r="H19" s="1"/>
  <c r="E36"/>
  <c r="G36" s="1"/>
  <c r="E8"/>
  <c r="G8" s="1"/>
  <c r="E20"/>
  <c r="G20" s="1"/>
  <c r="F8"/>
  <c r="H8" s="1"/>
  <c r="F35"/>
  <c r="H35" s="1"/>
  <c r="F25"/>
  <c r="H25" s="1"/>
  <c r="F21"/>
  <c r="H21" s="1"/>
  <c r="F29"/>
  <c r="H29" s="1"/>
  <c r="F13"/>
  <c r="H13" s="1"/>
  <c r="E26"/>
  <c r="G26" s="1"/>
  <c r="E22"/>
  <c r="G22" s="1"/>
  <c r="E28"/>
  <c r="G28" s="1"/>
  <c r="F11"/>
  <c r="H11" s="1"/>
  <c r="E32"/>
  <c r="G32" s="1"/>
  <c r="F16"/>
  <c r="H16" s="1"/>
  <c r="F38"/>
  <c r="H38" s="1"/>
  <c r="F20"/>
  <c r="H20" s="1"/>
  <c r="F10"/>
  <c r="H10" s="1"/>
  <c r="E18"/>
  <c r="G18" s="1"/>
  <c r="P7"/>
  <c r="M7"/>
  <c r="N7"/>
  <c r="C138" i="8"/>
  <c r="B138"/>
  <c r="Q35" i="1" l="1"/>
  <c r="U18"/>
  <c r="V18" s="1"/>
  <c r="N8"/>
  <c r="R8" s="1"/>
  <c r="O9"/>
  <c r="P14"/>
  <c r="M16"/>
  <c r="N17"/>
  <c r="O18"/>
  <c r="Q18" s="1"/>
  <c r="P19"/>
  <c r="R19" s="1"/>
  <c r="M21"/>
  <c r="N22"/>
  <c r="R22" s="1"/>
  <c r="O23"/>
  <c r="Q23" s="1"/>
  <c r="U22" s="1"/>
  <c r="V22" s="1"/>
  <c r="P36"/>
  <c r="M38"/>
  <c r="Q38" s="1"/>
  <c r="U32" s="1"/>
  <c r="V32" s="1"/>
  <c r="O8"/>
  <c r="P9"/>
  <c r="M11"/>
  <c r="N12"/>
  <c r="O13"/>
  <c r="P18"/>
  <c r="M20"/>
  <c r="N21"/>
  <c r="O22"/>
  <c r="Q22" s="1"/>
  <c r="U21" s="1"/>
  <c r="V21" s="1"/>
  <c r="P23"/>
  <c r="R23" s="1"/>
  <c r="M25"/>
  <c r="N26"/>
  <c r="O27"/>
  <c r="Q27" s="1"/>
  <c r="U26" s="1"/>
  <c r="V26" s="1"/>
  <c r="P24"/>
  <c r="R24" s="1"/>
  <c r="M26"/>
  <c r="N27"/>
  <c r="O28"/>
  <c r="P29"/>
  <c r="M31"/>
  <c r="N32"/>
  <c r="O33"/>
  <c r="P38"/>
  <c r="R38" s="1"/>
  <c r="N9"/>
  <c r="O10"/>
  <c r="Q10" s="1"/>
  <c r="U10" s="1"/>
  <c r="V10" s="1"/>
  <c r="P11"/>
  <c r="R11" s="1"/>
  <c r="M13"/>
  <c r="N14"/>
  <c r="O15"/>
  <c r="Q15" s="1"/>
  <c r="U15" s="1"/>
  <c r="V15" s="1"/>
  <c r="P12"/>
  <c r="M14"/>
  <c r="Q14" s="1"/>
  <c r="U14" s="1"/>
  <c r="V14" s="1"/>
  <c r="N15"/>
  <c r="R15" s="1"/>
  <c r="O16"/>
  <c r="P17"/>
  <c r="M19"/>
  <c r="Q19" s="1"/>
  <c r="N20"/>
  <c r="R20" s="1"/>
  <c r="O21"/>
  <c r="P26"/>
  <c r="M28"/>
  <c r="N29"/>
  <c r="O30"/>
  <c r="Q30" s="1"/>
  <c r="U17" s="1"/>
  <c r="V17" s="1"/>
  <c r="P31"/>
  <c r="R31" s="1"/>
  <c r="M33"/>
  <c r="N34"/>
  <c r="Q34"/>
  <c r="R35"/>
  <c r="Q11"/>
  <c r="U11" s="1"/>
  <c r="V11" s="1"/>
  <c r="Q26"/>
  <c r="U25" s="1"/>
  <c r="V25" s="1"/>
  <c r="R27"/>
  <c r="Q31"/>
  <c r="U29" s="1"/>
  <c r="V29" s="1"/>
  <c r="R7"/>
  <c r="E39"/>
  <c r="G7"/>
  <c r="H7"/>
  <c r="H39" s="1"/>
  <c r="F39"/>
  <c r="Q20"/>
  <c r="U19" s="1"/>
  <c r="V19" s="1"/>
  <c r="R21"/>
  <c r="Q25"/>
  <c r="U24" s="1"/>
  <c r="V24" s="1"/>
  <c r="R32"/>
  <c r="R9"/>
  <c r="Q13"/>
  <c r="U13" s="1"/>
  <c r="V13" s="1"/>
  <c r="R14"/>
  <c r="Q28"/>
  <c r="U27" s="1"/>
  <c r="V27" s="1"/>
  <c r="Q7"/>
  <c r="Q37"/>
  <c r="U31" s="1"/>
  <c r="V31" s="1"/>
  <c r="Q36"/>
  <c r="U30" s="1"/>
  <c r="V30" s="1"/>
  <c r="R37"/>
  <c r="Q8"/>
  <c r="U8" s="1"/>
  <c r="V8" s="1"/>
  <c r="Q9"/>
  <c r="U9" s="1"/>
  <c r="V9" s="1"/>
  <c r="R16"/>
  <c r="Q24"/>
  <c r="U23" s="1"/>
  <c r="V23" s="1"/>
  <c r="R25"/>
  <c r="Q29"/>
  <c r="U28" s="1"/>
  <c r="V28" s="1"/>
  <c r="R30"/>
  <c r="R36"/>
  <c r="Q12"/>
  <c r="U12" s="1"/>
  <c r="V12" s="1"/>
  <c r="R13"/>
  <c r="Q17"/>
  <c r="U16" s="1"/>
  <c r="V16" s="1"/>
  <c r="R18"/>
  <c r="C139" i="8"/>
  <c r="B139"/>
  <c r="N39" i="1" l="1"/>
  <c r="R29"/>
  <c r="M39"/>
  <c r="Q33"/>
  <c r="O39"/>
  <c r="P39"/>
  <c r="R17"/>
  <c r="R34"/>
  <c r="R26"/>
  <c r="R12"/>
  <c r="Q21"/>
  <c r="U20" s="1"/>
  <c r="V20" s="1"/>
  <c r="Q16"/>
  <c r="Q39" s="1"/>
  <c r="G39"/>
  <c r="U7"/>
  <c r="V7" s="1"/>
  <c r="C140" i="8"/>
  <c r="B140"/>
  <c r="R39" i="1" l="1"/>
  <c r="U33"/>
  <c r="V33" s="1"/>
  <c r="C141" i="8"/>
  <c r="B141"/>
  <c r="C142" l="1"/>
  <c r="B142"/>
  <c r="C143" l="1"/>
  <c r="B143"/>
  <c r="C144" l="1"/>
  <c r="B144"/>
  <c r="C145" l="1"/>
  <c r="B145"/>
  <c r="C146" l="1"/>
  <c r="B146"/>
  <c r="C147" l="1"/>
  <c r="B147"/>
  <c r="C148" l="1"/>
  <c r="B148"/>
  <c r="C149" l="1"/>
  <c r="B149"/>
  <c r="C150" l="1"/>
  <c r="B150"/>
  <c r="C151" l="1"/>
  <c r="B151"/>
  <c r="C152" l="1"/>
  <c r="B152"/>
  <c r="C153" l="1"/>
  <c r="B153"/>
  <c r="C154" l="1"/>
  <c r="B154"/>
  <c r="C155" l="1"/>
  <c r="B155"/>
  <c r="C156" l="1"/>
  <c r="B156"/>
  <c r="C157" l="1"/>
  <c r="B157"/>
  <c r="C158" l="1"/>
  <c r="B158"/>
  <c r="C159" l="1"/>
  <c r="B159"/>
  <c r="C160" l="1"/>
  <c r="B160"/>
  <c r="C161" l="1"/>
  <c r="B161"/>
  <c r="C162" l="1"/>
  <c r="B162"/>
  <c r="C163" l="1"/>
  <c r="B163"/>
  <c r="C164" l="1"/>
  <c r="B164"/>
  <c r="C165" l="1"/>
  <c r="B165"/>
  <c r="C166" l="1"/>
  <c r="B166"/>
  <c r="C167" l="1"/>
  <c r="B167"/>
  <c r="C168" l="1"/>
  <c r="B168"/>
  <c r="C169" l="1"/>
  <c r="B169"/>
  <c r="C170" l="1"/>
  <c r="B170"/>
  <c r="C171" l="1"/>
  <c r="B171"/>
  <c r="C172" l="1"/>
  <c r="B172"/>
  <c r="C173" l="1"/>
  <c r="B173"/>
  <c r="C174" l="1"/>
  <c r="B174"/>
  <c r="C175" l="1"/>
  <c r="B175"/>
  <c r="C176" l="1"/>
  <c r="B176"/>
  <c r="C177" l="1"/>
  <c r="B177"/>
  <c r="C178" l="1"/>
  <c r="B178"/>
  <c r="C179" l="1"/>
  <c r="B179"/>
  <c r="C180" l="1"/>
  <c r="B180"/>
  <c r="C181" l="1"/>
  <c r="B181"/>
  <c r="C182" l="1"/>
  <c r="B182"/>
  <c r="C183" l="1"/>
  <c r="B183"/>
  <c r="C184" l="1"/>
  <c r="B184"/>
  <c r="C185" l="1"/>
  <c r="B185"/>
  <c r="C186" l="1"/>
  <c r="B186"/>
  <c r="C187" l="1"/>
  <c r="B187"/>
  <c r="C188" l="1"/>
  <c r="B188"/>
  <c r="C189" l="1"/>
  <c r="B189"/>
  <c r="C190" l="1"/>
  <c r="B190"/>
  <c r="C191" l="1"/>
  <c r="B191"/>
  <c r="C192" l="1"/>
  <c r="B192"/>
  <c r="C193" l="1"/>
  <c r="B193"/>
  <c r="C194" l="1"/>
  <c r="B194"/>
  <c r="C195" l="1"/>
  <c r="B195"/>
  <c r="C196" l="1"/>
  <c r="B196"/>
  <c r="C197" l="1"/>
  <c r="B197"/>
</calcChain>
</file>

<file path=xl/sharedStrings.xml><?xml version="1.0" encoding="utf-8"?>
<sst xmlns="http://schemas.openxmlformats.org/spreadsheetml/2006/main" count="11488" uniqueCount="2274">
  <si>
    <t>데이터</t>
  </si>
  <si>
    <t xml:space="preserve"> 실발주샘플수</t>
  </si>
  <si>
    <t xml:space="preserve"> 실입고샘플수</t>
  </si>
  <si>
    <t>ELS</t>
  </si>
  <si>
    <t>총합계</t>
  </si>
  <si>
    <t>업체</t>
  </si>
  <si>
    <t>FOREMOST</t>
  </si>
  <si>
    <t>실입고샘플수</t>
    <phoneticPr fontId="4" type="noConversion"/>
  </si>
  <si>
    <t>실입고샘플번호</t>
    <phoneticPr fontId="4" type="noConversion"/>
  </si>
  <si>
    <t>실발주샘플수</t>
    <phoneticPr fontId="4" type="noConversion"/>
  </si>
  <si>
    <t>실발주샘플번호</t>
    <phoneticPr fontId="4" type="noConversion"/>
  </si>
  <si>
    <t>브랜드</t>
    <phoneticPr fontId="4" type="noConversion"/>
  </si>
  <si>
    <t>품목</t>
    <phoneticPr fontId="4" type="noConversion"/>
  </si>
  <si>
    <t>샘플번호</t>
    <phoneticPr fontId="4" type="noConversion"/>
  </si>
  <si>
    <t>샘플수</t>
    <phoneticPr fontId="4" type="noConversion"/>
  </si>
  <si>
    <t>업체</t>
    <phoneticPr fontId="4" type="noConversion"/>
  </si>
  <si>
    <t>발주일</t>
    <phoneticPr fontId="4" type="noConversion"/>
  </si>
  <si>
    <t>목표입고일</t>
    <phoneticPr fontId="4" type="noConversion"/>
  </si>
  <si>
    <t>입고예정일</t>
    <phoneticPr fontId="4" type="noConversion"/>
  </si>
  <si>
    <t>실입고일</t>
    <phoneticPr fontId="4" type="noConversion"/>
  </si>
  <si>
    <t>해외
(FOB, USD, JPY)</t>
    <phoneticPr fontId="4" type="noConversion"/>
  </si>
  <si>
    <t>국내
(-V, KRW)</t>
    <phoneticPr fontId="4" type="noConversion"/>
  </si>
  <si>
    <t>참조샘플 발송여부</t>
  </si>
  <si>
    <t>기타</t>
  </si>
  <si>
    <t>TH</t>
  </si>
  <si>
    <t>HP</t>
  </si>
  <si>
    <t>JP</t>
  </si>
  <si>
    <t>TL</t>
  </si>
  <si>
    <t>TP</t>
  </si>
  <si>
    <t>브랜드/품목</t>
    <phoneticPr fontId="3" type="noConversion"/>
  </si>
  <si>
    <t>ELS-가방</t>
  </si>
  <si>
    <t>BP</t>
  </si>
  <si>
    <t>JIL</t>
  </si>
  <si>
    <t>MI</t>
  </si>
  <si>
    <t>TS</t>
  </si>
  <si>
    <t>ER</t>
  </si>
  <si>
    <t>HU</t>
  </si>
  <si>
    <t>FE</t>
  </si>
  <si>
    <t>BA</t>
  </si>
  <si>
    <t>VBL</t>
  </si>
  <si>
    <t>NOV</t>
  </si>
  <si>
    <t>ELS-의류</t>
  </si>
  <si>
    <t>품목</t>
  </si>
  <si>
    <t>N</t>
  </si>
  <si>
    <t>동일모자</t>
  </si>
  <si>
    <t>러닝(R)/신규(N)</t>
  </si>
  <si>
    <t>WTR</t>
  </si>
  <si>
    <t>SMB</t>
  </si>
  <si>
    <t>성진</t>
  </si>
  <si>
    <t>캡보이</t>
  </si>
  <si>
    <t>FI</t>
  </si>
  <si>
    <t>JOI</t>
  </si>
  <si>
    <t>JOI-ACC</t>
  </si>
  <si>
    <t>BMD</t>
  </si>
  <si>
    <t>EB</t>
  </si>
  <si>
    <t>ED</t>
  </si>
  <si>
    <t>BE</t>
  </si>
  <si>
    <t>HCU</t>
  </si>
  <si>
    <t>ELS-ACC</t>
  </si>
  <si>
    <t>VB</t>
  </si>
  <si>
    <t>FA</t>
  </si>
  <si>
    <t>PLA</t>
  </si>
  <si>
    <t>UM</t>
  </si>
  <si>
    <t>실발주월</t>
    <phoneticPr fontId="3" type="noConversion"/>
  </si>
  <si>
    <t>BZ</t>
  </si>
  <si>
    <t>COP CARDINALS</t>
  </si>
  <si>
    <t>SPORTS</t>
  </si>
  <si>
    <t>B</t>
  </si>
  <si>
    <t>CA</t>
  </si>
  <si>
    <t>BASIC CAP (핀치히터)</t>
  </si>
  <si>
    <t>BASIC CAP</t>
  </si>
  <si>
    <t>A</t>
  </si>
  <si>
    <t>001</t>
  </si>
  <si>
    <t>B0</t>
  </si>
  <si>
    <t>BK</t>
  </si>
  <si>
    <t>Black</t>
  </si>
  <si>
    <t>FRE</t>
  </si>
  <si>
    <t>OSFA(ADJUST CAP)</t>
  </si>
  <si>
    <t>사입</t>
  </si>
  <si>
    <t>M</t>
  </si>
  <si>
    <t>남자</t>
  </si>
  <si>
    <t>CN</t>
  </si>
  <si>
    <t>중국</t>
  </si>
  <si>
    <t>BH</t>
  </si>
  <si>
    <t>COP INDIANS</t>
  </si>
  <si>
    <t>CS</t>
  </si>
  <si>
    <t>VISOR CAP</t>
  </si>
  <si>
    <t>0</t>
  </si>
  <si>
    <t>002</t>
  </si>
  <si>
    <t>B1</t>
  </si>
  <si>
    <t>Black Camo</t>
  </si>
  <si>
    <t>OXS</t>
  </si>
  <si>
    <t>XS</t>
  </si>
  <si>
    <t>C</t>
  </si>
  <si>
    <t>위탁</t>
  </si>
  <si>
    <t>W</t>
  </si>
  <si>
    <t>여자</t>
  </si>
  <si>
    <t>일본</t>
  </si>
  <si>
    <t>BR</t>
  </si>
  <si>
    <t>COP METS</t>
  </si>
  <si>
    <t>CC</t>
  </si>
  <si>
    <t>FLEX CAP (3930)</t>
  </si>
  <si>
    <t>FL</t>
  </si>
  <si>
    <t>FLEX CAP</t>
  </si>
  <si>
    <t>003</t>
  </si>
  <si>
    <t>B2</t>
  </si>
  <si>
    <t>Black Leopard</t>
  </si>
  <si>
    <t>OSS</t>
  </si>
  <si>
    <t>S</t>
  </si>
  <si>
    <t>제조</t>
  </si>
  <si>
    <t>U</t>
  </si>
  <si>
    <t>UNISEX</t>
  </si>
  <si>
    <t>KR</t>
  </si>
  <si>
    <t>한국</t>
  </si>
  <si>
    <t>BC</t>
  </si>
  <si>
    <t>COP ORIOLES</t>
  </si>
  <si>
    <t>CD</t>
  </si>
  <si>
    <t>NORMAL FITTED CAP (커브)</t>
  </si>
  <si>
    <t>D</t>
  </si>
  <si>
    <t>004</t>
  </si>
  <si>
    <t>B3</t>
  </si>
  <si>
    <t>Black/White</t>
  </si>
  <si>
    <t>OMM</t>
  </si>
  <si>
    <t>K</t>
  </si>
  <si>
    <t>KIDS</t>
  </si>
  <si>
    <t>US</t>
  </si>
  <si>
    <t>미국</t>
  </si>
  <si>
    <t>BJ</t>
  </si>
  <si>
    <t>COP TIGERS</t>
  </si>
  <si>
    <t>CE</t>
  </si>
  <si>
    <t>FLAT BILL FITTED CAP(5950)</t>
  </si>
  <si>
    <t>FITTED CAP</t>
  </si>
  <si>
    <t>E</t>
  </si>
  <si>
    <t>005</t>
  </si>
  <si>
    <t>B4</t>
  </si>
  <si>
    <t>Black/Flann</t>
  </si>
  <si>
    <t>OLL</t>
  </si>
  <si>
    <t>L</t>
  </si>
  <si>
    <t>NEWERA</t>
  </si>
  <si>
    <t>KC</t>
  </si>
  <si>
    <t>KDO</t>
  </si>
  <si>
    <t>DOOSAN BEARS</t>
  </si>
  <si>
    <t>CU</t>
  </si>
  <si>
    <t>FLAT BILL FLEX CAP(일자)</t>
  </si>
  <si>
    <t>F</t>
  </si>
  <si>
    <t>006</t>
  </si>
  <si>
    <t>B5</t>
  </si>
  <si>
    <t>Dark Flann</t>
  </si>
  <si>
    <t>OXL</t>
  </si>
  <si>
    <t>XL</t>
  </si>
  <si>
    <t>AUTHENTIC</t>
  </si>
  <si>
    <t>ZCD</t>
  </si>
  <si>
    <t>EUR BARCELONA</t>
  </si>
  <si>
    <t>DA</t>
  </si>
  <si>
    <t>FLAT BILL FITTED BASIC (BLANK 5950)</t>
  </si>
  <si>
    <t>G</t>
  </si>
  <si>
    <t>3</t>
  </si>
  <si>
    <t>007</t>
  </si>
  <si>
    <t>B6</t>
  </si>
  <si>
    <t>Loden</t>
  </si>
  <si>
    <t>O</t>
  </si>
  <si>
    <t>OSM</t>
  </si>
  <si>
    <t>S~M</t>
  </si>
  <si>
    <t>ZCA</t>
  </si>
  <si>
    <t>EUR MUCHESTER</t>
  </si>
  <si>
    <t>CB</t>
  </si>
  <si>
    <t>WASHED CAP (워싱캡)</t>
  </si>
  <si>
    <t>WC</t>
  </si>
  <si>
    <t>WASHED CAP</t>
  </si>
  <si>
    <t>H</t>
  </si>
  <si>
    <t>008</t>
  </si>
  <si>
    <t>B7</t>
  </si>
  <si>
    <t>Pine X</t>
  </si>
  <si>
    <t>P</t>
  </si>
  <si>
    <t>OML</t>
  </si>
  <si>
    <t>M~L</t>
  </si>
  <si>
    <t>KH</t>
  </si>
  <si>
    <t>KHA</t>
  </si>
  <si>
    <t>HANWHA EAGLES</t>
  </si>
  <si>
    <t>CF</t>
  </si>
  <si>
    <t>TRUCKER CAP</t>
  </si>
  <si>
    <t>TR</t>
  </si>
  <si>
    <t>I</t>
  </si>
  <si>
    <t>009</t>
  </si>
  <si>
    <t>B8</t>
  </si>
  <si>
    <t xml:space="preserve">Block </t>
  </si>
  <si>
    <t>Q</t>
  </si>
  <si>
    <t>LXL</t>
  </si>
  <si>
    <t>L~XL</t>
  </si>
  <si>
    <t>KA</t>
  </si>
  <si>
    <t>KKI</t>
  </si>
  <si>
    <t>KIA TIGERS</t>
  </si>
  <si>
    <t>CV</t>
  </si>
  <si>
    <t>MESH CAP(커브)</t>
  </si>
  <si>
    <t>J</t>
  </si>
  <si>
    <t>010</t>
  </si>
  <si>
    <t>B9</t>
  </si>
  <si>
    <t>BU</t>
  </si>
  <si>
    <t>Burgundy</t>
  </si>
  <si>
    <t>KG</t>
  </si>
  <si>
    <t>KLG</t>
  </si>
  <si>
    <t>LG TWINS</t>
  </si>
  <si>
    <t>CW</t>
  </si>
  <si>
    <t>FLAT BILL MESH CAP(일자)</t>
  </si>
  <si>
    <t>PLAID BLACK</t>
  </si>
  <si>
    <t>7(56CM)</t>
  </si>
  <si>
    <t>KD</t>
  </si>
  <si>
    <t>KLO</t>
  </si>
  <si>
    <t>LOTTE GIANTS</t>
  </si>
  <si>
    <t>DB</t>
  </si>
  <si>
    <t>FLAT BILL TRUCKER CAP</t>
  </si>
  <si>
    <t>BB</t>
  </si>
  <si>
    <t>Black/Red</t>
  </si>
  <si>
    <t>71/8(57CM)</t>
  </si>
  <si>
    <t>AO</t>
  </si>
  <si>
    <t>NAN</t>
  </si>
  <si>
    <t>MLB ANGELS</t>
  </si>
  <si>
    <t>CZ</t>
  </si>
  <si>
    <t>UMPIRE</t>
  </si>
  <si>
    <t>C1</t>
  </si>
  <si>
    <t>BG</t>
  </si>
  <si>
    <t>Beige</t>
  </si>
  <si>
    <t>71/4(58CM)</t>
  </si>
  <si>
    <t>AU</t>
  </si>
  <si>
    <t>NAS</t>
  </si>
  <si>
    <t>MLB A'S</t>
  </si>
  <si>
    <t>CG</t>
  </si>
  <si>
    <t>PERFORMANCE CAP(기능성)</t>
  </si>
  <si>
    <t>PE</t>
  </si>
  <si>
    <t>PERFORMANCE CAP</t>
  </si>
  <si>
    <t>C2</t>
  </si>
  <si>
    <t>Putty</t>
  </si>
  <si>
    <t>73/8(59CM)</t>
  </si>
  <si>
    <t>AM</t>
  </si>
  <si>
    <t>NAT</t>
  </si>
  <si>
    <t>MLB ASTROS</t>
  </si>
  <si>
    <t>CI</t>
  </si>
  <si>
    <t>MILITARY CAP</t>
  </si>
  <si>
    <t>C3</t>
  </si>
  <si>
    <t>Sand</t>
  </si>
  <si>
    <t>71/2(60CM)</t>
  </si>
  <si>
    <t>A4</t>
  </si>
  <si>
    <t>NBL</t>
  </si>
  <si>
    <t>MLB BLUEJAYS</t>
  </si>
  <si>
    <t>CK</t>
  </si>
  <si>
    <t>FEDORA</t>
  </si>
  <si>
    <t>C4</t>
  </si>
  <si>
    <t>Khaki</t>
  </si>
  <si>
    <t>75/8(61CM)</t>
  </si>
  <si>
    <t>AC</t>
  </si>
  <si>
    <t>NBR</t>
  </si>
  <si>
    <t>MLB BRAVES</t>
  </si>
  <si>
    <t>CL</t>
  </si>
  <si>
    <t>HUNTING CAP</t>
  </si>
  <si>
    <t>C5</t>
  </si>
  <si>
    <t>Café</t>
  </si>
  <si>
    <t>73/4(62CM)</t>
  </si>
  <si>
    <t>AQ</t>
  </si>
  <si>
    <t>NBE</t>
  </si>
  <si>
    <t>MLB BREWERS</t>
  </si>
  <si>
    <t>CT</t>
  </si>
  <si>
    <t>CASQUETTE</t>
  </si>
  <si>
    <t>C6</t>
  </si>
  <si>
    <t>BW</t>
  </si>
  <si>
    <t>Brown</t>
  </si>
  <si>
    <t>77/8(63CM)</t>
  </si>
  <si>
    <t>A1</t>
  </si>
  <si>
    <t>NCA</t>
  </si>
  <si>
    <t>MLB CARDINALS</t>
  </si>
  <si>
    <t>CM</t>
  </si>
  <si>
    <t>BERET</t>
  </si>
  <si>
    <t>C7</t>
  </si>
  <si>
    <t>Dk.Brown</t>
  </si>
  <si>
    <t>8(64CM)</t>
  </si>
  <si>
    <t>AF</t>
  </si>
  <si>
    <t>NCU</t>
  </si>
  <si>
    <t>MLB CUBS</t>
  </si>
  <si>
    <t>CJ</t>
  </si>
  <si>
    <t>FASHION HAT</t>
  </si>
  <si>
    <t>C8</t>
  </si>
  <si>
    <t>Light.Brown</t>
  </si>
  <si>
    <t>AB</t>
  </si>
  <si>
    <t>NDB</t>
  </si>
  <si>
    <t>MLB D'BACKS</t>
  </si>
  <si>
    <t>CX</t>
  </si>
  <si>
    <t>PAPER 소재로 된 것.</t>
  </si>
  <si>
    <t>C9</t>
  </si>
  <si>
    <t>Metalic Bronze</t>
  </si>
  <si>
    <t>6(48CM)</t>
  </si>
  <si>
    <t>A2</t>
  </si>
  <si>
    <t>NDE</t>
  </si>
  <si>
    <t>MLB DEVILSRAYS</t>
  </si>
  <si>
    <t>CY</t>
  </si>
  <si>
    <t>Trim이 길고 펄럭임</t>
  </si>
  <si>
    <t xml:space="preserve">Brown Leopard </t>
  </si>
  <si>
    <t>61/8(49CM)</t>
  </si>
  <si>
    <t>AP</t>
  </si>
  <si>
    <t>NDO</t>
  </si>
  <si>
    <t>MLB DODGERS</t>
  </si>
  <si>
    <t>CH</t>
  </si>
  <si>
    <t>BUCKET</t>
  </si>
  <si>
    <t>Dk.Khaki</t>
  </si>
  <si>
    <t>61/4(50CM)</t>
  </si>
  <si>
    <t>AY</t>
  </si>
  <si>
    <t>NGI</t>
  </si>
  <si>
    <t>MLB GIANTS</t>
  </si>
  <si>
    <t>NORMAL BEANIE</t>
  </si>
  <si>
    <t>BEANIE</t>
  </si>
  <si>
    <t>Chocolate</t>
  </si>
  <si>
    <t>63/8(51CM)</t>
  </si>
  <si>
    <t>AI</t>
  </si>
  <si>
    <t>NIN</t>
  </si>
  <si>
    <t>MLB INDIANS</t>
  </si>
  <si>
    <t>CO</t>
  </si>
  <si>
    <t>REVERSABLE BEANIE</t>
  </si>
  <si>
    <t>Walnut</t>
  </si>
  <si>
    <t>61/2(52CM)</t>
  </si>
  <si>
    <t>AZ</t>
  </si>
  <si>
    <t>NMR</t>
  </si>
  <si>
    <t>MLB MARINERS</t>
  </si>
  <si>
    <t>CR</t>
  </si>
  <si>
    <t>CUFF KNIT BEANIE</t>
  </si>
  <si>
    <t>CAMEL</t>
  </si>
  <si>
    <t>65/8(53CM)</t>
  </si>
  <si>
    <t>AL</t>
  </si>
  <si>
    <t>NMA</t>
  </si>
  <si>
    <t>MLB MARLINS</t>
  </si>
  <si>
    <t>CP</t>
  </si>
  <si>
    <t>VISOR BEANIE (챙비니)</t>
  </si>
  <si>
    <t>VISOR BEANIE</t>
  </si>
  <si>
    <t>PLAID BROWN</t>
  </si>
  <si>
    <t>63/4(54CM)</t>
  </si>
  <si>
    <t>AS</t>
  </si>
  <si>
    <t>NME</t>
  </si>
  <si>
    <t>MLB METS</t>
  </si>
  <si>
    <t>CQ</t>
  </si>
  <si>
    <t>EARFLAP BEANIE</t>
  </si>
  <si>
    <t>E0</t>
  </si>
  <si>
    <t>GY</t>
  </si>
  <si>
    <t>Grey</t>
  </si>
  <si>
    <t>67/8(55CM)</t>
  </si>
  <si>
    <t>A5</t>
  </si>
  <si>
    <t>NNA</t>
  </si>
  <si>
    <t>MLB NATIONALS</t>
  </si>
  <si>
    <t>EARCAP</t>
  </si>
  <si>
    <t>E1</t>
  </si>
  <si>
    <t>Light Grey</t>
  </si>
  <si>
    <t>AD</t>
  </si>
  <si>
    <t>NOR</t>
  </si>
  <si>
    <t>MLB ORIOLES</t>
  </si>
  <si>
    <t>TROOPER</t>
  </si>
  <si>
    <t>E2</t>
  </si>
  <si>
    <t>Dk.Grey</t>
  </si>
  <si>
    <t>AX</t>
  </si>
  <si>
    <t>NPA</t>
  </si>
  <si>
    <t>MLB PADRES</t>
  </si>
  <si>
    <t>EA</t>
  </si>
  <si>
    <t>KNIT MUFFLER</t>
  </si>
  <si>
    <t>MU</t>
  </si>
  <si>
    <t>MUFFLER</t>
  </si>
  <si>
    <t>E3</t>
  </si>
  <si>
    <t>C.Coal Grey</t>
  </si>
  <si>
    <t>AV</t>
  </si>
  <si>
    <t>NPH</t>
  </si>
  <si>
    <t>MLB PHILLIES</t>
  </si>
  <si>
    <t>HOOD MUFFLER</t>
  </si>
  <si>
    <t>E4</t>
  </si>
  <si>
    <t>Gunmetal</t>
  </si>
  <si>
    <t>AW</t>
  </si>
  <si>
    <t>NPI</t>
  </si>
  <si>
    <t>MLB PIRATES</t>
  </si>
  <si>
    <t>EC</t>
  </si>
  <si>
    <t>SCARF</t>
  </si>
  <si>
    <t>E5</t>
  </si>
  <si>
    <t>PLAID GREY</t>
  </si>
  <si>
    <t>A3</t>
  </si>
  <si>
    <t>NRA</t>
  </si>
  <si>
    <t>MLB RANGERS</t>
  </si>
  <si>
    <t>WARMER</t>
  </si>
  <si>
    <t>WA</t>
  </si>
  <si>
    <t>E6</t>
  </si>
  <si>
    <t>Light Beige</t>
  </si>
  <si>
    <t>AH</t>
  </si>
  <si>
    <t>NRD</t>
  </si>
  <si>
    <t>MLB REDS</t>
  </si>
  <si>
    <t>MITTEN(장갑)</t>
  </si>
  <si>
    <t>MITTEN</t>
  </si>
  <si>
    <t>G0</t>
  </si>
  <si>
    <t>MT</t>
  </si>
  <si>
    <t>Mint</t>
  </si>
  <si>
    <t>AE</t>
  </si>
  <si>
    <t>NRE</t>
  </si>
  <si>
    <t>MLB REDSOX</t>
  </si>
  <si>
    <t>CAP CARRIER(모자 휴대가방)</t>
  </si>
  <si>
    <t>CAP CARRIER</t>
  </si>
  <si>
    <t>G1</t>
  </si>
  <si>
    <t>GR</t>
  </si>
  <si>
    <t>Green</t>
  </si>
  <si>
    <t>AJ</t>
  </si>
  <si>
    <t>NRO</t>
  </si>
  <si>
    <t>MLB ROCKIES</t>
  </si>
  <si>
    <t>FB</t>
  </si>
  <si>
    <t>CAP SPRAY(모자 세정액)</t>
  </si>
  <si>
    <t>CAP SPRAY</t>
  </si>
  <si>
    <t>G2</t>
  </si>
  <si>
    <t>Olive</t>
  </si>
  <si>
    <t>AN</t>
  </si>
  <si>
    <t>NRY</t>
  </si>
  <si>
    <t>MLB ROYALS</t>
  </si>
  <si>
    <t>FC</t>
  </si>
  <si>
    <t>DP cap (빅모자)</t>
  </si>
  <si>
    <t>DC</t>
  </si>
  <si>
    <t xml:space="preserve">DP cap </t>
  </si>
  <si>
    <t>G3</t>
  </si>
  <si>
    <t>New Olive</t>
  </si>
  <si>
    <t>AK</t>
  </si>
  <si>
    <t>NTI</t>
  </si>
  <si>
    <t>MLB TIGERS</t>
  </si>
  <si>
    <t>액서사리</t>
  </si>
  <si>
    <t>ACC</t>
  </si>
  <si>
    <t>G4</t>
  </si>
  <si>
    <t>Light Olive</t>
  </si>
  <si>
    <t>AR</t>
  </si>
  <si>
    <t>NTW</t>
  </si>
  <si>
    <t>MLB TWINS</t>
  </si>
  <si>
    <t>반팔</t>
  </si>
  <si>
    <t>G5</t>
  </si>
  <si>
    <t>P.Green</t>
  </si>
  <si>
    <t>AG</t>
  </si>
  <si>
    <t>NWS</t>
  </si>
  <si>
    <t>MLB W'SOX</t>
  </si>
  <si>
    <t>긴팔</t>
  </si>
  <si>
    <t>G6</t>
  </si>
  <si>
    <t>R.Green</t>
  </si>
  <si>
    <t>AT</t>
  </si>
  <si>
    <t>NYA</t>
  </si>
  <si>
    <t>MLB YANKEES</t>
  </si>
  <si>
    <t>후드티</t>
  </si>
  <si>
    <t>G7</t>
  </si>
  <si>
    <t>Deep Green</t>
  </si>
  <si>
    <t>AA</t>
  </si>
  <si>
    <t>NEW</t>
  </si>
  <si>
    <t>NEW ERA</t>
  </si>
  <si>
    <t>G8</t>
  </si>
  <si>
    <t>Green Checker</t>
  </si>
  <si>
    <t>KF</t>
  </si>
  <si>
    <t>KNE</t>
  </si>
  <si>
    <t>NEXEN HEROES</t>
  </si>
  <si>
    <t>야구점퍼</t>
  </si>
  <si>
    <t>G9</t>
  </si>
  <si>
    <t>Dk. Green</t>
  </si>
  <si>
    <t>KE</t>
  </si>
  <si>
    <t>KSA</t>
  </si>
  <si>
    <t>SAMSUNG LIONS</t>
  </si>
  <si>
    <t>FF</t>
  </si>
  <si>
    <t>쪼리</t>
  </si>
  <si>
    <t>GA</t>
  </si>
  <si>
    <t>Olive Camo</t>
  </si>
  <si>
    <t>KB</t>
  </si>
  <si>
    <t>KSK</t>
  </si>
  <si>
    <t>SK WYVERNS</t>
  </si>
  <si>
    <t>백팩</t>
  </si>
  <si>
    <t>GB</t>
  </si>
  <si>
    <t>Army</t>
  </si>
  <si>
    <t>GC</t>
  </si>
  <si>
    <t>Spruce</t>
  </si>
  <si>
    <t>N0</t>
  </si>
  <si>
    <t>NY</t>
  </si>
  <si>
    <t>Navy</t>
  </si>
  <si>
    <t>VOL</t>
  </si>
  <si>
    <t>VOLCOM</t>
  </si>
  <si>
    <t>N1</t>
  </si>
  <si>
    <t>Dk.Navy</t>
  </si>
  <si>
    <t>BIL</t>
  </si>
  <si>
    <t>BILLABONG</t>
  </si>
  <si>
    <t>N2</t>
  </si>
  <si>
    <t>PP</t>
  </si>
  <si>
    <t>Purple</t>
  </si>
  <si>
    <t>QSV</t>
  </si>
  <si>
    <t>QUIKSILVER</t>
  </si>
  <si>
    <t>N3</t>
  </si>
  <si>
    <t>Dk.Purple</t>
  </si>
  <si>
    <t>FD</t>
  </si>
  <si>
    <t>ROX</t>
  </si>
  <si>
    <t>ROXY</t>
  </si>
  <si>
    <t>N4</t>
  </si>
  <si>
    <t>VIOLET</t>
  </si>
  <si>
    <t>GRA</t>
  </si>
  <si>
    <t>GRACEHAT</t>
  </si>
  <si>
    <t>N5</t>
  </si>
  <si>
    <t>Magenta Checker</t>
  </si>
  <si>
    <t>N6</t>
  </si>
  <si>
    <t>Navy Checker</t>
  </si>
  <si>
    <t>F-HAT</t>
  </si>
  <si>
    <t>N7</t>
  </si>
  <si>
    <t>Light Purple</t>
  </si>
  <si>
    <t>BUT</t>
  </si>
  <si>
    <t>BURTON</t>
  </si>
  <si>
    <t>N8</t>
  </si>
  <si>
    <t>Navy Stripe</t>
  </si>
  <si>
    <t>FG</t>
  </si>
  <si>
    <t>ZZZ</t>
  </si>
  <si>
    <t>FOX RACING</t>
  </si>
  <si>
    <t>N9</t>
  </si>
  <si>
    <t>Marine</t>
  </si>
  <si>
    <t>FH</t>
  </si>
  <si>
    <t>HURLEY</t>
  </si>
  <si>
    <t>NA</t>
  </si>
  <si>
    <t>Mage</t>
  </si>
  <si>
    <t>STU</t>
  </si>
  <si>
    <t>STUSSY</t>
  </si>
  <si>
    <t>NB</t>
  </si>
  <si>
    <t>MULTI</t>
  </si>
  <si>
    <t>FJ</t>
  </si>
  <si>
    <t>NIX</t>
  </si>
  <si>
    <t>NIXON</t>
  </si>
  <si>
    <t>R0</t>
  </si>
  <si>
    <t>RE</t>
  </si>
  <si>
    <t>Red</t>
  </si>
  <si>
    <t>FK</t>
  </si>
  <si>
    <t>D.C</t>
  </si>
  <si>
    <t>R1</t>
  </si>
  <si>
    <t>Maroon</t>
  </si>
  <si>
    <t>ANA</t>
  </si>
  <si>
    <t>ANALOG</t>
  </si>
  <si>
    <t>R2</t>
  </si>
  <si>
    <t>Wine</t>
  </si>
  <si>
    <t>FM</t>
  </si>
  <si>
    <t>ADA</t>
  </si>
  <si>
    <t>ADIDAS</t>
  </si>
  <si>
    <t>R3</t>
  </si>
  <si>
    <t>PK</t>
  </si>
  <si>
    <t>Pink</t>
  </si>
  <si>
    <t>FN</t>
  </si>
  <si>
    <t>NKE</t>
  </si>
  <si>
    <t>NIKE</t>
  </si>
  <si>
    <t>R4</t>
  </si>
  <si>
    <t>Light Pink</t>
  </si>
  <si>
    <t>FO</t>
  </si>
  <si>
    <t>PUM</t>
  </si>
  <si>
    <t>PUMA</t>
  </si>
  <si>
    <t>R5</t>
  </si>
  <si>
    <t>Hot Pink</t>
  </si>
  <si>
    <t>FP</t>
  </si>
  <si>
    <t>7 UNION</t>
  </si>
  <si>
    <t>R6</t>
  </si>
  <si>
    <t>Metalic Pink</t>
  </si>
  <si>
    <t>FQ</t>
  </si>
  <si>
    <t>SUPRA</t>
  </si>
  <si>
    <t>R7</t>
  </si>
  <si>
    <t>Pink Leopard</t>
  </si>
  <si>
    <t>FR</t>
  </si>
  <si>
    <t>KR3W</t>
  </si>
  <si>
    <t>R8</t>
  </si>
  <si>
    <t>Pearl Pink</t>
  </si>
  <si>
    <t>FS</t>
  </si>
  <si>
    <t>C1RCA</t>
  </si>
  <si>
    <t>R9</t>
  </si>
  <si>
    <t>Fuchsia Pink</t>
  </si>
  <si>
    <t>FY</t>
  </si>
  <si>
    <t>RIP CURL</t>
  </si>
  <si>
    <t>RA</t>
  </si>
  <si>
    <t>Lava</t>
  </si>
  <si>
    <t>FZ</t>
  </si>
  <si>
    <t>ES</t>
  </si>
  <si>
    <t>RB</t>
  </si>
  <si>
    <t>PLAID RED</t>
  </si>
  <si>
    <t>F0</t>
  </si>
  <si>
    <t>DRA</t>
  </si>
  <si>
    <t>DRAGON</t>
  </si>
  <si>
    <t>U0</t>
  </si>
  <si>
    <t>BL</t>
  </si>
  <si>
    <t>Blue</t>
  </si>
  <si>
    <t>F1</t>
  </si>
  <si>
    <t>HUF</t>
  </si>
  <si>
    <t>U1</t>
  </si>
  <si>
    <t>Light.Blue</t>
  </si>
  <si>
    <t>F2</t>
  </si>
  <si>
    <t>HUN</t>
  </si>
  <si>
    <t>HUNDREDS</t>
  </si>
  <si>
    <t>U2</t>
  </si>
  <si>
    <t>Deep.Blue</t>
  </si>
  <si>
    <t>F3</t>
  </si>
  <si>
    <t>TROPICAL SOUND</t>
  </si>
  <si>
    <t>U3</t>
  </si>
  <si>
    <t>Sky Blue</t>
  </si>
  <si>
    <t>F4</t>
  </si>
  <si>
    <t>GOO</t>
  </si>
  <si>
    <t>U4</t>
  </si>
  <si>
    <t>Indigo</t>
  </si>
  <si>
    <t>U5</t>
  </si>
  <si>
    <t>Royal</t>
  </si>
  <si>
    <t>U6</t>
  </si>
  <si>
    <t>Dk Blue</t>
  </si>
  <si>
    <t>F5</t>
  </si>
  <si>
    <t>CRO</t>
  </si>
  <si>
    <t>CROOKS &amp; CASTLE</t>
  </si>
  <si>
    <t>U7</t>
  </si>
  <si>
    <t>Royal Blue</t>
  </si>
  <si>
    <t>F6</t>
  </si>
  <si>
    <t>ELECTRIC</t>
  </si>
  <si>
    <t>U8</t>
  </si>
  <si>
    <t>Teal</t>
  </si>
  <si>
    <t>F7</t>
  </si>
  <si>
    <t>GRAVIS</t>
  </si>
  <si>
    <t>U9</t>
  </si>
  <si>
    <t>CYPRESS</t>
  </si>
  <si>
    <t>F8</t>
  </si>
  <si>
    <t>OFFICIAL</t>
  </si>
  <si>
    <t>W0</t>
  </si>
  <si>
    <t>WH</t>
  </si>
  <si>
    <t>White</t>
  </si>
  <si>
    <t>SHIFT</t>
  </si>
  <si>
    <t>W1</t>
  </si>
  <si>
    <t>SL</t>
  </si>
  <si>
    <t xml:space="preserve">Silver </t>
  </si>
  <si>
    <t>TRU</t>
  </si>
  <si>
    <t>TRUE RELIGION</t>
  </si>
  <si>
    <t>W2</t>
  </si>
  <si>
    <t>Metalic Silver</t>
  </si>
  <si>
    <t>W3</t>
  </si>
  <si>
    <t>IV</t>
  </si>
  <si>
    <t>Ivory</t>
  </si>
  <si>
    <t>DAK</t>
  </si>
  <si>
    <t>DAKINE</t>
  </si>
  <si>
    <t>W4</t>
  </si>
  <si>
    <t>White/Grey</t>
  </si>
  <si>
    <t>GD</t>
  </si>
  <si>
    <t>OAKLEY</t>
  </si>
  <si>
    <t>W5</t>
  </si>
  <si>
    <t>White/DK.Grey</t>
  </si>
  <si>
    <t>GE</t>
  </si>
  <si>
    <t>EDH</t>
  </si>
  <si>
    <t>ED HARDY</t>
  </si>
  <si>
    <t>Y0</t>
  </si>
  <si>
    <t>YE</t>
  </si>
  <si>
    <t>Yellow</t>
  </si>
  <si>
    <t>GF</t>
  </si>
  <si>
    <t>ITALY</t>
  </si>
  <si>
    <t>Y1</t>
  </si>
  <si>
    <t>Ab.Yellow</t>
  </si>
  <si>
    <t>GG</t>
  </si>
  <si>
    <t>UNDER AMOUR</t>
  </si>
  <si>
    <t>Y2</t>
  </si>
  <si>
    <t>Gold</t>
  </si>
  <si>
    <t>GH</t>
  </si>
  <si>
    <t>NEW BALANCE</t>
  </si>
  <si>
    <t>Y3</t>
  </si>
  <si>
    <t>Old Gold</t>
  </si>
  <si>
    <t>GI</t>
  </si>
  <si>
    <t>O'NEILL</t>
  </si>
  <si>
    <t>Y4</t>
  </si>
  <si>
    <t>Pumpkin</t>
  </si>
  <si>
    <t>GJ</t>
  </si>
  <si>
    <t>KAN</t>
  </si>
  <si>
    <t>KANGOL</t>
  </si>
  <si>
    <t>Y5</t>
  </si>
  <si>
    <t>OR</t>
  </si>
  <si>
    <t>Orange</t>
  </si>
  <si>
    <t>GK</t>
  </si>
  <si>
    <t>A.KURTZ</t>
  </si>
  <si>
    <t>Y6</t>
  </si>
  <si>
    <t>BT Orange</t>
  </si>
  <si>
    <t>GL</t>
  </si>
  <si>
    <t>THE NORTH FACE</t>
  </si>
  <si>
    <t>Y7</t>
  </si>
  <si>
    <t>Mustard</t>
  </si>
  <si>
    <t>GM</t>
  </si>
  <si>
    <t>OBEY</t>
  </si>
  <si>
    <t>WES</t>
  </si>
  <si>
    <t>WESC</t>
  </si>
  <si>
    <t>GS</t>
  </si>
  <si>
    <t>BRONER</t>
  </si>
  <si>
    <t>GZ</t>
  </si>
  <si>
    <t>TWI</t>
  </si>
  <si>
    <t>TWINS</t>
  </si>
  <si>
    <t>Y8</t>
  </si>
  <si>
    <t>V-Gold</t>
  </si>
  <si>
    <t>RVC</t>
  </si>
  <si>
    <t>RVCA</t>
  </si>
  <si>
    <t>Z0</t>
  </si>
  <si>
    <t>Blue denim</t>
  </si>
  <si>
    <t>Z1</t>
  </si>
  <si>
    <t>Black denim</t>
  </si>
  <si>
    <t>Z2</t>
  </si>
  <si>
    <t>Crayon 1</t>
  </si>
  <si>
    <t>Z3</t>
  </si>
  <si>
    <t>Crayon 2</t>
  </si>
  <si>
    <t>Z4</t>
  </si>
  <si>
    <t>Control Check</t>
  </si>
  <si>
    <t>Z5</t>
  </si>
  <si>
    <t>Tobacco</t>
  </si>
  <si>
    <t>Z6</t>
  </si>
  <si>
    <t>Nature</t>
  </si>
  <si>
    <t>Z7</t>
  </si>
  <si>
    <t>Oyster</t>
  </si>
  <si>
    <t>FT</t>
  </si>
  <si>
    <t>PLAYBOY</t>
  </si>
  <si>
    <t>ZZ</t>
  </si>
  <si>
    <t>FU</t>
  </si>
  <si>
    <t>UPO</t>
  </si>
  <si>
    <t>US POLO</t>
  </si>
  <si>
    <t>LI</t>
  </si>
  <si>
    <t>LIME</t>
  </si>
  <si>
    <t>FV</t>
  </si>
  <si>
    <t>ECK</t>
  </si>
  <si>
    <t>ECKO</t>
  </si>
  <si>
    <t>FW</t>
  </si>
  <si>
    <t>EUR</t>
  </si>
  <si>
    <t>EURO</t>
  </si>
  <si>
    <t>FX</t>
  </si>
  <si>
    <t>LID</t>
  </si>
  <si>
    <t>LIDS</t>
  </si>
  <si>
    <t>HA</t>
  </si>
  <si>
    <t>RXG</t>
  </si>
  <si>
    <t>HB</t>
  </si>
  <si>
    <t>NOX</t>
  </si>
  <si>
    <t>NOXX</t>
  </si>
  <si>
    <t>HC</t>
  </si>
  <si>
    <t>MIX</t>
  </si>
  <si>
    <t>HD</t>
  </si>
  <si>
    <t>KOR</t>
  </si>
  <si>
    <t>KOREA/CITY CAP</t>
  </si>
  <si>
    <t>HE</t>
  </si>
  <si>
    <t>HF</t>
  </si>
  <si>
    <t>LIH</t>
  </si>
  <si>
    <t>LIFE IS HAPPY</t>
  </si>
  <si>
    <t>HG</t>
  </si>
  <si>
    <t>ELSTINKO</t>
  </si>
  <si>
    <t>HH</t>
  </si>
  <si>
    <t>COC</t>
  </si>
  <si>
    <t>COCACOLA</t>
  </si>
  <si>
    <t>F-CAP</t>
  </si>
  <si>
    <t>WITAILOR</t>
  </si>
  <si>
    <t>GN</t>
  </si>
  <si>
    <t>ZGN</t>
  </si>
  <si>
    <t>LIFE IS GOOD</t>
  </si>
  <si>
    <t>GO</t>
  </si>
  <si>
    <t>ZGO</t>
  </si>
  <si>
    <t>RAY&amp;REI</t>
  </si>
  <si>
    <t>GP</t>
  </si>
  <si>
    <t>ZGP</t>
  </si>
  <si>
    <t>ZIMZUM</t>
  </si>
  <si>
    <t>GQ</t>
  </si>
  <si>
    <t>ZGQ</t>
  </si>
  <si>
    <t>SPOTING21</t>
  </si>
  <si>
    <t>GT</t>
  </si>
  <si>
    <t>ZGT</t>
  </si>
  <si>
    <t>PEPSI</t>
  </si>
  <si>
    <t>GU</t>
  </si>
  <si>
    <t>ZGU</t>
  </si>
  <si>
    <t>SEVEN UP</t>
  </si>
  <si>
    <t>GV</t>
  </si>
  <si>
    <t>ZGV</t>
  </si>
  <si>
    <t>MTDEW</t>
  </si>
  <si>
    <t>GW</t>
  </si>
  <si>
    <t>ZGW</t>
  </si>
  <si>
    <t>CORONIZE</t>
  </si>
  <si>
    <t>GX</t>
  </si>
  <si>
    <t>ZGX</t>
  </si>
  <si>
    <t>NO-I</t>
  </si>
  <si>
    <t>ZGY</t>
  </si>
  <si>
    <t>MR.G</t>
  </si>
  <si>
    <t>ZG1</t>
  </si>
  <si>
    <t>ROLLIPS</t>
  </si>
  <si>
    <t>ZG2</t>
  </si>
  <si>
    <t>TANTU</t>
  </si>
  <si>
    <t>ZG3</t>
  </si>
  <si>
    <t>Warner Bros.</t>
  </si>
  <si>
    <t>ZG4</t>
  </si>
  <si>
    <t>WMW</t>
  </si>
  <si>
    <t>ZA</t>
  </si>
  <si>
    <t>NBP</t>
  </si>
  <si>
    <t>NIXON BP</t>
  </si>
  <si>
    <t>ZB</t>
  </si>
  <si>
    <t>DBP</t>
  </si>
  <si>
    <t>DAKINE BP</t>
  </si>
  <si>
    <t>브랜드/품목2</t>
  </si>
  <si>
    <t>브랜드/품목2</t>
    <phoneticPr fontId="3" type="noConversion"/>
  </si>
  <si>
    <t>BRO</t>
  </si>
  <si>
    <t>BMD-모자</t>
  </si>
  <si>
    <t>BRO-모자</t>
  </si>
  <si>
    <t>ELS-모자</t>
  </si>
  <si>
    <t>HCU-모자</t>
  </si>
  <si>
    <t>JOI-모자</t>
  </si>
  <si>
    <t>NOV-모자</t>
  </si>
  <si>
    <t>PLA-의류</t>
  </si>
  <si>
    <t>JIL-ACC</t>
  </si>
  <si>
    <t>JIL-모자</t>
  </si>
  <si>
    <t>SMB-모자</t>
  </si>
  <si>
    <t>VBL-모자</t>
  </si>
  <si>
    <t>WTR-모자</t>
  </si>
  <si>
    <t>QF</t>
  </si>
  <si>
    <t>PLA-모자</t>
  </si>
  <si>
    <t>URB-모자</t>
  </si>
  <si>
    <t>샘플번호</t>
  </si>
  <si>
    <t>발주일</t>
  </si>
  <si>
    <t>입고일</t>
  </si>
  <si>
    <t>입고일</t>
    <phoneticPr fontId="3" type="noConversion"/>
  </si>
  <si>
    <t>12FW</t>
    <phoneticPr fontId="64" type="noConversion"/>
  </si>
  <si>
    <t>13FW</t>
    <phoneticPr fontId="64" type="noConversion"/>
  </si>
  <si>
    <t>품번수</t>
    <phoneticPr fontId="64" type="noConversion"/>
  </si>
  <si>
    <t>색상수</t>
    <phoneticPr fontId="64" type="noConversion"/>
  </si>
  <si>
    <t>ELS-모자</t>
    <phoneticPr fontId="64" type="noConversion"/>
  </si>
  <si>
    <t>SMB-모자</t>
    <phoneticPr fontId="64" type="noConversion"/>
  </si>
  <si>
    <t>NAA-모자</t>
    <phoneticPr fontId="64" type="noConversion"/>
  </si>
  <si>
    <t>NOV-모자</t>
    <phoneticPr fontId="64" type="noConversion"/>
  </si>
  <si>
    <t>VBL-모자</t>
    <phoneticPr fontId="64" type="noConversion"/>
  </si>
  <si>
    <t>PLA-모자</t>
    <phoneticPr fontId="64" type="noConversion"/>
  </si>
  <si>
    <t>PLA-의류</t>
    <phoneticPr fontId="64" type="noConversion"/>
  </si>
  <si>
    <t>PLA-가방</t>
    <phoneticPr fontId="64" type="noConversion"/>
  </si>
  <si>
    <t>JIL-모자</t>
    <phoneticPr fontId="64" type="noConversion"/>
  </si>
  <si>
    <t>JIL-ACC</t>
    <phoneticPr fontId="64" type="noConversion"/>
  </si>
  <si>
    <t>HCU-모자</t>
    <phoneticPr fontId="64" type="noConversion"/>
  </si>
  <si>
    <t>HCU-의류</t>
  </si>
  <si>
    <t>HCU-가방</t>
  </si>
  <si>
    <t>BRO-모자</t>
    <phoneticPr fontId="64" type="noConversion"/>
  </si>
  <si>
    <t>COC-모자</t>
    <phoneticPr fontId="64" type="noConversion"/>
  </si>
  <si>
    <t>BMD-모자</t>
    <phoneticPr fontId="64" type="noConversion"/>
  </si>
  <si>
    <t>WTR-모자</t>
    <phoneticPr fontId="64" type="noConversion"/>
  </si>
  <si>
    <t>B1A-모자</t>
    <phoneticPr fontId="64" type="noConversion"/>
  </si>
  <si>
    <t>JOI-모자</t>
    <phoneticPr fontId="64" type="noConversion"/>
  </si>
  <si>
    <t>JOI-ACC</t>
    <phoneticPr fontId="64" type="noConversion"/>
  </si>
  <si>
    <t>URB-모자</t>
    <phoneticPr fontId="64" type="noConversion"/>
  </si>
  <si>
    <t>NEW-모자</t>
    <phoneticPr fontId="64" type="noConversion"/>
  </si>
  <si>
    <t>합계</t>
    <phoneticPr fontId="64" type="noConversion"/>
  </si>
  <si>
    <t>13SS</t>
    <phoneticPr fontId="3" type="noConversion"/>
  </si>
  <si>
    <t>ELS-모자</t>
    <phoneticPr fontId="3" type="noConversion"/>
  </si>
  <si>
    <t>SMB-모자</t>
    <phoneticPr fontId="3" type="noConversion"/>
  </si>
  <si>
    <t>NAA-모자</t>
  </si>
  <si>
    <t>VBL-모자</t>
    <phoneticPr fontId="3" type="noConversion"/>
  </si>
  <si>
    <t>JIL-모자</t>
    <phoneticPr fontId="3" type="noConversion"/>
  </si>
  <si>
    <t>BRO-모자</t>
    <phoneticPr fontId="3" type="noConversion"/>
  </si>
  <si>
    <t>WTR-모자</t>
    <phoneticPr fontId="3" type="noConversion"/>
  </si>
  <si>
    <t>B1A-모자</t>
  </si>
  <si>
    <t>JOI-모자</t>
    <phoneticPr fontId="3" type="noConversion"/>
  </si>
  <si>
    <t>품번수</t>
    <phoneticPr fontId="3" type="noConversion"/>
  </si>
  <si>
    <t>색상수</t>
    <phoneticPr fontId="3" type="noConversion"/>
  </si>
  <si>
    <t>브랜드/품목</t>
    <phoneticPr fontId="3" type="noConversion"/>
  </si>
  <si>
    <t>오더차수</t>
    <phoneticPr fontId="3" type="noConversion"/>
  </si>
  <si>
    <t>PLA-가방</t>
  </si>
  <si>
    <t>COC-모자</t>
  </si>
  <si>
    <t>NEW-모자</t>
  </si>
  <si>
    <t>13FW 리오더 발주</t>
    <phoneticPr fontId="3" type="noConversion"/>
  </si>
  <si>
    <t>12FW 입고</t>
    <phoneticPr fontId="3" type="noConversion"/>
  </si>
  <si>
    <t>13FW 발주계획=디자인실</t>
    <phoneticPr fontId="3" type="noConversion"/>
  </si>
  <si>
    <t>색상수</t>
    <phoneticPr fontId="64" type="noConversion"/>
  </si>
  <si>
    <t>러닝</t>
    <phoneticPr fontId="3" type="noConversion"/>
  </si>
  <si>
    <t>샘플</t>
    <phoneticPr fontId="3" type="noConversion"/>
  </si>
  <si>
    <t>브랜드/품목</t>
    <phoneticPr fontId="64" type="noConversion"/>
  </si>
  <si>
    <t>러닝+샘플계</t>
    <phoneticPr fontId="3" type="noConversion"/>
  </si>
  <si>
    <t>진척율</t>
    <phoneticPr fontId="64" type="noConversion"/>
  </si>
  <si>
    <t>색상수</t>
    <phoneticPr fontId="64" type="noConversion"/>
  </si>
  <si>
    <t>BA 요약</t>
  </si>
  <si>
    <t>MI 요약</t>
  </si>
  <si>
    <t>FI 요약</t>
  </si>
  <si>
    <t>FA 요약</t>
  </si>
  <si>
    <t>HU 요약</t>
  </si>
  <si>
    <t>입고월</t>
  </si>
  <si>
    <t>입고월</t>
    <phoneticPr fontId="3" type="noConversion"/>
  </si>
  <si>
    <t xml:space="preserve"> 샘플수</t>
  </si>
  <si>
    <t>실발주월</t>
  </si>
  <si>
    <t>B1A</t>
  </si>
  <si>
    <t>NAA</t>
    <phoneticPr fontId="60" type="noConversion"/>
  </si>
  <si>
    <t>PLA</t>
    <phoneticPr fontId="60" type="noConversion"/>
  </si>
  <si>
    <t>PLA-의류</t>
    <phoneticPr fontId="60" type="noConversion"/>
  </si>
  <si>
    <t>PLA-가방</t>
    <phoneticPr fontId="60" type="noConversion"/>
  </si>
  <si>
    <t>JIL-ACC</t>
    <phoneticPr fontId="60" type="noConversion"/>
  </si>
  <si>
    <t>ELS</t>
    <phoneticPr fontId="3" type="noConversion"/>
  </si>
  <si>
    <t>계획</t>
    <phoneticPr fontId="3" type="noConversion"/>
  </si>
  <si>
    <t>품번수</t>
    <phoneticPr fontId="3" type="noConversion"/>
  </si>
  <si>
    <t>색상수</t>
    <phoneticPr fontId="3" type="noConversion"/>
  </si>
  <si>
    <t>발주</t>
    <phoneticPr fontId="3" type="noConversion"/>
  </si>
  <si>
    <t>입고</t>
    <phoneticPr fontId="3" type="noConversion"/>
  </si>
  <si>
    <t>브랜드/품목</t>
    <phoneticPr fontId="3" type="noConversion"/>
  </si>
  <si>
    <t>합계</t>
    <phoneticPr fontId="3" type="noConversion"/>
  </si>
  <si>
    <t>품번수</t>
    <phoneticPr fontId="3" type="noConversion"/>
  </si>
  <si>
    <t>동일모자 요약</t>
  </si>
  <si>
    <t>성진 요약</t>
  </si>
  <si>
    <t>FOREMOST 요약</t>
  </si>
  <si>
    <t>QF 요약</t>
  </si>
  <si>
    <t xml:space="preserve"> 미입고샘플수</t>
  </si>
  <si>
    <t>*실발주샘플수=중복 발주 및 입고 스타일은 1ST로 계산</t>
    <phoneticPr fontId="4" type="noConversion"/>
  </si>
  <si>
    <t>브랜드</t>
  </si>
  <si>
    <t>총발주샘플건수</t>
    <phoneticPr fontId="3" type="noConversion"/>
  </si>
  <si>
    <t>총발주샘플업체/번호</t>
    <phoneticPr fontId="3" type="noConversion"/>
  </si>
  <si>
    <t xml:space="preserve"> 총발주샘플건수</t>
  </si>
  <si>
    <t>총입고샘플건수</t>
    <phoneticPr fontId="3" type="noConversion"/>
  </si>
  <si>
    <t>총입고샘플업체/번호</t>
    <phoneticPr fontId="3" type="noConversion"/>
  </si>
  <si>
    <t xml:space="preserve"> 총입고샘플건수</t>
  </si>
  <si>
    <t xml:space="preserve"> 총미입고샘플건수</t>
  </si>
  <si>
    <t>JOI-ACC</t>
    <phoneticPr fontId="4" type="noConversion"/>
  </si>
  <si>
    <t>JOI</t>
    <phoneticPr fontId="60" type="noConversion"/>
  </si>
  <si>
    <t>URB</t>
    <phoneticPr fontId="3" type="noConversion"/>
  </si>
  <si>
    <t>ZCN</t>
  </si>
  <si>
    <t>Yangyuan</t>
  </si>
  <si>
    <t>Yongsang</t>
  </si>
  <si>
    <t>piafield</t>
  </si>
  <si>
    <t>공란</t>
    <phoneticPr fontId="3" type="noConversion"/>
  </si>
  <si>
    <t>순번</t>
    <phoneticPr fontId="3" type="noConversion"/>
  </si>
  <si>
    <t>ADULT</t>
  </si>
  <si>
    <t>의류외</t>
  </si>
  <si>
    <t>가방</t>
  </si>
  <si>
    <t>연령구분</t>
  </si>
  <si>
    <t>연령구분</t>
    <phoneticPr fontId="3" type="noConversion"/>
  </si>
  <si>
    <t>CHILD</t>
  </si>
  <si>
    <t>BRAND (3자리)</t>
    <phoneticPr fontId="60" type="noConversion"/>
  </si>
  <si>
    <t>ITEM (2자리)</t>
    <phoneticPr fontId="60" type="noConversion"/>
  </si>
  <si>
    <t>YEAR (2자리)</t>
    <phoneticPr fontId="60" type="noConversion"/>
  </si>
  <si>
    <t>SEASON (1자리)</t>
    <phoneticPr fontId="60" type="noConversion"/>
  </si>
  <si>
    <t>STNO (3자리)</t>
    <phoneticPr fontId="60" type="noConversion"/>
  </si>
  <si>
    <t>COLOR (2자리)</t>
    <phoneticPr fontId="60" type="noConversion"/>
  </si>
  <si>
    <t>SIZE (3자리)</t>
    <phoneticPr fontId="60" type="noConversion"/>
  </si>
  <si>
    <t>분류</t>
    <phoneticPr fontId="60" type="noConversion"/>
  </si>
  <si>
    <t>성별</t>
    <phoneticPr fontId="60" type="noConversion"/>
  </si>
  <si>
    <t>원산지</t>
    <phoneticPr fontId="60" type="noConversion"/>
  </si>
  <si>
    <t>구코드</t>
    <phoneticPr fontId="60" type="noConversion"/>
  </si>
  <si>
    <t>코드</t>
    <phoneticPr fontId="60" type="noConversion"/>
  </si>
  <si>
    <t>코드명</t>
    <phoneticPr fontId="60" type="noConversion"/>
  </si>
  <si>
    <t>그룹</t>
    <phoneticPr fontId="60" type="noConversion"/>
  </si>
  <si>
    <t>구분</t>
    <phoneticPr fontId="60" type="noConversion"/>
  </si>
  <si>
    <t>B/M/C</t>
    <phoneticPr fontId="60" type="noConversion"/>
  </si>
  <si>
    <t>구코드명</t>
    <phoneticPr fontId="60" type="noConversion"/>
  </si>
  <si>
    <t>TYPE</t>
    <phoneticPr fontId="60" type="noConversion"/>
  </si>
  <si>
    <t>의류외</t>
    <phoneticPr fontId="60" type="noConversion"/>
  </si>
  <si>
    <t>모자</t>
    <phoneticPr fontId="60" type="noConversion"/>
  </si>
  <si>
    <t>0</t>
    <phoneticPr fontId="60" type="noConversion"/>
  </si>
  <si>
    <t>SS</t>
    <phoneticPr fontId="60" type="noConversion"/>
  </si>
  <si>
    <t>IN</t>
    <phoneticPr fontId="60" type="noConversion"/>
  </si>
  <si>
    <t>인도네시아</t>
    <phoneticPr fontId="60" type="noConversion"/>
  </si>
  <si>
    <t>KBO</t>
    <phoneticPr fontId="60" type="noConversion"/>
  </si>
  <si>
    <t>3</t>
    <phoneticPr fontId="60" type="noConversion"/>
  </si>
  <si>
    <t>FW</t>
    <phoneticPr fontId="60" type="noConversion"/>
  </si>
  <si>
    <t>BG</t>
    <phoneticPr fontId="60" type="noConversion"/>
  </si>
  <si>
    <t>방글라데시</t>
    <phoneticPr fontId="60" type="noConversion"/>
  </si>
  <si>
    <t>의류외</t>
    <phoneticPr fontId="60" type="noConversion"/>
  </si>
  <si>
    <t>모자</t>
    <phoneticPr fontId="60" type="noConversion"/>
  </si>
  <si>
    <t>DE</t>
    <phoneticPr fontId="60" type="noConversion"/>
  </si>
  <si>
    <t>독일</t>
    <phoneticPr fontId="60" type="noConversion"/>
  </si>
  <si>
    <t>AT</t>
    <phoneticPr fontId="60" type="noConversion"/>
  </si>
  <si>
    <t>오스트리아</t>
    <phoneticPr fontId="60" type="noConversion"/>
  </si>
  <si>
    <t>KBO</t>
    <phoneticPr fontId="60" type="noConversion"/>
  </si>
  <si>
    <t>BE</t>
    <phoneticPr fontId="60" type="noConversion"/>
  </si>
  <si>
    <t>벨기에</t>
    <phoneticPr fontId="60" type="noConversion"/>
  </si>
  <si>
    <t>CH</t>
    <phoneticPr fontId="60" type="noConversion"/>
  </si>
  <si>
    <t>스위스</t>
    <phoneticPr fontId="60" type="noConversion"/>
  </si>
  <si>
    <t>2</t>
    <phoneticPr fontId="60" type="noConversion"/>
  </si>
  <si>
    <t>ES</t>
    <phoneticPr fontId="60" type="noConversion"/>
  </si>
  <si>
    <t>스페인</t>
    <phoneticPr fontId="60" type="noConversion"/>
  </si>
  <si>
    <t>KBO</t>
    <phoneticPr fontId="60" type="noConversion"/>
  </si>
  <si>
    <t>의류외</t>
    <phoneticPr fontId="60" type="noConversion"/>
  </si>
  <si>
    <t>모자</t>
    <phoneticPr fontId="60" type="noConversion"/>
  </si>
  <si>
    <t>2</t>
    <phoneticPr fontId="60" type="noConversion"/>
  </si>
  <si>
    <t>FR</t>
    <phoneticPr fontId="60" type="noConversion"/>
  </si>
  <si>
    <t>프랑스</t>
    <phoneticPr fontId="60" type="noConversion"/>
  </si>
  <si>
    <t>MLB</t>
    <phoneticPr fontId="60" type="noConversion"/>
  </si>
  <si>
    <t>GR</t>
    <phoneticPr fontId="60" type="noConversion"/>
  </si>
  <si>
    <t>영국</t>
    <phoneticPr fontId="60" type="noConversion"/>
  </si>
  <si>
    <t>IT</t>
    <phoneticPr fontId="60" type="noConversion"/>
  </si>
  <si>
    <t>이탈리아</t>
    <phoneticPr fontId="60" type="noConversion"/>
  </si>
  <si>
    <t>PI</t>
    <phoneticPr fontId="60" type="noConversion"/>
  </si>
  <si>
    <t>필리핀</t>
    <phoneticPr fontId="60" type="noConversion"/>
  </si>
  <si>
    <t>PT</t>
    <phoneticPr fontId="60" type="noConversion"/>
  </si>
  <si>
    <t>포르투갈</t>
    <phoneticPr fontId="60" type="noConversion"/>
  </si>
  <si>
    <t>MLB</t>
    <phoneticPr fontId="60" type="noConversion"/>
  </si>
  <si>
    <t>TW</t>
    <phoneticPr fontId="60" type="noConversion"/>
  </si>
  <si>
    <t>대만</t>
    <phoneticPr fontId="60" type="noConversion"/>
  </si>
  <si>
    <t>3</t>
    <phoneticPr fontId="60" type="noConversion"/>
  </si>
  <si>
    <t>4</t>
    <phoneticPr fontId="60" type="noConversion"/>
  </si>
  <si>
    <t>ACC</t>
    <phoneticPr fontId="60" type="noConversion"/>
  </si>
  <si>
    <t>SHOT SLEEVES</t>
    <phoneticPr fontId="60" type="noConversion"/>
  </si>
  <si>
    <t>의류</t>
    <phoneticPr fontId="60" type="noConversion"/>
  </si>
  <si>
    <t>LONG SLEEVES</t>
    <phoneticPr fontId="60" type="noConversion"/>
  </si>
  <si>
    <t>HOODED T-SHIRTS</t>
    <phoneticPr fontId="60" type="noConversion"/>
  </si>
  <si>
    <t>SPORTS</t>
    <phoneticPr fontId="60" type="noConversion"/>
  </si>
  <si>
    <t>B</t>
    <phoneticPr fontId="60" type="noConversion"/>
  </si>
  <si>
    <t>HOODED JUMPER</t>
    <phoneticPr fontId="60" type="noConversion"/>
  </si>
  <si>
    <t>JUMPER</t>
    <phoneticPr fontId="60" type="noConversion"/>
  </si>
  <si>
    <t>신발</t>
    <phoneticPr fontId="60" type="noConversion"/>
  </si>
  <si>
    <t>BACK PACK</t>
    <phoneticPr fontId="60" type="noConversion"/>
  </si>
  <si>
    <t>가방</t>
    <phoneticPr fontId="60" type="noConversion"/>
  </si>
  <si>
    <t>BBC</t>
    <phoneticPr fontId="60" type="noConversion"/>
  </si>
  <si>
    <t>NBA BOSTON CELTICS</t>
    <phoneticPr fontId="60" type="noConversion"/>
  </si>
  <si>
    <t>NBA</t>
    <phoneticPr fontId="60" type="noConversion"/>
  </si>
  <si>
    <t>JS</t>
    <phoneticPr fontId="60" type="noConversion"/>
  </si>
  <si>
    <t>JUMPSUIT</t>
    <phoneticPr fontId="60" type="noConversion"/>
  </si>
  <si>
    <t>BCB</t>
    <phoneticPr fontId="60" type="noConversion"/>
  </si>
  <si>
    <t>NBA CHICAGO BULLS</t>
    <phoneticPr fontId="60" type="noConversion"/>
  </si>
  <si>
    <t>SB</t>
    <phoneticPr fontId="60" type="noConversion"/>
  </si>
  <si>
    <t>SHOULDER BAG</t>
    <phoneticPr fontId="60" type="noConversion"/>
  </si>
  <si>
    <t>PANTS</t>
    <phoneticPr fontId="60" type="noConversion"/>
  </si>
  <si>
    <t>STREET</t>
    <phoneticPr fontId="60" type="noConversion"/>
  </si>
  <si>
    <t>RC</t>
    <phoneticPr fontId="3" type="noConversion"/>
  </si>
  <si>
    <t>RAIN COAT</t>
    <phoneticPr fontId="3" type="noConversion"/>
  </si>
  <si>
    <t>의류</t>
    <phoneticPr fontId="3" type="noConversion"/>
  </si>
  <si>
    <t>BB</t>
    <phoneticPr fontId="60" type="noConversion"/>
  </si>
  <si>
    <t>BIB</t>
    <phoneticPr fontId="60" type="noConversion"/>
  </si>
  <si>
    <t>의류외</t>
    <phoneticPr fontId="60" type="noConversion"/>
  </si>
  <si>
    <t>BK</t>
    <phoneticPr fontId="60" type="noConversion"/>
  </si>
  <si>
    <t>BLANKET</t>
    <phoneticPr fontId="60" type="noConversion"/>
  </si>
  <si>
    <t>F-HAT</t>
    <phoneticPr fontId="60" type="noConversion"/>
  </si>
  <si>
    <t>SL</t>
    <phoneticPr fontId="60" type="noConversion"/>
  </si>
  <si>
    <t>SLEEVELESS</t>
    <phoneticPr fontId="60" type="noConversion"/>
  </si>
  <si>
    <t>의류</t>
  </si>
  <si>
    <t>GRL</t>
    <phoneticPr fontId="60" type="noConversion"/>
  </si>
  <si>
    <t>GRACEHAT(LUI MARCHE)</t>
    <phoneticPr fontId="60" type="noConversion"/>
  </si>
  <si>
    <t>CR</t>
    <phoneticPr fontId="60" type="noConversion"/>
  </si>
  <si>
    <t>CARRIER BAG</t>
    <phoneticPr fontId="60" type="noConversion"/>
  </si>
  <si>
    <t>GRH</t>
    <phoneticPr fontId="60" type="noConversion"/>
  </si>
  <si>
    <t>GRACEHAT(DISTRIBUTION)</t>
    <phoneticPr fontId="60" type="noConversion"/>
  </si>
  <si>
    <t>GOORIN BROTHERS</t>
    <phoneticPr fontId="60" type="noConversion"/>
  </si>
  <si>
    <t>GOL</t>
    <phoneticPr fontId="60" type="noConversion"/>
  </si>
  <si>
    <t>GOORIN BROTHERS(LUI MARCHE)</t>
    <phoneticPr fontId="60" type="noConversion"/>
  </si>
  <si>
    <t>GOD</t>
    <phoneticPr fontId="60" type="noConversion"/>
  </si>
  <si>
    <t>GOORIN BROTHERS(DISTRIBUTION)</t>
    <phoneticPr fontId="60" type="noConversion"/>
  </si>
  <si>
    <t>F-CAP</t>
    <phoneticPr fontId="60" type="noConversion"/>
  </si>
  <si>
    <t>TRL</t>
    <phoneticPr fontId="60" type="noConversion"/>
  </si>
  <si>
    <t>TRUE RELIGION(LUI MARCHE)</t>
    <phoneticPr fontId="60" type="noConversion"/>
  </si>
  <si>
    <t>AKU</t>
    <phoneticPr fontId="60" type="noConversion"/>
  </si>
  <si>
    <t>AKURTZ</t>
    <phoneticPr fontId="60" type="noConversion"/>
  </si>
  <si>
    <t>NHL</t>
    <phoneticPr fontId="60" type="noConversion"/>
  </si>
  <si>
    <t>JRC</t>
    <phoneticPr fontId="60" type="noConversion"/>
  </si>
  <si>
    <t>JOYRICH</t>
    <phoneticPr fontId="60" type="noConversion"/>
  </si>
  <si>
    <t>BRH</t>
    <phoneticPr fontId="60" type="noConversion"/>
  </si>
  <si>
    <t>BEARHEAD</t>
    <phoneticPr fontId="60" type="noConversion"/>
  </si>
  <si>
    <t>ZEL</t>
    <phoneticPr fontId="60" type="noConversion"/>
  </si>
  <si>
    <t>HATS ON</t>
    <phoneticPr fontId="60" type="noConversion"/>
  </si>
  <si>
    <t>KRH</t>
    <phoneticPr fontId="60" type="noConversion"/>
  </si>
  <si>
    <t>KURIHARA</t>
    <phoneticPr fontId="60" type="noConversion"/>
  </si>
  <si>
    <t>BRL</t>
    <phoneticPr fontId="60" type="noConversion"/>
  </si>
  <si>
    <t>BRONER HATS</t>
    <phoneticPr fontId="60" type="noConversion"/>
  </si>
  <si>
    <t>CDL</t>
    <phoneticPr fontId="60" type="noConversion"/>
  </si>
  <si>
    <t>CODELLO</t>
    <phoneticPr fontId="60" type="noConversion"/>
  </si>
  <si>
    <t>OBY</t>
    <phoneticPr fontId="60" type="noConversion"/>
  </si>
  <si>
    <t>OVERSEA BUYING (LUI MARCHE)</t>
    <phoneticPr fontId="60" type="noConversion"/>
  </si>
  <si>
    <t>SBG</t>
    <phoneticPr fontId="60" type="noConversion"/>
  </si>
  <si>
    <t>SEEBERGER</t>
    <phoneticPr fontId="60" type="noConversion"/>
  </si>
  <si>
    <t>ZZ</t>
    <phoneticPr fontId="60" type="noConversion"/>
  </si>
  <si>
    <t>EGN</t>
    <phoneticPr fontId="60" type="noConversion"/>
  </si>
  <si>
    <t>EUGENIA KIM</t>
    <phoneticPr fontId="60" type="noConversion"/>
  </si>
  <si>
    <t>GRV</t>
    <phoneticPr fontId="60" type="noConversion"/>
  </si>
  <si>
    <t>GREVI</t>
    <phoneticPr fontId="60" type="noConversion"/>
  </si>
  <si>
    <t>KP</t>
  </si>
  <si>
    <t>Black point</t>
  </si>
  <si>
    <t>M</t>
    <phoneticPr fontId="60" type="noConversion"/>
  </si>
  <si>
    <t>WP</t>
  </si>
  <si>
    <t>Brown point</t>
  </si>
  <si>
    <t>JILL BY JILL STUART</t>
    <phoneticPr fontId="60" type="noConversion"/>
  </si>
  <si>
    <t>B1A</t>
    <phoneticPr fontId="60" type="noConversion"/>
  </si>
  <si>
    <t>B1A4</t>
    <phoneticPr fontId="60" type="noConversion"/>
  </si>
  <si>
    <t>BMD</t>
    <phoneticPr fontId="60" type="noConversion"/>
  </si>
  <si>
    <t>BLACK MOOD</t>
    <phoneticPr fontId="60" type="noConversion"/>
  </si>
  <si>
    <t>HCU</t>
    <phoneticPr fontId="60" type="noConversion"/>
  </si>
  <si>
    <t>H.COUSTIC</t>
    <phoneticPr fontId="60" type="noConversion"/>
  </si>
  <si>
    <t>NOV</t>
    <phoneticPr fontId="60" type="noConversion"/>
  </si>
  <si>
    <t>NOVENT</t>
    <phoneticPr fontId="60" type="noConversion"/>
  </si>
  <si>
    <t>SUPER MASSIVE BOUND</t>
    <phoneticPr fontId="60" type="noConversion"/>
  </si>
  <si>
    <t>VBL</t>
    <phoneticPr fontId="60" type="noConversion"/>
  </si>
  <si>
    <t>VITAL BLUE</t>
    <phoneticPr fontId="60" type="noConversion"/>
  </si>
  <si>
    <t>BRO</t>
    <phoneticPr fontId="60" type="noConversion"/>
  </si>
  <si>
    <t>BROWN SQURE</t>
    <phoneticPr fontId="60" type="noConversion"/>
  </si>
  <si>
    <t>JOI</t>
    <phoneticPr fontId="60" type="noConversion"/>
  </si>
  <si>
    <t>JOIE BETE</t>
    <phoneticPr fontId="60" type="noConversion"/>
  </si>
  <si>
    <t>NAA</t>
    <phoneticPr fontId="60" type="noConversion"/>
  </si>
  <si>
    <t>NCAA</t>
    <phoneticPr fontId="60" type="noConversion"/>
  </si>
  <si>
    <t>UCL</t>
    <phoneticPr fontId="60" type="noConversion"/>
  </si>
  <si>
    <t>AND</t>
    <phoneticPr fontId="60" type="noConversion"/>
  </si>
  <si>
    <t>ADEEN</t>
    <phoneticPr fontId="60" type="noConversion"/>
  </si>
  <si>
    <t>URB</t>
    <phoneticPr fontId="60" type="noConversion"/>
  </si>
  <si>
    <t>URBAN SWAGGER</t>
    <phoneticPr fontId="60" type="noConversion"/>
  </si>
  <si>
    <t>JST</t>
    <phoneticPr fontId="60" type="noConversion"/>
  </si>
  <si>
    <t>JILLSTUART</t>
    <phoneticPr fontId="60" type="noConversion"/>
  </si>
  <si>
    <t>JLL</t>
    <phoneticPr fontId="60" type="noConversion"/>
  </si>
  <si>
    <t>JILL BY JILLSTUART</t>
    <phoneticPr fontId="60" type="noConversion"/>
  </si>
  <si>
    <t>BEL</t>
    <phoneticPr fontId="60" type="noConversion"/>
  </si>
  <si>
    <t>BELLOPOLLY</t>
    <phoneticPr fontId="60" type="noConversion"/>
  </si>
  <si>
    <t>C</t>
    <phoneticPr fontId="60" type="noConversion"/>
  </si>
  <si>
    <t>FFT</t>
    <phoneticPr fontId="60" type="noConversion"/>
  </si>
  <si>
    <t>FLAT FITTY</t>
    <phoneticPr fontId="60" type="noConversion"/>
  </si>
  <si>
    <t>ELS-ACC 요약</t>
  </si>
  <si>
    <t>BE 요약</t>
  </si>
  <si>
    <t>ADULT 요약</t>
  </si>
  <si>
    <t>CHILD 요약</t>
  </si>
  <si>
    <t>ADULT</t>
    <phoneticPr fontId="4" type="noConversion"/>
  </si>
  <si>
    <t>CHILD</t>
    <phoneticPr fontId="4" type="noConversion"/>
  </si>
  <si>
    <t>INFANT</t>
    <phoneticPr fontId="4" type="noConversion"/>
  </si>
  <si>
    <t>JIL 요약</t>
  </si>
  <si>
    <t>ELS 요약</t>
  </si>
  <si>
    <t>JOI 요약</t>
  </si>
  <si>
    <t>SMB-의류</t>
  </si>
  <si>
    <t>이미지</t>
    <phoneticPr fontId="3" type="noConversion"/>
  </si>
  <si>
    <t>SMB 요약</t>
  </si>
  <si>
    <t>BRO 요약</t>
  </si>
  <si>
    <t>SMB-의류</t>
    <phoneticPr fontId="4" type="noConversion"/>
  </si>
  <si>
    <t>SMB-가방</t>
    <phoneticPr fontId="4" type="noConversion"/>
  </si>
  <si>
    <t>JOI-가방</t>
  </si>
  <si>
    <t>NAA</t>
  </si>
  <si>
    <t>BMD 요약</t>
  </si>
  <si>
    <t>JOI-가방</t>
    <phoneticPr fontId="60" type="noConversion"/>
  </si>
  <si>
    <t>* CHILD, INFANT의 별도 샘플로 진행하는 것은 모두 HATS ON KIDS 사업용으로 간주한다.</t>
    <phoneticPr fontId="4" type="noConversion"/>
  </si>
  <si>
    <t>* 실발주샘플수=중복 발주 및 입고 스타일은 1ST로 계산</t>
    <phoneticPr fontId="4" type="noConversion"/>
  </si>
  <si>
    <t>URB</t>
  </si>
  <si>
    <t>YGF</t>
  </si>
  <si>
    <t>HATS ON</t>
    <phoneticPr fontId="64" type="noConversion"/>
  </si>
  <si>
    <t>HATS ON KIDS</t>
    <phoneticPr fontId="64" type="noConversion"/>
  </si>
  <si>
    <t>브랜드/품목</t>
    <phoneticPr fontId="64" type="noConversion"/>
  </si>
  <si>
    <t>러닝</t>
    <phoneticPr fontId="64" type="noConversion"/>
  </si>
  <si>
    <t>신규</t>
    <phoneticPr fontId="64" type="noConversion"/>
  </si>
  <si>
    <t>ELS-ACC</t>
    <phoneticPr fontId="64" type="noConversion"/>
  </si>
  <si>
    <t>발주계</t>
    <phoneticPr fontId="3" type="noConversion"/>
  </si>
  <si>
    <t>입고계</t>
    <phoneticPr fontId="3" type="noConversion"/>
  </si>
  <si>
    <t>ELS-의류</t>
    <phoneticPr fontId="3" type="noConversion"/>
  </si>
  <si>
    <t>SMB-가방</t>
  </si>
  <si>
    <t>14SS SAMPLE LIST (HATS ON KIDS)</t>
    <phoneticPr fontId="3" type="noConversion"/>
  </si>
  <si>
    <t>* 품번수는 신규기준임</t>
    <phoneticPr fontId="4" type="noConversion"/>
  </si>
  <si>
    <t>GOLD TOP HAT</t>
  </si>
  <si>
    <t>NOV 요약</t>
  </si>
  <si>
    <t>JOI-ACC 요약</t>
  </si>
  <si>
    <t>AC 요약</t>
  </si>
  <si>
    <t>JIT</t>
    <phoneticPr fontId="60" type="noConversion"/>
  </si>
  <si>
    <t>KIDS FIRST TOYS</t>
  </si>
  <si>
    <t>KIDS FIRST TOYS 요약</t>
  </si>
  <si>
    <t>(다중 항목)</t>
  </si>
  <si>
    <t>요일</t>
    <phoneticPr fontId="3" type="noConversion"/>
  </si>
  <si>
    <t>월일</t>
    <phoneticPr fontId="3" type="noConversion"/>
  </si>
  <si>
    <t>입고주</t>
  </si>
  <si>
    <t>입고주</t>
    <phoneticPr fontId="3" type="noConversion"/>
  </si>
  <si>
    <t>발주주</t>
  </si>
  <si>
    <t>발주주</t>
    <phoneticPr fontId="3" type="noConversion"/>
  </si>
  <si>
    <t>브랜드/품목</t>
  </si>
  <si>
    <t>주</t>
    <phoneticPr fontId="3" type="noConversion"/>
  </si>
  <si>
    <t>월</t>
    <phoneticPr fontId="3" type="noConversion"/>
  </si>
  <si>
    <t>월주</t>
    <phoneticPr fontId="3" type="noConversion"/>
  </si>
  <si>
    <t>약칭(기획현황)</t>
    <phoneticPr fontId="60" type="noConversion"/>
  </si>
  <si>
    <t>수입1, 내수2</t>
  </si>
  <si>
    <t>통화</t>
    <phoneticPr fontId="60" type="noConversion"/>
  </si>
  <si>
    <t>스포팅21</t>
  </si>
  <si>
    <t>아디다스</t>
  </si>
  <si>
    <t>홈런</t>
  </si>
  <si>
    <t>KRW</t>
  </si>
  <si>
    <t>AI</t>
    <phoneticPr fontId="60" type="noConversion"/>
  </si>
  <si>
    <t>GSM</t>
  </si>
  <si>
    <t>닉슨코리아</t>
    <phoneticPr fontId="60" type="noConversion"/>
  </si>
  <si>
    <t>FLAT FITTY</t>
    <phoneticPr fontId="60" type="noConversion"/>
  </si>
  <si>
    <t>KRW</t>
    <phoneticPr fontId="60" type="noConversion"/>
  </si>
  <si>
    <t>JOYRICH</t>
    <phoneticPr fontId="60" type="noConversion"/>
  </si>
  <si>
    <t>KANGOL</t>
    <phoneticPr fontId="60" type="noConversion"/>
  </si>
  <si>
    <t>LG패션</t>
  </si>
  <si>
    <t>NEWERA</t>
    <phoneticPr fontId="60" type="noConversion"/>
  </si>
  <si>
    <t>고성</t>
    <phoneticPr fontId="60" type="noConversion"/>
  </si>
  <si>
    <t>림스스포츠</t>
  </si>
  <si>
    <t>아트인드림</t>
    <phoneticPr fontId="60" type="noConversion"/>
  </si>
  <si>
    <t>현주실업</t>
    <phoneticPr fontId="60" type="noConversion"/>
  </si>
  <si>
    <t>CNG</t>
    <phoneticPr fontId="60" type="noConversion"/>
  </si>
  <si>
    <t>POWER JK</t>
  </si>
  <si>
    <t>신성모자</t>
    <phoneticPr fontId="60" type="noConversion"/>
  </si>
  <si>
    <t>TS</t>
    <phoneticPr fontId="60" type="noConversion"/>
  </si>
  <si>
    <t>최강모자</t>
    <phoneticPr fontId="60" type="noConversion"/>
  </si>
  <si>
    <t>아우리에프엔</t>
    <phoneticPr fontId="60" type="noConversion"/>
  </si>
  <si>
    <t>현대제모</t>
  </si>
  <si>
    <t>ING</t>
    <phoneticPr fontId="60" type="noConversion"/>
  </si>
  <si>
    <t>우진모자</t>
    <phoneticPr fontId="60" type="noConversion"/>
  </si>
  <si>
    <t>47 Brand</t>
  </si>
  <si>
    <t>USD</t>
    <phoneticPr fontId="60" type="noConversion"/>
  </si>
  <si>
    <t>TRUE RELIGION</t>
    <phoneticPr fontId="60" type="noConversion"/>
  </si>
  <si>
    <t>USD</t>
  </si>
  <si>
    <t>GOORIN BROTHERS</t>
    <phoneticPr fontId="60" type="noConversion"/>
  </si>
  <si>
    <t>GRACE HAT</t>
    <phoneticPr fontId="60" type="noConversion"/>
  </si>
  <si>
    <t>JPY</t>
    <phoneticPr fontId="60" type="noConversion"/>
  </si>
  <si>
    <t>BRONER HATS</t>
  </si>
  <si>
    <t>CODELLO</t>
  </si>
  <si>
    <t>해외소매구매</t>
  </si>
  <si>
    <t>USD</t>
    <phoneticPr fontId="60" type="noConversion"/>
  </si>
  <si>
    <t>해외소매구매2</t>
    <phoneticPr fontId="60" type="noConversion"/>
  </si>
  <si>
    <t>EUR</t>
    <phoneticPr fontId="60" type="noConversion"/>
  </si>
  <si>
    <t>SEEBERGER</t>
    <phoneticPr fontId="60" type="noConversion"/>
  </si>
  <si>
    <t>EUGENIA KIM</t>
    <phoneticPr fontId="60" type="noConversion"/>
  </si>
  <si>
    <t>GREVI</t>
    <phoneticPr fontId="60" type="noConversion"/>
  </si>
  <si>
    <t>COMPLIT</t>
  </si>
  <si>
    <t>KURIHARA</t>
    <phoneticPr fontId="60" type="noConversion"/>
  </si>
  <si>
    <t>대경</t>
    <phoneticPr fontId="60" type="noConversion"/>
  </si>
  <si>
    <t>바이칼</t>
    <phoneticPr fontId="60" type="noConversion"/>
  </si>
  <si>
    <t>성진</t>
    <phoneticPr fontId="60" type="noConversion"/>
  </si>
  <si>
    <t>캡보이2</t>
    <phoneticPr fontId="60" type="noConversion"/>
  </si>
  <si>
    <t>오성</t>
    <phoneticPr fontId="60" type="noConversion"/>
  </si>
  <si>
    <t>오토</t>
    <phoneticPr fontId="60" type="noConversion"/>
  </si>
  <si>
    <t>우진</t>
    <phoneticPr fontId="60" type="noConversion"/>
  </si>
  <si>
    <t>EVERGREEN</t>
    <phoneticPr fontId="60" type="noConversion"/>
  </si>
  <si>
    <t>써니</t>
    <phoneticPr fontId="60" type="noConversion"/>
  </si>
  <si>
    <t>NEW FINE</t>
  </si>
  <si>
    <t>ORIENT</t>
    <phoneticPr fontId="60" type="noConversion"/>
  </si>
  <si>
    <t>BLESSING CAP</t>
    <phoneticPr fontId="60" type="noConversion"/>
  </si>
  <si>
    <t>FOREMOST</t>
    <phoneticPr fontId="60" type="noConversion"/>
  </si>
  <si>
    <t>H&amp;H</t>
    <phoneticPr fontId="60" type="noConversion"/>
  </si>
  <si>
    <t>HAOPU</t>
    <phoneticPr fontId="60" type="noConversion"/>
  </si>
  <si>
    <t>NT SENHONG</t>
    <phoneticPr fontId="60" type="noConversion"/>
  </si>
  <si>
    <t>QIAQIA</t>
  </si>
  <si>
    <t>SEASHINE</t>
    <phoneticPr fontId="60" type="noConversion"/>
  </si>
  <si>
    <t>HMA</t>
    <phoneticPr fontId="60" type="noConversion"/>
  </si>
  <si>
    <t>Y&amp;Y</t>
    <phoneticPr fontId="60" type="noConversion"/>
  </si>
  <si>
    <t>ELEGANCE</t>
  </si>
  <si>
    <t>CISUI</t>
    <phoneticPr fontId="60" type="noConversion"/>
  </si>
  <si>
    <t>YITIAN</t>
    <phoneticPr fontId="60" type="noConversion"/>
  </si>
  <si>
    <t>SHANGHAI STYLE</t>
    <phoneticPr fontId="60" type="noConversion"/>
  </si>
  <si>
    <t>EMERALD</t>
  </si>
  <si>
    <t>BS</t>
  </si>
  <si>
    <t>SINGFOR</t>
    <phoneticPr fontId="64" type="noConversion"/>
  </si>
  <si>
    <t>미정</t>
    <phoneticPr fontId="60" type="noConversion"/>
  </si>
  <si>
    <t>ALIC</t>
    <phoneticPr fontId="3" type="noConversion"/>
  </si>
  <si>
    <t>USD</t>
    <phoneticPr fontId="3" type="noConversion"/>
  </si>
  <si>
    <t>XUYUAN</t>
    <phoneticPr fontId="3" type="noConversion"/>
  </si>
  <si>
    <t>한림</t>
    <phoneticPr fontId="3" type="noConversion"/>
  </si>
  <si>
    <t>해외/국내</t>
  </si>
  <si>
    <t>해외/국내</t>
    <phoneticPr fontId="3" type="noConversion"/>
  </si>
  <si>
    <t>해외</t>
  </si>
  <si>
    <t>중국원단사용수</t>
    <phoneticPr fontId="3" type="noConversion"/>
  </si>
  <si>
    <t>원단총수</t>
    <phoneticPr fontId="3" type="noConversion"/>
  </si>
  <si>
    <t>(모두)</t>
  </si>
  <si>
    <t>(비어 있음)</t>
  </si>
  <si>
    <t>(비어 있음) 요약</t>
  </si>
  <si>
    <t>14FW-JILL-BY_01_NV</t>
  </si>
  <si>
    <t>14FW-JILL-BY_02_GY</t>
  </si>
  <si>
    <t>14FW-JILL-BY_03_BG</t>
  </si>
  <si>
    <t>14FW-JILL-BY_04_GY</t>
  </si>
  <si>
    <t>14FW-JILL-BY_05_MT</t>
  </si>
  <si>
    <t>14FW-JILL-BY_06_IV</t>
  </si>
  <si>
    <t>14FW-JILL-BY_07_NV</t>
  </si>
  <si>
    <t>14FW-JILLBY-08-BK</t>
  </si>
  <si>
    <t>14FW-JILLBY-09-KH</t>
  </si>
  <si>
    <t>14FW-JILLBY-10-GY</t>
  </si>
  <si>
    <t>14FW-JILLBY-11-GY</t>
  </si>
  <si>
    <t>14FW-JILLBY-12-BG</t>
  </si>
  <si>
    <t>14FW-JILLBY-13-PK</t>
  </si>
  <si>
    <t>14FW-JILLBY-14-GY</t>
  </si>
  <si>
    <t>14FW-JILLBY-15-BK</t>
  </si>
  <si>
    <t>14FW BLACK MOOD_01_FLAT_GY</t>
  </si>
  <si>
    <t>14FW BLACK MOOD_02_CURVED_BK</t>
  </si>
  <si>
    <t>14FW BLACK MOOD_01_CURVED_BK</t>
  </si>
  <si>
    <t>14FW JOIE BETE_01_IV_KIDS</t>
  </si>
  <si>
    <t>METAL 개발</t>
  </si>
  <si>
    <t>14FW JOIE BETE_02_PK_KIDS</t>
  </si>
  <si>
    <t>14FW JOIE BETE_03_BL_KIDS</t>
  </si>
  <si>
    <t>14FW BROWN_SQUARE_CAP_01_GY</t>
  </si>
  <si>
    <t>14FW BROWN_SQUARE_CAP_02_BK</t>
  </si>
  <si>
    <t xml:space="preserve">T/R 부클 제외 </t>
  </si>
  <si>
    <t>14FW BROWN_SQUARE_CAP_03_BG</t>
  </si>
  <si>
    <t>모직체크 (27일 추가스와치 다시 리뷰)</t>
  </si>
  <si>
    <t>14FW BROWN_SQUARE_CAP_04_NV</t>
  </si>
  <si>
    <t>쮸리기모, 옥스프드, 털 
(27일 추가스와치 다시리뷰)</t>
  </si>
  <si>
    <t>14FW BROWN_SQUARE_CAP_05_BR</t>
  </si>
  <si>
    <t>14FW BROWN_SQUARE_CAP_06_WH</t>
  </si>
  <si>
    <t>헤머쮸리 (27일 다시리뷰)</t>
  </si>
  <si>
    <t>14FW BROWN_SQUARE_CAP_07-RD</t>
  </si>
  <si>
    <t>퍼, 기모체크 (27일 다시리뷰)</t>
  </si>
  <si>
    <t>14FW BROWN_SQUARE_CAP_08-RD</t>
  </si>
  <si>
    <t>14FW JOIE BETE_04_RD</t>
  </si>
  <si>
    <t>14FW JOIE BETE_05_RD</t>
  </si>
  <si>
    <t>14FW JOIE BETE_06_RD</t>
  </si>
  <si>
    <t>14FW JOIE BETE_07_BR</t>
  </si>
  <si>
    <t>14FW JOIE BETE_08_GY</t>
  </si>
  <si>
    <t>14FW JOIE BETE_09_GY</t>
  </si>
  <si>
    <t>14FW JOIE BETE_12_GY</t>
  </si>
  <si>
    <t>14FW JOIE BETE_11_PK_KIDS</t>
  </si>
  <si>
    <t>14FW JOIE BETE_13_PP_KIDS</t>
  </si>
  <si>
    <t>14FW JOIE BETE_14_PK_KIDS</t>
  </si>
  <si>
    <t>14FW JOIE BETE_15_PK_KIDS</t>
  </si>
  <si>
    <t>14FW JOIE BETE_16_PK_KIDS</t>
  </si>
  <si>
    <t>14FW JOIE BETE_17_PK_KIDS</t>
  </si>
  <si>
    <t>14FW JOIE BETE_18_BL_KIDS</t>
  </si>
  <si>
    <t>14FW JOIE BETE_19_BL_KIDS</t>
  </si>
  <si>
    <t>14FW JOIE BETE_20_BL_KIDS</t>
  </si>
  <si>
    <t>14FW JOIE BETE_21_PK_KIDS</t>
  </si>
  <si>
    <t>14FW NV 01_WIRE_PK</t>
  </si>
  <si>
    <t>나염패턴골덴 제외</t>
  </si>
  <si>
    <t>14FW NV 02_WIRE_MU</t>
  </si>
  <si>
    <t>아키파코비 패턴 제외</t>
  </si>
  <si>
    <t>14FW NV 03_CAMP_NY</t>
  </si>
  <si>
    <t>TAPE 제외</t>
  </si>
  <si>
    <t>14FW NV 04_CAMP_BK</t>
  </si>
  <si>
    <t>카모 덤브링 제외</t>
  </si>
  <si>
    <t>14FW NV 05_CAMP_GY</t>
  </si>
  <si>
    <t>패턴 PORAL FLEECE 제외</t>
  </si>
  <si>
    <t>14FW NV 06_HAT_BR</t>
  </si>
  <si>
    <t>패턴 PORAL FLEECE / TAPE 제외</t>
  </si>
  <si>
    <t>14FW NV 07_TROOPER_BK</t>
  </si>
  <si>
    <t>방모쟈가드, STRING 제외</t>
  </si>
  <si>
    <t>14FW ELS_03_TROOPER_BK</t>
  </si>
  <si>
    <t>14FW ELS_25_KNIT_BK</t>
  </si>
  <si>
    <t>14FW ELS_26_KNIT_RD</t>
  </si>
  <si>
    <t>14FW ELS_27_KNIT_PK</t>
  </si>
  <si>
    <t>14FW ELS_28_KNIT_BK</t>
  </si>
  <si>
    <t>14FW ELS_29_KNIT_GY</t>
  </si>
  <si>
    <t>14FW ELS_30_KNIT GLOBE_D.GY</t>
  </si>
  <si>
    <t>1PC SAMPLE 발송</t>
  </si>
  <si>
    <t>14FW ELS_31_KNIT GLOBE_GY</t>
  </si>
  <si>
    <t>14FW ELS_32_KNIT GLOBE_YE</t>
  </si>
  <si>
    <t>1 PC SAMPLES 발송</t>
  </si>
  <si>
    <t>14FW ELS_33_KNIT GLOBE_BK</t>
  </si>
  <si>
    <t>14FW SMB_02_FLAT_BL_N</t>
  </si>
  <si>
    <t>14FW SMB_03_FLAT_BK_N</t>
  </si>
  <si>
    <t>14FW SMB_05_FLAT_KH_N</t>
  </si>
  <si>
    <t>14FW SMB_05_FLAT_PP_N</t>
  </si>
  <si>
    <t>14FW SMB_05_FLAT_RE_N</t>
  </si>
  <si>
    <t>14FW SMB_06_FLAT_BK_N</t>
  </si>
  <si>
    <t>14FW SMB_01_CURVED_BK_N</t>
  </si>
  <si>
    <t>캡보이2</t>
  </si>
  <si>
    <t>14FW SMB_01_CURVED_NY_N</t>
  </si>
  <si>
    <t>14FW SMB_02_CURVED_NV_N</t>
  </si>
  <si>
    <t>14FW SMB_03_CURVED_BK_N</t>
  </si>
  <si>
    <t>14FW SMB_03_CURVED_RD_N</t>
  </si>
  <si>
    <t>14FW SMB_04_CURVED_YL_N</t>
  </si>
  <si>
    <t>14FW SMB_05_CURVED_BD_N</t>
  </si>
  <si>
    <t>14FW SMB_05_CURVED_BL_N</t>
  </si>
  <si>
    <t>14FW SMB_06_CURVED_BK_N</t>
  </si>
  <si>
    <t>14FW SMB_06_CURVED_NY_N</t>
  </si>
  <si>
    <t>14FW SMB_07_CURVED_BK_N</t>
  </si>
  <si>
    <t>14FW SMB_07_CURVED_GR_N</t>
  </si>
  <si>
    <t>14FW SMB_07_CURVED_OR</t>
  </si>
  <si>
    <t>14FW SMB_08_CURVED_NY_N</t>
  </si>
  <si>
    <t>14FW SMB_09_CURVED_PK_N</t>
  </si>
  <si>
    <t>14FW ELS_01_SNAP_RD</t>
  </si>
  <si>
    <t>14FW ELS_02_SNAP_GR</t>
  </si>
  <si>
    <t>14FW ELS_04_SNAP_BK</t>
  </si>
  <si>
    <t>14FW ELS_05_SNAP_PK</t>
  </si>
  <si>
    <t>14FW ELS_06_SNAP_RD</t>
  </si>
  <si>
    <t>14FW ELS_07_SNAP_BK</t>
  </si>
  <si>
    <t>14FW ELS_08_CURVED_BL</t>
  </si>
  <si>
    <t>14FW ELS_09_SNAP_NV</t>
  </si>
  <si>
    <t>14FW ELS_10_SNAP_GR</t>
  </si>
  <si>
    <t>14FW ELS_11_SNAP_GY</t>
  </si>
  <si>
    <t>14FW ELS 12_SNAP_BK</t>
  </si>
  <si>
    <t>14FW ELS 13_SNAP_BK</t>
  </si>
  <si>
    <t>14FW ELS 14_SNAP_GR</t>
  </si>
  <si>
    <t>14FW ELS 15_SNAP_GY</t>
  </si>
  <si>
    <t>14FW ELS 16_SNAP_RD</t>
  </si>
  <si>
    <t>14FW ELS 17_SNAP_GR</t>
  </si>
  <si>
    <t>14FW ELS 18_SNAP_GY</t>
  </si>
  <si>
    <t>14FW ELS 19_SNAP_YE</t>
  </si>
  <si>
    <t>14FW ELS 20_SNAP_NV</t>
  </si>
  <si>
    <t>14FW ELS 21_SNAP_BK</t>
  </si>
  <si>
    <t>14FW ELS 22_SNAP_YE</t>
  </si>
  <si>
    <t>14FW ELS 23_SNAP_D.GY</t>
  </si>
  <si>
    <t xml:space="preserve">1 PC EARCAP 핸디캐리 </t>
  </si>
  <si>
    <t>14FW ELS 24_SNAP_YE</t>
  </si>
  <si>
    <t>KIDS 요약</t>
  </si>
  <si>
    <t>U 요약</t>
  </si>
  <si>
    <t>캡보이2 요약</t>
  </si>
  <si>
    <t>ER 요약</t>
  </si>
  <si>
    <t>TP 요약</t>
  </si>
  <si>
    <t>ED 요약</t>
  </si>
  <si>
    <t>201402</t>
  </si>
  <si>
    <t>201401</t>
  </si>
  <si>
    <t>201403</t>
  </si>
  <si>
    <t>14FW SAMPLE LIST (HATS ON)</t>
    <phoneticPr fontId="3" type="noConversion"/>
  </si>
  <si>
    <t>14FW SAMPLE LIST (HATS ON)</t>
    <phoneticPr fontId="3" type="noConversion"/>
  </si>
  <si>
    <t>14FW SAMPLE LIST (HATS ON KIDS)</t>
    <phoneticPr fontId="3" type="noConversion"/>
  </si>
  <si>
    <t xml:space="preserve"> 원단총수</t>
  </si>
  <si>
    <t xml:space="preserve"> 중국원단사용수</t>
  </si>
  <si>
    <t>14FW H.coustic CAP-01_BK</t>
  </si>
  <si>
    <t>14FW H.coustic CAP-02_BK</t>
  </si>
  <si>
    <t>14FW H.coustic CAP-03_BK</t>
  </si>
  <si>
    <t>14FW H.coustic CAP-04_NY</t>
  </si>
  <si>
    <t>14FW H.coustic CAP-05_GY</t>
  </si>
  <si>
    <t>14FW H.coustic CAP-06_KH</t>
  </si>
  <si>
    <t>14FW H.coustic CAP-07_KH</t>
  </si>
  <si>
    <t>J&amp;F</t>
  </si>
  <si>
    <t>RGM</t>
    <phoneticPr fontId="60" type="noConversion"/>
  </si>
  <si>
    <t>REAL GOOD MAN</t>
    <phoneticPr fontId="60" type="noConversion"/>
  </si>
  <si>
    <t>J&amp;F</t>
    <phoneticPr fontId="60" type="noConversion"/>
  </si>
  <si>
    <t>HCU 요약</t>
  </si>
  <si>
    <t>국내</t>
  </si>
  <si>
    <t>캡보이 요약</t>
  </si>
  <si>
    <t>J&amp;F 요약</t>
  </si>
  <si>
    <t>14FW JILL BY_16_NV</t>
  </si>
  <si>
    <t>14FW-JILLBY-17-BG</t>
  </si>
  <si>
    <t>14FW-JILLBY-18-BK</t>
  </si>
  <si>
    <t>14FW-JILLBY-19-NV</t>
  </si>
  <si>
    <t>14FW-JILLBY-20-KH</t>
  </si>
  <si>
    <t>14FW-JILLBY-21-GR</t>
  </si>
  <si>
    <t>14FW-JILLBY-22-GY</t>
  </si>
  <si>
    <t>14FW-JILLBY-23-KH</t>
  </si>
  <si>
    <t>14FW-JILLBY-24-PK</t>
  </si>
  <si>
    <t>14FW-JILLBY-25-GY</t>
  </si>
  <si>
    <t>14FW-JILLBY-26-BK</t>
  </si>
  <si>
    <t>14FW-JILLBY-27-BW</t>
  </si>
  <si>
    <t>14FW-JILLBY-28-BL</t>
  </si>
  <si>
    <t>14FW-JILLBY-29-BG</t>
  </si>
  <si>
    <t>14FW-JILLBY-30-BG</t>
  </si>
  <si>
    <t>14FW-JILL-BY_SP_31_BK</t>
  </si>
  <si>
    <t>14FW-JILL-BY_32_GR</t>
  </si>
  <si>
    <t>14FW-JILL-BY_33_PK</t>
  </si>
  <si>
    <t>14FW-JILL-BY_34_KH</t>
  </si>
  <si>
    <t>14FW-JILL-BY_35_CH</t>
  </si>
  <si>
    <t>총입고샘플건수</t>
  </si>
  <si>
    <t>모든 자재 캡보이 공급 기준으로 받기</t>
  </si>
  <si>
    <t xml:space="preserve">All 부자재, 동일 공급 기준으로 받기 </t>
  </si>
  <si>
    <t>발송함</t>
  </si>
  <si>
    <t>All 부자재, J&amp;F 공급 기준으로 받기 ( 메탈패치 개발 힘들시, 동일에서 사용하는 업체 확인해서 알려주기)</t>
  </si>
  <si>
    <t>Point Label, Leather patch, Matal Patch 발송함</t>
  </si>
  <si>
    <t>Point Label발송함</t>
  </si>
  <si>
    <t>14FW_ELSTINKO_
DOWN JUMPER_01_RD</t>
  </si>
  <si>
    <t>대경</t>
  </si>
  <si>
    <t>1pc</t>
  </si>
  <si>
    <t>14FW_ELSTINKO_
DOWN JUMPER_02_BK</t>
  </si>
  <si>
    <t>14FW_ELSTINKO_
DOWN_JUMPER_03_NV</t>
  </si>
  <si>
    <t>14FW_ELSTINKO_
DOWN_JUMPER_04_BK</t>
  </si>
  <si>
    <t>14FW_ELSTINKO_
DOWN_JUMPER_03_OR_KIDS</t>
  </si>
  <si>
    <t>VBL-의류</t>
  </si>
  <si>
    <t>14FW VB_MTM_01_BK</t>
  </si>
  <si>
    <t>아트인드림</t>
  </si>
  <si>
    <t>14FW VB_MTM_02_GY</t>
  </si>
  <si>
    <t>14FW VB_MTM_03_NV</t>
  </si>
  <si>
    <t>14FW_VB_DOWN JUMPER_01_GY</t>
  </si>
  <si>
    <t>2
뒷고리참조/위테일러크라운쉐입참조</t>
  </si>
  <si>
    <t>14FW-JILLBY-KNIT_01-GR</t>
  </si>
  <si>
    <t>Y&amp;Y</t>
  </si>
  <si>
    <t>14FW-JILLBY-KNIT_01-RE</t>
  </si>
  <si>
    <t>14FW-JILLBY-KNIT_01-BL</t>
  </si>
  <si>
    <t>14FW-JILLBY-KNIT_01-YE</t>
  </si>
  <si>
    <t>14FW-JILLBY-KNIT_01-GY</t>
  </si>
  <si>
    <t>14FW-JILLBY-KNIT_02_IV</t>
  </si>
  <si>
    <t>14FW-JILLBY-KNIT_02_Bg</t>
  </si>
  <si>
    <t>14FW-JILLBY-KNIT_02_GY</t>
  </si>
  <si>
    <t>14FW-JILLBY-KNIT_03_NY</t>
  </si>
  <si>
    <t>14FW-JILLBY-KNIT_03_GY</t>
  </si>
  <si>
    <t>14FW-JILLBY-KNIT_04_WN</t>
  </si>
  <si>
    <t>14FW-JILLBY-KNIT_04_GY</t>
  </si>
  <si>
    <t>14FW-JILLBY-KNIT_04_BK</t>
  </si>
  <si>
    <t>14FW-JILLBY-KNIT-12-GY</t>
  </si>
  <si>
    <t>14FW-JILLBY-KNIT-12-KH</t>
  </si>
  <si>
    <t>14FW-JILLBY-KNIT-12-PP</t>
  </si>
  <si>
    <t>14FW-JILLBY-KNIT-12-BK</t>
  </si>
  <si>
    <t>14FW-JILLBY-KNIT-12-BL</t>
  </si>
  <si>
    <t>14FW-JILLBY-KNIT-13-BG</t>
  </si>
  <si>
    <t>NT SENHONG</t>
  </si>
  <si>
    <t>14FW-JILLBY-KNIT-13-GY</t>
  </si>
  <si>
    <t>14FW-JILLBY-KNIT-14-BK</t>
  </si>
  <si>
    <t>14FW-JILLBY-KNIT-14-NV</t>
  </si>
  <si>
    <t>14FW-JILLBY-KNIT-15-BK</t>
  </si>
  <si>
    <t>14FW-JILLBY-KNIT-15-GY</t>
  </si>
  <si>
    <t>14FW BLACK MOOD_02_FLAT_BK</t>
  </si>
  <si>
    <t>14FW VB 01_CAMP_BK</t>
  </si>
  <si>
    <t>14FW VB 02_WIRE_BK</t>
  </si>
  <si>
    <t>14FW VB 03_WIRE_BK</t>
  </si>
  <si>
    <t>14FW VB 04_WIRE_GY</t>
  </si>
  <si>
    <t>14FW VB 05_CAMP_GY</t>
  </si>
  <si>
    <t>14FW VB 06_CAMP_BK</t>
  </si>
  <si>
    <t>14FW VB 07_CAMP_GR</t>
  </si>
  <si>
    <t>14FW VB 07_CAMP_YE</t>
  </si>
  <si>
    <t>14FW VB 08_CAMP_BK</t>
  </si>
  <si>
    <t>14FW VB 09_CAMP_BL</t>
  </si>
  <si>
    <t>14FW VB 10_CAMP_WN</t>
  </si>
  <si>
    <t>14FW VB 11_CAMP_GY</t>
  </si>
  <si>
    <t>14FW VB 12_CAMP_BK</t>
  </si>
  <si>
    <t>ELS-의류 요약</t>
  </si>
  <si>
    <t>VBL-의류 요약</t>
  </si>
  <si>
    <t>1월 1주</t>
  </si>
  <si>
    <t>VBL 요약</t>
  </si>
  <si>
    <t>대경 요약</t>
  </si>
  <si>
    <t>아트인드림 요약</t>
  </si>
  <si>
    <t>Y&amp;Y 요약</t>
  </si>
  <si>
    <t>NT SENHONG 요약</t>
  </si>
  <si>
    <t>JP 요약</t>
  </si>
  <si>
    <t>TL 요약</t>
  </si>
  <si>
    <t>14FW SAMPLE LIST (HATS ON) 중국원단 사용</t>
    <phoneticPr fontId="3" type="noConversion"/>
  </si>
  <si>
    <t>14FW SAMPLE LIST (HATS ON) 업체별</t>
    <phoneticPr fontId="3" type="noConversion"/>
  </si>
  <si>
    <t>14FW WITAILOR CAP-01-WN</t>
  </si>
  <si>
    <t>14FW WITAILOR CAP-02-BK</t>
  </si>
  <si>
    <t>14FW WITAILOR CAP-03-NY</t>
  </si>
  <si>
    <t>14FW WITAILOR CAP-04-GY</t>
  </si>
  <si>
    <t>14FW WITAILOR CAP-05-RE</t>
  </si>
  <si>
    <t>14FW WITAILOR CAP-06-BR</t>
  </si>
  <si>
    <t>14FW WITAILOR CAP-07-KH</t>
  </si>
  <si>
    <t>14FW WITAILOR CAP-08-BL</t>
  </si>
  <si>
    <t>14FW WITAILOR CAP-09-BK</t>
  </si>
  <si>
    <t>14FW WITAILOR CAP-10-KH</t>
  </si>
  <si>
    <t>14FW WITAILOR CAP-11-GY</t>
  </si>
  <si>
    <t>JAY.PARK</t>
  </si>
  <si>
    <t>14SS JAYPARK_01_BK</t>
  </si>
  <si>
    <t>14SS JAYPARK_02_WH</t>
  </si>
  <si>
    <t>14SS JAYPARK_03_GY</t>
  </si>
  <si>
    <t>14SS JAYPARK_04_BK</t>
  </si>
  <si>
    <t>14SS JAYPARK_05_RD</t>
  </si>
  <si>
    <t>14FW-JILLBY-KNIT-05-WH</t>
  </si>
  <si>
    <t>ORIENT</t>
  </si>
  <si>
    <t>14FW-JILLBY-KNIT-06-GY</t>
  </si>
  <si>
    <t>14FW-JILLBY-KNIT-07-BG</t>
  </si>
  <si>
    <t>14FW-JILLBY-KNIT-08-BK</t>
  </si>
  <si>
    <t>14FW-JILLBY-KNIT-09-PP</t>
  </si>
  <si>
    <t>14FW-JILLBY-KNIT-10-RD</t>
  </si>
  <si>
    <t>14FW-JILLBY-KNIT-11-MT</t>
  </si>
  <si>
    <t>완사입</t>
  </si>
  <si>
    <t>14FW NV 08_TROOPER_NY</t>
  </si>
  <si>
    <t>14FW NV 09_TROOPER_BK</t>
  </si>
  <si>
    <t>14FW NV 09_TROOPER_RE</t>
  </si>
  <si>
    <t>14FW NV 10_TROOPER_BK</t>
  </si>
  <si>
    <t>14FW ELSTINKO_HOOD_01_GR_KIDS</t>
  </si>
  <si>
    <t>EVERGREEN</t>
  </si>
  <si>
    <t>14FW ELSTINKO_HOOD_01_GY</t>
  </si>
  <si>
    <t>14FW ELSTINKO_HOOD_02_GY</t>
  </si>
  <si>
    <t>14FW ELSTINKO_HOOD_03_BK</t>
  </si>
  <si>
    <t>14FW ELSTINKO_HOOD_03_YE_KIDS</t>
  </si>
  <si>
    <t>14FW ELSTINKO_HOOD_04_PP_KIDS</t>
  </si>
  <si>
    <t>14FW ELSTINKO_HOODZIP_01_MT_KIDS</t>
  </si>
  <si>
    <t>14FW ELSTINKO_HOODZIP_02_GY_KIDS</t>
  </si>
  <si>
    <t>14SS ELSTINKO_MTM_01_GY_KIDS</t>
  </si>
  <si>
    <t>14SS ELSTINKO_MTM_01_NV</t>
  </si>
  <si>
    <t>14SS ELSTINKO_MTM_02_BUR</t>
  </si>
  <si>
    <t>14SS ELSTINKO_MTM_02_GY_KIDS</t>
  </si>
  <si>
    <t>14SS ELSTINKO_MTM_03_GY</t>
  </si>
  <si>
    <t>14SS ELSTINKO_MTM_03_YE_KIDS</t>
  </si>
  <si>
    <t>14FW ELSTINKO_HOODZIP_03_BK</t>
  </si>
  <si>
    <t>14FW_ELSTINKO_JUMPER_01_BK_KIDS</t>
  </si>
  <si>
    <t>14FW_ELSTINKO_JUMPER_02_RD_KIDS</t>
  </si>
  <si>
    <t>14FW ELSTINKO_MTM_07_BK</t>
  </si>
  <si>
    <t>14FW ELSTINKO_MTM_08_BK</t>
  </si>
  <si>
    <t>14FW ELSTINKO_MTM_06_BK</t>
  </si>
  <si>
    <t>14FW ELSTINKO_MTM_06_GY</t>
  </si>
  <si>
    <t>14FW ELSTINKO_HOOD_05_BK</t>
  </si>
  <si>
    <t>14FW_URBAN SWAGGER_01_FLAT_BK</t>
  </si>
  <si>
    <t>14FW_URBAN SWAGGER_02_FLAT_GY</t>
  </si>
  <si>
    <t>14FW_URBAN SWAGGER_03_FLAT_BK</t>
  </si>
  <si>
    <t>14FW_URBAN SWAGGER_04_EAR FLAT_DN</t>
  </si>
  <si>
    <t>14FW_URBAN SWAGGER_05_EAR FLAT_BK</t>
  </si>
  <si>
    <t>14FW_URBAN SWAGGER_06_FLAT_NV</t>
  </si>
  <si>
    <t>14FW_URBAN SWAGGER_07_FLAT_RD</t>
  </si>
  <si>
    <t>14FW_URBAN SWAGGER_08_FLAT_GY</t>
  </si>
  <si>
    <t>14FW_URBAN SWAGGER_09_FLAT_BK</t>
  </si>
  <si>
    <t>14FW_URBAN SWAGGER_10_FLAT_BK</t>
  </si>
  <si>
    <t>14FW_URBAN SWAGGER_11_FLAT_BK</t>
  </si>
  <si>
    <t>14FW_URBAN SWAGGER_15_FLAT_RD</t>
  </si>
  <si>
    <t>14FW_URBAN SWAGGER_16_FLAT_BK</t>
  </si>
  <si>
    <t>14FW_URBAN SWAGGER_17_FLAT_BK</t>
  </si>
  <si>
    <t>14FW_URBAN SWAGGER_20_EAR FLAT_BK</t>
  </si>
  <si>
    <t>14FW_URBAN SWAGGER_21_EAR FLAT_GY</t>
  </si>
  <si>
    <t>14FW_URBAN SWAGGER_12_FLAT_DN</t>
  </si>
  <si>
    <t>14FW_URBAN SWAGGER_13_FLAT_BK</t>
  </si>
  <si>
    <t>14FW_URBAN SWAGGER_14_FLAT_BK</t>
  </si>
  <si>
    <t>14FW_URBAN SWAGGER_22_FLAT_BK</t>
  </si>
  <si>
    <t>14FW_URBAN SWAGGER_23_FLAT_GY</t>
  </si>
  <si>
    <t>14FW_URBAN SWAGGER_24_FLAT_BK</t>
  </si>
  <si>
    <t>WTR 요약</t>
  </si>
  <si>
    <t>JAY.PARK 요약</t>
  </si>
  <si>
    <t>3월 2주</t>
  </si>
  <si>
    <t>3월 1주</t>
  </si>
  <si>
    <t>2월 4주</t>
  </si>
  <si>
    <t>2월 3주</t>
  </si>
  <si>
    <t>1월 4주</t>
  </si>
  <si>
    <t>1월 3주</t>
  </si>
  <si>
    <t>2월 2주</t>
  </si>
  <si>
    <t>URB 요약</t>
  </si>
  <si>
    <t>ORIENT 요약</t>
  </si>
  <si>
    <t>EVERGREEN 요약</t>
  </si>
  <si>
    <t>HP 요약</t>
  </si>
  <si>
    <t>TH 요약</t>
  </si>
  <si>
    <t>실발주샘플건수</t>
  </si>
  <si>
    <t>13FW BROWN SQURE 1 샘플배송
(20140210) -&gt; 받음 20140228</t>
  </si>
  <si>
    <t>KONGHYOJIN</t>
  </si>
  <si>
    <t>14SS KONGHYOJIN_01_RD</t>
  </si>
  <si>
    <t>14SS KONGHYOJIN_02_BL</t>
  </si>
  <si>
    <t>14SS KONGHYOJIN_03_BK</t>
  </si>
  <si>
    <t>14SS KONGHYOJIN_04_BK</t>
  </si>
  <si>
    <t>14SS KONGHYOJIN_05_BK</t>
  </si>
  <si>
    <t>14SS KONGHYOJIN_06_WH</t>
  </si>
  <si>
    <t>14FW SMB_10_CURVED_OR_N</t>
  </si>
  <si>
    <t>14FW SMB_11_CURVED_PK_F</t>
  </si>
  <si>
    <t>14FW SMB_12_CURVED_NV_N</t>
  </si>
  <si>
    <t>14FW SMB_13_CURVED_BK_F</t>
  </si>
  <si>
    <t>14FW SMB_10_FLAT_OR_F</t>
  </si>
  <si>
    <t>14FW SMB_11_FLAT_BK_F</t>
  </si>
  <si>
    <t>14FW SMB_12_FLAT_PP_N</t>
  </si>
  <si>
    <t>14FW SMB_16_FLAT_GR_N_KIDS</t>
  </si>
  <si>
    <t>14FW SMB_17_FLAT_PK_F_KIDS</t>
  </si>
  <si>
    <t>14FW SMB_18_FLAT_NY_F_KIDS</t>
  </si>
  <si>
    <t>14FW SMB_29_FLAT_GY_N</t>
  </si>
  <si>
    <t>14FW SMB_30_FLAT_D.GY_N</t>
  </si>
  <si>
    <t>14FW SMB_31_FLAT_NY_F_KIDS</t>
  </si>
  <si>
    <t>14FW SMB_07_FLAT_BK_N</t>
  </si>
  <si>
    <t>14FW SMB_08_FLAT_BK_N</t>
  </si>
  <si>
    <t>14FW SMB_09_FLAT_RE_N</t>
  </si>
  <si>
    <t>14FW SMB_14_FLAT_BK_N</t>
  </si>
  <si>
    <t>14FW SMB_19_FLAT_BK_N</t>
  </si>
  <si>
    <t>14FW SMB_21_FLAT_NV_N</t>
  </si>
  <si>
    <t>14FW SMB_22_FLAT_RD_N</t>
  </si>
  <si>
    <t>14FW SMB_23_FLAT_NV_N</t>
  </si>
  <si>
    <t>14FW SMB_24_FLAT_BK_N</t>
  </si>
  <si>
    <t>14FW SMB_26_FLAT_RD_N</t>
  </si>
  <si>
    <t>14FW SMB_27_FLAT_BL_N</t>
  </si>
  <si>
    <t>14FW SMB_28_FLAT_BG_N</t>
  </si>
  <si>
    <t>14FW SMB_09_FLAT_BK_N</t>
  </si>
  <si>
    <t>14FW SMB_13_FLAT_GR_N</t>
  </si>
  <si>
    <t>14FW SMB_15_FLAT_BK_N</t>
  </si>
  <si>
    <t>14FW SMB_20_FLAT_BW_F</t>
  </si>
  <si>
    <t>14FW SMB_25_FLAT_NV_N</t>
  </si>
  <si>
    <t>14FW SMB_05_KNIT_BR_F_KIDS(FKT)</t>
  </si>
  <si>
    <t>14FW SMB_06_KNIT_OR_F_KIDS</t>
  </si>
  <si>
    <t>14FW SMB_01_KNIT_PK_F</t>
  </si>
  <si>
    <t>14FW SMB_02_KNIT_BK_N</t>
  </si>
  <si>
    <t>14FW SMB_03_KNIT_PK_N_KIDS</t>
  </si>
  <si>
    <t>14FW SMB_04_KNIT_PP_N_KIDS</t>
  </si>
  <si>
    <t>14FW SMB_05_KNIT_BR_F_KIDS</t>
  </si>
  <si>
    <t>14FW SMB_07_KNIT_NY_F_KIDS</t>
  </si>
  <si>
    <t>14FW SMB_08_KNIT_BK_N</t>
  </si>
  <si>
    <t>14FW SMB_09_KNIT_RD_N</t>
  </si>
  <si>
    <t>14FW SMB_10_KNIT_BL_F_KIDS</t>
  </si>
  <si>
    <t>14FW SMB_11_KNIT_PK_F_KIDS</t>
  </si>
  <si>
    <t>14FW SMB_12_KNIT_D.GY_N</t>
  </si>
  <si>
    <t>14FW SMB_12_KNIT_PK_N</t>
  </si>
  <si>
    <t>14FW SMB_12_KNIT_PP_N</t>
  </si>
  <si>
    <t>14FW SMB_13_KNIT_PP_F_KIDS</t>
  </si>
  <si>
    <t>14FW-JILLBY-KNIT-16-BL</t>
  </si>
  <si>
    <t>14FW-JILLBY-KNIT-16-D.GY</t>
  </si>
  <si>
    <t>14FW-JILLBY-KNIT-17-NV</t>
  </si>
  <si>
    <t>14FW-JILLBY-KNIT-18-BK</t>
  </si>
  <si>
    <t>14FW-JILLBY-KNIT-18-GR</t>
  </si>
  <si>
    <t>14FW-JILLBY-KNIT-18-YL</t>
  </si>
  <si>
    <t>14FW-JILLBY-KNIT-19-BW</t>
  </si>
  <si>
    <t>33장갑세트</t>
  </si>
  <si>
    <t>14FW-JILLBY-KNIT-20-NV</t>
  </si>
  <si>
    <t>14FW-JILLBY-KNIT-21-IV</t>
  </si>
  <si>
    <t>14FW-JILLBY-KNIT-22-BG</t>
  </si>
  <si>
    <t>14FW-JILLBY-KNIT-22-GY</t>
  </si>
  <si>
    <t>14FW-JILLBY-KNIT-23-BG</t>
  </si>
  <si>
    <t>14FW-JILLBY-KNIT-24-BG</t>
  </si>
  <si>
    <t>14FW-JILLBY-KNIT-24-GY</t>
  </si>
  <si>
    <t>14FW-JILLBY-KNIT-25-PP</t>
  </si>
  <si>
    <t>14FW-JILLBY-KNIT-26-NV</t>
  </si>
  <si>
    <t>14FW-JILLBY-KNIT-26-PP</t>
  </si>
  <si>
    <t>14FW-JILLBY-KNIT-27-BK</t>
  </si>
  <si>
    <t>14FW-JILLBY-KNIT-28-BK</t>
  </si>
  <si>
    <t>14FW-JILLBY-KNIT-28-RD</t>
  </si>
  <si>
    <t>14FW-JILLBY-KNIT-28-WH</t>
  </si>
  <si>
    <t>14FW-JILLBY-KNIT-29-GY</t>
  </si>
  <si>
    <t>14FW-JILLBY-KNIT-29-WH</t>
  </si>
  <si>
    <t>14FW-JILLBY-KNIT-30-BG</t>
  </si>
  <si>
    <t>14FW-JILLBY-KNIT-30-PK</t>
  </si>
  <si>
    <t>14FW-JILLBY-KNIT-31-GY</t>
  </si>
  <si>
    <t>14FW-JILLBY-KNIT_35</t>
  </si>
  <si>
    <t>14FW-JILLBY-KNIT_36_BK</t>
  </si>
  <si>
    <t>14FW-JILLBY-KNIT_36_RD</t>
  </si>
  <si>
    <t>14FW-JILLBY-KNIT_37</t>
  </si>
  <si>
    <t>14FW-JILLBY-KNIT-38-BK</t>
  </si>
  <si>
    <t>14FW-JILLBY-KNIT-39-BG</t>
  </si>
  <si>
    <t>14FW-JILLBY-KNIT-40-BG</t>
  </si>
  <si>
    <t>14FW-JILLBY-KNIT-41-MT</t>
  </si>
  <si>
    <t>14FW-JILLBY-KNIT-41-PK</t>
  </si>
  <si>
    <t>14FW-JILLBY-KNIT-42-IV</t>
  </si>
  <si>
    <t>14FW-JILLBY-KNIT-42-NV</t>
  </si>
  <si>
    <t>14FW-JILLBY-KNIT-43-BW</t>
  </si>
  <si>
    <t>14FW-JILLBY-KNIT-43-NV</t>
  </si>
  <si>
    <t>14FW-JILLBY-KNIT-44-KH-KIDS</t>
  </si>
  <si>
    <t>14FW-JILLBY-KNIT-45-NV</t>
  </si>
  <si>
    <t>14FW-JILLBY-KNIT-46-GY</t>
  </si>
  <si>
    <t>14FW-JILLBY-KNIT-46-IV</t>
  </si>
  <si>
    <t>14FW-JILLBY-KNIT-47-GR</t>
  </si>
  <si>
    <t>14FW-JILLBY-KNIT-48-BL</t>
  </si>
  <si>
    <t>14FW-JILLBY-KNIT-49-GY</t>
  </si>
  <si>
    <t>14FW-JILLBY-KNIT-50-GY</t>
  </si>
  <si>
    <t>14FW-JILLBY-KNIT-51-OR</t>
  </si>
  <si>
    <t>14FW-JILLBY-KNIT-52-GR</t>
  </si>
  <si>
    <t>14FW-JILLBY-KNIT-52-RD</t>
  </si>
  <si>
    <t>14FW-JILLBY-KNIT-53-BK</t>
  </si>
  <si>
    <t>14FW-JILLBY-KNIT-53-GY</t>
  </si>
  <si>
    <t>14FW-JILLBY-KNIT-54-PP</t>
  </si>
  <si>
    <t>14FW-JILLBY-KNIT-55-BG</t>
  </si>
  <si>
    <t>14FW-JILLBY-KNIT-55-BK</t>
  </si>
  <si>
    <t>14FW-JILLBY-KNIT-55-PP</t>
  </si>
  <si>
    <t>14FW-JILLBY-KNIT-56-BG</t>
  </si>
  <si>
    <t>14FW-JILLBY-KNIT-56-BK</t>
  </si>
  <si>
    <t>14FW-JILLBY-KNIT-57-BK</t>
  </si>
  <si>
    <t>14FW-JILLBY-KNIT-57-KH</t>
  </si>
  <si>
    <t>14FW-JILLBY-KNIT-58-BG</t>
  </si>
  <si>
    <t>14FW-JILLBY-KNIT-58-GY</t>
  </si>
  <si>
    <t>14FW-JILLBY-KNIT-59-MT</t>
  </si>
  <si>
    <t>14FW-JILLBY-KNIT-59-PK</t>
  </si>
  <si>
    <t>14FW-JILLBY-KNIT-60-GY</t>
  </si>
  <si>
    <t>14FW-JILLBY-KNIT-60-PK-KIDS</t>
  </si>
  <si>
    <t>POL</t>
  </si>
  <si>
    <t>14SS RP 21_SUNCAP_PK_KIDS</t>
  </si>
  <si>
    <t>14SS RP 22_SUNCAP_PK_KIDS</t>
  </si>
  <si>
    <t>14SS RP 23_SUNCAP_BL_KIDS</t>
  </si>
  <si>
    <t>14SS RP 24_SUNCAP_BL_KIDS</t>
  </si>
  <si>
    <t>14FW BROWN_SQUARE_CAP_09_BK</t>
  </si>
  <si>
    <t>14FW BROWN_SQUARE_CAP_10_RD</t>
  </si>
  <si>
    <t>14FW BROWN_SQUARE_CAP_11_KH</t>
  </si>
  <si>
    <t xml:space="preserve">All 부자재, J&amp;F 공급 기준으로 받기 </t>
  </si>
  <si>
    <t>메탈 패치 현지 개발 필요. - 아직 개발 안함. 참조 샘플 보내면 좋을 듯.</t>
  </si>
  <si>
    <t>로고용 펠트 발송 필요</t>
  </si>
  <si>
    <t xml:space="preserve">가죽 뒷고리 </t>
  </si>
  <si>
    <t>연태대풍: 완사입 불가
J&amp;F: MOQ문제로 베트남 진행불가. 중국에서 Target가로 진행불가
우진: \55,892 (-VAT)</t>
  </si>
  <si>
    <t>연태대풍: 완사입 불가
J&amp;F: MOQ문제로 베트남 진행불가. 중국에서 Target가로 진행불가
우진: \56,266 (-VAT)</t>
  </si>
  <si>
    <t>연태대풍: 완사입 불가
J&amp;F: MOQ문제로 베트남 진행불가. 중국에서 Target가로 진행불가
우진: \53,392 (-VAT)</t>
  </si>
  <si>
    <t>연태대풍: 완사입 불가
J&amp;F: MOQ문제로 베트남 진행불가. 중국에서 Target가로 진행불가
우진: \56,570 (-VAT)</t>
  </si>
  <si>
    <t>연태대풍: 완사입 불가
J&amp;F: MOQ문제로 베트남 진행불가. 중국에서 Target가로 진행불가
우진: \48,912 (-VAT)</t>
  </si>
  <si>
    <t>아트 국내견적가: 20,400
대경견적가: $16.00 (=18,216)</t>
  </si>
  <si>
    <t>아트 국내견적가: 19,400
대경견적가: $15.95
(=18,159)</t>
  </si>
  <si>
    <t>MPF APPLIQUE OPTION
아트: 국내견적가: 20,300
대경견적가: $14.95
(=17,021)</t>
  </si>
  <si>
    <t>FLOCKING OPTION
아트 국내견적가: 18,900
대경견적가: $16.90
(=19,241)</t>
  </si>
  <si>
    <t>HEAT TRANSFER PRINT</t>
  </si>
  <si>
    <t>HEAT TRANSFER PRINT
TRIM 시장구매원단</t>
  </si>
  <si>
    <t>TRIM 시장구매원단</t>
  </si>
  <si>
    <t>쿠션지 
HEAT TRANFER PRINT ON FUR</t>
  </si>
  <si>
    <t>쿠션지
HEAT TRANFER PRINT ON FUR</t>
  </si>
  <si>
    <t>백기모</t>
  </si>
  <si>
    <t>PU FABRIC ON SLV
아트견적 동시의뢰</t>
  </si>
  <si>
    <t>아트견적 동시의뢰</t>
  </si>
  <si>
    <t>시장구매원단
아트견적 동시의뢰</t>
  </si>
  <si>
    <t>14FW ELSTINKO_HOODZIP_08_BK</t>
  </si>
  <si>
    <t>14FW ELSTINKO_HOODZIP_09_BK</t>
  </si>
  <si>
    <t>14FW ELSTINKO_ RAGLAN HOOD_07_BK</t>
  </si>
  <si>
    <t>14FW ELSTINKO_MTM_10_BK</t>
  </si>
  <si>
    <t>14FW ELSTINKO_MTM_11_BK</t>
  </si>
  <si>
    <t>14FW H.coustic CAP-08_BK</t>
  </si>
  <si>
    <t>14FW H.coustic CAP-09_NV</t>
  </si>
  <si>
    <t>14FW H.coustic CAP-10_KH</t>
  </si>
  <si>
    <t>14FW H.coustic CAP-11_BK</t>
  </si>
  <si>
    <t>14FW H.coustic CAP-12_GY</t>
  </si>
  <si>
    <t>14FW H.coustic CAP-13_BK</t>
  </si>
  <si>
    <t>14FW_ELSTINKO_DOWN_JUMPER_05_RD_KIDS</t>
  </si>
  <si>
    <t>14SS YG 2NE1_01_FLAT_OR</t>
  </si>
  <si>
    <t>14SS YG 2NE1_02_FLAT_BK</t>
  </si>
  <si>
    <t>14SS YG 2NE1_03_FLAT_PK</t>
  </si>
  <si>
    <t>14SS YG 2NE1_04_FLAT_PP</t>
  </si>
  <si>
    <t>14SS YG 2NE1_05_FLAT_BK</t>
  </si>
  <si>
    <t>14SS YG BIGBANG_01_BK</t>
  </si>
  <si>
    <t>14SS YG BIGBANG_02_BK</t>
  </si>
  <si>
    <t>14SS YG BIGBANG_03_BK</t>
  </si>
  <si>
    <t>14SS YG BIGBANG_04_WH</t>
  </si>
  <si>
    <t>14SS YG BIGBANG_05_BK</t>
  </si>
  <si>
    <t>14SS YG BIGBANG_06_BK</t>
  </si>
  <si>
    <t>14SS YG PSY_01_FLAT_BK</t>
  </si>
  <si>
    <t>14SS YG PSY_02_FLAT_GY</t>
  </si>
  <si>
    <t>14SS YG PSY_03_FLAT_BK</t>
  </si>
  <si>
    <t>14SS YG PSY_04_FLAT_OR</t>
  </si>
  <si>
    <t>14SS YG PSY_05_FLAT_NV</t>
  </si>
  <si>
    <t>14SS YG PSY_06_FLAT_BK</t>
  </si>
  <si>
    <t>MOQ : 5,000 PCS / 폴리백 ,장갑몰드 때문에 미니멈수량 못맞추면 Up-charge 발생.</t>
  </si>
  <si>
    <t>YGF 요약</t>
  </si>
  <si>
    <t>POL 요약</t>
  </si>
  <si>
    <t>KONGHYOJIN 요약</t>
  </si>
  <si>
    <t>K 요약</t>
  </si>
  <si>
    <t>1월 5주</t>
  </si>
  <si>
    <t>2월 1주</t>
  </si>
  <si>
    <t>201404</t>
  </si>
  <si>
    <t>piafield 요약</t>
  </si>
  <si>
    <t>PE 요약</t>
  </si>
  <si>
    <t>14FW-JILLBY-KNIT-33-RD</t>
  </si>
  <si>
    <t>14FW-JILLBY-KNIT-43-IV</t>
  </si>
  <si>
    <t>14FW-JILLBY-KNIT-61-BK</t>
  </si>
  <si>
    <t>14FW-JILLBY-KNIT-62-BG</t>
  </si>
  <si>
    <t>14FW-JILLBY-KNIT-62-BL</t>
  </si>
  <si>
    <t>14FW-JILLBY-KNIT-62-GY</t>
  </si>
  <si>
    <t>14FW-JILLBY-KNIT-63-PK-KIDS</t>
  </si>
  <si>
    <t>14FW-JILLBY-KNIT-63-YL-KIDS</t>
  </si>
  <si>
    <t>14FW-JILLBY-KNIT-64-BK-GY</t>
  </si>
  <si>
    <t>14FW-JILLBY-KNIT-65-BK-GY</t>
  </si>
  <si>
    <t>14FW-JILLBY-KNIT-66</t>
  </si>
  <si>
    <t>14FW-JILLBY-KNIT-67-BK</t>
  </si>
  <si>
    <t>14FW-JILLBY-KNIT-67-GY</t>
  </si>
  <si>
    <t>14FW-JILL-BY_36_GY</t>
  </si>
  <si>
    <t>14FW-JILL-BY_36_BK</t>
  </si>
  <si>
    <t>14FW-JILLBY-42-BK</t>
  </si>
  <si>
    <t>14FW-JILLBY-37-BK</t>
  </si>
  <si>
    <t>14FW-JILLBY-38-BK</t>
  </si>
  <si>
    <t>14FW-JILLBY-39-GY</t>
  </si>
  <si>
    <t>14FW-JILLBY-40-BK</t>
  </si>
  <si>
    <t>14FW-JILLBY-41-BK</t>
  </si>
  <si>
    <t>14FW-JILLBY-INFANT-01-BL</t>
  </si>
  <si>
    <t>14FW-JILLBY-INFANT-01-PK</t>
  </si>
  <si>
    <t>14FW-JILLBY-INFANT-02-BG</t>
  </si>
  <si>
    <t>14FW-JILLBY-INFANT-03-PK</t>
  </si>
  <si>
    <t>14FW-JILLBY-INFANT-03-WH</t>
  </si>
  <si>
    <t>DPS</t>
  </si>
  <si>
    <t>14FW DISNEY 01_SNAP_BK</t>
  </si>
  <si>
    <t>14FW DISNEY 01_SNAP_PK_KIDS</t>
  </si>
  <si>
    <t>14FW DISNEY 02_SNAP_BL</t>
  </si>
  <si>
    <t>패턴기모쮸리 국내원단진행</t>
  </si>
  <si>
    <t>14SS POLI 01_SNAP_PK_KIDS</t>
  </si>
  <si>
    <t>14SS POLI 02_SNAP_BL_KIDS</t>
  </si>
  <si>
    <t>14SS POLI 03_SNAP_BL_KIDS</t>
  </si>
  <si>
    <t>14SS POLI 04_SNAP_PK_KIDS</t>
  </si>
  <si>
    <t>14FW BLACK MOOD_03_FLAT_BK</t>
  </si>
  <si>
    <t>14FW BLACK MOOD_04_FLAT_BK</t>
  </si>
  <si>
    <t xml:space="preserve">펠트 발송 3/5, 메탈 3pc 발송. </t>
  </si>
  <si>
    <t>펠트 발송 3/5</t>
  </si>
  <si>
    <t>14FW ELSTINKO_MTM_12_PK_KIDS</t>
  </si>
  <si>
    <t>14FW ELSTINKO_MTM_13_RE_KIDS</t>
  </si>
  <si>
    <t>14FW ELSTINKO_MTM_14_NY_KIDS</t>
  </si>
  <si>
    <t>14FW ELSTINKO_HOOD_15_PK_KIDS</t>
  </si>
  <si>
    <t>PT</t>
  </si>
  <si>
    <t>14FW ELSTINKO_PANTS_01_BK</t>
  </si>
  <si>
    <t>14FW ELSTINKO_PANTS_02_BK</t>
  </si>
  <si>
    <t>14FW ELSTINKO_PANTS_03_BK</t>
  </si>
  <si>
    <t>14FW ELSTINKO_LEGGINGS_01_RD</t>
  </si>
  <si>
    <t>생산지역 : 방글라</t>
  </si>
  <si>
    <t>14FW ELS 34_KNIT_BK</t>
  </si>
  <si>
    <t>YARN MATERIAL :  Acrylic 70%, Wool 30%</t>
  </si>
  <si>
    <t>14FW ELS 34_KNIT_NV</t>
  </si>
  <si>
    <t>14FW ELS 35_KNIT_BL</t>
  </si>
  <si>
    <t>14FW ELS 36_KNIT_GR</t>
  </si>
  <si>
    <t>14FW ELS 37_TROOPER_BL_KIDS</t>
  </si>
  <si>
    <t>Sample : OML 55CM</t>
  </si>
  <si>
    <t>14FW ELS 37_TROOPER_MT_KIDS</t>
  </si>
  <si>
    <t>Sample : OSM 52CM</t>
  </si>
  <si>
    <t>14FW ELS 37_TROOPER_OR_KIDS</t>
  </si>
  <si>
    <t>14FW ELS 38_TROOPER_NV</t>
  </si>
  <si>
    <t>14FW ELS 38_TROOPER_NV_KIDS</t>
  </si>
  <si>
    <t>14FW ELS 39_WIRE_OR</t>
  </si>
  <si>
    <t>14FW ELS 40_TROOPER_RD</t>
  </si>
  <si>
    <t>14FW ELS 41_SNAP_BL</t>
  </si>
  <si>
    <t>14FW ELS 41_SNAP_BL_KIDS</t>
  </si>
  <si>
    <t>14FW ELS 42_SNAP_GY</t>
  </si>
  <si>
    <t>14FW ELS_44_SNAP_BK</t>
  </si>
  <si>
    <t>14FW ELS_45_SNAP_RD</t>
  </si>
  <si>
    <t>14FW ELS_46_SNAP_GR</t>
  </si>
  <si>
    <t>겉감 : 특수 원단 - 두께가 얇아서 안감하나 대고 작업요망</t>
  </si>
  <si>
    <t>14FW ELS_46_SNAP_RD</t>
  </si>
  <si>
    <t>14FW ELS_47_SNAP_PP</t>
  </si>
  <si>
    <t>14FW ELS_48_TROOPER_BK</t>
  </si>
  <si>
    <t>TRANSFER PRINTING - POLY FABRIC (피치원단 )</t>
  </si>
  <si>
    <t>14FW ELS_49_TROOPER_NV</t>
  </si>
  <si>
    <t>POINT : [4] FLOCKING  on backside</t>
  </si>
  <si>
    <t>14FW ELS_50_TROOPER_BK</t>
  </si>
  <si>
    <t>#N/A</t>
  </si>
  <si>
    <t>DPS 요약</t>
  </si>
  <si>
    <t>PT 요약</t>
  </si>
  <si>
    <t>FE 요약</t>
  </si>
  <si>
    <t>3/13 발송완료</t>
  </si>
  <si>
    <t>NOV-ACC</t>
  </si>
  <si>
    <t>14FW NV 01_SOCKS_GY</t>
  </si>
  <si>
    <t>FILL 21</t>
  </si>
  <si>
    <t>국내업체 프로모션
 (중국 및 한국 생산) 0.5 목표</t>
  </si>
  <si>
    <t>14FW NV 02_SOCKS_NY</t>
  </si>
  <si>
    <t>14FW NV 03_SOCKS_GY</t>
  </si>
  <si>
    <t>14FW NV 04_SOCKS_NY</t>
  </si>
  <si>
    <t>SB</t>
  </si>
  <si>
    <t>14SS ELS SHOULDER BAG_01_BK</t>
  </si>
  <si>
    <t>바이칼</t>
  </si>
  <si>
    <t xml:space="preserve">의류원단 재고 사용 / 최소 가격 : \5250 </t>
  </si>
  <si>
    <t>14SS ELS SHOULDER BAG_02_YE</t>
  </si>
  <si>
    <t>14SS ELS BACKPACK_07_BK</t>
  </si>
  <si>
    <t>의류원단 재고 사용 / 최소 가격 : \17,500</t>
  </si>
  <si>
    <t>14FW ELS BACKPACK_01_BK</t>
  </si>
  <si>
    <t>14FW ELS BACKPACK_02_BK</t>
  </si>
  <si>
    <t>14FW ELS BACKPACK_03_BK</t>
  </si>
  <si>
    <t>14FW ELS BACKPACK_04_PP_KIDS</t>
  </si>
  <si>
    <t>14FW ELS BACKPACK_05_BL_TOD</t>
  </si>
  <si>
    <t>INFANT</t>
  </si>
  <si>
    <t>14FW_PLAYBOY_HOODZIP _01_BK</t>
  </si>
  <si>
    <t>14FW_PLAYBOY_HOOD _01_BK</t>
  </si>
  <si>
    <t>14FW_PLAYBOY_HOOD _01_WH</t>
  </si>
  <si>
    <t>14SS_PLAYBOY_MTM_01_BK</t>
  </si>
  <si>
    <t>14SS_PLAYBOY_MTM_02_WH</t>
  </si>
  <si>
    <t>14FW_PLAYBOY_MTM_03_BK</t>
  </si>
  <si>
    <t>14FW PLAYBOY_MUSTANG_01_BK</t>
  </si>
  <si>
    <t>유건</t>
  </si>
  <si>
    <t>14FW PLAYBOY_MUSTANG_02_BK</t>
  </si>
  <si>
    <t>14FW - ELSTINKO - HD16- MI - KIDS</t>
  </si>
  <si>
    <t>14FW - ELSTINKO - HD17- Y6 - KIDS</t>
  </si>
  <si>
    <t>14FW - ELSTINKO - HD18- GR - KIDS</t>
  </si>
  <si>
    <t>14FW - ELSTINKO - HD19- Pi - KIDS</t>
  </si>
  <si>
    <t>14FW - ELSTINKO - HD20- CA - KIDS</t>
  </si>
  <si>
    <t>14FW - ELSTINKO - MTM15- BL - KIDS</t>
  </si>
  <si>
    <t>14FW - ELSTINKO - MTM15- RE - KIDS</t>
  </si>
  <si>
    <t>14FW - ELSTINKO - MTM16- GR - KIDS</t>
  </si>
  <si>
    <t>14FW - ELSTINKO - MTM17- YO - KIDS</t>
  </si>
  <si>
    <t>14FW - ELSTINKO - MTM18- PI - KIDS</t>
  </si>
  <si>
    <t>14FW - ELSTINKO - MTM19- GR - KIDS</t>
  </si>
  <si>
    <t>14FW - ELSTINKO - MTM20- BK - KIDS</t>
  </si>
  <si>
    <t>14FW - ELSTINKO - MTM21-
WH - KIDS</t>
  </si>
  <si>
    <t>14FW - ELSTINKO - MTM21-
OR - KIDS</t>
  </si>
  <si>
    <t>14FW - ELSTINKO - MTM21-
BL - KIDS</t>
  </si>
  <si>
    <t>14FW - ELSTINKO - MTM22-WH</t>
  </si>
  <si>
    <t>14FW - ELSTINKO - MTM22-OR</t>
  </si>
  <si>
    <t>14FW - ELSTINKO - MTM22-BL</t>
  </si>
  <si>
    <t>14FW - ELSTINKO -MTM23- BK - KIDS</t>
  </si>
  <si>
    <t>14FW - ELSTINKO -MTM23- BK</t>
  </si>
  <si>
    <t>14FW - ELSTINKO - MTM25- BK -KIDS</t>
  </si>
  <si>
    <t>OP</t>
  </si>
  <si>
    <t>14FW - ELSTINKO -OP01- BK -KIDS</t>
  </si>
  <si>
    <t>14FW PLAYBOY_HOOD_02_BK</t>
  </si>
  <si>
    <t>14FW_PLAYBOY_HOOD _03_BK</t>
  </si>
  <si>
    <t>14FW PLAYBOY_LEGGINGS_01_BK</t>
  </si>
  <si>
    <t>14FW PLAYBOY_LEGGINGS_02_BK</t>
  </si>
  <si>
    <t>14FW PLAYBOY_LEGGINGS_03_BK</t>
  </si>
  <si>
    <t>14FW PLAYBOY_LEGGINGS_04_BK</t>
  </si>
  <si>
    <t>14FW_PLAYBOY_MTM_04_NY</t>
  </si>
  <si>
    <t>14FW_PLAYBOY_MTM_05_BK</t>
  </si>
  <si>
    <t>14FW_PLAYBOY_MTM_05_GY</t>
  </si>
  <si>
    <t>14FW_PLAYBOY_PANTS _01_BK</t>
  </si>
  <si>
    <t>14FW_PLAYBOY_PANTS _01_GR</t>
  </si>
  <si>
    <t>14FW_PLAYBOY_HOODZIP _02_BK</t>
  </si>
  <si>
    <t>14FW_PLAYBOY_HOODZIP _03_BK</t>
  </si>
  <si>
    <t>URB-의류</t>
  </si>
  <si>
    <t>14FW_URBAN SWAGGER_HOOD_02_BK</t>
  </si>
  <si>
    <t>14FW_URBAN SWAGGER_HOOD_01_GR</t>
  </si>
  <si>
    <t>14FW_URBAN SWAGGER_HOOD ZIP_01_BK</t>
  </si>
  <si>
    <t>14FW_URBAN SWAGGER_HOODZIP_02_BK</t>
  </si>
  <si>
    <t>14FW_URBAN SWAGGER_MTM_01_RD</t>
  </si>
  <si>
    <t>14FW_URBAN SWAGGER_MTM_02_BK</t>
  </si>
  <si>
    <t>14FW_URBAN SWAGGER_JUMPER_01_BK</t>
  </si>
  <si>
    <t>14FW_URBAN SWAGGER_JUMPER_02_BK</t>
  </si>
  <si>
    <t>14FW_PLAYBOY_JUMPER _01_BK</t>
  </si>
  <si>
    <t>14FW_PLAYBOY_JUMPER _02_BK</t>
  </si>
  <si>
    <t>14FW_PLAYBOY_JUMPER_03_BK</t>
  </si>
  <si>
    <t>유건</t>
    <phoneticPr fontId="3" type="noConversion"/>
  </si>
  <si>
    <t>KRW</t>
    <phoneticPr fontId="3" type="noConversion"/>
  </si>
  <si>
    <t>ELS-가방 요약</t>
  </si>
  <si>
    <t>PLA-의류 요약</t>
  </si>
  <si>
    <t>NOV-ACC 요약</t>
  </si>
  <si>
    <t>URB-의류 요약</t>
  </si>
  <si>
    <t>INFANT 요약</t>
  </si>
  <si>
    <t>FILL 21 요약</t>
  </si>
  <si>
    <t>바이칼 요약</t>
  </si>
  <si>
    <t>유건 요약</t>
  </si>
  <si>
    <t>BP 요약</t>
  </si>
  <si>
    <t>SB 요약</t>
  </si>
  <si>
    <t>OP 요약</t>
  </si>
  <si>
    <t>14FW SAMPLE LIST (HATS ON) 품목별</t>
    <phoneticPr fontId="3" type="noConversion"/>
  </si>
  <si>
    <t xml:space="preserve"> </t>
    <phoneticPr fontId="3" type="noConversion"/>
  </si>
  <si>
    <t>NOV-가방</t>
    <phoneticPr fontId="4" type="noConversion"/>
  </si>
  <si>
    <t>VBL-의류</t>
    <phoneticPr fontId="4" type="noConversion"/>
  </si>
  <si>
    <t>YGF</t>
    <phoneticPr fontId="60" type="noConversion"/>
  </si>
  <si>
    <t>POL</t>
    <phoneticPr fontId="64" type="noConversion"/>
  </si>
  <si>
    <t>DPS</t>
    <phoneticPr fontId="64" type="noConversion"/>
  </si>
  <si>
    <t>MGM</t>
    <phoneticPr fontId="64" type="noConversion"/>
  </si>
  <si>
    <t>ZZZ</t>
    <phoneticPr fontId="64" type="noConversion"/>
  </si>
  <si>
    <t xml:space="preserve">크라운 및 챙 원단 국내제공시 가격 </t>
  </si>
  <si>
    <t>앞 노말자수 네이비컬러 (그라만 뺀 컬러로 진행)</t>
  </si>
  <si>
    <t>캔슬</t>
  </si>
  <si>
    <t>14FW WITAILOR CAP-13-BK</t>
  </si>
  <si>
    <t>14FW WITAILOR CAP-14-BG</t>
  </si>
  <si>
    <t>14FW WITAILOR CAP-15-PK</t>
  </si>
  <si>
    <t>14FW DISNEY 02_SNAP_BL_KIDS</t>
  </si>
  <si>
    <t>14FW DISNEY 03_SNAP_BL_KIDS</t>
  </si>
  <si>
    <t>14FW DISNEY 03_SNAP_PP</t>
  </si>
  <si>
    <t>14FW DISNEY 04_SNAP_PK_KIDS</t>
  </si>
  <si>
    <t>14FW DISNEY 05_SNAP_RD_KIDS(수정)</t>
  </si>
  <si>
    <t>14FW DISNEY 06_SNAP_PP_KIDS</t>
  </si>
  <si>
    <t>14FW DISNEY 07_SNAP_PK_KIDS</t>
  </si>
  <si>
    <t>14FW DISNEY 05_SNAP_BK</t>
  </si>
  <si>
    <t>14FW DISNEY 04_SNAP_RD</t>
  </si>
  <si>
    <t>14SS POLI 05_SNAP_PK_KIDS</t>
  </si>
  <si>
    <t>14SS POLI 06_SNAP_PK_KIDS</t>
  </si>
  <si>
    <t>14FW_ELSTINKO_VEST_RED_01_KIDS</t>
  </si>
  <si>
    <t>참고샘플 1pc</t>
  </si>
  <si>
    <t>SP</t>
  </si>
  <si>
    <t>14FW ELSTINKO_ 
ROMPER_01_GRAY_BABY</t>
  </si>
  <si>
    <t>14FW_ELSTINKO_
ROMPER_02_STAR_BABY</t>
  </si>
  <si>
    <t>14FW_ELSTINKO_
ROMPER_03_DOT_BABY</t>
  </si>
  <si>
    <t>14FW_ELSTINKO_
ROMPER_04_ZEBRA_BABY</t>
  </si>
  <si>
    <t>14FW_ELSTINKO_ROMPER_05_EBONY_BABY</t>
  </si>
  <si>
    <t>14FW - ELSTINKO - LG02- BK -KIDS</t>
  </si>
  <si>
    <t>14FW - ELSTINKO - LG03- MI -KIDS</t>
  </si>
  <si>
    <t>14FW - ELSTINKO - HZ04- WH -KIDS</t>
  </si>
  <si>
    <t>14FW - ELSTINKO - HZ05- P4.N9 -KIDS</t>
  </si>
  <si>
    <t>#VALUE!</t>
  </si>
  <si>
    <t>SP 요약</t>
  </si>
  <si>
    <t>14FW WITAILER CAP-12-BW</t>
  </si>
  <si>
    <t>X</t>
  </si>
  <si>
    <t>YELLOW 원단 중국사용가능</t>
  </si>
  <si>
    <t>14FW JOIEBETE_SOCKS_02_BL</t>
  </si>
  <si>
    <t>14FW JOIEBETE_SOCKS_01_PK</t>
  </si>
  <si>
    <t>14FW JOIEBETE_SOCKS_03_GY</t>
  </si>
  <si>
    <t>14FW JOIE BETE_22_BL_KIDS</t>
  </si>
  <si>
    <t>14FW JOIE BETE_22_PK_KIDS</t>
  </si>
  <si>
    <t>14FW JOIE BETE_23_PK_KIDS</t>
  </si>
  <si>
    <t>14FW JOIE BETE_24_YL_KIDS</t>
  </si>
  <si>
    <t>14FW JOIE BETE_25_GR_KIDS</t>
  </si>
  <si>
    <t>14FW JOIE BETE_26_IV_KIDS</t>
  </si>
  <si>
    <t>14FW JOIE BETE_27_GY_KIDS</t>
  </si>
  <si>
    <t>14FW JOIE BETE_28_GY_KIDS</t>
  </si>
  <si>
    <t>14FW JOIE BETE_29_BL_KIDS</t>
  </si>
  <si>
    <t>14FW JOIE BETE_30_GY_KIDS</t>
  </si>
  <si>
    <t>14FW JOIE BETE_31_PK_KIDS</t>
  </si>
  <si>
    <t>14FW JOIE BETE_32_IV_KIDS</t>
  </si>
  <si>
    <t>VE</t>
  </si>
  <si>
    <t>14FW SMB_35_FLAT_PK_F_KIDS</t>
  </si>
  <si>
    <t>14FW SMB_34_FLAT_OG_F_KIDS</t>
  </si>
  <si>
    <t>14FW SMB_32_FLAT_BK_N.pdf-JPG</t>
  </si>
  <si>
    <t>14FW SMB_33_FLAT_BK_N.pdf-JPG</t>
  </si>
  <si>
    <t>14FW SMB_39_FLAT_BK_F.pdf-JPG</t>
  </si>
  <si>
    <t>14FW SMB_40_FLAT_PK_F.pdf-JPG</t>
  </si>
  <si>
    <t>14FW SMB_41_FLAT_BK_N.pdf-JPG</t>
  </si>
  <si>
    <t>14FW SMB_42_FLAT_GR_N.pdf-JPG</t>
  </si>
  <si>
    <t>14FW SMB_36_FLAT_PK_F_KIDS.pdf-JPG</t>
  </si>
  <si>
    <t>14FW SMB_14_KNIT_BK_N.pdf-JPG</t>
  </si>
  <si>
    <t>14FW SMB_15_KNIT_RE_N.pdf-JPG</t>
  </si>
  <si>
    <t>14FW SMB_14_CURVED_GY_N</t>
  </si>
  <si>
    <t>14FW SMB_15_CURVED_PK_F_KIDS.pdf-JPG</t>
  </si>
  <si>
    <t>14FW SMB_16_CURVED_NY_F_KIDS</t>
  </si>
  <si>
    <t>14FW SMB_17_CURVED_PK_F_KIDS</t>
  </si>
  <si>
    <t>14FW SMB_18_CURVED_PP_F_KIDS</t>
  </si>
  <si>
    <t>14FW SMB_19_CURVED_BW_F</t>
  </si>
  <si>
    <t>14FW SMB_20_CURVED_GY_N</t>
  </si>
  <si>
    <t>14FW SMB_21_CURVED_GY_N</t>
  </si>
  <si>
    <t>14FW SMB_23_CURVED_BK_N.</t>
  </si>
  <si>
    <t>14FW SMB_22_CURVED_BK_N</t>
  </si>
  <si>
    <t>14FW SMB_23_CURVED_BK_N</t>
  </si>
  <si>
    <t>14FW SMB_37_FLAT_BK_N</t>
  </si>
  <si>
    <t>14FW SMB_38_FLAT_BL_N</t>
  </si>
  <si>
    <t>원단죽음 발주 X</t>
  </si>
  <si>
    <t>아크릴 100%(ICELAND HAIR)</t>
  </si>
  <si>
    <t>34-장갑세트
100% CASHMERE</t>
  </si>
  <si>
    <t xml:space="preserve">SHAPE 참조 1PCS
</t>
  </si>
  <si>
    <t xml:space="preserve">SHAPE 참조 1SET
</t>
  </si>
  <si>
    <t>MR.REAL GOODMAN</t>
  </si>
  <si>
    <t>14SS MRGM_01_BK</t>
  </si>
  <si>
    <t>14SS MRGM_02_GY</t>
  </si>
  <si>
    <t>14SS MRGM_06_BG</t>
  </si>
  <si>
    <t>14SS MRGM_07_GY</t>
  </si>
  <si>
    <t>14SS MRGM_10_BK</t>
  </si>
  <si>
    <t>14SS MRGM_11_CHA</t>
  </si>
  <si>
    <t>14SS MRGM_12_WH</t>
  </si>
  <si>
    <t>14SS MRGM_18_GY</t>
  </si>
  <si>
    <t>14SS MRGM_05_D.GR</t>
  </si>
  <si>
    <t>택미포함</t>
  </si>
  <si>
    <t>14SS MRGM_08_D.GY</t>
  </si>
  <si>
    <t>14SS MRGM_09_KH</t>
  </si>
  <si>
    <t>14SS MRGM_13_BL</t>
  </si>
  <si>
    <t>14SS MRGM_14_GY</t>
  </si>
  <si>
    <t>14SS MRGM_16_GR</t>
  </si>
  <si>
    <t>14SS MRGM_17_GY</t>
  </si>
  <si>
    <t>14SS MRGM_03_NV</t>
  </si>
  <si>
    <t>14SS MRGM_04_D.GR</t>
  </si>
  <si>
    <t>14SS MRGM_15_BK</t>
  </si>
  <si>
    <t>JIL-ACC 요약</t>
  </si>
  <si>
    <t>MR.REAL GOODMAN 요약</t>
  </si>
  <si>
    <t>JOI-가방 요약</t>
  </si>
  <si>
    <t>MU 요약</t>
  </si>
  <si>
    <t>VE 요약</t>
  </si>
  <si>
    <t>HP:후드점퍼, JP:점퍼, TH:후드, TL: 맨투맨,롱슬리브, PT:바지</t>
    <phoneticPr fontId="3" type="noConversion"/>
  </si>
  <si>
    <t>RC</t>
    <phoneticPr fontId="60" type="noConversion"/>
  </si>
  <si>
    <t>RAIN COAT (우비)</t>
    <phoneticPr fontId="60" type="noConversion"/>
  </si>
  <si>
    <t>의류</t>
    <phoneticPr fontId="60" type="noConversion"/>
  </si>
  <si>
    <t>SUN VISOR (썬캡)</t>
    <phoneticPr fontId="60" type="noConversion"/>
  </si>
  <si>
    <t>의류외</t>
    <phoneticPr fontId="60" type="noConversion"/>
  </si>
  <si>
    <t>BB</t>
    <phoneticPr fontId="60" type="noConversion"/>
  </si>
  <si>
    <t>BIB (턱받이)</t>
    <phoneticPr fontId="60" type="noConversion"/>
  </si>
  <si>
    <t>BS</t>
    <phoneticPr fontId="60" type="noConversion"/>
  </si>
  <si>
    <t>BODYSUIT (바디수트)</t>
    <phoneticPr fontId="60" type="noConversion"/>
  </si>
  <si>
    <t>RP</t>
    <phoneticPr fontId="60" type="noConversion"/>
  </si>
  <si>
    <t>ROMPER (롬퍼)</t>
    <phoneticPr fontId="60" type="noConversion"/>
  </si>
  <si>
    <t>SP</t>
    <phoneticPr fontId="60" type="noConversion"/>
  </si>
  <si>
    <t>SLEEPER (우주복)</t>
    <phoneticPr fontId="60" type="noConversion"/>
  </si>
  <si>
    <t>BK</t>
    <phoneticPr fontId="60" type="noConversion"/>
  </si>
  <si>
    <t>BLANKET (담요)</t>
    <phoneticPr fontId="60" type="noConversion"/>
  </si>
  <si>
    <t>ACC</t>
    <phoneticPr fontId="60" type="noConversion"/>
  </si>
  <si>
    <t>CR</t>
    <phoneticPr fontId="60" type="noConversion"/>
  </si>
  <si>
    <t>CARRIER (캐리어)</t>
    <phoneticPr fontId="60" type="noConversion"/>
  </si>
  <si>
    <t>가방</t>
    <phoneticPr fontId="60" type="noConversion"/>
  </si>
  <si>
    <t>OP</t>
    <phoneticPr fontId="60" type="noConversion"/>
  </si>
  <si>
    <t>ONE-PIECE (원피스)</t>
    <phoneticPr fontId="60" type="noConversion"/>
  </si>
  <si>
    <t>VE</t>
    <phoneticPr fontId="60" type="noConversion"/>
  </si>
  <si>
    <t>VEST(조끼)</t>
    <phoneticPr fontId="60" type="noConversion"/>
  </si>
  <si>
    <t>SNAPBACK(FLAT VISOR)</t>
    <phoneticPr fontId="3" type="noConversion"/>
  </si>
  <si>
    <t>SN</t>
    <phoneticPr fontId="3" type="noConversion"/>
  </si>
  <si>
    <t>14FW SMB_04_FLAT_BK_N</t>
  </si>
  <si>
    <t>14FW POLI-01_PK_KNIT-KIDS</t>
  </si>
  <si>
    <t>14FW POLI-02_BL_KNIT-KIDS</t>
  </si>
  <si>
    <t>14FW POLI-03_PK_KNIT-KIDS</t>
  </si>
  <si>
    <t>14FW POLI-04_BL_KNIT-KIDS</t>
  </si>
  <si>
    <t>14FW POLI 01_SNAP_WH_KIDS</t>
  </si>
  <si>
    <t>14FW POLI 02_SNAP_PK_KIDS</t>
  </si>
  <si>
    <t>4/2 수정견본 수령</t>
  </si>
  <si>
    <t>4/1 수정견본 수령</t>
  </si>
  <si>
    <t>14FW_PLAYBOY_
HOODZIP _04_BK</t>
  </si>
  <si>
    <t>14FW_PLAYBOY_
MTM_06_BK</t>
  </si>
  <si>
    <t>201405</t>
  </si>
  <si>
    <t>1/2월</t>
    <phoneticPr fontId="3" type="noConversion"/>
  </si>
  <si>
    <t>3월</t>
    <phoneticPr fontId="3" type="noConversion"/>
  </si>
  <si>
    <t>4월</t>
    <phoneticPr fontId="3" type="noConversion"/>
  </si>
  <si>
    <t>客供主料</t>
  </si>
  <si>
    <t>帽眉料客供</t>
  </si>
  <si>
    <t>前页+帽眉料客供</t>
  </si>
  <si>
    <t>客供主料毛呢</t>
  </si>
  <si>
    <t>참고샘플 돌려받음 (140416)</t>
  </si>
  <si>
    <t>재샘플요청 3/24-&gt; 재샘플 입고 4/21</t>
  </si>
  <si>
    <t>14FWPB 01_FLAT_GY</t>
  </si>
  <si>
    <t>14FWPB 02_FLAT_NY</t>
  </si>
  <si>
    <t>14FWPB 02_FLAT_RE</t>
  </si>
  <si>
    <t>14FWPB 03_FLAT_BK</t>
  </si>
  <si>
    <t>14FWPB 04_FLAT_GR</t>
  </si>
  <si>
    <t>14FWPB 04_FLAT_OR</t>
  </si>
  <si>
    <t>14FWPB 05_FLAT_BK</t>
  </si>
  <si>
    <t>14FWPB 05_FLAT_NY</t>
  </si>
  <si>
    <t>14FWPB 06_FLAT_RE</t>
  </si>
  <si>
    <t>14FWPB 07_FLAT_GY</t>
  </si>
  <si>
    <t>14FWPB 08_FLAT_MT</t>
  </si>
  <si>
    <t>DPS-의류</t>
  </si>
  <si>
    <t>14FW DISNEY 06_SNAP_BK</t>
  </si>
  <si>
    <t>14FW DISNEY 07_SNAP_BK</t>
  </si>
  <si>
    <t>14FW DISNEY 08_SNAP_BL_KIDS</t>
  </si>
  <si>
    <t>14FW DISNEY 08_SNAP_PP</t>
  </si>
  <si>
    <t>14FW DISNEY 09_SNAP_BK</t>
  </si>
  <si>
    <t>14FW DISNEY 09_SNAP_RD_KIDS</t>
  </si>
  <si>
    <t>14FW DISNEY 10_SNAP_BL_KIDS</t>
  </si>
  <si>
    <t>14FW DISNEY 11_SNAP_PK_KIDS</t>
  </si>
  <si>
    <t>14FW JILLBY_01_CURVED_GY</t>
  </si>
  <si>
    <t>14FW JILLBY_02_CURVED_BG</t>
  </si>
  <si>
    <t>14FW JILLBY_04_CURVED_NV</t>
  </si>
  <si>
    <t>14FW JILLBY_06_CURVED_BK</t>
  </si>
  <si>
    <t>14FW JILLBY_03_CURVED_BK</t>
  </si>
  <si>
    <t>14FW JILLBY_05_CURVED_BK</t>
  </si>
  <si>
    <t>14FW JOIE BETE_33_BL_KIDS</t>
  </si>
  <si>
    <t>14FW JOIE BETE_34_YL_KIDS</t>
  </si>
  <si>
    <t>14FW JOIE BETE_35_GY_KIDS</t>
  </si>
  <si>
    <t>14FW JOIE BETE_36_PP_KIDS</t>
  </si>
  <si>
    <t>14FW JOIEBETE_KNIT_01_YL</t>
  </si>
  <si>
    <t>14FW JOIEBETE_KNIT_02_MT</t>
  </si>
  <si>
    <t>14FW JOIEBETE_KNIT_03_BL</t>
  </si>
  <si>
    <t>14FW JOIEBETE_KNIT_04_IV</t>
  </si>
  <si>
    <t>14FW JOIEBETE_KNIT_04_BL</t>
  </si>
  <si>
    <t>HADSOCK</t>
  </si>
  <si>
    <t>KIDS-52CM 같이 만듬</t>
  </si>
  <si>
    <t>KIDS-52CM /55CM 같이 만듬</t>
  </si>
  <si>
    <t>SN</t>
  </si>
  <si>
    <t>14FW ELS_14_SNAP_GR</t>
  </si>
  <si>
    <t>샘플감 4/15 발송</t>
  </si>
  <si>
    <t>14FW ELS_18_SNAP_GY</t>
  </si>
  <si>
    <t>14FW ELS_56_SNAP_BK</t>
  </si>
  <si>
    <t>14FW ELS_57_SNAP_BK</t>
  </si>
  <si>
    <t>14FW ELS_58_SNAP_BK</t>
  </si>
  <si>
    <t>14FW ELS_59_SNAP_BK</t>
  </si>
  <si>
    <t>14FW ELS_60_SNAP_GY</t>
  </si>
  <si>
    <t>14FW ELS_61_SNAP_GY</t>
  </si>
  <si>
    <t>14FW ELS_62_CURVED PK</t>
  </si>
  <si>
    <t>14FW ELS_63_SNAP_BK</t>
  </si>
  <si>
    <t>14FW ELS_64_SNAP_GY</t>
  </si>
  <si>
    <t>14FW ELS_65_SNAP_BK</t>
  </si>
  <si>
    <t>14FW ELS_66_SNAP_BK</t>
  </si>
  <si>
    <t>14FW ELS_67_FITTED_RD</t>
  </si>
  <si>
    <t>14FW ELS_68_FITTED_BK</t>
  </si>
  <si>
    <t>14FW ELS_69_FITTED_BK</t>
  </si>
  <si>
    <t>14FW ELS_70_HAT_BK</t>
  </si>
  <si>
    <t>샘플감 : 4/18 발송</t>
  </si>
  <si>
    <t>14FW ELS_71_HAT_BK</t>
  </si>
  <si>
    <t>14FW NCAA 5950_01_GR</t>
  </si>
  <si>
    <t>14FW NCAA 5950_01_GY</t>
  </si>
  <si>
    <t>14FW NCAA 5950_02_NV</t>
  </si>
  <si>
    <t>14FW NCAA 5950_03_GY</t>
  </si>
  <si>
    <t>14FW NCAA 5950_04_GY</t>
  </si>
  <si>
    <t>14FW NCAA 5950_06_BK</t>
  </si>
  <si>
    <t>14FW NCAA 5950_07_BK</t>
  </si>
  <si>
    <t>14FW NCAA 5950_08_GY</t>
  </si>
  <si>
    <t>14FW NCAA 5950_10_BL</t>
  </si>
  <si>
    <t>14FW NCAA 5950_05_RD</t>
  </si>
  <si>
    <t>14FW NCAA 5950_09_NV</t>
  </si>
  <si>
    <t>14FW NCAA 5950_11_BK</t>
  </si>
  <si>
    <t>14FW NCAA 5950_12_GR.CAMO</t>
  </si>
  <si>
    <t>14FW NCAA 5950_13_CAMO</t>
  </si>
  <si>
    <t>14FW NCAA 5950_14_BK</t>
  </si>
  <si>
    <t>PLA 요약</t>
  </si>
  <si>
    <t>NAA 요약</t>
  </si>
  <si>
    <t>DPS-의류 요약</t>
  </si>
  <si>
    <t>190001</t>
  </si>
  <si>
    <t>200405</t>
  </si>
  <si>
    <t>HADSOCK 요약</t>
  </si>
  <si>
    <t>SN 요약</t>
  </si>
  <si>
    <t>EVERICH</t>
    <phoneticPr fontId="3" type="noConversion"/>
  </si>
  <si>
    <t>14FW SMB_01_FLAT_GR_N</t>
  </si>
  <si>
    <t>14FW SMB_01_FLAT_NY_N</t>
  </si>
  <si>
    <t>5.2
（AA SPAN 4.8USD)</t>
  </si>
  <si>
    <t>14FWPB 08_FLAT_PK</t>
  </si>
  <si>
    <t>14FW PB 09_FLAT_BK</t>
  </si>
  <si>
    <t>14FW PB 10_FLAT_BK</t>
  </si>
  <si>
    <t>14FW PB 11_FLAT_BK</t>
  </si>
  <si>
    <t>14FW PB 12_FLAT_BW</t>
  </si>
  <si>
    <t>33장갑세트
2014-05-02</t>
  </si>
  <si>
    <t>14FW JILLBY_43_KH</t>
  </si>
  <si>
    <t>14FW JILLBY_44_BK</t>
  </si>
  <si>
    <t>14FW JILLBY_45_BK</t>
  </si>
  <si>
    <t>14FW JILLBY_45_KH</t>
  </si>
  <si>
    <t>14FW JILLBY_46_BK</t>
  </si>
  <si>
    <t>14FW JILLBY_47_BK</t>
  </si>
  <si>
    <t>14FW JILLBY_48_NV</t>
  </si>
  <si>
    <t>14FW-JILLBY-KNIT-44-PK-KIDS</t>
  </si>
  <si>
    <t>14FW-SMITH BRIDGE-KNIT-68-BL-KIDS</t>
  </si>
  <si>
    <t>14FW-SMITH BRIDGE-KNIT-68-RD-KIDS</t>
  </si>
  <si>
    <t>14FW-SMITH-BRIDGE-KNIT-69-MT-KIDS</t>
  </si>
  <si>
    <t>14FW-SMITH-BRIDGE-KNIT-70-RD-KIDS</t>
  </si>
  <si>
    <t>14FW-SMITH-BRIDGE-KNIT-71-PK</t>
  </si>
  <si>
    <t>14FW-SMITH-BRIDGE-KNIT-72-IV</t>
  </si>
  <si>
    <t>14FW-SMITH-BRIDGE-KNIT-73-GY</t>
  </si>
  <si>
    <t>14FW DISNEY 04_SNAP_RD(수정)</t>
  </si>
  <si>
    <t>14FW DISNEY 10_SNAP_NY</t>
  </si>
  <si>
    <t>14FW DISNEY 11_SNAP_GY</t>
  </si>
  <si>
    <t>14FW DISNEY 13_SNAP_NY</t>
  </si>
  <si>
    <t>14FW DISNEY 14_SNAP_GY</t>
  </si>
  <si>
    <t>14FW DISNEY 15_SNAP_BL</t>
  </si>
  <si>
    <t>PO 안됨, 샘플시 시간문제로 국내원단 = AD 감</t>
  </si>
  <si>
    <t>5/7 앞판 재 Q</t>
  </si>
  <si>
    <t>작업불가</t>
  </si>
  <si>
    <t>14FW JOIEBETE_KNIT_05_GY</t>
  </si>
  <si>
    <t>14FW JOIEBETE_KNIT_05_RD</t>
  </si>
  <si>
    <t xml:space="preserve">EVERRICH TEXTILE </t>
  </si>
  <si>
    <t>DPS-가방</t>
  </si>
  <si>
    <t>14FW DISNEY_BP_01_WH</t>
  </si>
  <si>
    <t>14FW DISNEY_BP_02_BK</t>
  </si>
  <si>
    <t>14FW DISNEY_BP_03_KH</t>
  </si>
  <si>
    <t>14FW DISNEY_BP_04_BK</t>
  </si>
  <si>
    <t>14FW DISNEY_BP_05_BK</t>
  </si>
  <si>
    <t>14FW DISNEY_BP_06_PP_KIDS</t>
  </si>
  <si>
    <t>14FW DISNEY_BP_07_PK_KIDS</t>
  </si>
  <si>
    <t>14FW DISNEY_BP_08_PK_KIDS</t>
  </si>
  <si>
    <t>14FW DISNEY_BP_09_NV_KIDS</t>
  </si>
  <si>
    <t>14FW BLACK MOOD_04_CURVED_BK</t>
  </si>
  <si>
    <t>14FW BLACK MOOD_05_BK</t>
  </si>
  <si>
    <t>14FW BLACK MOOD_06_BK</t>
  </si>
  <si>
    <t>14FW BLACK MOOD_07_BK</t>
  </si>
  <si>
    <t>14FW_URBAN SWAGGER_25_FLAT_GN</t>
  </si>
  <si>
    <t>14FW_URBAN SWAGGER_26_FLAT_BK</t>
  </si>
  <si>
    <t>14FW_URBAN SWAGGER_27_FLAT_BK</t>
  </si>
  <si>
    <t>14FW_URBAN SWAGGER_28_FLAT_BK</t>
  </si>
  <si>
    <t>14FW_URBAN SWAGGER_29_FLAT_KH</t>
  </si>
  <si>
    <t>14FW_URBAN SWAGGER_30_FLAT_BK</t>
  </si>
  <si>
    <t>14FW_URBAN SWAGGER_31_FLAT_BK</t>
  </si>
  <si>
    <t>14FW_URBAN SWAGGER_34_FLAT_BK</t>
  </si>
  <si>
    <t>14FW_URBAN SWAGGER_35_FLAT_RD</t>
  </si>
  <si>
    <t>14FW_URBAN SWAGGER_36_FLAT_BL</t>
  </si>
  <si>
    <t>14FW_URBAN SWAGGER_37_FLAT_YE</t>
  </si>
  <si>
    <t>14FW_URBAN SWAGGER_38_FLAT_BK</t>
  </si>
  <si>
    <t>14FW_URBAN SWAGGER_39_FLAT_GY</t>
  </si>
  <si>
    <t>14FW_URBAN SWAGGER_40_FLAT_MT</t>
  </si>
  <si>
    <t>14FW_URBAN SWAGGER_40_FLAT_WH</t>
  </si>
  <si>
    <t>14FW_URBAN SWAGGER_29_FLAT_NY</t>
  </si>
  <si>
    <t>14FW_URBAN SWAGGER_32_KNIT_BK</t>
  </si>
  <si>
    <t>14FW_URBAN SWAGGER_33_KNIT_BK</t>
  </si>
  <si>
    <t>14FW_URBAN SWAGGER_41_FLAT_WH</t>
  </si>
  <si>
    <t>14FW_URBAN SWAGGER_42_FLAT_BK</t>
  </si>
  <si>
    <t>14SS YG 2EN1_01_BK</t>
  </si>
  <si>
    <t>14SS YG 2EN1_02_PK</t>
  </si>
  <si>
    <t>URB-가방</t>
  </si>
  <si>
    <t>14FW_URBAN SWAGGER_01_BACKPACK_BK</t>
  </si>
  <si>
    <t>14FW_URBAN SWAGGER_02_BACKPACK_BK</t>
  </si>
  <si>
    <t>14FW_URBAN SWAGGER_03_BACKPACK_BK</t>
  </si>
  <si>
    <t>14FW_URBAN SWAGGER_04_BACKPACK_BK</t>
  </si>
  <si>
    <t>CANCEL</t>
  </si>
  <si>
    <t>수정</t>
  </si>
  <si>
    <t>ORDER</t>
  </si>
  <si>
    <t>14FW ELS BACKPACK_04_PP_KIDS (REVISED)</t>
  </si>
  <si>
    <t>14FW ELS BACKPACK_05_PK_TOD</t>
  </si>
  <si>
    <t>14FW ELS_72__EAR KNIT_GR_KIDS</t>
  </si>
  <si>
    <t>14FW ELS_73_TROOPER_BK_KIDS</t>
  </si>
  <si>
    <t>14FW ELS_74__EAR KNIT_BL_KIDS</t>
  </si>
  <si>
    <t>14FW ELS_74__EAR KNIT_PK_KIDS</t>
  </si>
  <si>
    <t>14FW ELS_75_TROOPER_NV_KIDS</t>
  </si>
  <si>
    <t>14FW ELS_75_TROOPER_PK_KIDS</t>
  </si>
  <si>
    <t>14FW ELS 76_KNIT_BK</t>
  </si>
  <si>
    <t>14FW ELS 76_KNIT_NV</t>
  </si>
  <si>
    <t>14FW ELS 77_KNIT_PK_KIDS</t>
  </si>
  <si>
    <t>14FW ELS 77_KNIT_BL_KIDS</t>
  </si>
  <si>
    <t>14FW ELS_78_KNIT_BK</t>
  </si>
  <si>
    <t>대경 견적 동시의뢰</t>
  </si>
  <si>
    <t>대경 동시의뢰
대경것만 들어왔음</t>
  </si>
  <si>
    <t>아트 동시의뢰</t>
  </si>
  <si>
    <t>아트인드림
동시의뢰</t>
  </si>
  <si>
    <t>피아필드 동시의뢰</t>
  </si>
  <si>
    <t>네오플레AIR원단</t>
  </si>
  <si>
    <t>3/19 사장님 캔슬</t>
  </si>
  <si>
    <t>아트인드림 동시의뢰</t>
  </si>
  <si>
    <t>시장기모원단</t>
  </si>
  <si>
    <t>시장덤브링원단</t>
  </si>
  <si>
    <t>기모담보루 승화전사</t>
  </si>
  <si>
    <t>전사+FLOCKING 기법</t>
  </si>
  <si>
    <t>DPS-가방 요약</t>
  </si>
  <si>
    <t>URB-가방 요약</t>
  </si>
  <si>
    <t>201406</t>
  </si>
  <si>
    <t>WA 요약</t>
  </si>
  <si>
    <t>EVERRICH TEXTILE  요약</t>
  </si>
  <si>
    <t>5월</t>
    <phoneticPr fontId="3" type="noConversion"/>
  </si>
  <si>
    <t>3/4월</t>
    <phoneticPr fontId="3" type="noConversion"/>
  </si>
  <si>
    <t>SV</t>
    <phoneticPr fontId="60" type="noConversion"/>
  </si>
  <si>
    <t>의류외</t>
    <phoneticPr fontId="60" type="noConversion"/>
  </si>
</sst>
</file>

<file path=xl/styles.xml><?xml version="1.0" encoding="utf-8"?>
<styleSheet xmlns="http://schemas.openxmlformats.org/spreadsheetml/2006/main">
  <numFmts count="16">
    <numFmt numFmtId="42" formatCode="_-&quot;₩&quot;* #,##0_-;\-&quot;₩&quot;* #,##0_-;_-&quot;₩&quot;* &quot;-&quot;_-;_-@_-"/>
    <numFmt numFmtId="41" formatCode="_-* #,##0_-;\-* #,##0_-;_-* &quot;-&quot;_-;_-@_-"/>
    <numFmt numFmtId="176" formatCode="_-* #,##0.0_-;\-* #,##0.0_-;_-* &quot;-&quot;_-;_-@_-"/>
    <numFmt numFmtId="177" formatCode="#,##0.0"/>
    <numFmt numFmtId="178" formatCode="mm\/dd"/>
    <numFmt numFmtId="179" formatCode="_-[$$-409]* #,##0.00_ ;_-[$$-409]* \-#,##0.00\ ;_-[$$-409]* &quot;-&quot;??_ ;_-@_ "/>
    <numFmt numFmtId="180" formatCode="m&quot;/&quot;d;@"/>
    <numFmt numFmtId="181" formatCode="_(* #,##0_);_(* \(#,##0\);_(* &quot;-&quot;_);_(@_)"/>
    <numFmt numFmtId="182" formatCode="&quot;₩&quot;#,##0"/>
    <numFmt numFmtId="183" formatCode="_ * #,##0_ ;_ * \-#,##0_ ;_ * &quot;-&quot;_ ;_ @_ "/>
    <numFmt numFmtId="184" formatCode="_ * #,##0.00_ ;_ * \-#,##0.00_ ;_ * &quot;-&quot;??_ ;_ @_ "/>
    <numFmt numFmtId="185" formatCode="_(&quot;$&quot;* #,##0.00_);_(&quot;$&quot;* \(#,##0.00\);_(&quot;$&quot;* &quot;-&quot;??_);_(@_)"/>
    <numFmt numFmtId="186" formatCode="yy\/mm\/dd"/>
    <numFmt numFmtId="187" formatCode="#,##0_);[Red]\(#,##0\)"/>
    <numFmt numFmtId="188" formatCode="0&quot;일&quot;"/>
    <numFmt numFmtId="189" formatCode="0_ "/>
  </numFmts>
  <fonts count="75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1"/>
      <color indexed="8"/>
      <name val="宋体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0"/>
      <name val="Arial"/>
      <family val="2"/>
    </font>
    <font>
      <sz val="12"/>
      <name val="宋体"/>
      <family val="3"/>
      <charset val="129"/>
    </font>
    <font>
      <sz val="10"/>
      <name val="Verdana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name val="돋움"/>
      <family val="3"/>
      <charset val="129"/>
    </font>
    <font>
      <sz val="11"/>
      <color indexed="14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sz val="11"/>
      <name val="돋움체"/>
      <family val="3"/>
      <charset val="129"/>
    </font>
    <font>
      <b/>
      <sz val="11"/>
      <name val="돋움체"/>
      <family val="3"/>
      <charset val="129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sz val="11"/>
      <color rgb="FFFF0000"/>
      <name val="돋움체"/>
      <family val="3"/>
      <charset val="129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돋움체"/>
      <family val="3"/>
      <charset val="129"/>
    </font>
  </fonts>
  <fills count="4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6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/>
      <bottom style="double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 style="thin">
        <color auto="1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 style="thin">
        <color auto="1"/>
      </left>
      <right/>
      <top style="thick">
        <color rgb="FF0070C0"/>
      </top>
      <bottom style="thick">
        <color rgb="FF0070C0"/>
      </bottom>
      <diagonal/>
    </border>
    <border>
      <left/>
      <right/>
      <top style="thick">
        <color rgb="FF0070C0"/>
      </top>
      <bottom style="thick">
        <color rgb="FF0070C0"/>
      </bottom>
      <diagonal/>
    </border>
  </borders>
  <cellStyleXfs count="2819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6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17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9" fontId="2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4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6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8" fillId="0" borderId="0">
      <alignment vertical="center"/>
    </xf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/>
    <xf numFmtId="0" fontId="26" fillId="0" borderId="0">
      <alignment vertical="center"/>
    </xf>
    <xf numFmtId="0" fontId="25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/>
    <xf numFmtId="0" fontId="26" fillId="0" borderId="0">
      <alignment vertical="center"/>
    </xf>
    <xf numFmtId="0" fontId="25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/>
    <xf numFmtId="0" fontId="26" fillId="0" borderId="0">
      <alignment vertical="center"/>
    </xf>
    <xf numFmtId="0" fontId="25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/>
    <xf numFmtId="0" fontId="26" fillId="0" borderId="0">
      <alignment vertical="center"/>
    </xf>
    <xf numFmtId="0" fontId="25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/>
    <xf numFmtId="0" fontId="26" fillId="0" borderId="0">
      <alignment vertical="center"/>
    </xf>
    <xf numFmtId="0" fontId="25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/>
    <xf numFmtId="0" fontId="26" fillId="0" borderId="0">
      <alignment vertical="center"/>
    </xf>
    <xf numFmtId="0" fontId="25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/>
    <xf numFmtId="0" fontId="24" fillId="0" borderId="0"/>
    <xf numFmtId="0" fontId="25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8" fillId="0" borderId="0">
      <alignment vertical="center"/>
    </xf>
    <xf numFmtId="0" fontId="23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/>
    <xf numFmtId="0" fontId="25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4" fillId="0" borderId="0"/>
    <xf numFmtId="0" fontId="26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6" fillId="0" borderId="0">
      <alignment vertical="center"/>
    </xf>
    <xf numFmtId="0" fontId="2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181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80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81" fontId="2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8" fillId="8" borderId="13" applyNumberFormat="0" applyAlignment="0" applyProtection="0">
      <alignment vertical="center"/>
    </xf>
    <xf numFmtId="0" fontId="28" fillId="8" borderId="13" applyNumberFormat="0" applyAlignment="0" applyProtection="0">
      <alignment vertical="center"/>
    </xf>
    <xf numFmtId="0" fontId="28" fillId="8" borderId="13" applyNumberFormat="0" applyAlignment="0" applyProtection="0">
      <alignment vertical="center"/>
    </xf>
    <xf numFmtId="0" fontId="28" fillId="8" borderId="13" applyNumberFormat="0" applyAlignment="0" applyProtection="0">
      <alignment vertical="center"/>
    </xf>
    <xf numFmtId="0" fontId="28" fillId="8" borderId="13" applyNumberFormat="0" applyAlignment="0" applyProtection="0">
      <alignment vertical="center"/>
    </xf>
    <xf numFmtId="0" fontId="28" fillId="8" borderId="13" applyNumberFormat="0" applyAlignment="0" applyProtection="0">
      <alignment vertical="center"/>
    </xf>
    <xf numFmtId="0" fontId="28" fillId="8" borderId="13" applyNumberFormat="0" applyAlignment="0" applyProtection="0">
      <alignment vertical="center"/>
    </xf>
    <xf numFmtId="0" fontId="28" fillId="8" borderId="13" applyNumberFormat="0" applyAlignment="0" applyProtection="0">
      <alignment vertical="center"/>
    </xf>
    <xf numFmtId="0" fontId="28" fillId="8" borderId="13" applyNumberFormat="0" applyAlignment="0" applyProtection="0">
      <alignment vertical="center"/>
    </xf>
    <xf numFmtId="0" fontId="28" fillId="8" borderId="13" applyNumberFormat="0" applyAlignment="0" applyProtection="0">
      <alignment vertical="center"/>
    </xf>
    <xf numFmtId="0" fontId="28" fillId="8" borderId="13" applyNumberFormat="0" applyAlignment="0" applyProtection="0">
      <alignment vertical="center"/>
    </xf>
    <xf numFmtId="0" fontId="26" fillId="10" borderId="14" applyNumberFormat="0" applyFont="0" applyAlignment="0" applyProtection="0">
      <alignment vertical="center"/>
    </xf>
    <xf numFmtId="0" fontId="26" fillId="10" borderId="14" applyNumberFormat="0" applyFont="0" applyAlignment="0" applyProtection="0">
      <alignment vertical="center"/>
    </xf>
    <xf numFmtId="0" fontId="26" fillId="10" borderId="14" applyNumberFormat="0" applyFont="0" applyAlignment="0" applyProtection="0">
      <alignment vertical="center"/>
    </xf>
    <xf numFmtId="0" fontId="26" fillId="10" borderId="14" applyNumberFormat="0" applyFont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183" fontId="26" fillId="0" borderId="0" applyFont="0" applyFill="0" applyBorder="0" applyAlignment="0" applyProtection="0">
      <alignment vertical="center"/>
    </xf>
    <xf numFmtId="183" fontId="26" fillId="0" borderId="0" applyFont="0" applyFill="0" applyBorder="0" applyAlignment="0" applyProtection="0">
      <alignment vertical="center"/>
    </xf>
    <xf numFmtId="183" fontId="26" fillId="0" borderId="0" applyFont="0" applyFill="0" applyBorder="0" applyAlignment="0" applyProtection="0">
      <alignment vertical="center"/>
    </xf>
    <xf numFmtId="183" fontId="26" fillId="0" borderId="0" applyFont="0" applyFill="0" applyBorder="0" applyAlignment="0" applyProtection="0">
      <alignment vertical="center"/>
    </xf>
    <xf numFmtId="183" fontId="26" fillId="0" borderId="0" applyFont="0" applyFill="0" applyBorder="0" applyAlignment="0" applyProtection="0">
      <alignment vertical="center"/>
    </xf>
    <xf numFmtId="0" fontId="31" fillId="9" borderId="16" applyNumberFormat="0" applyAlignment="0" applyProtection="0">
      <alignment vertical="center"/>
    </xf>
    <xf numFmtId="0" fontId="31" fillId="9" borderId="16" applyNumberFormat="0" applyAlignment="0" applyProtection="0">
      <alignment vertical="center"/>
    </xf>
    <xf numFmtId="0" fontId="31" fillId="9" borderId="16" applyNumberFormat="0" applyAlignment="0" applyProtection="0">
      <alignment vertical="center"/>
    </xf>
    <xf numFmtId="0" fontId="31" fillId="9" borderId="16" applyNumberFormat="0" applyAlignment="0" applyProtection="0">
      <alignment vertical="center"/>
    </xf>
    <xf numFmtId="0" fontId="31" fillId="9" borderId="16" applyNumberFormat="0" applyAlignment="0" applyProtection="0">
      <alignment vertical="center"/>
    </xf>
    <xf numFmtId="0" fontId="31" fillId="9" borderId="16" applyNumberFormat="0" applyAlignment="0" applyProtection="0">
      <alignment vertical="center"/>
    </xf>
    <xf numFmtId="0" fontId="31" fillId="9" borderId="16" applyNumberFormat="0" applyAlignment="0" applyProtection="0">
      <alignment vertical="center"/>
    </xf>
    <xf numFmtId="0" fontId="31" fillId="9" borderId="16" applyNumberFormat="0" applyAlignment="0" applyProtection="0">
      <alignment vertical="center"/>
    </xf>
    <xf numFmtId="0" fontId="31" fillId="9" borderId="16" applyNumberFormat="0" applyAlignment="0" applyProtection="0">
      <alignment vertical="center"/>
    </xf>
    <xf numFmtId="0" fontId="31" fillId="9" borderId="16" applyNumberFormat="0" applyAlignment="0" applyProtection="0">
      <alignment vertical="center"/>
    </xf>
    <xf numFmtId="0" fontId="31" fillId="9" borderId="16" applyNumberFormat="0" applyAlignment="0" applyProtection="0">
      <alignment vertical="center"/>
    </xf>
    <xf numFmtId="183" fontId="32" fillId="0" borderId="0" applyFont="0" applyFill="0" applyBorder="0" applyAlignment="0" applyProtection="0"/>
    <xf numFmtId="184" fontId="32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185" fontId="25" fillId="0" borderId="0" applyFont="0" applyFill="0" applyBorder="0" applyAlignment="0" applyProtection="0"/>
    <xf numFmtId="0" fontId="33" fillId="0" borderId="0" applyFont="0" applyFill="0" applyBorder="0" applyAlignment="0" applyProtection="0"/>
    <xf numFmtId="185" fontId="25" fillId="0" borderId="0" applyFont="0" applyFill="0" applyBorder="0" applyAlignment="0" applyProtection="0"/>
    <xf numFmtId="0" fontId="5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3" fillId="0" borderId="0"/>
    <xf numFmtId="0" fontId="33" fillId="0" borderId="0"/>
    <xf numFmtId="0" fontId="5" fillId="0" borderId="0">
      <alignment vertical="center"/>
    </xf>
    <xf numFmtId="0" fontId="33" fillId="0" borderId="0"/>
    <xf numFmtId="0" fontId="5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3" fillId="0" borderId="0"/>
    <xf numFmtId="0" fontId="5" fillId="0" borderId="0">
      <alignment vertical="center"/>
    </xf>
    <xf numFmtId="0" fontId="5" fillId="0" borderId="0">
      <alignment vertical="center"/>
    </xf>
    <xf numFmtId="0" fontId="33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0" borderId="0"/>
    <xf numFmtId="0" fontId="8" fillId="0" borderId="0">
      <alignment vertical="center"/>
    </xf>
    <xf numFmtId="0" fontId="5" fillId="0" borderId="0">
      <alignment vertical="center"/>
    </xf>
    <xf numFmtId="0" fontId="33" fillId="0" borderId="0"/>
    <xf numFmtId="0" fontId="5" fillId="0" borderId="0">
      <alignment vertical="center"/>
    </xf>
    <xf numFmtId="0" fontId="33" fillId="0" borderId="0"/>
    <xf numFmtId="0" fontId="5" fillId="0" borderId="0">
      <alignment vertical="center"/>
    </xf>
    <xf numFmtId="0" fontId="33" fillId="0" borderId="0"/>
    <xf numFmtId="0" fontId="5" fillId="0" borderId="0">
      <alignment vertical="center"/>
    </xf>
    <xf numFmtId="0" fontId="33" fillId="0" borderId="0"/>
    <xf numFmtId="0" fontId="5" fillId="0" borderId="0">
      <alignment vertical="center"/>
    </xf>
    <xf numFmtId="0" fontId="33" fillId="0" borderId="0"/>
    <xf numFmtId="0" fontId="5" fillId="0" borderId="0">
      <alignment vertical="center"/>
    </xf>
    <xf numFmtId="0" fontId="33" fillId="0" borderId="0"/>
    <xf numFmtId="0" fontId="5" fillId="0" borderId="0">
      <alignment vertical="center"/>
    </xf>
    <xf numFmtId="0" fontId="33" fillId="0" borderId="0"/>
    <xf numFmtId="0" fontId="2" fillId="0" borderId="0">
      <alignment vertical="center"/>
    </xf>
    <xf numFmtId="0" fontId="10" fillId="0" borderId="0" applyAlignment="0">
      <alignment vertical="top" wrapText="1"/>
      <protection locked="0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5" fillId="0" borderId="0">
      <alignment vertical="center"/>
    </xf>
    <xf numFmtId="0" fontId="25" fillId="0" borderId="0"/>
    <xf numFmtId="0" fontId="25" fillId="0" borderId="0"/>
    <xf numFmtId="0" fontId="5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0" borderId="0"/>
    <xf numFmtId="0" fontId="5" fillId="0" borderId="0">
      <alignment vertical="center"/>
    </xf>
    <xf numFmtId="0" fontId="27" fillId="0" borderId="0"/>
    <xf numFmtId="0" fontId="5" fillId="0" borderId="0">
      <alignment vertical="center"/>
    </xf>
    <xf numFmtId="0" fontId="33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4" fillId="0" borderId="0"/>
    <xf numFmtId="0" fontId="3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0"/>
    <xf numFmtId="0" fontId="5" fillId="0" borderId="0">
      <alignment vertical="center"/>
    </xf>
    <xf numFmtId="0" fontId="27" fillId="0" borderId="0"/>
    <xf numFmtId="0" fontId="5" fillId="0" borderId="0">
      <alignment vertical="center"/>
    </xf>
    <xf numFmtId="0" fontId="2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5" fillId="0" borderId="0">
      <alignment vertical="center"/>
    </xf>
    <xf numFmtId="0" fontId="5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3" fillId="0" borderId="0"/>
    <xf numFmtId="0" fontId="33" fillId="0" borderId="0"/>
    <xf numFmtId="0" fontId="5" fillId="0" borderId="0">
      <alignment vertical="center"/>
    </xf>
    <xf numFmtId="0" fontId="33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4" fillId="0" borderId="0">
      <alignment vertical="center"/>
    </xf>
    <xf numFmtId="0" fontId="2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2" fillId="0" borderId="0"/>
    <xf numFmtId="0" fontId="5" fillId="0" borderId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4" borderId="0" applyNumberFormat="0" applyBorder="0" applyAlignment="0" applyProtection="0"/>
    <xf numFmtId="0" fontId="37" fillId="4" borderId="0" applyNumberFormat="0" applyBorder="0" applyAlignment="0" applyProtection="0"/>
    <xf numFmtId="0" fontId="38" fillId="15" borderId="13" applyNumberFormat="0" applyAlignment="0" applyProtection="0"/>
    <xf numFmtId="0" fontId="39" fillId="25" borderId="17" applyNumberFormat="0" applyAlignment="0" applyProtection="0"/>
    <xf numFmtId="0" fontId="40" fillId="0" borderId="0" applyNumberFormat="0" applyFill="0" applyBorder="0" applyAlignment="0" applyProtection="0"/>
    <xf numFmtId="0" fontId="41" fillId="5" borderId="0" applyNumberFormat="0" applyBorder="0" applyAlignment="0" applyProtection="0"/>
    <xf numFmtId="0" fontId="42" fillId="0" borderId="18" applyNumberFormat="0" applyFill="0" applyAlignment="0" applyProtection="0"/>
    <xf numFmtId="0" fontId="43" fillId="0" borderId="11" applyNumberFormat="0" applyFill="0" applyAlignment="0" applyProtection="0"/>
    <xf numFmtId="0" fontId="44" fillId="0" borderId="19" applyNumberFormat="0" applyFill="0" applyAlignment="0" applyProtection="0"/>
    <xf numFmtId="0" fontId="44" fillId="0" borderId="0" applyNumberFormat="0" applyFill="0" applyBorder="0" applyAlignment="0" applyProtection="0"/>
    <xf numFmtId="0" fontId="45" fillId="8" borderId="13" applyNumberFormat="0" applyAlignment="0" applyProtection="0"/>
    <xf numFmtId="0" fontId="46" fillId="0" borderId="20"/>
    <xf numFmtId="0" fontId="47" fillId="0" borderId="21" applyNumberFormat="0" applyFill="0" applyAlignment="0" applyProtection="0"/>
    <xf numFmtId="0" fontId="48" fillId="16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9" fillId="10" borderId="14" applyNumberFormat="0" applyFont="0" applyAlignment="0" applyProtection="0"/>
    <xf numFmtId="0" fontId="49" fillId="15" borderId="16" applyNumberFormat="0" applyAlignment="0" applyProtection="0"/>
    <xf numFmtId="9" fontId="25" fillId="0" borderId="0" applyFon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22" applyNumberFormat="0" applyFill="0" applyAlignment="0" applyProtection="0"/>
    <xf numFmtId="0" fontId="52" fillId="0" borderId="0" applyNumberFormat="0" applyFill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25" borderId="17" applyNumberFormat="0" applyAlignment="0" applyProtection="0">
      <alignment vertical="center"/>
    </xf>
    <xf numFmtId="0" fontId="54" fillId="25" borderId="17" applyNumberFormat="0" applyAlignment="0" applyProtection="0">
      <alignment vertical="center"/>
    </xf>
    <xf numFmtId="0" fontId="54" fillId="25" borderId="17" applyNumberFormat="0" applyAlignment="0" applyProtection="0">
      <alignment vertical="center"/>
    </xf>
    <xf numFmtId="0" fontId="54" fillId="25" borderId="17" applyNumberFormat="0" applyAlignment="0" applyProtection="0">
      <alignment vertical="center"/>
    </xf>
    <xf numFmtId="0" fontId="54" fillId="25" borderId="17" applyNumberFormat="0" applyAlignment="0" applyProtection="0">
      <alignment vertical="center"/>
    </xf>
    <xf numFmtId="0" fontId="54" fillId="25" borderId="17" applyNumberFormat="0" applyAlignment="0" applyProtection="0">
      <alignment vertical="center"/>
    </xf>
    <xf numFmtId="0" fontId="54" fillId="25" borderId="17" applyNumberFormat="0" applyAlignment="0" applyProtection="0">
      <alignment vertical="center"/>
    </xf>
    <xf numFmtId="0" fontId="54" fillId="25" borderId="17" applyNumberFormat="0" applyAlignment="0" applyProtection="0">
      <alignment vertical="center"/>
    </xf>
    <xf numFmtId="0" fontId="54" fillId="25" borderId="17" applyNumberFormat="0" applyAlignment="0" applyProtection="0">
      <alignment vertical="center"/>
    </xf>
    <xf numFmtId="0" fontId="54" fillId="25" borderId="17" applyNumberFormat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6" fillId="10" borderId="14" applyNumberFormat="0" applyFont="0" applyAlignment="0" applyProtection="0">
      <alignment vertical="center"/>
    </xf>
    <xf numFmtId="0" fontId="56" fillId="10" borderId="14" applyNumberFormat="0" applyFont="0" applyAlignment="0" applyProtection="0">
      <alignment vertical="center"/>
    </xf>
    <xf numFmtId="0" fontId="56" fillId="10" borderId="14" applyNumberFormat="0" applyFont="0" applyAlignment="0" applyProtection="0">
      <alignment vertical="center"/>
    </xf>
    <xf numFmtId="0" fontId="56" fillId="10" borderId="14" applyNumberFormat="0" applyFont="0" applyAlignment="0" applyProtection="0">
      <alignment vertical="center"/>
    </xf>
    <xf numFmtId="0" fontId="56" fillId="10" borderId="14" applyNumberFormat="0" applyFont="0" applyAlignment="0" applyProtection="0">
      <alignment vertical="center"/>
    </xf>
    <xf numFmtId="0" fontId="56" fillId="10" borderId="14" applyNumberFormat="0" applyFont="0" applyAlignment="0" applyProtection="0">
      <alignment vertical="center"/>
    </xf>
    <xf numFmtId="0" fontId="56" fillId="10" borderId="14" applyNumberFormat="0" applyFont="0" applyAlignment="0" applyProtection="0">
      <alignment vertical="center"/>
    </xf>
    <xf numFmtId="0" fontId="56" fillId="10" borderId="14" applyNumberFormat="0" applyFont="0" applyAlignment="0" applyProtection="0">
      <alignment vertical="center"/>
    </xf>
    <xf numFmtId="0" fontId="56" fillId="10" borderId="14" applyNumberFormat="0" applyFont="0" applyAlignment="0" applyProtection="0">
      <alignment vertical="center"/>
    </xf>
    <xf numFmtId="0" fontId="56" fillId="10" borderId="14" applyNumberFormat="0" applyFont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392">
    <xf numFmtId="0" fontId="0" fillId="0" borderId="0" xfId="0">
      <alignment vertical="center"/>
    </xf>
    <xf numFmtId="0" fontId="7" fillId="2" borderId="0" xfId="0" applyFont="1" applyFill="1" applyBorder="1" applyAlignment="1">
      <alignment horizontal="center" vertical="center" wrapText="1"/>
    </xf>
    <xf numFmtId="177" fontId="7" fillId="2" borderId="0" xfId="0" applyNumberFormat="1" applyFont="1" applyFill="1" applyBorder="1" applyAlignment="1">
      <alignment horizontal="center" vertical="center" wrapText="1"/>
    </xf>
    <xf numFmtId="178" fontId="7" fillId="2" borderId="0" xfId="0" applyNumberFormat="1" applyFont="1" applyFill="1" applyBorder="1" applyAlignment="1">
      <alignment horizontal="center" vertical="center" wrapText="1"/>
    </xf>
    <xf numFmtId="179" fontId="7" fillId="2" borderId="0" xfId="0" applyNumberFormat="1" applyFont="1" applyFill="1" applyBorder="1" applyAlignment="1">
      <alignment horizontal="center" vertical="center" wrapText="1"/>
    </xf>
    <xf numFmtId="42" fontId="7" fillId="2" borderId="0" xfId="0" applyNumberFormat="1" applyFont="1" applyFill="1" applyBorder="1" applyAlignment="1">
      <alignment horizontal="center" vertical="center" wrapText="1"/>
    </xf>
    <xf numFmtId="180" fontId="7" fillId="2" borderId="0" xfId="0" applyNumberFormat="1" applyFont="1" applyFill="1" applyBorder="1" applyAlignment="1">
      <alignment horizontal="center" vertical="center" wrapText="1"/>
    </xf>
    <xf numFmtId="176" fontId="6" fillId="2" borderId="0" xfId="1" applyNumberFormat="1" applyFont="1" applyFill="1">
      <alignment vertical="center"/>
    </xf>
    <xf numFmtId="0" fontId="6" fillId="0" borderId="0" xfId="0" applyFont="1">
      <alignment vertical="center"/>
    </xf>
    <xf numFmtId="177" fontId="6" fillId="0" borderId="0" xfId="0" applyNumberFormat="1" applyFont="1">
      <alignment vertical="center"/>
    </xf>
    <xf numFmtId="178" fontId="6" fillId="0" borderId="0" xfId="0" applyNumberFormat="1" applyFont="1">
      <alignment vertical="center"/>
    </xf>
    <xf numFmtId="176" fontId="6" fillId="0" borderId="0" xfId="1" applyNumberFormat="1" applyFont="1">
      <alignment vertical="center"/>
    </xf>
    <xf numFmtId="176" fontId="6" fillId="2" borderId="0" xfId="1" applyNumberFormat="1" applyFont="1" applyFill="1" applyAlignment="1">
      <alignment horizontal="center" vertical="center"/>
    </xf>
    <xf numFmtId="176" fontId="6" fillId="0" borderId="0" xfId="1" applyNumberFormat="1" applyFont="1" applyFill="1">
      <alignment vertical="center"/>
    </xf>
    <xf numFmtId="0" fontId="6" fillId="0" borderId="0" xfId="0" applyFont="1" applyFill="1">
      <alignment vertical="center"/>
    </xf>
    <xf numFmtId="177" fontId="6" fillId="0" borderId="0" xfId="0" applyNumberFormat="1" applyFont="1" applyFill="1">
      <alignment vertical="center"/>
    </xf>
    <xf numFmtId="178" fontId="6" fillId="0" borderId="0" xfId="0" applyNumberFormat="1" applyFont="1" applyFill="1">
      <alignment vertical="center"/>
    </xf>
    <xf numFmtId="186" fontId="6" fillId="2" borderId="0" xfId="1" applyNumberFormat="1" applyFont="1" applyFill="1">
      <alignment vertical="center"/>
    </xf>
    <xf numFmtId="186" fontId="6" fillId="0" borderId="0" xfId="1" applyNumberFormat="1" applyFont="1">
      <alignment vertical="center"/>
    </xf>
    <xf numFmtId="176" fontId="6" fillId="2" borderId="0" xfId="1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3" fillId="0" borderId="0" xfId="2816" applyFont="1">
      <alignment vertical="center"/>
    </xf>
    <xf numFmtId="0" fontId="63" fillId="0" borderId="0" xfId="2816" applyFont="1" applyAlignment="1">
      <alignment vertical="center" wrapText="1"/>
    </xf>
    <xf numFmtId="0" fontId="6" fillId="2" borderId="27" xfId="2816" applyFont="1" applyFill="1" applyBorder="1" applyAlignment="1">
      <alignment horizontal="center" vertical="center" wrapText="1"/>
    </xf>
    <xf numFmtId="0" fontId="6" fillId="0" borderId="27" xfId="2816" applyFont="1" applyBorder="1">
      <alignment vertical="center"/>
    </xf>
    <xf numFmtId="0" fontId="6" fillId="2" borderId="27" xfId="2816" applyFont="1" applyFill="1" applyBorder="1">
      <alignment vertical="center"/>
    </xf>
    <xf numFmtId="0" fontId="63" fillId="0" borderId="0" xfId="2816" applyFont="1" applyAlignment="1">
      <alignment vertical="center"/>
    </xf>
    <xf numFmtId="0" fontId="65" fillId="0" borderId="0" xfId="2816" applyFont="1" applyAlignment="1">
      <alignment vertical="center"/>
    </xf>
    <xf numFmtId="0" fontId="65" fillId="0" borderId="0" xfId="2816" applyFont="1" applyAlignment="1">
      <alignment vertical="center" wrapText="1"/>
    </xf>
    <xf numFmtId="0" fontId="6" fillId="31" borderId="27" xfId="2816" applyFont="1" applyFill="1" applyBorder="1">
      <alignment vertical="center"/>
    </xf>
    <xf numFmtId="0" fontId="63" fillId="2" borderId="27" xfId="2816" applyFont="1" applyFill="1" applyBorder="1" applyAlignment="1">
      <alignment horizontal="center" vertical="center" wrapText="1"/>
    </xf>
    <xf numFmtId="0" fontId="66" fillId="0" borderId="0" xfId="2816" applyFont="1">
      <alignment vertical="center"/>
    </xf>
    <xf numFmtId="0" fontId="66" fillId="2" borderId="27" xfId="2816" applyFont="1" applyFill="1" applyBorder="1">
      <alignment vertical="center"/>
    </xf>
    <xf numFmtId="9" fontId="66" fillId="0" borderId="27" xfId="2817" applyFont="1" applyBorder="1">
      <alignment vertical="center"/>
    </xf>
    <xf numFmtId="9" fontId="66" fillId="30" borderId="27" xfId="2817" applyFont="1" applyFill="1" applyBorder="1">
      <alignment vertical="center"/>
    </xf>
    <xf numFmtId="9" fontId="66" fillId="2" borderId="27" xfId="2817" applyFont="1" applyFill="1" applyBorder="1">
      <alignment vertical="center"/>
    </xf>
    <xf numFmtId="9" fontId="66" fillId="0" borderId="0" xfId="2817" applyFont="1">
      <alignment vertical="center"/>
    </xf>
    <xf numFmtId="9" fontId="66" fillId="0" borderId="27" xfId="2817" applyFont="1" applyFill="1" applyBorder="1">
      <alignment vertical="center"/>
    </xf>
    <xf numFmtId="0" fontId="6" fillId="0" borderId="1" xfId="0" applyFont="1" applyBorder="1">
      <alignment vertical="center"/>
    </xf>
    <xf numFmtId="0" fontId="6" fillId="0" borderId="8" xfId="0" applyFont="1" applyBorder="1">
      <alignment vertical="center"/>
    </xf>
    <xf numFmtId="0" fontId="6" fillId="0" borderId="1" xfId="0" pivotButton="1" applyFont="1" applyBorder="1">
      <alignment vertical="center"/>
    </xf>
    <xf numFmtId="0" fontId="6" fillId="0" borderId="2" xfId="0" applyFont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4" fontId="6" fillId="0" borderId="1" xfId="0" applyNumberFormat="1" applyFont="1" applyBorder="1">
      <alignment vertical="center"/>
    </xf>
    <xf numFmtId="14" fontId="6" fillId="0" borderId="1" xfId="0" applyNumberFormat="1" applyFont="1" applyFill="1" applyBorder="1">
      <alignment vertical="center"/>
    </xf>
    <xf numFmtId="177" fontId="6" fillId="0" borderId="1" xfId="0" applyNumberFormat="1" applyFont="1" applyBorder="1">
      <alignment vertical="center"/>
    </xf>
    <xf numFmtId="177" fontId="6" fillId="0" borderId="3" xfId="0" applyNumberFormat="1" applyFont="1" applyBorder="1">
      <alignment vertical="center"/>
    </xf>
    <xf numFmtId="0" fontId="6" fillId="0" borderId="9" xfId="0" applyFont="1" applyBorder="1">
      <alignment vertical="center"/>
    </xf>
    <xf numFmtId="0" fontId="6" fillId="30" borderId="1" xfId="0" applyFont="1" applyFill="1" applyBorder="1">
      <alignment vertical="center"/>
    </xf>
    <xf numFmtId="0" fontId="6" fillId="30" borderId="8" xfId="0" applyFont="1" applyFill="1" applyBorder="1">
      <alignment vertical="center"/>
    </xf>
    <xf numFmtId="177" fontId="6" fillId="30" borderId="1" xfId="0" applyNumberFormat="1" applyFont="1" applyFill="1" applyBorder="1">
      <alignment vertical="center"/>
    </xf>
    <xf numFmtId="177" fontId="6" fillId="30" borderId="3" xfId="0" applyNumberFormat="1" applyFont="1" applyFill="1" applyBorder="1">
      <alignment vertical="center"/>
    </xf>
    <xf numFmtId="0" fontId="6" fillId="32" borderId="1" xfId="0" applyFont="1" applyFill="1" applyBorder="1">
      <alignment vertical="center"/>
    </xf>
    <xf numFmtId="0" fontId="6" fillId="32" borderId="8" xfId="0" applyFont="1" applyFill="1" applyBorder="1">
      <alignment vertical="center"/>
    </xf>
    <xf numFmtId="177" fontId="6" fillId="32" borderId="1" xfId="0" applyNumberFormat="1" applyFont="1" applyFill="1" applyBorder="1">
      <alignment vertical="center"/>
    </xf>
    <xf numFmtId="177" fontId="6" fillId="32" borderId="3" xfId="0" applyNumberFormat="1" applyFont="1" applyFill="1" applyBorder="1">
      <alignment vertical="center"/>
    </xf>
    <xf numFmtId="0" fontId="6" fillId="28" borderId="6" xfId="0" applyFont="1" applyFill="1" applyBorder="1">
      <alignment vertical="center"/>
    </xf>
    <xf numFmtId="0" fontId="6" fillId="28" borderId="23" xfId="0" applyFont="1" applyFill="1" applyBorder="1">
      <alignment vertical="center"/>
    </xf>
    <xf numFmtId="177" fontId="6" fillId="28" borderId="6" xfId="0" applyNumberFormat="1" applyFont="1" applyFill="1" applyBorder="1">
      <alignment vertical="center"/>
    </xf>
    <xf numFmtId="177" fontId="6" fillId="28" borderId="7" xfId="0" applyNumberFormat="1" applyFont="1" applyFill="1" applyBorder="1">
      <alignment vertical="center"/>
    </xf>
    <xf numFmtId="0" fontId="67" fillId="0" borderId="0" xfId="0" applyFont="1">
      <alignment vertical="center"/>
    </xf>
    <xf numFmtId="3" fontId="6" fillId="0" borderId="1" xfId="0" applyNumberFormat="1" applyFont="1" applyBorder="1">
      <alignment vertical="center"/>
    </xf>
    <xf numFmtId="3" fontId="6" fillId="0" borderId="3" xfId="0" applyNumberFormat="1" applyFont="1" applyBorder="1">
      <alignment vertical="center"/>
    </xf>
    <xf numFmtId="0" fontId="6" fillId="0" borderId="4" xfId="0" applyFont="1" applyBorder="1">
      <alignment vertical="center"/>
    </xf>
    <xf numFmtId="3" fontId="6" fillId="0" borderId="4" xfId="0" applyNumberFormat="1" applyFont="1" applyBorder="1">
      <alignment vertical="center"/>
    </xf>
    <xf numFmtId="3" fontId="6" fillId="0" borderId="5" xfId="0" applyNumberFormat="1" applyFont="1" applyBorder="1">
      <alignment vertical="center"/>
    </xf>
    <xf numFmtId="3" fontId="6" fillId="30" borderId="3" xfId="0" applyNumberFormat="1" applyFont="1" applyFill="1" applyBorder="1">
      <alignment vertical="center"/>
    </xf>
    <xf numFmtId="3" fontId="6" fillId="28" borderId="6" xfId="0" applyNumberFormat="1" applyFont="1" applyFill="1" applyBorder="1">
      <alignment vertical="center"/>
    </xf>
    <xf numFmtId="3" fontId="6" fillId="28" borderId="7" xfId="0" applyNumberFormat="1" applyFont="1" applyFill="1" applyBorder="1">
      <alignment vertical="center"/>
    </xf>
    <xf numFmtId="0" fontId="6" fillId="0" borderId="1" xfId="0" applyNumberFormat="1" applyFont="1" applyBorder="1">
      <alignment vertical="center"/>
    </xf>
    <xf numFmtId="0" fontId="6" fillId="0" borderId="4" xfId="0" applyNumberFormat="1" applyFont="1" applyBorder="1">
      <alignment vertical="center"/>
    </xf>
    <xf numFmtId="0" fontId="6" fillId="30" borderId="1" xfId="0" applyNumberFormat="1" applyFont="1" applyFill="1" applyBorder="1">
      <alignment vertical="center"/>
    </xf>
    <xf numFmtId="0" fontId="6" fillId="28" borderId="6" xfId="0" applyNumberFormat="1" applyFont="1" applyFill="1" applyBorder="1">
      <alignment vertical="center"/>
    </xf>
    <xf numFmtId="41" fontId="6" fillId="0" borderId="0" xfId="1" applyFont="1">
      <alignment vertical="center"/>
    </xf>
    <xf numFmtId="3" fontId="6" fillId="0" borderId="0" xfId="0" applyNumberFormat="1" applyFont="1">
      <alignment vertical="center"/>
    </xf>
    <xf numFmtId="186" fontId="6" fillId="28" borderId="0" xfId="1" applyNumberFormat="1" applyFont="1" applyFill="1" applyBorder="1" applyAlignment="1">
      <alignment horizontal="center" vertical="center"/>
    </xf>
    <xf numFmtId="41" fontId="6" fillId="28" borderId="0" xfId="1" applyFont="1" applyFill="1" applyBorder="1" applyAlignment="1">
      <alignment horizontal="center" vertical="center"/>
    </xf>
    <xf numFmtId="0" fontId="6" fillId="32" borderId="1" xfId="0" applyFont="1" applyFill="1" applyBorder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0" borderId="8" xfId="0" applyFont="1" applyFill="1" applyBorder="1" applyAlignment="1">
      <alignment horizontal="center" vertical="center"/>
    </xf>
    <xf numFmtId="0" fontId="6" fillId="32" borderId="8" xfId="0" applyFont="1" applyFill="1" applyBorder="1" applyAlignment="1">
      <alignment horizontal="center" vertical="center"/>
    </xf>
    <xf numFmtId="0" fontId="6" fillId="28" borderId="2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8" borderId="6" xfId="0" applyFont="1" applyFill="1" applyBorder="1" applyAlignment="1">
      <alignment horizontal="center" vertical="center"/>
    </xf>
    <xf numFmtId="0" fontId="6" fillId="30" borderId="1" xfId="0" applyFont="1" applyFill="1" applyBorder="1" applyAlignment="1">
      <alignment horizontal="center" vertical="center"/>
    </xf>
    <xf numFmtId="3" fontId="68" fillId="0" borderId="30" xfId="0" applyNumberFormat="1" applyFont="1" applyBorder="1">
      <alignment vertical="center"/>
    </xf>
    <xf numFmtId="0" fontId="69" fillId="0" borderId="0" xfId="0" applyFont="1">
      <alignment vertical="center"/>
    </xf>
    <xf numFmtId="0" fontId="68" fillId="0" borderId="0" xfId="0" applyFont="1">
      <alignment vertical="center"/>
    </xf>
    <xf numFmtId="0" fontId="68" fillId="0" borderId="0" xfId="0" applyFont="1" applyFill="1">
      <alignment vertical="center"/>
    </xf>
    <xf numFmtId="0" fontId="68" fillId="0" borderId="1" xfId="0" pivotButton="1" applyFont="1" applyBorder="1">
      <alignment vertical="center"/>
    </xf>
    <xf numFmtId="0" fontId="68" fillId="0" borderId="8" xfId="0" applyFont="1" applyBorder="1">
      <alignment vertical="center"/>
    </xf>
    <xf numFmtId="0" fontId="68" fillId="0" borderId="2" xfId="0" applyFont="1" applyBorder="1">
      <alignment vertical="center"/>
    </xf>
    <xf numFmtId="0" fontId="68" fillId="32" borderId="28" xfId="0" applyFont="1" applyFill="1" applyBorder="1" applyAlignment="1">
      <alignment horizontal="center" vertical="center"/>
    </xf>
    <xf numFmtId="3" fontId="68" fillId="0" borderId="1" xfId="0" applyNumberFormat="1" applyFont="1" applyBorder="1">
      <alignment vertical="center"/>
    </xf>
    <xf numFmtId="3" fontId="68" fillId="0" borderId="28" xfId="0" applyNumberFormat="1" applyFont="1" applyBorder="1">
      <alignment vertical="center"/>
    </xf>
    <xf numFmtId="3" fontId="68" fillId="30" borderId="1" xfId="0" applyNumberFormat="1" applyFont="1" applyFill="1" applyBorder="1">
      <alignment vertical="center"/>
    </xf>
    <xf numFmtId="3" fontId="68" fillId="30" borderId="30" xfId="0" applyNumberFormat="1" applyFont="1" applyFill="1" applyBorder="1">
      <alignment vertical="center"/>
    </xf>
    <xf numFmtId="3" fontId="68" fillId="30" borderId="28" xfId="0" applyNumberFormat="1" applyFont="1" applyFill="1" applyBorder="1">
      <alignment vertical="center"/>
    </xf>
    <xf numFmtId="3" fontId="68" fillId="32" borderId="1" xfId="0" applyNumberFormat="1" applyFont="1" applyFill="1" applyBorder="1">
      <alignment vertical="center"/>
    </xf>
    <xf numFmtId="3" fontId="68" fillId="32" borderId="30" xfId="0" applyNumberFormat="1" applyFont="1" applyFill="1" applyBorder="1">
      <alignment vertical="center"/>
    </xf>
    <xf numFmtId="3" fontId="68" fillId="32" borderId="28" xfId="0" applyNumberFormat="1" applyFont="1" applyFill="1" applyBorder="1">
      <alignment vertical="center"/>
    </xf>
    <xf numFmtId="3" fontId="68" fillId="28" borderId="6" xfId="0" applyNumberFormat="1" applyFont="1" applyFill="1" applyBorder="1">
      <alignment vertical="center"/>
    </xf>
    <xf numFmtId="3" fontId="68" fillId="28" borderId="31" xfId="0" applyNumberFormat="1" applyFont="1" applyFill="1" applyBorder="1">
      <alignment vertical="center"/>
    </xf>
    <xf numFmtId="3" fontId="68" fillId="28" borderId="29" xfId="0" applyNumberFormat="1" applyFont="1" applyFill="1" applyBorder="1">
      <alignment vertical="center"/>
    </xf>
    <xf numFmtId="0" fontId="70" fillId="0" borderId="0" xfId="0" applyFont="1">
      <alignment vertical="center"/>
    </xf>
    <xf numFmtId="0" fontId="67" fillId="0" borderId="0" xfId="0" applyFont="1" applyFill="1">
      <alignment vertical="center"/>
    </xf>
    <xf numFmtId="3" fontId="6" fillId="0" borderId="0" xfId="0" applyNumberFormat="1" applyFont="1" applyFill="1" applyBorder="1">
      <alignment vertical="center"/>
    </xf>
    <xf numFmtId="3" fontId="67" fillId="0" borderId="0" xfId="0" applyNumberFormat="1" applyFont="1">
      <alignment vertical="center"/>
    </xf>
    <xf numFmtId="0" fontId="61" fillId="32" borderId="36" xfId="0" applyFont="1" applyFill="1" applyBorder="1" applyAlignment="1">
      <alignment horizontal="center" vertical="center"/>
    </xf>
    <xf numFmtId="0" fontId="61" fillId="32" borderId="34" xfId="0" applyFont="1" applyFill="1" applyBorder="1" applyAlignment="1">
      <alignment horizontal="center" vertical="center"/>
    </xf>
    <xf numFmtId="0" fontId="61" fillId="32" borderId="35" xfId="0" applyFont="1" applyFill="1" applyBorder="1" applyAlignment="1">
      <alignment horizontal="center" vertical="center"/>
    </xf>
    <xf numFmtId="0" fontId="61" fillId="32" borderId="33" xfId="0" applyFont="1" applyFill="1" applyBorder="1" applyAlignment="1">
      <alignment horizontal="center" vertical="center"/>
    </xf>
    <xf numFmtId="0" fontId="61" fillId="32" borderId="37" xfId="0" applyFont="1" applyFill="1" applyBorder="1" applyAlignment="1">
      <alignment horizontal="center" vertical="center"/>
    </xf>
    <xf numFmtId="0" fontId="6" fillId="32" borderId="32" xfId="0" applyFont="1" applyFill="1" applyBorder="1" applyAlignment="1">
      <alignment horizontal="center" vertical="center"/>
    </xf>
    <xf numFmtId="3" fontId="6" fillId="32" borderId="42" xfId="0" applyNumberFormat="1" applyFont="1" applyFill="1" applyBorder="1" applyAlignment="1">
      <alignment horizontal="center" vertical="center"/>
    </xf>
    <xf numFmtId="3" fontId="6" fillId="32" borderId="43" xfId="0" applyNumberFormat="1" applyFont="1" applyFill="1" applyBorder="1" applyAlignment="1">
      <alignment horizontal="center" vertical="center"/>
    </xf>
    <xf numFmtId="3" fontId="6" fillId="0" borderId="44" xfId="0" applyNumberFormat="1" applyFont="1" applyFill="1" applyBorder="1">
      <alignment vertical="center"/>
    </xf>
    <xf numFmtId="3" fontId="6" fillId="0" borderId="45" xfId="0" applyNumberFormat="1" applyFont="1" applyFill="1" applyBorder="1">
      <alignment vertical="center"/>
    </xf>
    <xf numFmtId="3" fontId="6" fillId="0" borderId="40" xfId="0" applyNumberFormat="1" applyFont="1" applyFill="1" applyBorder="1">
      <alignment vertical="center"/>
    </xf>
    <xf numFmtId="3" fontId="6" fillId="0" borderId="41" xfId="0" applyNumberFormat="1" applyFont="1" applyFill="1" applyBorder="1">
      <alignment vertical="center"/>
    </xf>
    <xf numFmtId="3" fontId="6" fillId="0" borderId="42" xfId="0" applyNumberFormat="1" applyFont="1" applyFill="1" applyBorder="1">
      <alignment vertical="center"/>
    </xf>
    <xf numFmtId="3" fontId="6" fillId="0" borderId="43" xfId="0" applyNumberFormat="1" applyFont="1" applyFill="1" applyBorder="1">
      <alignment vertical="center"/>
    </xf>
    <xf numFmtId="3" fontId="6" fillId="0" borderId="38" xfId="0" applyNumberFormat="1" applyFont="1" applyFill="1" applyBorder="1">
      <alignment vertical="center"/>
    </xf>
    <xf numFmtId="3" fontId="6" fillId="0" borderId="39" xfId="0" applyNumberFormat="1" applyFont="1" applyFill="1" applyBorder="1">
      <alignment vertical="center"/>
    </xf>
    <xf numFmtId="3" fontId="6" fillId="0" borderId="46" xfId="0" applyNumberFormat="1" applyFont="1" applyFill="1" applyBorder="1">
      <alignment vertical="center"/>
    </xf>
    <xf numFmtId="3" fontId="6" fillId="0" borderId="47" xfId="0" applyNumberFormat="1" applyFont="1" applyFill="1" applyBorder="1">
      <alignment vertical="center"/>
    </xf>
    <xf numFmtId="3" fontId="6" fillId="32" borderId="48" xfId="0" applyNumberFormat="1" applyFont="1" applyFill="1" applyBorder="1">
      <alignment vertical="center"/>
    </xf>
    <xf numFmtId="3" fontId="6" fillId="32" borderId="49" xfId="0" applyNumberFormat="1" applyFont="1" applyFill="1" applyBorder="1">
      <alignment vertical="center"/>
    </xf>
    <xf numFmtId="0" fontId="6" fillId="32" borderId="33" xfId="0" applyFont="1" applyFill="1" applyBorder="1" applyAlignment="1">
      <alignment horizontal="center" vertical="center"/>
    </xf>
    <xf numFmtId="0" fontId="6" fillId="32" borderId="35" xfId="0" applyFont="1" applyFill="1" applyBorder="1" applyAlignment="1">
      <alignment horizontal="center" vertical="center"/>
    </xf>
    <xf numFmtId="3" fontId="6" fillId="0" borderId="36" xfId="0" applyNumberFormat="1" applyFont="1" applyFill="1" applyBorder="1">
      <alignment vertical="center"/>
    </xf>
    <xf numFmtId="3" fontId="6" fillId="0" borderId="34" xfId="0" applyNumberFormat="1" applyFont="1" applyFill="1" applyBorder="1">
      <alignment vertical="center"/>
    </xf>
    <xf numFmtId="3" fontId="6" fillId="0" borderId="35" xfId="0" applyNumberFormat="1" applyFont="1" applyFill="1" applyBorder="1">
      <alignment vertical="center"/>
    </xf>
    <xf numFmtId="3" fontId="6" fillId="0" borderId="33" xfId="0" applyNumberFormat="1" applyFont="1" applyFill="1" applyBorder="1">
      <alignment vertical="center"/>
    </xf>
    <xf numFmtId="3" fontId="6" fillId="0" borderId="37" xfId="0" applyNumberFormat="1" applyFont="1" applyFill="1" applyBorder="1">
      <alignment vertical="center"/>
    </xf>
    <xf numFmtId="3" fontId="6" fillId="32" borderId="32" xfId="0" applyNumberFormat="1" applyFont="1" applyFill="1" applyBorder="1">
      <alignment vertical="center"/>
    </xf>
    <xf numFmtId="0" fontId="6" fillId="0" borderId="30" xfId="0" applyFont="1" applyBorder="1">
      <alignment vertical="center"/>
    </xf>
    <xf numFmtId="0" fontId="6" fillId="32" borderId="30" xfId="0" applyFont="1" applyFill="1" applyBorder="1" applyAlignment="1">
      <alignment horizontal="center" vertical="center"/>
    </xf>
    <xf numFmtId="3" fontId="6" fillId="0" borderId="30" xfId="0" applyNumberFormat="1" applyFont="1" applyBorder="1">
      <alignment vertical="center"/>
    </xf>
    <xf numFmtId="3" fontId="6" fillId="28" borderId="31" xfId="0" applyNumberFormat="1" applyFont="1" applyFill="1" applyBorder="1">
      <alignment vertical="center"/>
    </xf>
    <xf numFmtId="3" fontId="6" fillId="30" borderId="30" xfId="0" applyNumberFormat="1" applyFont="1" applyFill="1" applyBorder="1">
      <alignment vertical="center"/>
    </xf>
    <xf numFmtId="0" fontId="6" fillId="32" borderId="3" xfId="0" applyFont="1" applyFill="1" applyBorder="1">
      <alignment vertical="center"/>
    </xf>
    <xf numFmtId="3" fontId="6" fillId="30" borderId="1" xfId="0" applyNumberFormat="1" applyFont="1" applyFill="1" applyBorder="1">
      <alignment vertical="center"/>
    </xf>
    <xf numFmtId="0" fontId="6" fillId="28" borderId="1" xfId="0" applyFont="1" applyFill="1" applyBorder="1" applyAlignment="1">
      <alignment horizontal="center" vertical="center"/>
    </xf>
    <xf numFmtId="0" fontId="6" fillId="28" borderId="30" xfId="0" applyFont="1" applyFill="1" applyBorder="1" applyAlignment="1">
      <alignment horizontal="center" vertical="center"/>
    </xf>
    <xf numFmtId="176" fontId="6" fillId="33" borderId="0" xfId="1" applyNumberFormat="1" applyFont="1" applyFill="1" applyBorder="1" applyAlignment="1">
      <alignment horizontal="center" vertical="center"/>
    </xf>
    <xf numFmtId="0" fontId="6" fillId="28" borderId="31" xfId="0" applyNumberFormat="1" applyFont="1" applyFill="1" applyBorder="1">
      <alignment vertical="center"/>
    </xf>
    <xf numFmtId="3" fontId="6" fillId="33" borderId="30" xfId="0" applyNumberFormat="1" applyFont="1" applyFill="1" applyBorder="1">
      <alignment vertical="center"/>
    </xf>
    <xf numFmtId="3" fontId="6" fillId="33" borderId="0" xfId="0" applyNumberFormat="1" applyFont="1" applyFill="1">
      <alignment vertical="center"/>
    </xf>
    <xf numFmtId="0" fontId="6" fillId="33" borderId="30" xfId="0" applyNumberFormat="1" applyFont="1" applyFill="1" applyBorder="1">
      <alignment vertical="center"/>
    </xf>
    <xf numFmtId="0" fontId="6" fillId="33" borderId="0" xfId="0" applyNumberFormat="1" applyFont="1" applyFill="1">
      <alignment vertical="center"/>
    </xf>
    <xf numFmtId="0" fontId="6" fillId="28" borderId="7" xfId="0" applyNumberFormat="1" applyFont="1" applyFill="1" applyBorder="1">
      <alignment vertical="center"/>
    </xf>
    <xf numFmtId="0" fontId="6" fillId="33" borderId="3" xfId="0" applyNumberFormat="1" applyFont="1" applyFill="1" applyBorder="1">
      <alignment vertical="center"/>
    </xf>
    <xf numFmtId="0" fontId="6" fillId="33" borderId="5" xfId="0" applyNumberFormat="1" applyFont="1" applyFill="1" applyBorder="1">
      <alignment vertical="center"/>
    </xf>
    <xf numFmtId="0" fontId="6" fillId="30" borderId="30" xfId="0" applyNumberFormat="1" applyFont="1" applyFill="1" applyBorder="1">
      <alignment vertical="center"/>
    </xf>
    <xf numFmtId="0" fontId="6" fillId="30" borderId="3" xfId="0" applyNumberFormat="1" applyFont="1" applyFill="1" applyBorder="1">
      <alignment vertical="center"/>
    </xf>
    <xf numFmtId="0" fontId="6" fillId="33" borderId="30" xfId="0" applyFont="1" applyFill="1" applyBorder="1" applyAlignment="1">
      <alignment horizontal="center" vertical="center"/>
    </xf>
    <xf numFmtId="0" fontId="6" fillId="33" borderId="3" xfId="0" applyFont="1" applyFill="1" applyBorder="1" applyAlignment="1">
      <alignment horizontal="center" vertical="center"/>
    </xf>
    <xf numFmtId="0" fontId="6" fillId="0" borderId="29" xfId="0" pivotButton="1" applyFont="1" applyBorder="1">
      <alignment vertical="center"/>
    </xf>
    <xf numFmtId="0" fontId="6" fillId="0" borderId="29" xfId="0" applyFont="1" applyBorder="1">
      <alignment vertical="center"/>
    </xf>
    <xf numFmtId="0" fontId="58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58" fillId="0" borderId="0" xfId="0" applyFont="1" applyAlignment="1">
      <alignment horizontal="left" vertical="center"/>
    </xf>
    <xf numFmtId="0" fontId="58" fillId="29" borderId="0" xfId="0" applyFont="1" applyFill="1" applyAlignment="1">
      <alignment horizontal="center" vertical="center"/>
    </xf>
    <xf numFmtId="0" fontId="59" fillId="29" borderId="24" xfId="0" applyFont="1" applyFill="1" applyBorder="1" applyAlignment="1">
      <alignment horizontal="center" vertical="center"/>
    </xf>
    <xf numFmtId="0" fontId="58" fillId="29" borderId="0" xfId="0" applyNumberFormat="1" applyFont="1" applyFill="1" applyAlignment="1">
      <alignment horizontal="center" vertical="center"/>
    </xf>
    <xf numFmtId="0" fontId="61" fillId="29" borderId="0" xfId="0" applyNumberFormat="1" applyFont="1" applyFill="1" applyAlignment="1">
      <alignment horizontal="center" vertical="center"/>
    </xf>
    <xf numFmtId="0" fontId="58" fillId="29" borderId="24" xfId="0" applyFont="1" applyFill="1" applyBorder="1" applyAlignment="1">
      <alignment horizontal="center" vertical="center"/>
    </xf>
    <xf numFmtId="49" fontId="58" fillId="35" borderId="0" xfId="0" applyNumberFormat="1" applyFont="1" applyFill="1" applyAlignment="1">
      <alignment horizontal="center" vertical="center"/>
    </xf>
    <xf numFmtId="49" fontId="59" fillId="35" borderId="25" xfId="0" applyNumberFormat="1" applyFont="1" applyFill="1" applyBorder="1" applyAlignment="1">
      <alignment horizontal="center" vertical="center"/>
    </xf>
    <xf numFmtId="49" fontId="58" fillId="35" borderId="0" xfId="0" applyNumberFormat="1" applyFont="1" applyFill="1" applyAlignment="1">
      <alignment horizontal="left" vertical="center"/>
    </xf>
    <xf numFmtId="0" fontId="58" fillId="35" borderId="0" xfId="0" applyNumberFormat="1" applyFont="1" applyFill="1" applyAlignment="1">
      <alignment horizontal="center" vertical="center"/>
    </xf>
    <xf numFmtId="0" fontId="61" fillId="35" borderId="0" xfId="0" applyNumberFormat="1" applyFont="1" applyFill="1" applyAlignment="1">
      <alignment horizontal="center" vertical="center"/>
    </xf>
    <xf numFmtId="49" fontId="58" fillId="0" borderId="0" xfId="0" applyNumberFormat="1" applyFont="1" applyAlignment="1">
      <alignment horizontal="center" vertical="center"/>
    </xf>
    <xf numFmtId="49" fontId="58" fillId="0" borderId="0" xfId="0" applyNumberFormat="1" applyFont="1" applyAlignment="1">
      <alignment horizontal="left" vertical="center"/>
    </xf>
    <xf numFmtId="49" fontId="58" fillId="0" borderId="25" xfId="0" applyNumberFormat="1" applyFont="1" applyBorder="1" applyAlignment="1">
      <alignment horizontal="center" vertical="center"/>
    </xf>
    <xf numFmtId="49" fontId="58" fillId="0" borderId="25" xfId="0" quotePrefix="1" applyNumberFormat="1" applyFont="1" applyBorder="1" applyAlignment="1">
      <alignment horizontal="center" vertical="center"/>
    </xf>
    <xf numFmtId="49" fontId="58" fillId="0" borderId="25" xfId="0" applyNumberFormat="1" applyFont="1" applyFill="1" applyBorder="1" applyAlignment="1">
      <alignment horizontal="center" vertical="center"/>
    </xf>
    <xf numFmtId="49" fontId="58" fillId="0" borderId="0" xfId="0" applyNumberFormat="1" applyFont="1" applyFill="1" applyAlignment="1">
      <alignment horizontal="center" vertical="center"/>
    </xf>
    <xf numFmtId="49" fontId="58" fillId="0" borderId="26" xfId="0" applyNumberFormat="1" applyFont="1" applyBorder="1" applyAlignment="1">
      <alignment horizontal="center" vertical="center"/>
    </xf>
    <xf numFmtId="49" fontId="58" fillId="0" borderId="26" xfId="0" applyNumberFormat="1" applyFont="1" applyFill="1" applyBorder="1" applyAlignment="1">
      <alignment horizontal="center" vertical="center"/>
    </xf>
    <xf numFmtId="49" fontId="58" fillId="34" borderId="0" xfId="0" applyNumberFormat="1" applyFont="1" applyFill="1" applyAlignment="1">
      <alignment horizontal="center" vertical="center"/>
    </xf>
    <xf numFmtId="49" fontId="59" fillId="34" borderId="25" xfId="0" applyNumberFormat="1" applyFont="1" applyFill="1" applyBorder="1" applyAlignment="1">
      <alignment horizontal="center" vertical="center"/>
    </xf>
    <xf numFmtId="49" fontId="58" fillId="34" borderId="0" xfId="0" applyNumberFormat="1" applyFont="1" applyFill="1" applyAlignment="1">
      <alignment horizontal="left" vertical="center"/>
    </xf>
    <xf numFmtId="0" fontId="58" fillId="34" borderId="0" xfId="0" applyNumberFormat="1" applyFont="1" applyFill="1" applyAlignment="1">
      <alignment horizontal="center" vertical="center"/>
    </xf>
    <xf numFmtId="0" fontId="61" fillId="34" borderId="0" xfId="0" applyNumberFormat="1" applyFont="1" applyFill="1" applyAlignment="1">
      <alignment horizontal="center" vertical="center"/>
    </xf>
    <xf numFmtId="49" fontId="62" fillId="0" borderId="25" xfId="0" applyNumberFormat="1" applyFont="1" applyBorder="1" applyAlignment="1">
      <alignment horizontal="center" vertical="center"/>
    </xf>
    <xf numFmtId="49" fontId="62" fillId="0" borderId="0" xfId="0" applyNumberFormat="1" applyFont="1" applyAlignment="1">
      <alignment horizontal="left" vertical="center"/>
    </xf>
    <xf numFmtId="49" fontId="62" fillId="0" borderId="0" xfId="0" applyNumberFormat="1" applyFont="1" applyAlignment="1">
      <alignment horizontal="center" vertical="center"/>
    </xf>
    <xf numFmtId="49" fontId="62" fillId="0" borderId="0" xfId="0" applyNumberFormat="1" applyFont="1" applyFill="1" applyAlignment="1">
      <alignment horizontal="center" vertical="center"/>
    </xf>
    <xf numFmtId="49" fontId="61" fillId="35" borderId="0" xfId="0" applyNumberFormat="1" applyFont="1" applyFill="1" applyAlignment="1">
      <alignment horizontal="center" vertical="center"/>
    </xf>
    <xf numFmtId="49" fontId="58" fillId="2" borderId="0" xfId="0" applyNumberFormat="1" applyFont="1" applyFill="1" applyAlignment="1">
      <alignment horizontal="center" vertical="center"/>
    </xf>
    <xf numFmtId="49" fontId="59" fillId="2" borderId="25" xfId="0" applyNumberFormat="1" applyFont="1" applyFill="1" applyBorder="1" applyAlignment="1">
      <alignment horizontal="center" vertical="center"/>
    </xf>
    <xf numFmtId="49" fontId="58" fillId="2" borderId="0" xfId="0" applyNumberFormat="1" applyFont="1" applyFill="1" applyAlignment="1">
      <alignment horizontal="left" vertical="center"/>
    </xf>
    <xf numFmtId="0" fontId="58" fillId="2" borderId="0" xfId="0" applyNumberFormat="1" applyFont="1" applyFill="1" applyAlignment="1">
      <alignment horizontal="center" vertical="center"/>
    </xf>
    <xf numFmtId="0" fontId="61" fillId="2" borderId="0" xfId="0" applyNumberFormat="1" applyFont="1" applyFill="1" applyAlignment="1">
      <alignment horizontal="center" vertical="center"/>
    </xf>
    <xf numFmtId="49" fontId="58" fillId="0" borderId="0" xfId="2636" applyNumberFormat="1" applyFont="1" applyAlignment="1">
      <alignment horizontal="center" vertical="center"/>
    </xf>
    <xf numFmtId="49" fontId="58" fillId="0" borderId="0" xfId="2636" applyNumberFormat="1" applyFont="1" applyAlignment="1">
      <alignment horizontal="left" vertical="center"/>
    </xf>
    <xf numFmtId="49" fontId="58" fillId="33" borderId="0" xfId="0" applyNumberFormat="1" applyFont="1" applyFill="1" applyAlignment="1">
      <alignment horizontal="center" vertical="center"/>
    </xf>
    <xf numFmtId="49" fontId="59" fillId="33" borderId="25" xfId="0" applyNumberFormat="1" applyFont="1" applyFill="1" applyBorder="1" applyAlignment="1">
      <alignment horizontal="center" vertical="center"/>
    </xf>
    <xf numFmtId="49" fontId="58" fillId="33" borderId="0" xfId="0" applyNumberFormat="1" applyFont="1" applyFill="1" applyAlignment="1">
      <alignment horizontal="left" vertical="center"/>
    </xf>
    <xf numFmtId="0" fontId="58" fillId="33" borderId="0" xfId="0" applyNumberFormat="1" applyFont="1" applyFill="1" applyAlignment="1">
      <alignment horizontal="center" vertical="center"/>
    </xf>
    <xf numFmtId="0" fontId="61" fillId="33" borderId="0" xfId="0" applyNumberFormat="1" applyFont="1" applyFill="1" applyAlignment="1">
      <alignment horizontal="center" vertical="center"/>
    </xf>
    <xf numFmtId="49" fontId="58" fillId="36" borderId="0" xfId="0" applyNumberFormat="1" applyFont="1" applyFill="1" applyAlignment="1">
      <alignment horizontal="center" vertical="center"/>
    </xf>
    <xf numFmtId="49" fontId="59" fillId="36" borderId="25" xfId="0" applyNumberFormat="1" applyFont="1" applyFill="1" applyBorder="1" applyAlignment="1">
      <alignment horizontal="center" vertical="center"/>
    </xf>
    <xf numFmtId="49" fontId="58" fillId="36" borderId="0" xfId="0" applyNumberFormat="1" applyFont="1" applyFill="1" applyAlignment="1">
      <alignment horizontal="left" vertical="center"/>
    </xf>
    <xf numFmtId="0" fontId="58" fillId="36" borderId="0" xfId="0" applyNumberFormat="1" applyFont="1" applyFill="1" applyAlignment="1">
      <alignment horizontal="center" vertical="center"/>
    </xf>
    <xf numFmtId="0" fontId="61" fillId="36" borderId="0" xfId="0" applyNumberFormat="1" applyFont="1" applyFill="1" applyAlignment="1">
      <alignment horizontal="center" vertical="center"/>
    </xf>
    <xf numFmtId="49" fontId="58" fillId="33" borderId="0" xfId="0" applyNumberFormat="1" applyFont="1" applyFill="1" applyBorder="1" applyAlignment="1">
      <alignment horizontal="center" vertical="center"/>
    </xf>
    <xf numFmtId="49" fontId="58" fillId="33" borderId="0" xfId="0" applyNumberFormat="1" applyFont="1" applyFill="1" applyBorder="1" applyAlignment="1">
      <alignment horizontal="left" vertical="center"/>
    </xf>
    <xf numFmtId="49" fontId="58" fillId="37" borderId="0" xfId="0" applyNumberFormat="1" applyFont="1" applyFill="1" applyAlignment="1">
      <alignment horizontal="center" vertical="center"/>
    </xf>
    <xf numFmtId="49" fontId="59" fillId="37" borderId="25" xfId="0" applyNumberFormat="1" applyFont="1" applyFill="1" applyBorder="1" applyAlignment="1">
      <alignment horizontal="center" vertical="center"/>
    </xf>
    <xf numFmtId="49" fontId="58" fillId="37" borderId="0" xfId="0" applyNumberFormat="1" applyFont="1" applyFill="1" applyAlignment="1">
      <alignment horizontal="left" vertical="center"/>
    </xf>
    <xf numFmtId="0" fontId="58" fillId="37" borderId="0" xfId="0" applyNumberFormat="1" applyFont="1" applyFill="1" applyAlignment="1">
      <alignment horizontal="center" vertical="center"/>
    </xf>
    <xf numFmtId="0" fontId="61" fillId="37" borderId="0" xfId="0" applyNumberFormat="1" applyFont="1" applyFill="1" applyAlignment="1">
      <alignment horizontal="center" vertical="center"/>
    </xf>
    <xf numFmtId="49" fontId="58" fillId="38" borderId="0" xfId="0" applyNumberFormat="1" applyFont="1" applyFill="1" applyAlignment="1">
      <alignment horizontal="center" vertical="center"/>
    </xf>
    <xf numFmtId="49" fontId="58" fillId="38" borderId="25" xfId="0" applyNumberFormat="1" applyFont="1" applyFill="1" applyBorder="1" applyAlignment="1">
      <alignment horizontal="center" vertical="center"/>
    </xf>
    <xf numFmtId="49" fontId="58" fillId="38" borderId="0" xfId="0" applyNumberFormat="1" applyFont="1" applyFill="1" applyAlignment="1">
      <alignment horizontal="left" vertical="center"/>
    </xf>
    <xf numFmtId="49" fontId="58" fillId="35" borderId="52" xfId="0" applyNumberFormat="1" applyFont="1" applyFill="1" applyBorder="1" applyAlignment="1">
      <alignment horizontal="center" vertical="center"/>
    </xf>
    <xf numFmtId="49" fontId="59" fillId="35" borderId="53" xfId="0" applyNumberFormat="1" applyFont="1" applyFill="1" applyBorder="1" applyAlignment="1">
      <alignment horizontal="center" vertical="center"/>
    </xf>
    <xf numFmtId="49" fontId="58" fillId="35" borderId="52" xfId="0" applyNumberFormat="1" applyFont="1" applyFill="1" applyBorder="1" applyAlignment="1">
      <alignment horizontal="left" vertical="center"/>
    </xf>
    <xf numFmtId="0" fontId="58" fillId="35" borderId="52" xfId="0" applyNumberFormat="1" applyFont="1" applyFill="1" applyBorder="1" applyAlignment="1">
      <alignment horizontal="center" vertical="center"/>
    </xf>
    <xf numFmtId="0" fontId="61" fillId="35" borderId="52" xfId="0" applyNumberFormat="1" applyFont="1" applyFill="1" applyBorder="1" applyAlignment="1">
      <alignment horizontal="center" vertical="center"/>
    </xf>
    <xf numFmtId="49" fontId="58" fillId="38" borderId="26" xfId="0" applyNumberFormat="1" applyFont="1" applyFill="1" applyBorder="1" applyAlignment="1">
      <alignment horizontal="center" vertical="center"/>
    </xf>
    <xf numFmtId="49" fontId="58" fillId="35" borderId="0" xfId="0" applyNumberFormat="1" applyFont="1" applyFill="1" applyBorder="1" applyAlignment="1">
      <alignment horizontal="center" vertical="center"/>
    </xf>
    <xf numFmtId="49" fontId="58" fillId="35" borderId="0" xfId="0" applyNumberFormat="1" applyFont="1" applyFill="1" applyBorder="1" applyAlignment="1">
      <alignment horizontal="left" vertical="center"/>
    </xf>
    <xf numFmtId="0" fontId="58" fillId="35" borderId="0" xfId="0" applyNumberFormat="1" applyFont="1" applyFill="1" applyBorder="1" applyAlignment="1">
      <alignment horizontal="center" vertical="center"/>
    </xf>
    <xf numFmtId="0" fontId="61" fillId="35" borderId="0" xfId="0" applyNumberFormat="1" applyFont="1" applyFill="1" applyBorder="1" applyAlignment="1">
      <alignment horizontal="center" vertical="center"/>
    </xf>
    <xf numFmtId="0" fontId="58" fillId="33" borderId="0" xfId="0" applyNumberFormat="1" applyFont="1" applyFill="1" applyBorder="1" applyAlignment="1">
      <alignment horizontal="center" vertical="center"/>
    </xf>
    <xf numFmtId="0" fontId="61" fillId="33" borderId="0" xfId="0" applyNumberFormat="1" applyFont="1" applyFill="1" applyBorder="1" applyAlignment="1">
      <alignment horizontal="center" vertical="center"/>
    </xf>
    <xf numFmtId="49" fontId="58" fillId="33" borderId="54" xfId="0" applyNumberFormat="1" applyFont="1" applyFill="1" applyBorder="1" applyAlignment="1">
      <alignment horizontal="center" vertical="center"/>
    </xf>
    <xf numFmtId="49" fontId="59" fillId="33" borderId="55" xfId="0" applyNumberFormat="1" applyFont="1" applyFill="1" applyBorder="1" applyAlignment="1">
      <alignment horizontal="center" vertical="center"/>
    </xf>
    <xf numFmtId="49" fontId="58" fillId="33" borderId="54" xfId="0" applyNumberFormat="1" applyFont="1" applyFill="1" applyBorder="1" applyAlignment="1">
      <alignment horizontal="left" vertical="center"/>
    </xf>
    <xf numFmtId="0" fontId="58" fillId="33" borderId="54" xfId="0" applyNumberFormat="1" applyFont="1" applyFill="1" applyBorder="1" applyAlignment="1">
      <alignment horizontal="center" vertical="center"/>
    </xf>
    <xf numFmtId="0" fontId="61" fillId="33" borderId="54" xfId="0" applyNumberFormat="1" applyFont="1" applyFill="1" applyBorder="1" applyAlignment="1">
      <alignment horizontal="center" vertical="center"/>
    </xf>
    <xf numFmtId="49" fontId="59" fillId="2" borderId="26" xfId="0" applyNumberFormat="1" applyFont="1" applyFill="1" applyBorder="1" applyAlignment="1">
      <alignment horizontal="center" vertical="center"/>
    </xf>
    <xf numFmtId="49" fontId="59" fillId="0" borderId="0" xfId="0" applyNumberFormat="1" applyFont="1" applyAlignment="1">
      <alignment horizontal="center" vertical="center"/>
    </xf>
    <xf numFmtId="0" fontId="58" fillId="0" borderId="0" xfId="0" applyNumberFormat="1" applyFont="1" applyAlignment="1">
      <alignment horizontal="center" vertical="center"/>
    </xf>
    <xf numFmtId="0" fontId="61" fillId="0" borderId="0" xfId="0" applyNumberFormat="1" applyFont="1" applyAlignment="1">
      <alignment horizontal="center" vertical="center"/>
    </xf>
    <xf numFmtId="0" fontId="6" fillId="28" borderId="1" xfId="0" applyFont="1" applyFill="1" applyBorder="1">
      <alignment vertical="center"/>
    </xf>
    <xf numFmtId="3" fontId="68" fillId="0" borderId="0" xfId="0" applyNumberFormat="1" applyFont="1" applyFill="1" applyBorder="1">
      <alignment vertical="center"/>
    </xf>
    <xf numFmtId="0" fontId="67" fillId="0" borderId="0" xfId="0" applyFont="1" applyFill="1" applyAlignment="1">
      <alignment vertical="center"/>
    </xf>
    <xf numFmtId="0" fontId="67" fillId="0" borderId="0" xfId="0" applyFont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31" borderId="0" xfId="0" applyFont="1" applyFill="1" applyBorder="1" applyAlignment="1">
      <alignment horizontal="center" vertical="center"/>
    </xf>
    <xf numFmtId="0" fontId="6" fillId="31" borderId="0" xfId="0" applyFont="1" applyFill="1" applyAlignment="1">
      <alignment vertical="center"/>
    </xf>
    <xf numFmtId="3" fontId="68" fillId="0" borderId="4" xfId="0" applyNumberFormat="1" applyFont="1" applyBorder="1">
      <alignment vertical="center"/>
    </xf>
    <xf numFmtId="3" fontId="68" fillId="0" borderId="56" xfId="0" applyNumberFormat="1" applyFont="1" applyBorder="1">
      <alignment vertical="center"/>
    </xf>
    <xf numFmtId="3" fontId="6" fillId="32" borderId="30" xfId="0" applyNumberFormat="1" applyFont="1" applyFill="1" applyBorder="1">
      <alignment vertical="center"/>
    </xf>
    <xf numFmtId="0" fontId="6" fillId="32" borderId="1" xfId="0" applyNumberFormat="1" applyFont="1" applyFill="1" applyBorder="1">
      <alignment vertical="center"/>
    </xf>
    <xf numFmtId="3" fontId="6" fillId="32" borderId="3" xfId="0" applyNumberFormat="1" applyFont="1" applyFill="1" applyBorder="1">
      <alignment vertical="center"/>
    </xf>
    <xf numFmtId="0" fontId="66" fillId="0" borderId="0" xfId="0" applyFont="1">
      <alignment vertical="center"/>
    </xf>
    <xf numFmtId="0" fontId="6" fillId="0" borderId="27" xfId="0" applyFont="1" applyBorder="1" applyAlignment="1">
      <alignment horizontal="center" vertical="center"/>
    </xf>
    <xf numFmtId="0" fontId="6" fillId="0" borderId="27" xfId="0" applyFont="1" applyBorder="1">
      <alignment vertical="center"/>
    </xf>
    <xf numFmtId="0" fontId="6" fillId="30" borderId="33" xfId="0" applyFont="1" applyFill="1" applyBorder="1" applyAlignment="1">
      <alignment horizontal="center" vertical="center"/>
    </xf>
    <xf numFmtId="0" fontId="6" fillId="30" borderId="35" xfId="0" applyFont="1" applyFill="1" applyBorder="1" applyAlignment="1">
      <alignment horizontal="center" vertical="center"/>
    </xf>
    <xf numFmtId="0" fontId="6" fillId="37" borderId="33" xfId="0" applyFont="1" applyFill="1" applyBorder="1" applyAlignment="1">
      <alignment horizontal="center" vertical="center"/>
    </xf>
    <xf numFmtId="0" fontId="6" fillId="37" borderId="35" xfId="0" applyFont="1" applyFill="1" applyBorder="1" applyAlignment="1">
      <alignment horizontal="center" vertical="center"/>
    </xf>
    <xf numFmtId="3" fontId="6" fillId="30" borderId="32" xfId="0" applyNumberFormat="1" applyFont="1" applyFill="1" applyBorder="1">
      <alignment vertical="center"/>
    </xf>
    <xf numFmtId="3" fontId="6" fillId="37" borderId="32" xfId="0" applyNumberFormat="1" applyFont="1" applyFill="1" applyBorder="1">
      <alignment vertical="center"/>
    </xf>
    <xf numFmtId="0" fontId="6" fillId="37" borderId="0" xfId="0" applyFont="1" applyFill="1">
      <alignment vertical="center"/>
    </xf>
    <xf numFmtId="0" fontId="6" fillId="37" borderId="27" xfId="0" applyFont="1" applyFill="1" applyBorder="1">
      <alignment vertical="center"/>
    </xf>
    <xf numFmtId="186" fontId="6" fillId="0" borderId="0" xfId="0" applyNumberFormat="1" applyFont="1">
      <alignment vertical="center"/>
    </xf>
    <xf numFmtId="9" fontId="6" fillId="0" borderId="0" xfId="2818" applyFont="1" applyFill="1" applyBorder="1">
      <alignment vertical="center"/>
    </xf>
    <xf numFmtId="3" fontId="68" fillId="0" borderId="40" xfId="0" applyNumberFormat="1" applyFont="1" applyFill="1" applyBorder="1">
      <alignment vertical="center"/>
    </xf>
    <xf numFmtId="3" fontId="68" fillId="0" borderId="41" xfId="0" applyNumberFormat="1" applyFont="1" applyFill="1" applyBorder="1">
      <alignment vertical="center"/>
    </xf>
    <xf numFmtId="3" fontId="68" fillId="0" borderId="34" xfId="0" applyNumberFormat="1" applyFont="1" applyFill="1" applyBorder="1">
      <alignment vertical="center"/>
    </xf>
    <xf numFmtId="186" fontId="6" fillId="0" borderId="0" xfId="0" applyNumberFormat="1" applyFont="1" applyAlignment="1">
      <alignment horizontal="center" vertical="center"/>
    </xf>
    <xf numFmtId="187" fontId="6" fillId="28" borderId="0" xfId="1" applyNumberFormat="1" applyFont="1" applyFill="1" applyBorder="1" applyAlignment="1">
      <alignment horizontal="center" vertical="center"/>
    </xf>
    <xf numFmtId="187" fontId="6" fillId="2" borderId="0" xfId="1" applyNumberFormat="1" applyFont="1" applyFill="1" applyAlignment="1">
      <alignment horizontal="center" vertical="center"/>
    </xf>
    <xf numFmtId="187" fontId="6" fillId="0" borderId="0" xfId="1" applyNumberFormat="1" applyFont="1">
      <alignment vertical="center"/>
    </xf>
    <xf numFmtId="187" fontId="6" fillId="2" borderId="0" xfId="1" applyNumberFormat="1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3" fontId="68" fillId="0" borderId="0" xfId="2420" applyNumberFormat="1" applyFont="1" applyAlignment="1">
      <alignment horizontal="center" vertical="center"/>
    </xf>
    <xf numFmtId="0" fontId="68" fillId="40" borderId="57" xfId="2420" applyFont="1" applyFill="1" applyBorder="1" applyAlignment="1">
      <alignment horizontal="center" vertical="center" wrapText="1"/>
    </xf>
    <xf numFmtId="0" fontId="68" fillId="29" borderId="0" xfId="2420" applyFont="1" applyFill="1" applyBorder="1" applyAlignment="1">
      <alignment horizontal="center" vertical="center" wrapText="1"/>
    </xf>
    <xf numFmtId="188" fontId="68" fillId="39" borderId="57" xfId="2420" applyNumberFormat="1" applyFont="1" applyFill="1" applyBorder="1" applyAlignment="1">
      <alignment horizontal="center" vertical="center" wrapText="1"/>
    </xf>
    <xf numFmtId="0" fontId="68" fillId="41" borderId="58" xfId="2420" applyFont="1" applyFill="1" applyBorder="1" applyAlignment="1">
      <alignment horizontal="left" vertical="center"/>
    </xf>
    <xf numFmtId="0" fontId="68" fillId="41" borderId="59" xfId="2420" applyFont="1" applyFill="1" applyBorder="1" applyAlignment="1">
      <alignment horizontal="center" vertical="center"/>
    </xf>
    <xf numFmtId="188" fontId="68" fillId="41" borderId="58" xfId="2420" applyNumberFormat="1" applyFont="1" applyFill="1" applyBorder="1" applyAlignment="1">
      <alignment horizontal="center" vertical="center"/>
    </xf>
    <xf numFmtId="0" fontId="68" fillId="41" borderId="57" xfId="2420" applyFont="1" applyFill="1" applyBorder="1" applyAlignment="1">
      <alignment horizontal="left" vertical="center"/>
    </xf>
    <xf numFmtId="0" fontId="68" fillId="41" borderId="0" xfId="2420" applyFont="1" applyFill="1" applyBorder="1" applyAlignment="1">
      <alignment horizontal="center" vertical="center"/>
    </xf>
    <xf numFmtId="188" fontId="68" fillId="41" borderId="57" xfId="2420" applyNumberFormat="1" applyFont="1" applyFill="1" applyBorder="1" applyAlignment="1">
      <alignment horizontal="center" vertical="center"/>
    </xf>
    <xf numFmtId="0" fontId="68" fillId="0" borderId="57" xfId="2420" applyFont="1" applyFill="1" applyBorder="1" applyAlignment="1">
      <alignment horizontal="left" vertical="center"/>
    </xf>
    <xf numFmtId="0" fontId="68" fillId="0" borderId="0" xfId="2420" applyFont="1" applyFill="1" applyBorder="1" applyAlignment="1">
      <alignment horizontal="center" vertical="center"/>
    </xf>
    <xf numFmtId="188" fontId="68" fillId="0" borderId="57" xfId="2420" applyNumberFormat="1" applyFont="1" applyBorder="1" applyAlignment="1">
      <alignment horizontal="center" vertical="center"/>
    </xf>
    <xf numFmtId="0" fontId="68" fillId="0" borderId="60" xfId="2420" applyFont="1" applyFill="1" applyBorder="1" applyAlignment="1">
      <alignment horizontal="left" vertical="center"/>
    </xf>
    <xf numFmtId="0" fontId="68" fillId="0" borderId="61" xfId="2420" applyFont="1" applyFill="1" applyBorder="1" applyAlignment="1">
      <alignment horizontal="center" vertical="center"/>
    </xf>
    <xf numFmtId="188" fontId="68" fillId="0" borderId="60" xfId="2420" applyNumberFormat="1" applyFont="1" applyBorder="1" applyAlignment="1">
      <alignment horizontal="center" vertical="center"/>
    </xf>
    <xf numFmtId="0" fontId="68" fillId="0" borderId="58" xfId="2420" applyFont="1" applyFill="1" applyBorder="1" applyAlignment="1">
      <alignment horizontal="left" vertical="center"/>
    </xf>
    <xf numFmtId="0" fontId="68" fillId="0" borderId="59" xfId="2420" applyFont="1" applyFill="1" applyBorder="1" applyAlignment="1">
      <alignment horizontal="center" vertical="center"/>
    </xf>
    <xf numFmtId="188" fontId="68" fillId="0" borderId="58" xfId="2420" applyNumberFormat="1" applyFont="1" applyBorder="1" applyAlignment="1">
      <alignment horizontal="center" vertical="center"/>
    </xf>
    <xf numFmtId="0" fontId="68" fillId="39" borderId="57" xfId="2420" applyFont="1" applyFill="1" applyBorder="1" applyAlignment="1">
      <alignment horizontal="left" vertical="center"/>
    </xf>
    <xf numFmtId="0" fontId="68" fillId="39" borderId="0" xfId="2420" applyFont="1" applyFill="1" applyBorder="1" applyAlignment="1">
      <alignment horizontal="center" vertical="center"/>
    </xf>
    <xf numFmtId="188" fontId="68" fillId="39" borderId="57" xfId="2420" applyNumberFormat="1" applyFont="1" applyFill="1" applyBorder="1" applyAlignment="1">
      <alignment horizontal="center" vertical="center"/>
    </xf>
    <xf numFmtId="0" fontId="68" fillId="34" borderId="57" xfId="2420" applyFont="1" applyFill="1" applyBorder="1" applyAlignment="1">
      <alignment horizontal="left" vertical="center" wrapText="1"/>
    </xf>
    <xf numFmtId="0" fontId="68" fillId="34" borderId="0" xfId="2420" applyFont="1" applyFill="1" applyBorder="1" applyAlignment="1">
      <alignment horizontal="center" vertical="center"/>
    </xf>
    <xf numFmtId="188" fontId="68" fillId="34" borderId="57" xfId="2420" applyNumberFormat="1" applyFont="1" applyFill="1" applyBorder="1" applyAlignment="1">
      <alignment horizontal="center" vertical="center"/>
    </xf>
    <xf numFmtId="0" fontId="68" fillId="34" borderId="57" xfId="2420" applyFont="1" applyFill="1" applyBorder="1" applyAlignment="1">
      <alignment horizontal="left" vertical="center"/>
    </xf>
    <xf numFmtId="0" fontId="68" fillId="41" borderId="57" xfId="2420" applyFont="1" applyFill="1" applyBorder="1" applyAlignment="1">
      <alignment horizontal="left" vertical="center" wrapText="1"/>
    </xf>
    <xf numFmtId="0" fontId="68" fillId="34" borderId="60" xfId="2420" applyFont="1" applyFill="1" applyBorder="1" applyAlignment="1">
      <alignment horizontal="left" vertical="center"/>
    </xf>
    <xf numFmtId="0" fontId="68" fillId="34" borderId="61" xfId="2420" applyFont="1" applyFill="1" applyBorder="1" applyAlignment="1">
      <alignment horizontal="center" vertical="center"/>
    </xf>
    <xf numFmtId="188" fontId="68" fillId="34" borderId="60" xfId="2420" applyNumberFormat="1" applyFont="1" applyFill="1" applyBorder="1" applyAlignment="1">
      <alignment horizontal="center" vertical="center"/>
    </xf>
    <xf numFmtId="0" fontId="68" fillId="0" borderId="57" xfId="2420" applyFont="1" applyFill="1" applyBorder="1">
      <alignment vertical="center"/>
    </xf>
    <xf numFmtId="0" fontId="66" fillId="34" borderId="57" xfId="0" applyFont="1" applyFill="1" applyBorder="1" applyAlignment="1">
      <alignment horizontal="left" vertical="center"/>
    </xf>
    <xf numFmtId="0" fontId="66" fillId="34" borderId="0" xfId="0" applyFont="1" applyFill="1" applyBorder="1" applyAlignment="1">
      <alignment horizontal="center" vertical="center"/>
    </xf>
    <xf numFmtId="188" fontId="66" fillId="34" borderId="57" xfId="0" applyNumberFormat="1" applyFont="1" applyFill="1" applyBorder="1" applyAlignment="1">
      <alignment horizontal="center" vertical="center"/>
    </xf>
    <xf numFmtId="0" fontId="68" fillId="34" borderId="57" xfId="0" applyFont="1" applyFill="1" applyBorder="1" applyAlignment="1">
      <alignment horizontal="left" vertical="center"/>
    </xf>
    <xf numFmtId="0" fontId="68" fillId="34" borderId="0" xfId="0" applyFont="1" applyFill="1" applyBorder="1" applyAlignment="1">
      <alignment horizontal="center" vertical="center"/>
    </xf>
    <xf numFmtId="188" fontId="68" fillId="34" borderId="57" xfId="0" applyNumberFormat="1" applyFont="1" applyFill="1" applyBorder="1" applyAlignment="1">
      <alignment horizontal="center" vertical="center"/>
    </xf>
    <xf numFmtId="188" fontId="66" fillId="34" borderId="57" xfId="2420" applyNumberFormat="1" applyFont="1" applyFill="1" applyBorder="1" applyAlignment="1">
      <alignment horizontal="center" vertical="center"/>
    </xf>
    <xf numFmtId="0" fontId="66" fillId="0" borderId="57" xfId="2420" applyFont="1" applyFill="1" applyBorder="1" applyAlignment="1">
      <alignment horizontal="left" vertical="center"/>
    </xf>
    <xf numFmtId="0" fontId="66" fillId="0" borderId="0" xfId="2420" applyFont="1" applyFill="1" applyBorder="1" applyAlignment="1">
      <alignment horizontal="center" vertical="center"/>
    </xf>
    <xf numFmtId="188" fontId="66" fillId="0" borderId="57" xfId="2420" applyNumberFormat="1" applyFont="1" applyBorder="1" applyAlignment="1">
      <alignment horizontal="center" vertical="center"/>
    </xf>
    <xf numFmtId="0" fontId="68" fillId="41" borderId="60" xfId="2420" applyFont="1" applyFill="1" applyBorder="1" applyAlignment="1">
      <alignment horizontal="left" vertical="center"/>
    </xf>
    <xf numFmtId="0" fontId="68" fillId="41" borderId="61" xfId="2420" applyFont="1" applyFill="1" applyBorder="1" applyAlignment="1">
      <alignment horizontal="center" vertical="center"/>
    </xf>
    <xf numFmtId="188" fontId="68" fillId="41" borderId="60" xfId="2420" applyNumberFormat="1" applyFont="1" applyFill="1" applyBorder="1" applyAlignment="1">
      <alignment horizontal="center" vertical="center"/>
    </xf>
    <xf numFmtId="188" fontId="68" fillId="0" borderId="57" xfId="2420" applyNumberFormat="1" applyFont="1" applyFill="1" applyBorder="1" applyAlignment="1">
      <alignment horizontal="center" vertical="center"/>
    </xf>
    <xf numFmtId="0" fontId="71" fillId="39" borderId="57" xfId="0" applyFont="1" applyFill="1" applyBorder="1" applyAlignment="1">
      <alignment horizontal="left" vertical="center"/>
    </xf>
    <xf numFmtId="0" fontId="71" fillId="39" borderId="0" xfId="0" applyFont="1" applyFill="1" applyBorder="1" applyAlignment="1">
      <alignment horizontal="center" vertical="center"/>
    </xf>
    <xf numFmtId="188" fontId="71" fillId="39" borderId="57" xfId="0" applyNumberFormat="1" applyFont="1" applyFill="1" applyBorder="1" applyAlignment="1">
      <alignment horizontal="center" vertical="center"/>
    </xf>
    <xf numFmtId="0" fontId="71" fillId="34" borderId="57" xfId="0" applyFont="1" applyFill="1" applyBorder="1" applyAlignment="1">
      <alignment horizontal="left" vertical="center"/>
    </xf>
    <xf numFmtId="0" fontId="68" fillId="0" borderId="62" xfId="2420" applyFont="1" applyFill="1" applyBorder="1" applyAlignment="1">
      <alignment horizontal="left" vertical="center"/>
    </xf>
    <xf numFmtId="0" fontId="68" fillId="0" borderId="63" xfId="2420" applyFont="1" applyFill="1" applyBorder="1" applyAlignment="1">
      <alignment horizontal="center" vertical="center"/>
    </xf>
    <xf numFmtId="188" fontId="68" fillId="0" borderId="62" xfId="2420" applyNumberFormat="1" applyFont="1" applyBorder="1" applyAlignment="1">
      <alignment horizontal="center" vertical="center"/>
    </xf>
    <xf numFmtId="0" fontId="68" fillId="0" borderId="0" xfId="2420" applyFont="1" applyAlignment="1">
      <alignment horizontal="left" vertical="center"/>
    </xf>
    <xf numFmtId="0" fontId="68" fillId="0" borderId="0" xfId="2420" applyFont="1" applyAlignment="1">
      <alignment horizontal="center" vertical="center"/>
    </xf>
    <xf numFmtId="188" fontId="68" fillId="0" borderId="0" xfId="2420" applyNumberFormat="1" applyFont="1" applyAlignment="1">
      <alignment horizontal="center" vertical="center"/>
    </xf>
    <xf numFmtId="0" fontId="6" fillId="32" borderId="29" xfId="0" applyFont="1" applyFill="1" applyBorder="1">
      <alignment vertical="center"/>
    </xf>
    <xf numFmtId="0" fontId="6" fillId="0" borderId="0" xfId="0" applyFont="1" applyFill="1" applyBorder="1">
      <alignment vertical="center"/>
    </xf>
    <xf numFmtId="0" fontId="67" fillId="0" borderId="0" xfId="0" applyFont="1" applyFill="1" applyBorder="1">
      <alignment vertical="center"/>
    </xf>
    <xf numFmtId="0" fontId="68" fillId="0" borderId="0" xfId="0" applyFont="1" applyFill="1" applyBorder="1">
      <alignment vertical="center"/>
    </xf>
    <xf numFmtId="0" fontId="68" fillId="0" borderId="0" xfId="0" applyFont="1" applyFill="1" applyBorder="1" applyAlignment="1">
      <alignment horizontal="center" vertical="center"/>
    </xf>
    <xf numFmtId="3" fontId="68" fillId="0" borderId="0" xfId="0" applyNumberFormat="1" applyFont="1" applyBorder="1">
      <alignment vertical="center"/>
    </xf>
    <xf numFmtId="0" fontId="69" fillId="0" borderId="0" xfId="0" applyFont="1" applyFill="1">
      <alignment vertical="center"/>
    </xf>
    <xf numFmtId="0" fontId="0" fillId="0" borderId="0" xfId="0" applyFill="1">
      <alignment vertical="center"/>
    </xf>
    <xf numFmtId="0" fontId="70" fillId="0" borderId="0" xfId="0" applyFont="1" applyFill="1">
      <alignment vertical="center"/>
    </xf>
    <xf numFmtId="0" fontId="72" fillId="0" borderId="0" xfId="0" applyFont="1">
      <alignment vertical="center"/>
    </xf>
    <xf numFmtId="0" fontId="0" fillId="0" borderId="0" xfId="0" applyFill="1" applyBorder="1">
      <alignment vertical="center"/>
    </xf>
    <xf numFmtId="0" fontId="67" fillId="0" borderId="0" xfId="0" applyFont="1" applyBorder="1">
      <alignment vertical="center"/>
    </xf>
    <xf numFmtId="0" fontId="68" fillId="0" borderId="0" xfId="0" applyFont="1" applyBorder="1">
      <alignment vertical="center"/>
    </xf>
    <xf numFmtId="0" fontId="6" fillId="0" borderId="0" xfId="0" applyFont="1" applyBorder="1">
      <alignment vertical="center"/>
    </xf>
    <xf numFmtId="0" fontId="0" fillId="0" borderId="0" xfId="0" applyBorder="1">
      <alignment vertical="center"/>
    </xf>
    <xf numFmtId="187" fontId="6" fillId="2" borderId="0" xfId="2072" applyNumberFormat="1" applyFont="1" applyFill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3" xfId="0" applyNumberFormat="1" applyFont="1" applyBorder="1">
      <alignment vertical="center"/>
    </xf>
    <xf numFmtId="0" fontId="6" fillId="0" borderId="30" xfId="0" applyNumberFormat="1" applyFont="1" applyBorder="1">
      <alignment vertical="center"/>
    </xf>
    <xf numFmtId="3" fontId="68" fillId="0" borderId="0" xfId="0" applyNumberFormat="1" applyFont="1">
      <alignment vertical="center"/>
    </xf>
    <xf numFmtId="14" fontId="6" fillId="0" borderId="0" xfId="0" applyNumberFormat="1" applyFont="1" applyFill="1">
      <alignment vertical="center"/>
    </xf>
    <xf numFmtId="0" fontId="6" fillId="0" borderId="0" xfId="0" applyNumberFormat="1" applyFont="1">
      <alignment vertical="center"/>
    </xf>
    <xf numFmtId="0" fontId="6" fillId="0" borderId="5" xfId="0" applyNumberFormat="1" applyFont="1" applyBorder="1">
      <alignment vertical="center"/>
    </xf>
    <xf numFmtId="0" fontId="6" fillId="33" borderId="30" xfId="0" applyFont="1" applyFill="1" applyBorder="1">
      <alignment vertical="center"/>
    </xf>
    <xf numFmtId="0" fontId="6" fillId="33" borderId="31" xfId="0" applyNumberFormat="1" applyFont="1" applyFill="1" applyBorder="1">
      <alignment vertical="center"/>
    </xf>
    <xf numFmtId="3" fontId="6" fillId="0" borderId="3" xfId="0" applyNumberFormat="1" applyFont="1" applyFill="1" applyBorder="1">
      <alignment vertical="center"/>
    </xf>
    <xf numFmtId="3" fontId="6" fillId="0" borderId="5" xfId="0" applyNumberFormat="1" applyFont="1" applyFill="1" applyBorder="1">
      <alignment vertical="center"/>
    </xf>
    <xf numFmtId="0" fontId="73" fillId="0" borderId="27" xfId="0" applyFont="1" applyBorder="1" applyAlignment="1">
      <alignment horizontal="center" vertical="center"/>
    </xf>
    <xf numFmtId="0" fontId="73" fillId="0" borderId="27" xfId="0" applyFont="1" applyFill="1" applyBorder="1" applyAlignment="1">
      <alignment horizontal="center" vertical="center"/>
    </xf>
    <xf numFmtId="0" fontId="73" fillId="42" borderId="27" xfId="0" applyFont="1" applyFill="1" applyBorder="1" applyAlignment="1">
      <alignment horizontal="center" vertical="center"/>
    </xf>
    <xf numFmtId="0" fontId="65" fillId="42" borderId="1" xfId="0" applyFont="1" applyFill="1" applyBorder="1" applyAlignment="1">
      <alignment horizontal="center" vertical="center"/>
    </xf>
    <xf numFmtId="0" fontId="6" fillId="0" borderId="1" xfId="0" applyFont="1" applyFill="1" applyBorder="1">
      <alignment vertical="center"/>
    </xf>
    <xf numFmtId="49" fontId="58" fillId="0" borderId="0" xfId="0" applyNumberFormat="1" applyFont="1" applyBorder="1" applyAlignment="1">
      <alignment horizontal="center" vertical="center"/>
    </xf>
    <xf numFmtId="0" fontId="68" fillId="32" borderId="1" xfId="0" applyFont="1" applyFill="1" applyBorder="1" applyAlignment="1">
      <alignment horizontal="center" vertical="center"/>
    </xf>
    <xf numFmtId="189" fontId="6" fillId="0" borderId="1" xfId="0" applyNumberFormat="1" applyFont="1" applyBorder="1">
      <alignment vertical="center"/>
    </xf>
    <xf numFmtId="189" fontId="6" fillId="0" borderId="30" xfId="0" applyNumberFormat="1" applyFont="1" applyBorder="1">
      <alignment vertical="center"/>
    </xf>
    <xf numFmtId="189" fontId="6" fillId="33" borderId="30" xfId="0" applyNumberFormat="1" applyFont="1" applyFill="1" applyBorder="1">
      <alignment vertical="center"/>
    </xf>
    <xf numFmtId="189" fontId="6" fillId="0" borderId="4" xfId="0" applyNumberFormat="1" applyFont="1" applyBorder="1">
      <alignment vertical="center"/>
    </xf>
    <xf numFmtId="189" fontId="6" fillId="0" borderId="0" xfId="0" applyNumberFormat="1" applyFont="1">
      <alignment vertical="center"/>
    </xf>
    <xf numFmtId="189" fontId="6" fillId="33" borderId="0" xfId="0" applyNumberFormat="1" applyFont="1" applyFill="1">
      <alignment vertical="center"/>
    </xf>
    <xf numFmtId="189" fontId="6" fillId="30" borderId="1" xfId="0" applyNumberFormat="1" applyFont="1" applyFill="1" applyBorder="1">
      <alignment vertical="center"/>
    </xf>
    <xf numFmtId="189" fontId="6" fillId="30" borderId="30" xfId="0" applyNumberFormat="1" applyFont="1" applyFill="1" applyBorder="1">
      <alignment vertical="center"/>
    </xf>
    <xf numFmtId="19" fontId="6" fillId="0" borderId="1" xfId="0" applyNumberFormat="1" applyFont="1" applyFill="1" applyBorder="1">
      <alignment vertical="center"/>
    </xf>
    <xf numFmtId="0" fontId="65" fillId="28" borderId="6" xfId="0" applyNumberFormat="1" applyFont="1" applyFill="1" applyBorder="1">
      <alignment vertical="center"/>
    </xf>
    <xf numFmtId="0" fontId="65" fillId="28" borderId="31" xfId="0" applyNumberFormat="1" applyFont="1" applyFill="1" applyBorder="1">
      <alignment vertical="center"/>
    </xf>
    <xf numFmtId="49" fontId="74" fillId="0" borderId="0" xfId="0" applyNumberFormat="1" applyFont="1" applyAlignment="1">
      <alignment horizontal="center" vertical="center"/>
    </xf>
    <xf numFmtId="49" fontId="74" fillId="0" borderId="0" xfId="0" applyNumberFormat="1" applyFont="1" applyAlignment="1">
      <alignment horizontal="left" vertical="center"/>
    </xf>
    <xf numFmtId="0" fontId="67" fillId="37" borderId="0" xfId="0" applyFont="1" applyFill="1" applyAlignment="1">
      <alignment horizontal="center" vertical="center"/>
    </xf>
    <xf numFmtId="0" fontId="67" fillId="30" borderId="0" xfId="0" applyFont="1" applyFill="1" applyAlignment="1">
      <alignment horizontal="center" vertical="center"/>
    </xf>
    <xf numFmtId="3" fontId="6" fillId="32" borderId="38" xfId="0" applyNumberFormat="1" applyFont="1" applyFill="1" applyBorder="1" applyAlignment="1">
      <alignment horizontal="center" vertical="center"/>
    </xf>
    <xf numFmtId="3" fontId="6" fillId="32" borderId="39" xfId="0" applyNumberFormat="1" applyFont="1" applyFill="1" applyBorder="1" applyAlignment="1">
      <alignment horizontal="center" vertical="center"/>
    </xf>
    <xf numFmtId="0" fontId="6" fillId="32" borderId="50" xfId="0" applyFont="1" applyFill="1" applyBorder="1" applyAlignment="1">
      <alignment horizontal="center" vertical="center"/>
    </xf>
    <xf numFmtId="0" fontId="6" fillId="32" borderId="51" xfId="0" applyFont="1" applyFill="1" applyBorder="1" applyAlignment="1">
      <alignment horizontal="center" vertical="center"/>
    </xf>
    <xf numFmtId="0" fontId="58" fillId="29" borderId="0" xfId="0" applyFont="1" applyFill="1" applyAlignment="1">
      <alignment horizontal="center" vertical="center"/>
    </xf>
    <xf numFmtId="9" fontId="66" fillId="2" borderId="27" xfId="2817" applyFont="1" applyFill="1" applyBorder="1" applyAlignment="1">
      <alignment horizontal="center" vertical="center" wrapText="1"/>
    </xf>
    <xf numFmtId="0" fontId="6" fillId="2" borderId="27" xfId="2816" applyFont="1" applyFill="1" applyBorder="1" applyAlignment="1">
      <alignment horizontal="center" vertical="center" wrapText="1"/>
    </xf>
    <xf numFmtId="0" fontId="63" fillId="2" borderId="27" xfId="2816" applyFont="1" applyFill="1" applyBorder="1" applyAlignment="1">
      <alignment horizontal="center" vertical="center" wrapText="1"/>
    </xf>
    <xf numFmtId="0" fontId="6" fillId="31" borderId="27" xfId="2816" applyFont="1" applyFill="1" applyBorder="1" applyAlignment="1">
      <alignment horizontal="center" vertical="center" wrapText="1"/>
    </xf>
    <xf numFmtId="0" fontId="66" fillId="2" borderId="27" xfId="2816" applyFont="1" applyFill="1" applyBorder="1" applyAlignment="1">
      <alignment horizontal="center" vertical="center" wrapText="1"/>
    </xf>
    <xf numFmtId="9" fontId="65" fillId="37" borderId="0" xfId="2818" applyFont="1" applyFill="1">
      <alignment vertical="center"/>
    </xf>
  </cellXfs>
  <cellStyles count="2819">
    <cellStyle name="20% - Accent1" xfId="170"/>
    <cellStyle name="20% - Accent2" xfId="171"/>
    <cellStyle name="20% - Accent3" xfId="172"/>
    <cellStyle name="20% - Accent4" xfId="173"/>
    <cellStyle name="20% - Accent5" xfId="174"/>
    <cellStyle name="20% - Accent6" xfId="175"/>
    <cellStyle name="20% - アクセント 1" xfId="176"/>
    <cellStyle name="20% - アクセント 1 2" xfId="177"/>
    <cellStyle name="20% - アクセント 1 3" xfId="178"/>
    <cellStyle name="20% - アクセント 1 3 2" xfId="179"/>
    <cellStyle name="20% - アクセント 1 4" xfId="180"/>
    <cellStyle name="20% - アクセント 1 4 2" xfId="181"/>
    <cellStyle name="20% - アクセント 1 4 3" xfId="182"/>
    <cellStyle name="20% - アクセント 1 5" xfId="183"/>
    <cellStyle name="20% - アクセント 2" xfId="184"/>
    <cellStyle name="20% - アクセント 2 2" xfId="185"/>
    <cellStyle name="20% - アクセント 2 3" xfId="186"/>
    <cellStyle name="20% - アクセント 2 3 2" xfId="187"/>
    <cellStyle name="20% - アクセント 2 4" xfId="188"/>
    <cellStyle name="20% - アクセント 2 4 2" xfId="189"/>
    <cellStyle name="20% - アクセント 2 4 3" xfId="190"/>
    <cellStyle name="20% - アクセント 2 5" xfId="191"/>
    <cellStyle name="20% - アクセント 3" xfId="192"/>
    <cellStyle name="20% - アクセント 3 2" xfId="193"/>
    <cellStyle name="20% - アクセント 3 3" xfId="194"/>
    <cellStyle name="20% - アクセント 3 3 2" xfId="195"/>
    <cellStyle name="20% - アクセント 3 4" xfId="196"/>
    <cellStyle name="20% - アクセント 3 4 2" xfId="197"/>
    <cellStyle name="20% - アクセント 3 4 3" xfId="198"/>
    <cellStyle name="20% - アクセント 3 5" xfId="199"/>
    <cellStyle name="20% - アクセント 4" xfId="200"/>
    <cellStyle name="20% - アクセント 4 2" xfId="201"/>
    <cellStyle name="20% - アクセント 4 3" xfId="202"/>
    <cellStyle name="20% - アクセント 4 3 2" xfId="203"/>
    <cellStyle name="20% - アクセント 4 4" xfId="204"/>
    <cellStyle name="20% - アクセント 4 4 2" xfId="205"/>
    <cellStyle name="20% - アクセント 4 4 3" xfId="206"/>
    <cellStyle name="20% - アクセント 4 5" xfId="207"/>
    <cellStyle name="20% - アクセント 5" xfId="208"/>
    <cellStyle name="20% - アクセント 5 2" xfId="209"/>
    <cellStyle name="20% - アクセント 5 3" xfId="210"/>
    <cellStyle name="20% - アクセント 5 3 2" xfId="211"/>
    <cellStyle name="20% - アクセント 5 4" xfId="212"/>
    <cellStyle name="20% - アクセント 5 4 2" xfId="213"/>
    <cellStyle name="20% - アクセント 5 4 3" xfId="214"/>
    <cellStyle name="20% - アクセント 5 5" xfId="215"/>
    <cellStyle name="20% - アクセント 6" xfId="216"/>
    <cellStyle name="20% - アクセント 6 2" xfId="217"/>
    <cellStyle name="20% - アクセント 6 3" xfId="218"/>
    <cellStyle name="20% - アクセント 6 3 2" xfId="219"/>
    <cellStyle name="20% - アクセント 6 4" xfId="220"/>
    <cellStyle name="20% - アクセント 6 4 2" xfId="221"/>
    <cellStyle name="20% - アクセント 6 4 3" xfId="222"/>
    <cellStyle name="20% - アクセント 6 5" xfId="223"/>
    <cellStyle name="20% - 强调文字颜色 1 2" xfId="2"/>
    <cellStyle name="20% - 强调文字颜色 1 2 2" xfId="3"/>
    <cellStyle name="20% - 强调文字颜色 1 2 3" xfId="4"/>
    <cellStyle name="20% - 强调文字颜色 1 2 4" xfId="5"/>
    <cellStyle name="20% - 强调文字颜色 1 2 5" xfId="6"/>
    <cellStyle name="20% - 强调文字颜色 1 2 6" xfId="7"/>
    <cellStyle name="20% - 强调文字颜色 1 2 7" xfId="8"/>
    <cellStyle name="20% - 强调文字颜色 1 3" xfId="9"/>
    <cellStyle name="20% - 强调文字颜色 1 3 2" xfId="10"/>
    <cellStyle name="20% - 强调文字颜色 1 3 3" xfId="11"/>
    <cellStyle name="20% - 强调文字颜色 1 3 4" xfId="12"/>
    <cellStyle name="20% - 强调文字颜色 1 3 5" xfId="13"/>
    <cellStyle name="20% - 强调文字颜色 1 3 6" xfId="14"/>
    <cellStyle name="20% - 强调文字颜色 1 3 7" xfId="15"/>
    <cellStyle name="20% - 强调文字颜色 1 4" xfId="16"/>
    <cellStyle name="20% - 强调文字颜色 1 4 2" xfId="17"/>
    <cellStyle name="20% - 强调文字颜色 1 4 3" xfId="18"/>
    <cellStyle name="20% - 强调文字颜色 1 4 4" xfId="19"/>
    <cellStyle name="20% - 强调文字颜色 1 4 5" xfId="20"/>
    <cellStyle name="20% - 强调文字颜色 1 4 6" xfId="21"/>
    <cellStyle name="20% - 强调文字颜色 1 4 7" xfId="22"/>
    <cellStyle name="20% - 强调文字颜色 1 5" xfId="23"/>
    <cellStyle name="20% - 强调文字颜色 1 5 2" xfId="24"/>
    <cellStyle name="20% - 强调文字颜色 1 5 3" xfId="25"/>
    <cellStyle name="20% - 强调文字颜色 1 5 4" xfId="26"/>
    <cellStyle name="20% - 强调文字颜色 1 5 5" xfId="27"/>
    <cellStyle name="20% - 强调文字颜色 1 5 6" xfId="28"/>
    <cellStyle name="20% - 强调文字颜色 1 5 7" xfId="29"/>
    <cellStyle name="20% - 强调文字颜色 2 2" xfId="30"/>
    <cellStyle name="20% - 强调文字颜色 2 2 2" xfId="31"/>
    <cellStyle name="20% - 强调文字颜色 2 2 3" xfId="32"/>
    <cellStyle name="20% - 强调文字颜色 2 2 4" xfId="33"/>
    <cellStyle name="20% - 强调文字颜色 2 2 5" xfId="34"/>
    <cellStyle name="20% - 强调文字颜色 2 2 6" xfId="35"/>
    <cellStyle name="20% - 强调文字颜色 2 2 7" xfId="36"/>
    <cellStyle name="20% - 强调文字颜色 2 3" xfId="37"/>
    <cellStyle name="20% - 强调文字颜色 2 3 2" xfId="38"/>
    <cellStyle name="20% - 强调文字颜色 2 3 3" xfId="39"/>
    <cellStyle name="20% - 强调文字颜色 2 3 4" xfId="40"/>
    <cellStyle name="20% - 强调文字颜色 2 3 5" xfId="41"/>
    <cellStyle name="20% - 强调文字颜色 2 3 6" xfId="42"/>
    <cellStyle name="20% - 强调文字颜色 2 3 7" xfId="43"/>
    <cellStyle name="20% - 强调文字颜色 2 4" xfId="44"/>
    <cellStyle name="20% - 强调文字颜色 2 4 2" xfId="45"/>
    <cellStyle name="20% - 强调文字颜色 2 4 3" xfId="46"/>
    <cellStyle name="20% - 强调文字颜色 2 4 4" xfId="47"/>
    <cellStyle name="20% - 强调文字颜色 2 4 5" xfId="48"/>
    <cellStyle name="20% - 强调文字颜色 2 4 6" xfId="49"/>
    <cellStyle name="20% - 强调文字颜色 2 4 7" xfId="50"/>
    <cellStyle name="20% - 强调文字颜色 2 5" xfId="51"/>
    <cellStyle name="20% - 强调文字颜色 2 5 2" xfId="52"/>
    <cellStyle name="20% - 强调文字颜色 2 5 3" xfId="53"/>
    <cellStyle name="20% - 强调文字颜色 2 5 4" xfId="54"/>
    <cellStyle name="20% - 强调文字颜色 2 5 5" xfId="55"/>
    <cellStyle name="20% - 强调文字颜色 2 5 6" xfId="56"/>
    <cellStyle name="20% - 强调文字颜色 2 5 7" xfId="57"/>
    <cellStyle name="20% - 强调文字颜色 3 2" xfId="58"/>
    <cellStyle name="20% - 强调文字颜色 3 2 2" xfId="59"/>
    <cellStyle name="20% - 强调文字颜色 3 2 3" xfId="60"/>
    <cellStyle name="20% - 强调文字颜色 3 2 4" xfId="61"/>
    <cellStyle name="20% - 强调文字颜色 3 2 5" xfId="62"/>
    <cellStyle name="20% - 强调文字颜色 3 2 6" xfId="63"/>
    <cellStyle name="20% - 强调文字颜色 3 2 7" xfId="64"/>
    <cellStyle name="20% - 强调文字颜色 3 3" xfId="65"/>
    <cellStyle name="20% - 强调文字颜色 3 3 2" xfId="66"/>
    <cellStyle name="20% - 强调文字颜色 3 3 3" xfId="67"/>
    <cellStyle name="20% - 强调文字颜色 3 3 4" xfId="68"/>
    <cellStyle name="20% - 强调文字颜色 3 3 5" xfId="69"/>
    <cellStyle name="20% - 强调文字颜色 3 3 6" xfId="70"/>
    <cellStyle name="20% - 强调文字颜色 3 3 7" xfId="71"/>
    <cellStyle name="20% - 强调文字颜色 3 4" xfId="72"/>
    <cellStyle name="20% - 强调文字颜色 3 4 2" xfId="73"/>
    <cellStyle name="20% - 强调文字颜色 3 4 3" xfId="74"/>
    <cellStyle name="20% - 强调文字颜色 3 4 4" xfId="75"/>
    <cellStyle name="20% - 强调文字颜色 3 4 5" xfId="76"/>
    <cellStyle name="20% - 强调文字颜色 3 4 6" xfId="77"/>
    <cellStyle name="20% - 强调文字颜色 3 4 7" xfId="78"/>
    <cellStyle name="20% - 强调文字颜色 3 5" xfId="79"/>
    <cellStyle name="20% - 强调文字颜色 3 5 2" xfId="80"/>
    <cellStyle name="20% - 强调文字颜色 3 5 3" xfId="81"/>
    <cellStyle name="20% - 强调文字颜色 3 5 4" xfId="82"/>
    <cellStyle name="20% - 强调文字颜色 3 5 5" xfId="83"/>
    <cellStyle name="20% - 强调文字颜色 3 5 6" xfId="84"/>
    <cellStyle name="20% - 强调文字颜色 3 5 7" xfId="85"/>
    <cellStyle name="20% - 强调文字颜色 4 2" xfId="86"/>
    <cellStyle name="20% - 强调文字颜色 4 2 2" xfId="87"/>
    <cellStyle name="20% - 强调文字颜色 4 2 3" xfId="88"/>
    <cellStyle name="20% - 强调文字颜色 4 2 4" xfId="89"/>
    <cellStyle name="20% - 强调文字颜色 4 2 5" xfId="90"/>
    <cellStyle name="20% - 强调文字颜色 4 2 6" xfId="91"/>
    <cellStyle name="20% - 强调文字颜色 4 2 7" xfId="92"/>
    <cellStyle name="20% - 强调文字颜色 4 3" xfId="93"/>
    <cellStyle name="20% - 强调文字颜色 4 3 2" xfId="94"/>
    <cellStyle name="20% - 强调文字颜色 4 3 3" xfId="95"/>
    <cellStyle name="20% - 强调文字颜色 4 3 4" xfId="96"/>
    <cellStyle name="20% - 强调文字颜色 4 3 5" xfId="97"/>
    <cellStyle name="20% - 强调文字颜色 4 3 6" xfId="98"/>
    <cellStyle name="20% - 强调文字颜色 4 3 7" xfId="99"/>
    <cellStyle name="20% - 强调文字颜色 4 4" xfId="100"/>
    <cellStyle name="20% - 强调文字颜色 4 4 2" xfId="101"/>
    <cellStyle name="20% - 强调文字颜色 4 4 3" xfId="102"/>
    <cellStyle name="20% - 强调文字颜色 4 4 4" xfId="103"/>
    <cellStyle name="20% - 强调文字颜色 4 4 5" xfId="104"/>
    <cellStyle name="20% - 强调文字颜色 4 4 6" xfId="105"/>
    <cellStyle name="20% - 强调文字颜色 4 4 7" xfId="106"/>
    <cellStyle name="20% - 强调文字颜色 4 5" xfId="107"/>
    <cellStyle name="20% - 强调文字颜色 4 5 2" xfId="108"/>
    <cellStyle name="20% - 强调文字颜色 4 5 3" xfId="109"/>
    <cellStyle name="20% - 强调文字颜色 4 5 4" xfId="110"/>
    <cellStyle name="20% - 强调文字颜色 4 5 5" xfId="111"/>
    <cellStyle name="20% - 强调文字颜色 4 5 6" xfId="112"/>
    <cellStyle name="20% - 强调文字颜色 4 5 7" xfId="113"/>
    <cellStyle name="20% - 强调文字颜色 5 2" xfId="114"/>
    <cellStyle name="20% - 强调文字颜色 5 2 2" xfId="115"/>
    <cellStyle name="20% - 强调文字颜色 5 2 3" xfId="116"/>
    <cellStyle name="20% - 强调文字颜色 5 2 4" xfId="117"/>
    <cellStyle name="20% - 强调文字颜色 5 2 5" xfId="118"/>
    <cellStyle name="20% - 强调文字颜色 5 2 6" xfId="119"/>
    <cellStyle name="20% - 强调文字颜色 5 2 7" xfId="120"/>
    <cellStyle name="20% - 强调文字颜色 5 3" xfId="121"/>
    <cellStyle name="20% - 强调文字颜色 5 3 2" xfId="122"/>
    <cellStyle name="20% - 强调文字颜色 5 3 3" xfId="123"/>
    <cellStyle name="20% - 强调文字颜色 5 3 4" xfId="124"/>
    <cellStyle name="20% - 强调文字颜色 5 3 5" xfId="125"/>
    <cellStyle name="20% - 强调文字颜色 5 3 6" xfId="126"/>
    <cellStyle name="20% - 强调文字颜色 5 3 7" xfId="127"/>
    <cellStyle name="20% - 强调文字颜色 5 4" xfId="128"/>
    <cellStyle name="20% - 强调文字颜色 5 4 2" xfId="129"/>
    <cellStyle name="20% - 强调文字颜色 5 4 3" xfId="130"/>
    <cellStyle name="20% - 强调文字颜色 5 4 4" xfId="131"/>
    <cellStyle name="20% - 强调文字颜色 5 4 5" xfId="132"/>
    <cellStyle name="20% - 强调文字颜色 5 4 6" xfId="133"/>
    <cellStyle name="20% - 强调文字颜色 5 4 7" xfId="134"/>
    <cellStyle name="20% - 强调文字颜色 5 5" xfId="135"/>
    <cellStyle name="20% - 强调文字颜色 5 5 2" xfId="136"/>
    <cellStyle name="20% - 强调文字颜色 5 5 3" xfId="137"/>
    <cellStyle name="20% - 强调文字颜色 5 5 4" xfId="138"/>
    <cellStyle name="20% - 强调文字颜色 5 5 5" xfId="139"/>
    <cellStyle name="20% - 强调文字颜色 5 5 6" xfId="140"/>
    <cellStyle name="20% - 强调文字颜色 5 5 7" xfId="141"/>
    <cellStyle name="20% - 强调文字颜色 6 2" xfId="142"/>
    <cellStyle name="20% - 强调文字颜色 6 2 2" xfId="143"/>
    <cellStyle name="20% - 强调文字颜色 6 2 3" xfId="144"/>
    <cellStyle name="20% - 强调文字颜色 6 2 4" xfId="145"/>
    <cellStyle name="20% - 强调文字颜色 6 2 5" xfId="146"/>
    <cellStyle name="20% - 强调文字颜色 6 2 6" xfId="147"/>
    <cellStyle name="20% - 强调文字颜色 6 2 7" xfId="148"/>
    <cellStyle name="20% - 强调文字颜色 6 3" xfId="149"/>
    <cellStyle name="20% - 强调文字颜色 6 3 2" xfId="150"/>
    <cellStyle name="20% - 强调文字颜色 6 3 3" xfId="151"/>
    <cellStyle name="20% - 强调文字颜色 6 3 4" xfId="152"/>
    <cellStyle name="20% - 强调文字颜色 6 3 5" xfId="153"/>
    <cellStyle name="20% - 强调文字颜色 6 3 6" xfId="154"/>
    <cellStyle name="20% - 强调文字颜色 6 3 7" xfId="155"/>
    <cellStyle name="20% - 强调文字颜色 6 4" xfId="156"/>
    <cellStyle name="20% - 强调文字颜色 6 4 2" xfId="157"/>
    <cellStyle name="20% - 强调文字颜色 6 4 3" xfId="158"/>
    <cellStyle name="20% - 强调文字颜色 6 4 4" xfId="159"/>
    <cellStyle name="20% - 强调文字颜色 6 4 5" xfId="160"/>
    <cellStyle name="20% - 强调文字颜色 6 4 6" xfId="161"/>
    <cellStyle name="20% - 强调文字颜色 6 4 7" xfId="162"/>
    <cellStyle name="20% - 强调文字颜色 6 5" xfId="163"/>
    <cellStyle name="20% - 强调文字颜色 6 5 2" xfId="164"/>
    <cellStyle name="20% - 强调文字颜色 6 5 3" xfId="165"/>
    <cellStyle name="20% - 强调文字颜色 6 5 4" xfId="166"/>
    <cellStyle name="20% - 强调文字颜色 6 5 5" xfId="167"/>
    <cellStyle name="20% - 强调文字颜色 6 5 6" xfId="168"/>
    <cellStyle name="20% - 强调文字颜色 6 5 7" xfId="169"/>
    <cellStyle name="40% - Accent1" xfId="392"/>
    <cellStyle name="40% - Accent2" xfId="393"/>
    <cellStyle name="40% - Accent3" xfId="394"/>
    <cellStyle name="40% - Accent4" xfId="395"/>
    <cellStyle name="40% - Accent5" xfId="396"/>
    <cellStyle name="40% - Accent6" xfId="397"/>
    <cellStyle name="40% - アクセント 1" xfId="398"/>
    <cellStyle name="40% - アクセント 1 2" xfId="399"/>
    <cellStyle name="40% - アクセント 1 3" xfId="400"/>
    <cellStyle name="40% - アクセント 1 3 2" xfId="401"/>
    <cellStyle name="40% - アクセント 1 4" xfId="402"/>
    <cellStyle name="40% - アクセント 1 4 2" xfId="403"/>
    <cellStyle name="40% - アクセント 1 4 3" xfId="404"/>
    <cellStyle name="40% - アクセント 1 5" xfId="405"/>
    <cellStyle name="40% - アクセント 2" xfId="406"/>
    <cellStyle name="40% - アクセント 2 2" xfId="407"/>
    <cellStyle name="40% - アクセント 2 3" xfId="408"/>
    <cellStyle name="40% - アクセント 2 3 2" xfId="409"/>
    <cellStyle name="40% - アクセント 2 4" xfId="410"/>
    <cellStyle name="40% - アクセント 2 4 2" xfId="411"/>
    <cellStyle name="40% - アクセント 2 4 3" xfId="412"/>
    <cellStyle name="40% - アクセント 2 5" xfId="413"/>
    <cellStyle name="40% - アクセント 3" xfId="414"/>
    <cellStyle name="40% - アクセント 3 2" xfId="415"/>
    <cellStyle name="40% - アクセント 3 3" xfId="416"/>
    <cellStyle name="40% - アクセント 3 3 2" xfId="417"/>
    <cellStyle name="40% - アクセント 3 4" xfId="418"/>
    <cellStyle name="40% - アクセント 3 4 2" xfId="419"/>
    <cellStyle name="40% - アクセント 3 4 3" xfId="420"/>
    <cellStyle name="40% - アクセント 3 5" xfId="421"/>
    <cellStyle name="40% - アクセント 4" xfId="422"/>
    <cellStyle name="40% - アクセント 4 2" xfId="423"/>
    <cellStyle name="40% - アクセント 4 3" xfId="424"/>
    <cellStyle name="40% - アクセント 4 3 2" xfId="425"/>
    <cellStyle name="40% - アクセント 4 4" xfId="426"/>
    <cellStyle name="40% - アクセント 4 4 2" xfId="427"/>
    <cellStyle name="40% - アクセント 4 4 3" xfId="428"/>
    <cellStyle name="40% - アクセント 4 5" xfId="429"/>
    <cellStyle name="40% - アクセント 5" xfId="430"/>
    <cellStyle name="40% - アクセント 5 2" xfId="431"/>
    <cellStyle name="40% - アクセント 5 3" xfId="432"/>
    <cellStyle name="40% - アクセント 5 3 2" xfId="433"/>
    <cellStyle name="40% - アクセント 5 4" xfId="434"/>
    <cellStyle name="40% - アクセント 5 4 2" xfId="435"/>
    <cellStyle name="40% - アクセント 5 4 3" xfId="436"/>
    <cellStyle name="40% - アクセント 5 5" xfId="437"/>
    <cellStyle name="40% - アクセント 6" xfId="438"/>
    <cellStyle name="40% - アクセント 6 2" xfId="439"/>
    <cellStyle name="40% - アクセント 6 3" xfId="440"/>
    <cellStyle name="40% - アクセント 6 3 2" xfId="441"/>
    <cellStyle name="40% - アクセント 6 4" xfId="442"/>
    <cellStyle name="40% - アクセント 6 4 2" xfId="443"/>
    <cellStyle name="40% - アクセント 6 4 3" xfId="444"/>
    <cellStyle name="40% - アクセント 6 5" xfId="445"/>
    <cellStyle name="40% - 强调文字颜色 1 2" xfId="224"/>
    <cellStyle name="40% - 强调文字颜色 1 2 2" xfId="225"/>
    <cellStyle name="40% - 强调文字颜色 1 2 3" xfId="226"/>
    <cellStyle name="40% - 强调文字颜色 1 2 4" xfId="227"/>
    <cellStyle name="40% - 强调文字颜色 1 2 5" xfId="228"/>
    <cellStyle name="40% - 强调文字颜色 1 2 6" xfId="229"/>
    <cellStyle name="40% - 强调文字颜色 1 2 7" xfId="230"/>
    <cellStyle name="40% - 强调文字颜色 1 3" xfId="231"/>
    <cellStyle name="40% - 强调文字颜色 1 3 2" xfId="232"/>
    <cellStyle name="40% - 强调文字颜色 1 3 3" xfId="233"/>
    <cellStyle name="40% - 强调文字颜色 1 3 4" xfId="234"/>
    <cellStyle name="40% - 强调文字颜色 1 3 5" xfId="235"/>
    <cellStyle name="40% - 强调文字颜色 1 3 6" xfId="236"/>
    <cellStyle name="40% - 强调文字颜色 1 3 7" xfId="237"/>
    <cellStyle name="40% - 强调文字颜色 1 4" xfId="238"/>
    <cellStyle name="40% - 强调文字颜色 1 4 2" xfId="239"/>
    <cellStyle name="40% - 强调文字颜色 1 4 3" xfId="240"/>
    <cellStyle name="40% - 强调文字颜色 1 4 4" xfId="241"/>
    <cellStyle name="40% - 强调文字颜色 1 4 5" xfId="242"/>
    <cellStyle name="40% - 强调文字颜色 1 4 6" xfId="243"/>
    <cellStyle name="40% - 强调文字颜色 1 4 7" xfId="244"/>
    <cellStyle name="40% - 强调文字颜色 1 5" xfId="245"/>
    <cellStyle name="40% - 强调文字颜色 1 5 2" xfId="246"/>
    <cellStyle name="40% - 强调文字颜色 1 5 3" xfId="247"/>
    <cellStyle name="40% - 强调文字颜色 1 5 4" xfId="248"/>
    <cellStyle name="40% - 强调文字颜色 1 5 5" xfId="249"/>
    <cellStyle name="40% - 强调文字颜色 1 5 6" xfId="250"/>
    <cellStyle name="40% - 强调文字颜色 1 5 7" xfId="251"/>
    <cellStyle name="40% - 强调文字颜色 2 2" xfId="252"/>
    <cellStyle name="40% - 强调文字颜色 2 2 2" xfId="253"/>
    <cellStyle name="40% - 强调文字颜色 2 2 3" xfId="254"/>
    <cellStyle name="40% - 强调文字颜色 2 2 4" xfId="255"/>
    <cellStyle name="40% - 强调文字颜色 2 2 5" xfId="256"/>
    <cellStyle name="40% - 强调文字颜色 2 2 6" xfId="257"/>
    <cellStyle name="40% - 强调文字颜色 2 2 7" xfId="258"/>
    <cellStyle name="40% - 强调文字颜色 2 3" xfId="259"/>
    <cellStyle name="40% - 强调文字颜色 2 3 2" xfId="260"/>
    <cellStyle name="40% - 强调文字颜色 2 3 3" xfId="261"/>
    <cellStyle name="40% - 强调文字颜色 2 3 4" xfId="262"/>
    <cellStyle name="40% - 强调文字颜色 2 3 5" xfId="263"/>
    <cellStyle name="40% - 强调文字颜色 2 3 6" xfId="264"/>
    <cellStyle name="40% - 强调文字颜色 2 3 7" xfId="265"/>
    <cellStyle name="40% - 强调文字颜色 2 4" xfId="266"/>
    <cellStyle name="40% - 强调文字颜色 2 4 2" xfId="267"/>
    <cellStyle name="40% - 强调文字颜色 2 4 3" xfId="268"/>
    <cellStyle name="40% - 强调文字颜色 2 4 4" xfId="269"/>
    <cellStyle name="40% - 强调文字颜色 2 4 5" xfId="270"/>
    <cellStyle name="40% - 强调文字颜色 2 4 6" xfId="271"/>
    <cellStyle name="40% - 强调文字颜色 2 4 7" xfId="272"/>
    <cellStyle name="40% - 强调文字颜色 2 5" xfId="273"/>
    <cellStyle name="40% - 强调文字颜色 2 5 2" xfId="274"/>
    <cellStyle name="40% - 强调文字颜色 2 5 3" xfId="275"/>
    <cellStyle name="40% - 强调文字颜色 2 5 4" xfId="276"/>
    <cellStyle name="40% - 强调文字颜色 2 5 5" xfId="277"/>
    <cellStyle name="40% - 强调文字颜色 2 5 6" xfId="278"/>
    <cellStyle name="40% - 强调文字颜色 2 5 7" xfId="279"/>
    <cellStyle name="40% - 强调文字颜色 3 2" xfId="280"/>
    <cellStyle name="40% - 强调文字颜色 3 2 2" xfId="281"/>
    <cellStyle name="40% - 强调文字颜色 3 2 3" xfId="282"/>
    <cellStyle name="40% - 强调文字颜色 3 2 4" xfId="283"/>
    <cellStyle name="40% - 强调文字颜色 3 2 5" xfId="284"/>
    <cellStyle name="40% - 强调文字颜色 3 2 6" xfId="285"/>
    <cellStyle name="40% - 强调文字颜色 3 2 7" xfId="286"/>
    <cellStyle name="40% - 强调文字颜色 3 3" xfId="287"/>
    <cellStyle name="40% - 强调文字颜色 3 3 2" xfId="288"/>
    <cellStyle name="40% - 强调文字颜色 3 3 3" xfId="289"/>
    <cellStyle name="40% - 强调文字颜色 3 3 4" xfId="290"/>
    <cellStyle name="40% - 强调文字颜色 3 3 5" xfId="291"/>
    <cellStyle name="40% - 强调文字颜色 3 3 6" xfId="292"/>
    <cellStyle name="40% - 强调文字颜色 3 3 7" xfId="293"/>
    <cellStyle name="40% - 强调文字颜色 3 4" xfId="294"/>
    <cellStyle name="40% - 强调文字颜色 3 4 2" xfId="295"/>
    <cellStyle name="40% - 强调文字颜色 3 4 3" xfId="296"/>
    <cellStyle name="40% - 强调文字颜色 3 4 4" xfId="297"/>
    <cellStyle name="40% - 强调文字颜色 3 4 5" xfId="298"/>
    <cellStyle name="40% - 强调文字颜色 3 4 6" xfId="299"/>
    <cellStyle name="40% - 强调文字颜色 3 4 7" xfId="300"/>
    <cellStyle name="40% - 强调文字颜色 3 5" xfId="301"/>
    <cellStyle name="40% - 强调文字颜色 3 5 2" xfId="302"/>
    <cellStyle name="40% - 强调文字颜色 3 5 3" xfId="303"/>
    <cellStyle name="40% - 强调文字颜色 3 5 4" xfId="304"/>
    <cellStyle name="40% - 强调文字颜色 3 5 5" xfId="305"/>
    <cellStyle name="40% - 强调文字颜色 3 5 6" xfId="306"/>
    <cellStyle name="40% - 强调文字颜色 3 5 7" xfId="307"/>
    <cellStyle name="40% - 强调文字颜色 4 2" xfId="308"/>
    <cellStyle name="40% - 强调文字颜色 4 2 2" xfId="309"/>
    <cellStyle name="40% - 强调文字颜色 4 2 3" xfId="310"/>
    <cellStyle name="40% - 强调文字颜色 4 2 4" xfId="311"/>
    <cellStyle name="40% - 强调文字颜色 4 2 5" xfId="312"/>
    <cellStyle name="40% - 强调文字颜色 4 2 6" xfId="313"/>
    <cellStyle name="40% - 强调文字颜色 4 2 7" xfId="314"/>
    <cellStyle name="40% - 强调文字颜色 4 3" xfId="315"/>
    <cellStyle name="40% - 强调文字颜色 4 3 2" xfId="316"/>
    <cellStyle name="40% - 强调文字颜色 4 3 3" xfId="317"/>
    <cellStyle name="40% - 强调文字颜色 4 3 4" xfId="318"/>
    <cellStyle name="40% - 强调文字颜色 4 3 5" xfId="319"/>
    <cellStyle name="40% - 强调文字颜色 4 3 6" xfId="320"/>
    <cellStyle name="40% - 强调文字颜色 4 3 7" xfId="321"/>
    <cellStyle name="40% - 强调文字颜色 4 4" xfId="322"/>
    <cellStyle name="40% - 强调文字颜色 4 4 2" xfId="323"/>
    <cellStyle name="40% - 强调文字颜色 4 4 3" xfId="324"/>
    <cellStyle name="40% - 强调文字颜色 4 4 4" xfId="325"/>
    <cellStyle name="40% - 强调文字颜色 4 4 5" xfId="326"/>
    <cellStyle name="40% - 强调文字颜色 4 4 6" xfId="327"/>
    <cellStyle name="40% - 强调文字颜色 4 4 7" xfId="328"/>
    <cellStyle name="40% - 强调文字颜色 4 5" xfId="329"/>
    <cellStyle name="40% - 强调文字颜色 4 5 2" xfId="330"/>
    <cellStyle name="40% - 强调文字颜色 4 5 3" xfId="331"/>
    <cellStyle name="40% - 强调文字颜色 4 5 4" xfId="332"/>
    <cellStyle name="40% - 强调文字颜色 4 5 5" xfId="333"/>
    <cellStyle name="40% - 强调文字颜色 4 5 6" xfId="334"/>
    <cellStyle name="40% - 强调文字颜色 4 5 7" xfId="335"/>
    <cellStyle name="40% - 强调文字颜色 5 2" xfId="336"/>
    <cellStyle name="40% - 强调文字颜色 5 2 2" xfId="337"/>
    <cellStyle name="40% - 强调文字颜色 5 2 3" xfId="338"/>
    <cellStyle name="40% - 强调文字颜色 5 2 4" xfId="339"/>
    <cellStyle name="40% - 强调文字颜色 5 2 5" xfId="340"/>
    <cellStyle name="40% - 强调文字颜色 5 2 6" xfId="341"/>
    <cellStyle name="40% - 强调文字颜色 5 2 7" xfId="342"/>
    <cellStyle name="40% - 强调文字颜色 5 3" xfId="343"/>
    <cellStyle name="40% - 强调文字颜色 5 3 2" xfId="344"/>
    <cellStyle name="40% - 强调文字颜色 5 3 3" xfId="345"/>
    <cellStyle name="40% - 强调文字颜色 5 3 4" xfId="346"/>
    <cellStyle name="40% - 强调文字颜色 5 3 5" xfId="347"/>
    <cellStyle name="40% - 强调文字颜色 5 3 6" xfId="348"/>
    <cellStyle name="40% - 强调文字颜色 5 3 7" xfId="349"/>
    <cellStyle name="40% - 强调文字颜色 5 4" xfId="350"/>
    <cellStyle name="40% - 强调文字颜色 5 4 2" xfId="351"/>
    <cellStyle name="40% - 强调文字颜色 5 4 3" xfId="352"/>
    <cellStyle name="40% - 强调文字颜色 5 4 4" xfId="353"/>
    <cellStyle name="40% - 强调文字颜色 5 4 5" xfId="354"/>
    <cellStyle name="40% - 强调文字颜色 5 4 6" xfId="355"/>
    <cellStyle name="40% - 强调文字颜色 5 4 7" xfId="356"/>
    <cellStyle name="40% - 强调文字颜色 5 5" xfId="357"/>
    <cellStyle name="40% - 强调文字颜色 5 5 2" xfId="358"/>
    <cellStyle name="40% - 强调文字颜色 5 5 3" xfId="359"/>
    <cellStyle name="40% - 强调文字颜色 5 5 4" xfId="360"/>
    <cellStyle name="40% - 强调文字颜色 5 5 5" xfId="361"/>
    <cellStyle name="40% - 强调文字颜色 5 5 6" xfId="362"/>
    <cellStyle name="40% - 强调文字颜色 5 5 7" xfId="363"/>
    <cellStyle name="40% - 强调文字颜色 6 2" xfId="364"/>
    <cellStyle name="40% - 强调文字颜色 6 2 2" xfId="365"/>
    <cellStyle name="40% - 强调文字颜色 6 2 3" xfId="366"/>
    <cellStyle name="40% - 强调文字颜色 6 2 4" xfId="367"/>
    <cellStyle name="40% - 强调文字颜色 6 2 5" xfId="368"/>
    <cellStyle name="40% - 强调文字颜色 6 2 6" xfId="369"/>
    <cellStyle name="40% - 强调文字颜色 6 2 7" xfId="370"/>
    <cellStyle name="40% - 强调文字颜色 6 3" xfId="371"/>
    <cellStyle name="40% - 强调文字颜色 6 3 2" xfId="372"/>
    <cellStyle name="40% - 强调文字颜色 6 3 3" xfId="373"/>
    <cellStyle name="40% - 强调文字颜色 6 3 4" xfId="374"/>
    <cellStyle name="40% - 强调文字颜色 6 3 5" xfId="375"/>
    <cellStyle name="40% - 强调文字颜色 6 3 6" xfId="376"/>
    <cellStyle name="40% - 强调文字颜色 6 3 7" xfId="377"/>
    <cellStyle name="40% - 强调文字颜色 6 4" xfId="378"/>
    <cellStyle name="40% - 强调文字颜色 6 4 2" xfId="379"/>
    <cellStyle name="40% - 强调文字颜色 6 4 3" xfId="380"/>
    <cellStyle name="40% - 强调文字颜色 6 4 4" xfId="381"/>
    <cellStyle name="40% - 强调文字颜色 6 4 5" xfId="382"/>
    <cellStyle name="40% - 强调文字颜色 6 4 6" xfId="383"/>
    <cellStyle name="40% - 强调文字颜色 6 4 7" xfId="384"/>
    <cellStyle name="40% - 强调文字颜色 6 5" xfId="385"/>
    <cellStyle name="40% - 强调文字颜色 6 5 2" xfId="386"/>
    <cellStyle name="40% - 强调文字颜色 6 5 3" xfId="387"/>
    <cellStyle name="40% - 强调文字颜色 6 5 4" xfId="388"/>
    <cellStyle name="40% - 强调文字颜色 6 5 5" xfId="389"/>
    <cellStyle name="40% - 强调文字颜色 6 5 6" xfId="390"/>
    <cellStyle name="40% - 强调文字颜色 6 5 7" xfId="391"/>
    <cellStyle name="60% - Accent1" xfId="614"/>
    <cellStyle name="60% - Accent2" xfId="615"/>
    <cellStyle name="60% - Accent3" xfId="616"/>
    <cellStyle name="60% - Accent4" xfId="617"/>
    <cellStyle name="60% - Accent5" xfId="618"/>
    <cellStyle name="60% - Accent6" xfId="619"/>
    <cellStyle name="60% - アクセント 1" xfId="620"/>
    <cellStyle name="60% - アクセント 1 2" xfId="621"/>
    <cellStyle name="60% - アクセント 1 3" xfId="622"/>
    <cellStyle name="60% - アクセント 1 3 2" xfId="623"/>
    <cellStyle name="60% - アクセント 1 4" xfId="624"/>
    <cellStyle name="60% - アクセント 1 4 2" xfId="625"/>
    <cellStyle name="60% - アクセント 1 4 3" xfId="626"/>
    <cellStyle name="60% - アクセント 1 5" xfId="627"/>
    <cellStyle name="60% - アクセント 2" xfId="628"/>
    <cellStyle name="60% - アクセント 2 2" xfId="629"/>
    <cellStyle name="60% - アクセント 2 3" xfId="630"/>
    <cellStyle name="60% - アクセント 2 3 2" xfId="631"/>
    <cellStyle name="60% - アクセント 2 4" xfId="632"/>
    <cellStyle name="60% - アクセント 2 4 2" xfId="633"/>
    <cellStyle name="60% - アクセント 2 4 3" xfId="634"/>
    <cellStyle name="60% - アクセント 2 5" xfId="635"/>
    <cellStyle name="60% - アクセント 3" xfId="636"/>
    <cellStyle name="60% - アクセント 3 2" xfId="637"/>
    <cellStyle name="60% - アクセント 3 3" xfId="638"/>
    <cellStyle name="60% - アクセント 3 3 2" xfId="639"/>
    <cellStyle name="60% - アクセント 3 4" xfId="640"/>
    <cellStyle name="60% - アクセント 3 4 2" xfId="641"/>
    <cellStyle name="60% - アクセント 3 4 3" xfId="642"/>
    <cellStyle name="60% - アクセント 3 5" xfId="643"/>
    <cellStyle name="60% - アクセント 4" xfId="644"/>
    <cellStyle name="60% - アクセント 4 2" xfId="645"/>
    <cellStyle name="60% - アクセント 4 3" xfId="646"/>
    <cellStyle name="60% - アクセント 4 3 2" xfId="647"/>
    <cellStyle name="60% - アクセント 4 4" xfId="648"/>
    <cellStyle name="60% - アクセント 4 4 2" xfId="649"/>
    <cellStyle name="60% - アクセント 4 4 3" xfId="650"/>
    <cellStyle name="60% - アクセント 4 5" xfId="651"/>
    <cellStyle name="60% - アクセント 5" xfId="652"/>
    <cellStyle name="60% - アクセント 5 2" xfId="653"/>
    <cellStyle name="60% - アクセント 5 3" xfId="654"/>
    <cellStyle name="60% - アクセント 5 3 2" xfId="655"/>
    <cellStyle name="60% - アクセント 5 4" xfId="656"/>
    <cellStyle name="60% - アクセント 5 4 2" xfId="657"/>
    <cellStyle name="60% - アクセント 5 4 3" xfId="658"/>
    <cellStyle name="60% - アクセント 5 5" xfId="659"/>
    <cellStyle name="60% - アクセント 6" xfId="660"/>
    <cellStyle name="60% - アクセント 6 2" xfId="661"/>
    <cellStyle name="60% - アクセント 6 3" xfId="662"/>
    <cellStyle name="60% - アクセント 6 3 2" xfId="663"/>
    <cellStyle name="60% - アクセント 6 4" xfId="664"/>
    <cellStyle name="60% - アクセント 6 4 2" xfId="665"/>
    <cellStyle name="60% - アクセント 6 4 3" xfId="666"/>
    <cellStyle name="60% - アクセント 6 5" xfId="667"/>
    <cellStyle name="60% - 强调文字颜色 1 2" xfId="446"/>
    <cellStyle name="60% - 强调文字颜色 1 2 2" xfId="447"/>
    <cellStyle name="60% - 强调文字颜色 1 2 3" xfId="448"/>
    <cellStyle name="60% - 强调文字颜色 1 2 4" xfId="449"/>
    <cellStyle name="60% - 强调文字颜色 1 2 5" xfId="450"/>
    <cellStyle name="60% - 强调文字颜色 1 2 6" xfId="451"/>
    <cellStyle name="60% - 强调文字颜色 1 2 7" xfId="452"/>
    <cellStyle name="60% - 强调文字颜色 1 3" xfId="453"/>
    <cellStyle name="60% - 强调文字颜色 1 3 2" xfId="454"/>
    <cellStyle name="60% - 强调文字颜色 1 3 3" xfId="455"/>
    <cellStyle name="60% - 强调文字颜色 1 3 4" xfId="456"/>
    <cellStyle name="60% - 强调文字颜色 1 3 5" xfId="457"/>
    <cellStyle name="60% - 强调文字颜色 1 3 6" xfId="458"/>
    <cellStyle name="60% - 强调文字颜色 1 3 7" xfId="459"/>
    <cellStyle name="60% - 强调文字颜色 1 4" xfId="460"/>
    <cellStyle name="60% - 强调文字颜色 1 4 2" xfId="461"/>
    <cellStyle name="60% - 强调文字颜色 1 4 3" xfId="462"/>
    <cellStyle name="60% - 强调文字颜色 1 4 4" xfId="463"/>
    <cellStyle name="60% - 强调文字颜色 1 4 5" xfId="464"/>
    <cellStyle name="60% - 强调文字颜色 1 4 6" xfId="465"/>
    <cellStyle name="60% - 强调文字颜色 1 4 7" xfId="466"/>
    <cellStyle name="60% - 强调文字颜色 1 5" xfId="467"/>
    <cellStyle name="60% - 强调文字颜色 1 5 2" xfId="468"/>
    <cellStyle name="60% - 强调文字颜色 1 5 3" xfId="469"/>
    <cellStyle name="60% - 强调文字颜色 1 5 4" xfId="470"/>
    <cellStyle name="60% - 强调文字颜色 1 5 5" xfId="471"/>
    <cellStyle name="60% - 强调文字颜色 1 5 6" xfId="472"/>
    <cellStyle name="60% - 强调文字颜色 1 5 7" xfId="473"/>
    <cellStyle name="60% - 强调文字颜色 2 2" xfId="474"/>
    <cellStyle name="60% - 强调文字颜色 2 2 2" xfId="475"/>
    <cellStyle name="60% - 强调文字颜色 2 2 3" xfId="476"/>
    <cellStyle name="60% - 强调文字颜色 2 2 4" xfId="477"/>
    <cellStyle name="60% - 强调文字颜色 2 2 5" xfId="478"/>
    <cellStyle name="60% - 强调文字颜色 2 2 6" xfId="479"/>
    <cellStyle name="60% - 强调文字颜色 2 2 7" xfId="480"/>
    <cellStyle name="60% - 强调文字颜色 2 3" xfId="481"/>
    <cellStyle name="60% - 强调文字颜色 2 3 2" xfId="482"/>
    <cellStyle name="60% - 强调文字颜色 2 3 3" xfId="483"/>
    <cellStyle name="60% - 强调文字颜色 2 3 4" xfId="484"/>
    <cellStyle name="60% - 强调文字颜色 2 3 5" xfId="485"/>
    <cellStyle name="60% - 强调文字颜色 2 3 6" xfId="486"/>
    <cellStyle name="60% - 强调文字颜色 2 3 7" xfId="487"/>
    <cellStyle name="60% - 强调文字颜色 2 4" xfId="488"/>
    <cellStyle name="60% - 强调文字颜色 2 4 2" xfId="489"/>
    <cellStyle name="60% - 强调文字颜色 2 4 3" xfId="490"/>
    <cellStyle name="60% - 强调文字颜色 2 4 4" xfId="491"/>
    <cellStyle name="60% - 强调文字颜色 2 4 5" xfId="492"/>
    <cellStyle name="60% - 强调文字颜色 2 4 6" xfId="493"/>
    <cellStyle name="60% - 强调文字颜色 2 4 7" xfId="494"/>
    <cellStyle name="60% - 强调文字颜色 2 5" xfId="495"/>
    <cellStyle name="60% - 强调文字颜色 2 5 2" xfId="496"/>
    <cellStyle name="60% - 强调文字颜色 2 5 3" xfId="497"/>
    <cellStyle name="60% - 强调文字颜色 2 5 4" xfId="498"/>
    <cellStyle name="60% - 强调文字颜色 2 5 5" xfId="499"/>
    <cellStyle name="60% - 强调文字颜色 2 5 6" xfId="500"/>
    <cellStyle name="60% - 强调文字颜色 2 5 7" xfId="501"/>
    <cellStyle name="60% - 强调文字颜色 3 2" xfId="502"/>
    <cellStyle name="60% - 强调文字颜色 3 2 2" xfId="503"/>
    <cellStyle name="60% - 强调文字颜色 3 2 3" xfId="504"/>
    <cellStyle name="60% - 强调文字颜色 3 2 4" xfId="505"/>
    <cellStyle name="60% - 强调文字颜色 3 2 5" xfId="506"/>
    <cellStyle name="60% - 强调文字颜色 3 2 6" xfId="507"/>
    <cellStyle name="60% - 强调文字颜色 3 2 7" xfId="508"/>
    <cellStyle name="60% - 强调文字颜色 3 3" xfId="509"/>
    <cellStyle name="60% - 强调文字颜色 3 3 2" xfId="510"/>
    <cellStyle name="60% - 强调文字颜色 3 3 3" xfId="511"/>
    <cellStyle name="60% - 强调文字颜色 3 3 4" xfId="512"/>
    <cellStyle name="60% - 强调文字颜色 3 3 5" xfId="513"/>
    <cellStyle name="60% - 强调文字颜色 3 3 6" xfId="514"/>
    <cellStyle name="60% - 强调文字颜色 3 3 7" xfId="515"/>
    <cellStyle name="60% - 强调文字颜色 3 4" xfId="516"/>
    <cellStyle name="60% - 强调文字颜色 3 4 2" xfId="517"/>
    <cellStyle name="60% - 强调文字颜色 3 4 3" xfId="518"/>
    <cellStyle name="60% - 强调文字颜色 3 4 4" xfId="519"/>
    <cellStyle name="60% - 强调文字颜色 3 4 5" xfId="520"/>
    <cellStyle name="60% - 强调文字颜色 3 4 6" xfId="521"/>
    <cellStyle name="60% - 强调文字颜色 3 4 7" xfId="522"/>
    <cellStyle name="60% - 强调文字颜色 3 5" xfId="523"/>
    <cellStyle name="60% - 强调文字颜色 3 5 2" xfId="524"/>
    <cellStyle name="60% - 强调文字颜色 3 5 3" xfId="525"/>
    <cellStyle name="60% - 强调文字颜色 3 5 4" xfId="526"/>
    <cellStyle name="60% - 强调文字颜色 3 5 5" xfId="527"/>
    <cellStyle name="60% - 强调文字颜色 3 5 6" xfId="528"/>
    <cellStyle name="60% - 强调文字颜色 3 5 7" xfId="529"/>
    <cellStyle name="60% - 强调文字颜色 4 2" xfId="530"/>
    <cellStyle name="60% - 强调文字颜色 4 2 2" xfId="531"/>
    <cellStyle name="60% - 强调文字颜色 4 2 3" xfId="532"/>
    <cellStyle name="60% - 强调文字颜色 4 2 4" xfId="533"/>
    <cellStyle name="60% - 强调文字颜色 4 2 5" xfId="534"/>
    <cellStyle name="60% - 强调文字颜色 4 2 6" xfId="535"/>
    <cellStyle name="60% - 强调文字颜色 4 2 7" xfId="536"/>
    <cellStyle name="60% - 强调文字颜色 4 3" xfId="537"/>
    <cellStyle name="60% - 强调文字颜色 4 3 2" xfId="538"/>
    <cellStyle name="60% - 强调文字颜色 4 3 3" xfId="539"/>
    <cellStyle name="60% - 强调文字颜色 4 3 4" xfId="540"/>
    <cellStyle name="60% - 强调文字颜色 4 3 5" xfId="541"/>
    <cellStyle name="60% - 强调文字颜色 4 3 6" xfId="542"/>
    <cellStyle name="60% - 强调文字颜色 4 3 7" xfId="543"/>
    <cellStyle name="60% - 强调文字颜色 4 4" xfId="544"/>
    <cellStyle name="60% - 强调文字颜色 4 4 2" xfId="545"/>
    <cellStyle name="60% - 强调文字颜色 4 4 3" xfId="546"/>
    <cellStyle name="60% - 强调文字颜色 4 4 4" xfId="547"/>
    <cellStyle name="60% - 强调文字颜色 4 4 5" xfId="548"/>
    <cellStyle name="60% - 强调文字颜色 4 4 6" xfId="549"/>
    <cellStyle name="60% - 强调文字颜色 4 4 7" xfId="550"/>
    <cellStyle name="60% - 强调文字颜色 4 5" xfId="551"/>
    <cellStyle name="60% - 强调文字颜色 4 5 2" xfId="552"/>
    <cellStyle name="60% - 强调文字颜色 4 5 3" xfId="553"/>
    <cellStyle name="60% - 强调文字颜色 4 5 4" xfId="554"/>
    <cellStyle name="60% - 强调文字颜色 4 5 5" xfId="555"/>
    <cellStyle name="60% - 强调文字颜色 4 5 6" xfId="556"/>
    <cellStyle name="60% - 强调文字颜色 4 5 7" xfId="557"/>
    <cellStyle name="60% - 强调文字颜色 5 2" xfId="558"/>
    <cellStyle name="60% - 强调文字颜色 5 2 2" xfId="559"/>
    <cellStyle name="60% - 强调文字颜色 5 2 3" xfId="560"/>
    <cellStyle name="60% - 强调文字颜色 5 2 4" xfId="561"/>
    <cellStyle name="60% - 强调文字颜色 5 2 5" xfId="562"/>
    <cellStyle name="60% - 强调文字颜色 5 2 6" xfId="563"/>
    <cellStyle name="60% - 强调文字颜色 5 2 7" xfId="564"/>
    <cellStyle name="60% - 强调文字颜色 5 3" xfId="565"/>
    <cellStyle name="60% - 强调文字颜色 5 3 2" xfId="566"/>
    <cellStyle name="60% - 强调文字颜色 5 3 3" xfId="567"/>
    <cellStyle name="60% - 强调文字颜色 5 3 4" xfId="568"/>
    <cellStyle name="60% - 强调文字颜色 5 3 5" xfId="569"/>
    <cellStyle name="60% - 强调文字颜色 5 3 6" xfId="570"/>
    <cellStyle name="60% - 强调文字颜色 5 3 7" xfId="571"/>
    <cellStyle name="60% - 强调文字颜色 5 4" xfId="572"/>
    <cellStyle name="60% - 强调文字颜色 5 4 2" xfId="573"/>
    <cellStyle name="60% - 强调文字颜色 5 4 3" xfId="574"/>
    <cellStyle name="60% - 强调文字颜色 5 4 4" xfId="575"/>
    <cellStyle name="60% - 强调文字颜色 5 4 5" xfId="576"/>
    <cellStyle name="60% - 强调文字颜色 5 4 6" xfId="577"/>
    <cellStyle name="60% - 强调文字颜色 5 4 7" xfId="578"/>
    <cellStyle name="60% - 强调文字颜色 5 5" xfId="579"/>
    <cellStyle name="60% - 强调文字颜色 5 5 2" xfId="580"/>
    <cellStyle name="60% - 强调文字颜色 5 5 3" xfId="581"/>
    <cellStyle name="60% - 强调文字颜色 5 5 4" xfId="582"/>
    <cellStyle name="60% - 强调文字颜色 5 5 5" xfId="583"/>
    <cellStyle name="60% - 强调文字颜色 5 5 6" xfId="584"/>
    <cellStyle name="60% - 强调文字颜色 5 5 7" xfId="585"/>
    <cellStyle name="60% - 强调文字颜色 6 2" xfId="586"/>
    <cellStyle name="60% - 强调文字颜色 6 2 2" xfId="587"/>
    <cellStyle name="60% - 强调文字颜色 6 2 3" xfId="588"/>
    <cellStyle name="60% - 强调文字颜色 6 2 4" xfId="589"/>
    <cellStyle name="60% - 强调文字颜色 6 2 5" xfId="590"/>
    <cellStyle name="60% - 强调文字颜色 6 2 6" xfId="591"/>
    <cellStyle name="60% - 强调文字颜色 6 2 7" xfId="592"/>
    <cellStyle name="60% - 强调文字颜色 6 3" xfId="593"/>
    <cellStyle name="60% - 强调文字颜色 6 3 2" xfId="594"/>
    <cellStyle name="60% - 强调文字颜色 6 3 3" xfId="595"/>
    <cellStyle name="60% - 强调文字颜色 6 3 4" xfId="596"/>
    <cellStyle name="60% - 强调文字颜色 6 3 5" xfId="597"/>
    <cellStyle name="60% - 强调文字颜色 6 3 6" xfId="598"/>
    <cellStyle name="60% - 强调文字颜色 6 3 7" xfId="599"/>
    <cellStyle name="60% - 强调文字颜色 6 4" xfId="600"/>
    <cellStyle name="60% - 强调文字颜色 6 4 2" xfId="601"/>
    <cellStyle name="60% - 强调文字颜色 6 4 3" xfId="602"/>
    <cellStyle name="60% - 强调文字颜色 6 4 4" xfId="603"/>
    <cellStyle name="60% - 强调文字颜色 6 4 5" xfId="604"/>
    <cellStyle name="60% - 强调文字颜色 6 4 6" xfId="605"/>
    <cellStyle name="60% - 强调文字颜色 6 4 7" xfId="606"/>
    <cellStyle name="60% - 强调文字颜色 6 5" xfId="607"/>
    <cellStyle name="60% - 强调文字颜色 6 5 2" xfId="608"/>
    <cellStyle name="60% - 强调文字颜色 6 5 3" xfId="609"/>
    <cellStyle name="60% - 强调文字颜色 6 5 4" xfId="610"/>
    <cellStyle name="60% - 强调文字颜色 6 5 5" xfId="611"/>
    <cellStyle name="60% - 强调文字颜色 6 5 6" xfId="612"/>
    <cellStyle name="60% - 强调文字颜色 6 5 7" xfId="613"/>
    <cellStyle name="Accent1" xfId="2702"/>
    <cellStyle name="Accent2" xfId="2703"/>
    <cellStyle name="Accent3" xfId="2704"/>
    <cellStyle name="Accent4" xfId="2705"/>
    <cellStyle name="Accent5" xfId="2706"/>
    <cellStyle name="Accent6" xfId="2707"/>
    <cellStyle name="Bad" xfId="2708"/>
    <cellStyle name="Calculation" xfId="2709"/>
    <cellStyle name="Check Cell" xfId="2710"/>
    <cellStyle name="Explanatory Text" xfId="2711"/>
    <cellStyle name="Good" xfId="2712"/>
    <cellStyle name="Heading 1" xfId="2713"/>
    <cellStyle name="Heading 2" xfId="2714"/>
    <cellStyle name="Heading 3" xfId="2715"/>
    <cellStyle name="Heading 4" xfId="2716"/>
    <cellStyle name="Input" xfId="2717"/>
    <cellStyle name="LineUB - Style6" xfId="2718"/>
    <cellStyle name="Linked Cell" xfId="2719"/>
    <cellStyle name="Neutral" xfId="2720"/>
    <cellStyle name="Normal 2" xfId="2721"/>
    <cellStyle name="Normal 5_Combined Price List- FALL 109 updated 12.9" xfId="2722"/>
    <cellStyle name="Normal_Lic_Life" xfId="2723"/>
    <cellStyle name="Note" xfId="2724"/>
    <cellStyle name="Output" xfId="2725"/>
    <cellStyle name="Percent 2" xfId="2726"/>
    <cellStyle name="Title" xfId="2727"/>
    <cellStyle name="Total" xfId="2728"/>
    <cellStyle name="Warning Text" xfId="2729"/>
    <cellStyle name="アクセント 1" xfId="2730"/>
    <cellStyle name="アクセント 1 2" xfId="2731"/>
    <cellStyle name="アクセント 1 3" xfId="2732"/>
    <cellStyle name="アクセント 1 3 2" xfId="2733"/>
    <cellStyle name="アクセント 1 4" xfId="2734"/>
    <cellStyle name="アクセント 1 4 2" xfId="2735"/>
    <cellStyle name="アクセント 1 5" xfId="2736"/>
    <cellStyle name="アクセント 2" xfId="2737"/>
    <cellStyle name="アクセント 2 2" xfId="2738"/>
    <cellStyle name="アクセント 2 3" xfId="2739"/>
    <cellStyle name="アクセント 2 3 2" xfId="2740"/>
    <cellStyle name="アクセント 2 4" xfId="2741"/>
    <cellStyle name="アクセント 2 4 2" xfId="2742"/>
    <cellStyle name="アクセント 2 5" xfId="2743"/>
    <cellStyle name="アクセント 3" xfId="2744"/>
    <cellStyle name="アクセント 3 2" xfId="2745"/>
    <cellStyle name="アクセント 3 3" xfId="2746"/>
    <cellStyle name="アクセント 3 3 2" xfId="2747"/>
    <cellStyle name="アクセント 3 4" xfId="2748"/>
    <cellStyle name="アクセント 3 4 2" xfId="2749"/>
    <cellStyle name="アクセント 3 5" xfId="2750"/>
    <cellStyle name="アクセント 4" xfId="2751"/>
    <cellStyle name="アクセント 4 2" xfId="2752"/>
    <cellStyle name="アクセント 4 3" xfId="2753"/>
    <cellStyle name="アクセント 4 3 2" xfId="2754"/>
    <cellStyle name="アクセント 4 4" xfId="2755"/>
    <cellStyle name="アクセント 4 4 2" xfId="2756"/>
    <cellStyle name="アクセント 4 5" xfId="2757"/>
    <cellStyle name="アクセント 5" xfId="2758"/>
    <cellStyle name="アクセント 5 2" xfId="2759"/>
    <cellStyle name="アクセント 5 3" xfId="2760"/>
    <cellStyle name="アクセント 5 3 2" xfId="2761"/>
    <cellStyle name="アクセント 5 4" xfId="2762"/>
    <cellStyle name="アクセント 5 4 2" xfId="2763"/>
    <cellStyle name="アクセント 5 5" xfId="2764"/>
    <cellStyle name="アクセント 6" xfId="2765"/>
    <cellStyle name="アクセント 6 2" xfId="2766"/>
    <cellStyle name="アクセント 6 3" xfId="2767"/>
    <cellStyle name="アクセント 6 3 2" xfId="2768"/>
    <cellStyle name="アクセント 6 4" xfId="2769"/>
    <cellStyle name="アクセント 6 4 2" xfId="2770"/>
    <cellStyle name="アクセント 6 5" xfId="2771"/>
    <cellStyle name="タイトル" xfId="2772"/>
    <cellStyle name="タイトル 2" xfId="2773"/>
    <cellStyle name="タイトル 3" xfId="2774"/>
    <cellStyle name="タイトル 3 2" xfId="2775"/>
    <cellStyle name="タイトル 4" xfId="2776"/>
    <cellStyle name="タイトル 4 2" xfId="2777"/>
    <cellStyle name="タイトル 5" xfId="2778"/>
    <cellStyle name="チェック セル" xfId="2779"/>
    <cellStyle name="チェック セル 2" xfId="2780"/>
    <cellStyle name="チェック セル 3" xfId="2781"/>
    <cellStyle name="チェック セル 3 2" xfId="2782"/>
    <cellStyle name="チェック セル 3_11FW 판매분석 120506 (JIL MI)" xfId="2783"/>
    <cellStyle name="チェック セル 4" xfId="2784"/>
    <cellStyle name="チェック セル 4 2" xfId="2785"/>
    <cellStyle name="チェック セル 4_11FW 판매분석 120506 (JIL MI)" xfId="2786"/>
    <cellStyle name="チェック セル 5" xfId="2787"/>
    <cellStyle name="チェック セル_11FW 판매분석 120506 (JIL MI)" xfId="2788"/>
    <cellStyle name="どちらでもない" xfId="2789"/>
    <cellStyle name="どちらでもない 2" xfId="2790"/>
    <cellStyle name="どちらでもない 3" xfId="2791"/>
    <cellStyle name="どちらでもない 3 2" xfId="2792"/>
    <cellStyle name="どちらでもない 4" xfId="2793"/>
    <cellStyle name="どちらでもない 4 2" xfId="2794"/>
    <cellStyle name="どちらでもない 5" xfId="2795"/>
    <cellStyle name="メモ" xfId="2796"/>
    <cellStyle name="メモ 2" xfId="2797"/>
    <cellStyle name="メモ 3" xfId="2798"/>
    <cellStyle name="メモ 3 2" xfId="2799"/>
    <cellStyle name="メモ 3_11FW 판매분석 120506 (JIL MI)" xfId="2800"/>
    <cellStyle name="メモ 4" xfId="2801"/>
    <cellStyle name="メモ 4 2" xfId="2802"/>
    <cellStyle name="メモ 4_11FW 판매분석 120506 (JIL MI)" xfId="2803"/>
    <cellStyle name="メモ 5" xfId="2804"/>
    <cellStyle name="メモ_11FW 판매분석 120506 (JIL MI)" xfId="2805"/>
    <cellStyle name="リンク セル" xfId="2806"/>
    <cellStyle name="リンク セル 2" xfId="2807"/>
    <cellStyle name="リンク セル 3" xfId="2808"/>
    <cellStyle name="リンク セル 3 2" xfId="2809"/>
    <cellStyle name="リンク セル 3_11FW 판매분석 120506 (JIL MI)" xfId="2810"/>
    <cellStyle name="リンク セル 4" xfId="2811"/>
    <cellStyle name="リンク セル 4 2" xfId="2812"/>
    <cellStyle name="リンク セル 4_11FW 판매분석 120506 (JIL MI)" xfId="2813"/>
    <cellStyle name="リンク セル 5" xfId="2814"/>
    <cellStyle name="リンク セル_11FW 판매분석 120506 (JIL MI)" xfId="2815"/>
    <cellStyle name="强调文字颜色 1 2" xfId="668"/>
    <cellStyle name="强调文字颜色 1 2 2" xfId="669"/>
    <cellStyle name="强调文字颜色 1 2 3" xfId="670"/>
    <cellStyle name="强调文字颜色 1 2 4" xfId="671"/>
    <cellStyle name="强调文字颜色 1 2 5" xfId="672"/>
    <cellStyle name="强调文字颜色 1 2 6" xfId="673"/>
    <cellStyle name="强调文字颜色 1 2 7" xfId="674"/>
    <cellStyle name="强调文字颜色 1 3" xfId="675"/>
    <cellStyle name="强调文字颜色 1 3 2" xfId="676"/>
    <cellStyle name="强调文字颜色 1 3 3" xfId="677"/>
    <cellStyle name="强调文字颜色 1 3 4" xfId="678"/>
    <cellStyle name="强调文字颜色 1 3 5" xfId="679"/>
    <cellStyle name="强调文字颜色 1 3 6" xfId="680"/>
    <cellStyle name="强调文字颜色 1 3 7" xfId="681"/>
    <cellStyle name="强调文字颜色 1 4" xfId="682"/>
    <cellStyle name="强调文字颜色 1 4 2" xfId="683"/>
    <cellStyle name="强调文字颜色 1 4 3" xfId="684"/>
    <cellStyle name="强调文字颜色 1 4 4" xfId="685"/>
    <cellStyle name="强调文字颜色 1 4 5" xfId="686"/>
    <cellStyle name="强调文字颜色 1 4 6" xfId="687"/>
    <cellStyle name="强调文字颜色 1 4 7" xfId="688"/>
    <cellStyle name="强调文字颜色 1 5" xfId="689"/>
    <cellStyle name="强调文字颜色 1 5 2" xfId="690"/>
    <cellStyle name="强调文字颜色 1 5 3" xfId="691"/>
    <cellStyle name="强调文字颜色 1 5 4" xfId="692"/>
    <cellStyle name="强调文字颜色 1 5 5" xfId="693"/>
    <cellStyle name="强调文字颜色 1 5 6" xfId="694"/>
    <cellStyle name="强调文字颜色 1 5 7" xfId="695"/>
    <cellStyle name="强调文字颜色 2 2" xfId="696"/>
    <cellStyle name="强调文字颜色 2 2 2" xfId="697"/>
    <cellStyle name="强调文字颜色 2 2 3" xfId="698"/>
    <cellStyle name="强调文字颜色 2 2 4" xfId="699"/>
    <cellStyle name="强调文字颜色 2 2 5" xfId="700"/>
    <cellStyle name="强调文字颜色 2 2 6" xfId="701"/>
    <cellStyle name="强调文字颜色 2 2 7" xfId="702"/>
    <cellStyle name="强调文字颜色 2 3" xfId="703"/>
    <cellStyle name="强调文字颜色 2 3 2" xfId="704"/>
    <cellStyle name="强调文字颜色 2 3 3" xfId="705"/>
    <cellStyle name="强调文字颜色 2 3 4" xfId="706"/>
    <cellStyle name="强调文字颜色 2 3 5" xfId="707"/>
    <cellStyle name="强调文字颜色 2 3 6" xfId="708"/>
    <cellStyle name="强调文字颜色 2 3 7" xfId="709"/>
    <cellStyle name="强调文字颜色 2 4" xfId="710"/>
    <cellStyle name="强调文字颜色 2 4 2" xfId="711"/>
    <cellStyle name="强调文字颜色 2 4 3" xfId="712"/>
    <cellStyle name="强调文字颜色 2 4 4" xfId="713"/>
    <cellStyle name="强调文字颜色 2 4 5" xfId="714"/>
    <cellStyle name="强调文字颜色 2 4 6" xfId="715"/>
    <cellStyle name="强调文字颜色 2 4 7" xfId="716"/>
    <cellStyle name="强调文字颜色 2 5" xfId="717"/>
    <cellStyle name="强调文字颜色 2 5 2" xfId="718"/>
    <cellStyle name="强调文字颜色 2 5 3" xfId="719"/>
    <cellStyle name="强调文字颜色 2 5 4" xfId="720"/>
    <cellStyle name="强调文字颜色 2 5 5" xfId="721"/>
    <cellStyle name="强调文字颜色 2 5 6" xfId="722"/>
    <cellStyle name="强调文字颜色 2 5 7" xfId="723"/>
    <cellStyle name="强调文字颜色 3 2" xfId="724"/>
    <cellStyle name="强调文字颜色 3 2 2" xfId="725"/>
    <cellStyle name="强调文字颜色 3 2 3" xfId="726"/>
    <cellStyle name="强调文字颜色 3 2 4" xfId="727"/>
    <cellStyle name="强调文字颜色 3 2 5" xfId="728"/>
    <cellStyle name="强调文字颜色 3 2 6" xfId="729"/>
    <cellStyle name="强调文字颜色 3 2 7" xfId="730"/>
    <cellStyle name="强调文字颜色 3 3" xfId="731"/>
    <cellStyle name="强调文字颜色 3 3 2" xfId="732"/>
    <cellStyle name="强调文字颜色 3 3 3" xfId="733"/>
    <cellStyle name="强调文字颜色 3 3 4" xfId="734"/>
    <cellStyle name="强调文字颜色 3 3 5" xfId="735"/>
    <cellStyle name="强调文字颜色 3 3 6" xfId="736"/>
    <cellStyle name="强调文字颜色 3 3 7" xfId="737"/>
    <cellStyle name="强调文字颜色 3 4" xfId="738"/>
    <cellStyle name="强调文字颜色 3 4 2" xfId="739"/>
    <cellStyle name="强调文字颜色 3 4 3" xfId="740"/>
    <cellStyle name="强调文字颜色 3 4 4" xfId="741"/>
    <cellStyle name="强调文字颜色 3 4 5" xfId="742"/>
    <cellStyle name="强调文字颜色 3 4 6" xfId="743"/>
    <cellStyle name="强调文字颜色 3 4 7" xfId="744"/>
    <cellStyle name="强调文字颜色 3 5" xfId="745"/>
    <cellStyle name="强调文字颜色 3 5 2" xfId="746"/>
    <cellStyle name="强调文字颜色 3 5 3" xfId="747"/>
    <cellStyle name="强调文字颜色 3 5 4" xfId="748"/>
    <cellStyle name="强调文字颜色 3 5 5" xfId="749"/>
    <cellStyle name="强调文字颜色 3 5 6" xfId="750"/>
    <cellStyle name="强调文字颜色 3 5 7" xfId="751"/>
    <cellStyle name="强调文字颜色 4 2" xfId="752"/>
    <cellStyle name="强调文字颜色 4 2 2" xfId="753"/>
    <cellStyle name="强调文字颜色 4 2 3" xfId="754"/>
    <cellStyle name="强调文字颜色 4 2 4" xfId="755"/>
    <cellStyle name="强调文字颜色 4 2 5" xfId="756"/>
    <cellStyle name="强调文字颜色 4 2 6" xfId="757"/>
    <cellStyle name="强调文字颜色 4 2 7" xfId="758"/>
    <cellStyle name="强调文字颜色 4 3" xfId="759"/>
    <cellStyle name="强调文字颜色 4 3 2" xfId="760"/>
    <cellStyle name="强调文字颜色 4 3 3" xfId="761"/>
    <cellStyle name="强调文字颜色 4 3 4" xfId="762"/>
    <cellStyle name="强调文字颜色 4 3 5" xfId="763"/>
    <cellStyle name="强调文字颜色 4 3 6" xfId="764"/>
    <cellStyle name="强调文字颜色 4 3 7" xfId="765"/>
    <cellStyle name="强调文字颜色 4 4" xfId="766"/>
    <cellStyle name="强调文字颜色 4 4 2" xfId="767"/>
    <cellStyle name="强调文字颜色 4 4 3" xfId="768"/>
    <cellStyle name="强调文字颜色 4 4 4" xfId="769"/>
    <cellStyle name="强调文字颜色 4 4 5" xfId="770"/>
    <cellStyle name="强调文字颜色 4 4 6" xfId="771"/>
    <cellStyle name="强调文字颜色 4 4 7" xfId="772"/>
    <cellStyle name="强调文字颜色 4 5" xfId="773"/>
    <cellStyle name="强调文字颜色 4 5 2" xfId="774"/>
    <cellStyle name="强调文字颜色 4 5 3" xfId="775"/>
    <cellStyle name="强调文字颜色 4 5 4" xfId="776"/>
    <cellStyle name="强调文字颜色 4 5 5" xfId="777"/>
    <cellStyle name="强调文字颜色 4 5 6" xfId="778"/>
    <cellStyle name="强调文字颜色 4 5 7" xfId="779"/>
    <cellStyle name="强调文字颜色 5 2" xfId="780"/>
    <cellStyle name="强调文字颜色 5 2 2" xfId="781"/>
    <cellStyle name="强调文字颜色 5 2 3" xfId="782"/>
    <cellStyle name="强调文字颜色 5 2 4" xfId="783"/>
    <cellStyle name="强调文字颜色 5 2 5" xfId="784"/>
    <cellStyle name="强调文字颜色 5 2 6" xfId="785"/>
    <cellStyle name="强调文字颜色 5 2 7" xfId="786"/>
    <cellStyle name="强调文字颜色 5 3" xfId="787"/>
    <cellStyle name="强调文字颜色 5 3 2" xfId="788"/>
    <cellStyle name="强调文字颜色 5 3 3" xfId="789"/>
    <cellStyle name="强调文字颜色 5 3 4" xfId="790"/>
    <cellStyle name="强调文字颜色 5 3 5" xfId="791"/>
    <cellStyle name="强调文字颜色 5 3 6" xfId="792"/>
    <cellStyle name="强调文字颜色 5 3 7" xfId="793"/>
    <cellStyle name="强调文字颜色 5 4" xfId="794"/>
    <cellStyle name="强调文字颜色 5 4 2" xfId="795"/>
    <cellStyle name="强调文字颜色 5 4 3" xfId="796"/>
    <cellStyle name="强调文字颜色 5 4 4" xfId="797"/>
    <cellStyle name="强调文字颜色 5 4 5" xfId="798"/>
    <cellStyle name="强调文字颜色 5 4 6" xfId="799"/>
    <cellStyle name="强调文字颜色 5 4 7" xfId="800"/>
    <cellStyle name="强调文字颜色 5 5" xfId="801"/>
    <cellStyle name="强调文字颜色 5 5 2" xfId="802"/>
    <cellStyle name="强调文字颜色 5 5 3" xfId="803"/>
    <cellStyle name="强调文字颜色 5 5 4" xfId="804"/>
    <cellStyle name="强调文字颜色 5 5 5" xfId="805"/>
    <cellStyle name="强调文字颜色 5 5 6" xfId="806"/>
    <cellStyle name="强调文字颜色 5 5 7" xfId="807"/>
    <cellStyle name="强调文字颜色 6 2" xfId="808"/>
    <cellStyle name="强调文字颜色 6 2 2" xfId="809"/>
    <cellStyle name="强调文字颜色 6 2 3" xfId="810"/>
    <cellStyle name="强调文字颜色 6 2 4" xfId="811"/>
    <cellStyle name="强调文字颜色 6 2 5" xfId="812"/>
    <cellStyle name="强调文字颜色 6 2 6" xfId="813"/>
    <cellStyle name="强调文字颜色 6 2 7" xfId="814"/>
    <cellStyle name="强调文字颜色 6 3" xfId="815"/>
    <cellStyle name="强调文字颜色 6 3 2" xfId="816"/>
    <cellStyle name="强调文字颜色 6 3 3" xfId="817"/>
    <cellStyle name="强调文字颜色 6 3 4" xfId="818"/>
    <cellStyle name="强调文字颜色 6 3 5" xfId="819"/>
    <cellStyle name="强调文字颜色 6 3 6" xfId="820"/>
    <cellStyle name="强调文字颜色 6 3 7" xfId="821"/>
    <cellStyle name="强调文字颜色 6 4" xfId="822"/>
    <cellStyle name="强调文字颜色 6 4 2" xfId="823"/>
    <cellStyle name="强调文字颜色 6 4 3" xfId="824"/>
    <cellStyle name="强调文字颜色 6 4 4" xfId="825"/>
    <cellStyle name="强调文字颜色 6 4 5" xfId="826"/>
    <cellStyle name="强调文字颜色 6 4 6" xfId="827"/>
    <cellStyle name="强调文字颜色 6 4 7" xfId="828"/>
    <cellStyle name="强调文字颜色 6 5" xfId="829"/>
    <cellStyle name="强调文字颜色 6 5 2" xfId="830"/>
    <cellStyle name="强调文字颜色 6 5 3" xfId="831"/>
    <cellStyle name="强调文字颜色 6 5 4" xfId="832"/>
    <cellStyle name="强调文字颜色 6 5 5" xfId="833"/>
    <cellStyle name="强调文字颜色 6 5 6" xfId="834"/>
    <cellStyle name="强调文字颜色 6 5 7" xfId="835"/>
    <cellStyle name="見出し 1" xfId="836"/>
    <cellStyle name="見出し 1 2" xfId="837"/>
    <cellStyle name="見出し 1 3" xfId="838"/>
    <cellStyle name="見出し 1 3 2" xfId="839"/>
    <cellStyle name="見出し 1 4" xfId="840"/>
    <cellStyle name="見出し 1 4 2" xfId="841"/>
    <cellStyle name="見出し 1 4 3" xfId="842"/>
    <cellStyle name="見出し 1 5" xfId="843"/>
    <cellStyle name="見出し 2" xfId="844"/>
    <cellStyle name="見出し 2 2" xfId="845"/>
    <cellStyle name="見出し 2 3" xfId="846"/>
    <cellStyle name="見出し 2 3 2" xfId="847"/>
    <cellStyle name="見出し 2 4" xfId="848"/>
    <cellStyle name="見出し 2 4 2" xfId="849"/>
    <cellStyle name="見出し 2 4 3" xfId="850"/>
    <cellStyle name="見出し 2 5" xfId="851"/>
    <cellStyle name="見出し 3" xfId="852"/>
    <cellStyle name="見出し 3 2" xfId="853"/>
    <cellStyle name="見出し 3 3" xfId="854"/>
    <cellStyle name="見出し 3 3 2" xfId="855"/>
    <cellStyle name="見出し 3 4" xfId="856"/>
    <cellStyle name="見出し 3 4 2" xfId="857"/>
    <cellStyle name="見出し 3 4 3" xfId="858"/>
    <cellStyle name="見出し 3 5" xfId="859"/>
    <cellStyle name="見出し 4" xfId="860"/>
    <cellStyle name="見出し 4 2" xfId="861"/>
    <cellStyle name="見出し 4 3" xfId="862"/>
    <cellStyle name="見出し 4 3 2" xfId="863"/>
    <cellStyle name="見出し 4 4" xfId="864"/>
    <cellStyle name="見出し 4 4 2" xfId="865"/>
    <cellStyle name="見出し 4 4 3" xfId="866"/>
    <cellStyle name="見出し 4 5" xfId="867"/>
    <cellStyle name="警告文" xfId="868"/>
    <cellStyle name="警告文 2" xfId="869"/>
    <cellStyle name="警告文 3" xfId="870"/>
    <cellStyle name="警告文 3 2" xfId="871"/>
    <cellStyle name="警告文 4" xfId="872"/>
    <cellStyle name="警告文 4 2" xfId="873"/>
    <cellStyle name="警告文 4 3" xfId="874"/>
    <cellStyle name="警告文 5" xfId="875"/>
    <cellStyle name="警告文本 2" xfId="876"/>
    <cellStyle name="警告文本 2 2" xfId="877"/>
    <cellStyle name="警告文本 2 3" xfId="878"/>
    <cellStyle name="警告文本 2 4" xfId="879"/>
    <cellStyle name="警告文本 2 5" xfId="880"/>
    <cellStyle name="警告文本 2 6" xfId="881"/>
    <cellStyle name="警告文本 2 7" xfId="882"/>
    <cellStyle name="警告文本 3" xfId="883"/>
    <cellStyle name="警告文本 3 2" xfId="884"/>
    <cellStyle name="警告文本 3 3" xfId="885"/>
    <cellStyle name="警告文本 3 4" xfId="886"/>
    <cellStyle name="警告文本 3 5" xfId="887"/>
    <cellStyle name="警告文本 3 6" xfId="888"/>
    <cellStyle name="警告文本 3 7" xfId="889"/>
    <cellStyle name="警告文本 4" xfId="890"/>
    <cellStyle name="警告文本 4 2" xfId="891"/>
    <cellStyle name="警告文本 4 3" xfId="892"/>
    <cellStyle name="警告文本 4 4" xfId="893"/>
    <cellStyle name="警告文本 4 5" xfId="894"/>
    <cellStyle name="警告文本 4 6" xfId="895"/>
    <cellStyle name="警告文本 4 7" xfId="896"/>
    <cellStyle name="警告文本 5" xfId="897"/>
    <cellStyle name="警告文本 5 2" xfId="898"/>
    <cellStyle name="警告文本 5 3" xfId="899"/>
    <cellStyle name="警告文本 5 4" xfId="900"/>
    <cellStyle name="警告文本 5 5" xfId="901"/>
    <cellStyle name="警告文本 5 6" xfId="902"/>
    <cellStyle name="警告文本 5 7" xfId="903"/>
    <cellStyle name="計算" xfId="904"/>
    <cellStyle name="計算 2" xfId="905"/>
    <cellStyle name="計算 3" xfId="906"/>
    <cellStyle name="計算 3 2" xfId="907"/>
    <cellStyle name="計算 3_11FW 판매분석 120506 (JIL MI)" xfId="908"/>
    <cellStyle name="計算 4" xfId="909"/>
    <cellStyle name="計算 4 2" xfId="910"/>
    <cellStyle name="計算 4 3" xfId="911"/>
    <cellStyle name="計算 4_11FW 판매분석 120506 (JIL MI)" xfId="912"/>
    <cellStyle name="計算 5" xfId="913"/>
    <cellStyle name="計算_11FW 판매분석 120506 (JIL MI)" xfId="914"/>
    <cellStyle name="适中 2" xfId="915"/>
    <cellStyle name="适中 2 2" xfId="916"/>
    <cellStyle name="适中 2 3" xfId="917"/>
    <cellStyle name="适中 2 4" xfId="918"/>
    <cellStyle name="适中 2 5" xfId="919"/>
    <cellStyle name="适中 2 6" xfId="920"/>
    <cellStyle name="适中 2 7" xfId="921"/>
    <cellStyle name="适中 3" xfId="922"/>
    <cellStyle name="适中 3 2" xfId="923"/>
    <cellStyle name="适中 3 3" xfId="924"/>
    <cellStyle name="适中 3 4" xfId="925"/>
    <cellStyle name="适中 3 5" xfId="926"/>
    <cellStyle name="适中 3 6" xfId="927"/>
    <cellStyle name="适中 3 7" xfId="928"/>
    <cellStyle name="适中 4" xfId="929"/>
    <cellStyle name="适中 4 2" xfId="930"/>
    <cellStyle name="适中 4 3" xfId="931"/>
    <cellStyle name="适中 4 4" xfId="932"/>
    <cellStyle name="适中 4 5" xfId="933"/>
    <cellStyle name="适中 4 6" xfId="934"/>
    <cellStyle name="适中 4 7" xfId="935"/>
    <cellStyle name="适中 5" xfId="936"/>
    <cellStyle name="适中 5 2" xfId="937"/>
    <cellStyle name="适中 5 3" xfId="938"/>
    <cellStyle name="适中 5 4" xfId="939"/>
    <cellStyle name="适中 5 5" xfId="940"/>
    <cellStyle name="适中 5 6" xfId="941"/>
    <cellStyle name="适中 5 7" xfId="942"/>
    <cellStyle name="良い" xfId="943"/>
    <cellStyle name="良い 2" xfId="944"/>
    <cellStyle name="良い 3" xfId="945"/>
    <cellStyle name="良い 3 2" xfId="946"/>
    <cellStyle name="良い 4" xfId="947"/>
    <cellStyle name="良い 4 2" xfId="948"/>
    <cellStyle name="良い 4 3" xfId="949"/>
    <cellStyle name="良い 5" xfId="950"/>
    <cellStyle name="백분율" xfId="2818" builtinId="5"/>
    <cellStyle name="백분율 2" xfId="951"/>
    <cellStyle name="백분율 2 2" xfId="952"/>
    <cellStyle name="백분율 2 2 2" xfId="953"/>
    <cellStyle name="백분율 2 2 2 2" xfId="954"/>
    <cellStyle name="백분율 2 2 2 2 2" xfId="955"/>
    <cellStyle name="백분율 2 2 2 2 2 2" xfId="956"/>
    <cellStyle name="백분율 2 2 2 3" xfId="957"/>
    <cellStyle name="백분율 2 2 2 4" xfId="958"/>
    <cellStyle name="백분율 2 2 2 5" xfId="959"/>
    <cellStyle name="백분율 2 2 2 6" xfId="960"/>
    <cellStyle name="백분율 2 2 3" xfId="961"/>
    <cellStyle name="백분율 2 2 4" xfId="962"/>
    <cellStyle name="백분율 2 2 5" xfId="963"/>
    <cellStyle name="백분율 2 2 5 2" xfId="964"/>
    <cellStyle name="백분율 2 2 6" xfId="965"/>
    <cellStyle name="백분율 2 2 7" xfId="966"/>
    <cellStyle name="백분율 2 2 8" xfId="967"/>
    <cellStyle name="백분율 2 3" xfId="968"/>
    <cellStyle name="백분율 2 4" xfId="969"/>
    <cellStyle name="백분율 2 4 2" xfId="970"/>
    <cellStyle name="백분율 2 5" xfId="971"/>
    <cellStyle name="백분율 2 6" xfId="972"/>
    <cellStyle name="백분율 2 6 2" xfId="973"/>
    <cellStyle name="백분율 2 7" xfId="974"/>
    <cellStyle name="백분율 2 8" xfId="975"/>
    <cellStyle name="백분율 2 9" xfId="976"/>
    <cellStyle name="백분율 3" xfId="977"/>
    <cellStyle name="백분율 3 2" xfId="978"/>
    <cellStyle name="백분율 4" xfId="979"/>
    <cellStyle name="백분율 5" xfId="980"/>
    <cellStyle name="백분율 6" xfId="2817"/>
    <cellStyle name="常规 10" xfId="981"/>
    <cellStyle name="常规 10 2" xfId="982"/>
    <cellStyle name="常规 10 3" xfId="983"/>
    <cellStyle name="常规 10 4" xfId="984"/>
    <cellStyle name="常规 11" xfId="985"/>
    <cellStyle name="常规 12" xfId="986"/>
    <cellStyle name="常规 12 2" xfId="987"/>
    <cellStyle name="常规 12 3" xfId="988"/>
    <cellStyle name="常规 12 4" xfId="989"/>
    <cellStyle name="常规 13" xfId="990"/>
    <cellStyle name="常规 14" xfId="991"/>
    <cellStyle name="常规 14 2" xfId="992"/>
    <cellStyle name="常规 14 3" xfId="993"/>
    <cellStyle name="常规 15" xfId="994"/>
    <cellStyle name="常规 15 2" xfId="995"/>
    <cellStyle name="常规 15 3" xfId="996"/>
    <cellStyle name="常规 16" xfId="997"/>
    <cellStyle name="常规 16 2" xfId="998"/>
    <cellStyle name="常规 16 3" xfId="999"/>
    <cellStyle name="常规 17" xfId="1000"/>
    <cellStyle name="常规 18" xfId="1001"/>
    <cellStyle name="常规 19" xfId="1002"/>
    <cellStyle name="常规 19 2" xfId="1003"/>
    <cellStyle name="常规 19 3" xfId="1004"/>
    <cellStyle name="常规 2 10" xfId="1005"/>
    <cellStyle name="常规 2 10 10" xfId="1006"/>
    <cellStyle name="常规 2 10 10 2" xfId="1007"/>
    <cellStyle name="常规 2 10 11" xfId="1008"/>
    <cellStyle name="常规 2 10 11 2" xfId="1009"/>
    <cellStyle name="常规 2 10 12" xfId="1010"/>
    <cellStyle name="常规 2 10 12 2" xfId="1011"/>
    <cellStyle name="常规 2 10 13" xfId="1012"/>
    <cellStyle name="常规 2 10 13 2" xfId="1013"/>
    <cellStyle name="常规 2 10 14" xfId="1014"/>
    <cellStyle name="常规 2 10 14 2" xfId="1015"/>
    <cellStyle name="常规 2 10 15" xfId="1016"/>
    <cellStyle name="常规 2 10 15 2" xfId="1017"/>
    <cellStyle name="常规 2 10 16" xfId="1018"/>
    <cellStyle name="常规 2 10 2" xfId="1019"/>
    <cellStyle name="常规 2 10 2 10" xfId="1020"/>
    <cellStyle name="常规 2 10 2 10 2" xfId="1021"/>
    <cellStyle name="常规 2 10 2 11" xfId="1022"/>
    <cellStyle name="常规 2 10 2 11 2" xfId="1023"/>
    <cellStyle name="常规 2 10 2 12" xfId="1024"/>
    <cellStyle name="常规 2 10 2 12 2" xfId="1025"/>
    <cellStyle name="常规 2 10 2 13" xfId="1026"/>
    <cellStyle name="常规 2 10 2 13 2" xfId="1027"/>
    <cellStyle name="常规 2 10 2 14" xfId="1028"/>
    <cellStyle name="常规 2 10 2 14 2" xfId="1029"/>
    <cellStyle name="常规 2 10 2 15" xfId="1030"/>
    <cellStyle name="常规 2 10 2 2" xfId="1031"/>
    <cellStyle name="常规 2 10 2 2 2" xfId="1032"/>
    <cellStyle name="常规 2 10 2 3" xfId="1033"/>
    <cellStyle name="常规 2 10 2 3 2" xfId="1034"/>
    <cellStyle name="常规 2 10 2 4" xfId="1035"/>
    <cellStyle name="常规 2 10 2 4 2" xfId="1036"/>
    <cellStyle name="常规 2 10 2 5" xfId="1037"/>
    <cellStyle name="常规 2 10 2 5 2" xfId="1038"/>
    <cellStyle name="常规 2 10 2 6" xfId="1039"/>
    <cellStyle name="常规 2 10 2 6 2" xfId="1040"/>
    <cellStyle name="常规 2 10 2 7" xfId="1041"/>
    <cellStyle name="常规 2 10 2 7 2" xfId="1042"/>
    <cellStyle name="常规 2 10 2 8" xfId="1043"/>
    <cellStyle name="常规 2 10 2 8 2" xfId="1044"/>
    <cellStyle name="常规 2 10 2 9" xfId="1045"/>
    <cellStyle name="常规 2 10 2 9 2" xfId="1046"/>
    <cellStyle name="常规 2 10 3" xfId="1047"/>
    <cellStyle name="常规 2 10 3 2" xfId="1048"/>
    <cellStyle name="常规 2 10 4" xfId="1049"/>
    <cellStyle name="常规 2 10 4 2" xfId="1050"/>
    <cellStyle name="常规 2 10 5" xfId="1051"/>
    <cellStyle name="常规 2 10 5 2" xfId="1052"/>
    <cellStyle name="常规 2 10 6" xfId="1053"/>
    <cellStyle name="常规 2 10 6 2" xfId="1054"/>
    <cellStyle name="常规 2 10 7" xfId="1055"/>
    <cellStyle name="常规 2 10 7 2" xfId="1056"/>
    <cellStyle name="常规 2 10 8" xfId="1057"/>
    <cellStyle name="常规 2 10 8 2" xfId="1058"/>
    <cellStyle name="常规 2 10 9" xfId="1059"/>
    <cellStyle name="常规 2 10 9 2" xfId="1060"/>
    <cellStyle name="常规 2 11" xfId="1061"/>
    <cellStyle name="常规 2 11 10" xfId="1062"/>
    <cellStyle name="常规 2 11 10 2" xfId="1063"/>
    <cellStyle name="常规 2 11 11" xfId="1064"/>
    <cellStyle name="常规 2 11 11 2" xfId="1065"/>
    <cellStyle name="常规 2 11 12" xfId="1066"/>
    <cellStyle name="常规 2 11 12 2" xfId="1067"/>
    <cellStyle name="常规 2 11 13" xfId="1068"/>
    <cellStyle name="常规 2 11 13 2" xfId="1069"/>
    <cellStyle name="常规 2 11 14" xfId="1070"/>
    <cellStyle name="常规 2 11 14 2" xfId="1071"/>
    <cellStyle name="常规 2 11 15" xfId="1072"/>
    <cellStyle name="常规 2 11 15 2" xfId="1073"/>
    <cellStyle name="常规 2 11 16" xfId="1074"/>
    <cellStyle name="常规 2 11 2" xfId="1075"/>
    <cellStyle name="常规 2 11 2 10" xfId="1076"/>
    <cellStyle name="常规 2 11 2 10 2" xfId="1077"/>
    <cellStyle name="常规 2 11 2 11" xfId="1078"/>
    <cellStyle name="常规 2 11 2 11 2" xfId="1079"/>
    <cellStyle name="常规 2 11 2 12" xfId="1080"/>
    <cellStyle name="常规 2 11 2 12 2" xfId="1081"/>
    <cellStyle name="常规 2 11 2 13" xfId="1082"/>
    <cellStyle name="常规 2 11 2 13 2" xfId="1083"/>
    <cellStyle name="常规 2 11 2 14" xfId="1084"/>
    <cellStyle name="常规 2 11 2 14 2" xfId="1085"/>
    <cellStyle name="常规 2 11 2 15" xfId="1086"/>
    <cellStyle name="常规 2 11 2 2" xfId="1087"/>
    <cellStyle name="常规 2 11 2 2 2" xfId="1088"/>
    <cellStyle name="常规 2 11 2 3" xfId="1089"/>
    <cellStyle name="常规 2 11 2 3 2" xfId="1090"/>
    <cellStyle name="常规 2 11 2 4" xfId="1091"/>
    <cellStyle name="常规 2 11 2 4 2" xfId="1092"/>
    <cellStyle name="常规 2 11 2 5" xfId="1093"/>
    <cellStyle name="常规 2 11 2 5 2" xfId="1094"/>
    <cellStyle name="常规 2 11 2 6" xfId="1095"/>
    <cellStyle name="常规 2 11 2 6 2" xfId="1096"/>
    <cellStyle name="常规 2 11 2 7" xfId="1097"/>
    <cellStyle name="常规 2 11 2 7 2" xfId="1098"/>
    <cellStyle name="常规 2 11 2 8" xfId="1099"/>
    <cellStyle name="常规 2 11 2 8 2" xfId="1100"/>
    <cellStyle name="常规 2 11 2 9" xfId="1101"/>
    <cellStyle name="常规 2 11 2 9 2" xfId="1102"/>
    <cellStyle name="常规 2 11 3" xfId="1103"/>
    <cellStyle name="常规 2 11 3 2" xfId="1104"/>
    <cellStyle name="常规 2 11 4" xfId="1105"/>
    <cellStyle name="常规 2 11 4 2" xfId="1106"/>
    <cellStyle name="常规 2 11 5" xfId="1107"/>
    <cellStyle name="常规 2 11 5 2" xfId="1108"/>
    <cellStyle name="常规 2 11 6" xfId="1109"/>
    <cellStyle name="常规 2 11 6 2" xfId="1110"/>
    <cellStyle name="常规 2 11 7" xfId="1111"/>
    <cellStyle name="常规 2 11 7 2" xfId="1112"/>
    <cellStyle name="常规 2 11 8" xfId="1113"/>
    <cellStyle name="常规 2 11 8 2" xfId="1114"/>
    <cellStyle name="常规 2 11 9" xfId="1115"/>
    <cellStyle name="常规 2 11 9 2" xfId="1116"/>
    <cellStyle name="常规 2 12" xfId="1117"/>
    <cellStyle name="常规 2 12 10" xfId="1118"/>
    <cellStyle name="常规 2 12 10 2" xfId="1119"/>
    <cellStyle name="常规 2 12 11" xfId="1120"/>
    <cellStyle name="常规 2 12 11 2" xfId="1121"/>
    <cellStyle name="常规 2 12 12" xfId="1122"/>
    <cellStyle name="常规 2 12 12 2" xfId="1123"/>
    <cellStyle name="常规 2 12 13" xfId="1124"/>
    <cellStyle name="常规 2 12 13 2" xfId="1125"/>
    <cellStyle name="常规 2 12 14" xfId="1126"/>
    <cellStyle name="常规 2 12 14 2" xfId="1127"/>
    <cellStyle name="常规 2 12 15" xfId="1128"/>
    <cellStyle name="常规 2 12 15 2" xfId="1129"/>
    <cellStyle name="常规 2 12 16" xfId="1130"/>
    <cellStyle name="常规 2 12 2" xfId="1131"/>
    <cellStyle name="常规 2 12 2 10" xfId="1132"/>
    <cellStyle name="常规 2 12 2 10 2" xfId="1133"/>
    <cellStyle name="常规 2 12 2 11" xfId="1134"/>
    <cellStyle name="常规 2 12 2 11 2" xfId="1135"/>
    <cellStyle name="常规 2 12 2 12" xfId="1136"/>
    <cellStyle name="常规 2 12 2 12 2" xfId="1137"/>
    <cellStyle name="常规 2 12 2 13" xfId="1138"/>
    <cellStyle name="常规 2 12 2 13 2" xfId="1139"/>
    <cellStyle name="常规 2 12 2 14" xfId="1140"/>
    <cellStyle name="常规 2 12 2 14 2" xfId="1141"/>
    <cellStyle name="常规 2 12 2 15" xfId="1142"/>
    <cellStyle name="常规 2 12 2 2" xfId="1143"/>
    <cellStyle name="常规 2 12 2 2 2" xfId="1144"/>
    <cellStyle name="常规 2 12 2 3" xfId="1145"/>
    <cellStyle name="常规 2 12 2 3 2" xfId="1146"/>
    <cellStyle name="常规 2 12 2 4" xfId="1147"/>
    <cellStyle name="常规 2 12 2 4 2" xfId="1148"/>
    <cellStyle name="常规 2 12 2 5" xfId="1149"/>
    <cellStyle name="常规 2 12 2 5 2" xfId="1150"/>
    <cellStyle name="常规 2 12 2 6" xfId="1151"/>
    <cellStyle name="常规 2 12 2 6 2" xfId="1152"/>
    <cellStyle name="常规 2 12 2 7" xfId="1153"/>
    <cellStyle name="常规 2 12 2 7 2" xfId="1154"/>
    <cellStyle name="常规 2 12 2 8" xfId="1155"/>
    <cellStyle name="常规 2 12 2 8 2" xfId="1156"/>
    <cellStyle name="常规 2 12 2 9" xfId="1157"/>
    <cellStyle name="常规 2 12 2 9 2" xfId="1158"/>
    <cellStyle name="常规 2 12 3" xfId="1159"/>
    <cellStyle name="常规 2 12 3 2" xfId="1160"/>
    <cellStyle name="常规 2 12 4" xfId="1161"/>
    <cellStyle name="常规 2 12 4 2" xfId="1162"/>
    <cellStyle name="常规 2 12 5" xfId="1163"/>
    <cellStyle name="常规 2 12 5 2" xfId="1164"/>
    <cellStyle name="常规 2 12 6" xfId="1165"/>
    <cellStyle name="常规 2 12 6 2" xfId="1166"/>
    <cellStyle name="常规 2 12 7" xfId="1167"/>
    <cellStyle name="常规 2 12 7 2" xfId="1168"/>
    <cellStyle name="常规 2 12 8" xfId="1169"/>
    <cellStyle name="常规 2 12 8 2" xfId="1170"/>
    <cellStyle name="常规 2 12 9" xfId="1171"/>
    <cellStyle name="常规 2 12 9 2" xfId="1172"/>
    <cellStyle name="常规 2 13" xfId="1173"/>
    <cellStyle name="常规 2 14" xfId="1174"/>
    <cellStyle name="常规 2 15" xfId="1175"/>
    <cellStyle name="常规 2 16" xfId="1176"/>
    <cellStyle name="常规 2 17" xfId="1177"/>
    <cellStyle name="常规 2 18" xfId="1178"/>
    <cellStyle name="常规 2 19" xfId="1179"/>
    <cellStyle name="常规 2 2" xfId="1180"/>
    <cellStyle name="常规 2 2 10" xfId="1181"/>
    <cellStyle name="常规 2 2 10 2" xfId="1182"/>
    <cellStyle name="常规 2 2 11" xfId="1183"/>
    <cellStyle name="常规 2 2 11 2" xfId="1184"/>
    <cellStyle name="常规 2 2 12" xfId="1185"/>
    <cellStyle name="常规 2 2 12 2" xfId="1186"/>
    <cellStyle name="常规 2 2 13" xfId="1187"/>
    <cellStyle name="常规 2 2 13 2" xfId="1188"/>
    <cellStyle name="常规 2 2 14" xfId="1189"/>
    <cellStyle name="常规 2 2 14 2" xfId="1190"/>
    <cellStyle name="常规 2 2 15" xfId="1191"/>
    <cellStyle name="常规 2 2 15 2" xfId="1192"/>
    <cellStyle name="常规 2 2 16" xfId="1193"/>
    <cellStyle name="常规 2 2 17" xfId="1194"/>
    <cellStyle name="常规 2 2 18" xfId="1195"/>
    <cellStyle name="常规 2 2 19" xfId="1196"/>
    <cellStyle name="常规 2 2 2" xfId="1197"/>
    <cellStyle name="常规 2 2 2 10" xfId="1198"/>
    <cellStyle name="常规 2 2 2 10 2" xfId="1199"/>
    <cellStyle name="常规 2 2 2 11" xfId="1200"/>
    <cellStyle name="常规 2 2 2 11 2" xfId="1201"/>
    <cellStyle name="常规 2 2 2 12" xfId="1202"/>
    <cellStyle name="常规 2 2 2 12 2" xfId="1203"/>
    <cellStyle name="常规 2 2 2 13" xfId="1204"/>
    <cellStyle name="常规 2 2 2 13 2" xfId="1205"/>
    <cellStyle name="常规 2 2 2 14" xfId="1206"/>
    <cellStyle name="常规 2 2 2 14 2" xfId="1207"/>
    <cellStyle name="常规 2 2 2 15" xfId="1208"/>
    <cellStyle name="常规 2 2 2 2" xfId="1209"/>
    <cellStyle name="常规 2 2 2 2 2" xfId="1210"/>
    <cellStyle name="常规 2 2 2 3" xfId="1211"/>
    <cellStyle name="常规 2 2 2 3 2" xfId="1212"/>
    <cellStyle name="常规 2 2 2 4" xfId="1213"/>
    <cellStyle name="常规 2 2 2 4 2" xfId="1214"/>
    <cellStyle name="常规 2 2 2 5" xfId="1215"/>
    <cellStyle name="常规 2 2 2 5 2" xfId="1216"/>
    <cellStyle name="常规 2 2 2 6" xfId="1217"/>
    <cellStyle name="常规 2 2 2 6 2" xfId="1218"/>
    <cellStyle name="常规 2 2 2 7" xfId="1219"/>
    <cellStyle name="常规 2 2 2 7 2" xfId="1220"/>
    <cellStyle name="常规 2 2 2 8" xfId="1221"/>
    <cellStyle name="常规 2 2 2 8 2" xfId="1222"/>
    <cellStyle name="常规 2 2 2 9" xfId="1223"/>
    <cellStyle name="常规 2 2 2 9 2" xfId="1224"/>
    <cellStyle name="常规 2 2 20" xfId="1225"/>
    <cellStyle name="常规 2 2 21" xfId="1226"/>
    <cellStyle name="常规 2 2 22" xfId="1227"/>
    <cellStyle name="常规 2 2 23" xfId="1228"/>
    <cellStyle name="常规 2 2 3" xfId="1229"/>
    <cellStyle name="常规 2 2 3 2" xfId="1230"/>
    <cellStyle name="常规 2 2 4" xfId="1231"/>
    <cellStyle name="常规 2 2 4 2" xfId="1232"/>
    <cellStyle name="常规 2 2 5" xfId="1233"/>
    <cellStyle name="常规 2 2 5 2" xfId="1234"/>
    <cellStyle name="常规 2 2 6" xfId="1235"/>
    <cellStyle name="常规 2 2 6 2" xfId="1236"/>
    <cellStyle name="常规 2 2 7" xfId="1237"/>
    <cellStyle name="常规 2 2 7 2" xfId="1238"/>
    <cellStyle name="常规 2 2 8" xfId="1239"/>
    <cellStyle name="常规 2 2 8 2" xfId="1240"/>
    <cellStyle name="常规 2 2 9" xfId="1241"/>
    <cellStyle name="常规 2 2 9 2" xfId="1242"/>
    <cellStyle name="常规 2 20" xfId="1243"/>
    <cellStyle name="常规 2 3" xfId="1244"/>
    <cellStyle name="常规 2 3 10" xfId="1245"/>
    <cellStyle name="常规 2 3 10 2" xfId="1246"/>
    <cellStyle name="常规 2 3 11" xfId="1247"/>
    <cellStyle name="常规 2 3 11 2" xfId="1248"/>
    <cellStyle name="常规 2 3 12" xfId="1249"/>
    <cellStyle name="常规 2 3 12 2" xfId="1250"/>
    <cellStyle name="常规 2 3 13" xfId="1251"/>
    <cellStyle name="常规 2 3 13 2" xfId="1252"/>
    <cellStyle name="常规 2 3 14" xfId="1253"/>
    <cellStyle name="常规 2 3 14 2" xfId="1254"/>
    <cellStyle name="常规 2 3 15" xfId="1255"/>
    <cellStyle name="常规 2 3 15 2" xfId="1256"/>
    <cellStyle name="常规 2 3 16" xfId="1257"/>
    <cellStyle name="常规 2 3 2" xfId="1258"/>
    <cellStyle name="常规 2 3 2 10" xfId="1259"/>
    <cellStyle name="常规 2 3 2 10 2" xfId="1260"/>
    <cellStyle name="常规 2 3 2 11" xfId="1261"/>
    <cellStyle name="常规 2 3 2 11 2" xfId="1262"/>
    <cellStyle name="常规 2 3 2 12" xfId="1263"/>
    <cellStyle name="常规 2 3 2 12 2" xfId="1264"/>
    <cellStyle name="常规 2 3 2 13" xfId="1265"/>
    <cellStyle name="常规 2 3 2 13 2" xfId="1266"/>
    <cellStyle name="常规 2 3 2 14" xfId="1267"/>
    <cellStyle name="常规 2 3 2 14 2" xfId="1268"/>
    <cellStyle name="常规 2 3 2 15" xfId="1269"/>
    <cellStyle name="常规 2 3 2 2" xfId="1270"/>
    <cellStyle name="常规 2 3 2 2 2" xfId="1271"/>
    <cellStyle name="常规 2 3 2 3" xfId="1272"/>
    <cellStyle name="常规 2 3 2 3 2" xfId="1273"/>
    <cellStyle name="常规 2 3 2 4" xfId="1274"/>
    <cellStyle name="常规 2 3 2 4 2" xfId="1275"/>
    <cellStyle name="常规 2 3 2 5" xfId="1276"/>
    <cellStyle name="常规 2 3 2 5 2" xfId="1277"/>
    <cellStyle name="常规 2 3 2 6" xfId="1278"/>
    <cellStyle name="常规 2 3 2 6 2" xfId="1279"/>
    <cellStyle name="常规 2 3 2 7" xfId="1280"/>
    <cellStyle name="常规 2 3 2 7 2" xfId="1281"/>
    <cellStyle name="常规 2 3 2 8" xfId="1282"/>
    <cellStyle name="常规 2 3 2 8 2" xfId="1283"/>
    <cellStyle name="常规 2 3 2 9" xfId="1284"/>
    <cellStyle name="常规 2 3 2 9 2" xfId="1285"/>
    <cellStyle name="常规 2 3 3" xfId="1286"/>
    <cellStyle name="常规 2 3 3 2" xfId="1287"/>
    <cellStyle name="常规 2 3 4" xfId="1288"/>
    <cellStyle name="常规 2 3 4 2" xfId="1289"/>
    <cellStyle name="常规 2 3 5" xfId="1290"/>
    <cellStyle name="常规 2 3 5 2" xfId="1291"/>
    <cellStyle name="常规 2 3 6" xfId="1292"/>
    <cellStyle name="常规 2 3 6 2" xfId="1293"/>
    <cellStyle name="常规 2 3 7" xfId="1294"/>
    <cellStyle name="常规 2 3 7 2" xfId="1295"/>
    <cellStyle name="常规 2 3 8" xfId="1296"/>
    <cellStyle name="常规 2 3 8 2" xfId="1297"/>
    <cellStyle name="常规 2 3 9" xfId="1298"/>
    <cellStyle name="常规 2 3 9 2" xfId="1299"/>
    <cellStyle name="常规 2 4" xfId="1300"/>
    <cellStyle name="常规 2 4 10" xfId="1301"/>
    <cellStyle name="常规 2 4 10 2" xfId="1302"/>
    <cellStyle name="常规 2 4 11" xfId="1303"/>
    <cellStyle name="常规 2 4 11 2" xfId="1304"/>
    <cellStyle name="常规 2 4 12" xfId="1305"/>
    <cellStyle name="常规 2 4 12 2" xfId="1306"/>
    <cellStyle name="常规 2 4 13" xfId="1307"/>
    <cellStyle name="常规 2 4 13 2" xfId="1308"/>
    <cellStyle name="常规 2 4 14" xfId="1309"/>
    <cellStyle name="常规 2 4 14 2" xfId="1310"/>
    <cellStyle name="常规 2 4 15" xfId="1311"/>
    <cellStyle name="常规 2 4 15 2" xfId="1312"/>
    <cellStyle name="常规 2 4 16" xfId="1313"/>
    <cellStyle name="常规 2 4 2" xfId="1314"/>
    <cellStyle name="常规 2 4 2 10" xfId="1315"/>
    <cellStyle name="常规 2 4 2 10 2" xfId="1316"/>
    <cellStyle name="常规 2 4 2 11" xfId="1317"/>
    <cellStyle name="常规 2 4 2 11 2" xfId="1318"/>
    <cellStyle name="常规 2 4 2 12" xfId="1319"/>
    <cellStyle name="常规 2 4 2 12 2" xfId="1320"/>
    <cellStyle name="常规 2 4 2 13" xfId="1321"/>
    <cellStyle name="常规 2 4 2 13 2" xfId="1322"/>
    <cellStyle name="常规 2 4 2 14" xfId="1323"/>
    <cellStyle name="常规 2 4 2 14 2" xfId="1324"/>
    <cellStyle name="常规 2 4 2 15" xfId="1325"/>
    <cellStyle name="常规 2 4 2 2" xfId="1326"/>
    <cellStyle name="常规 2 4 2 2 2" xfId="1327"/>
    <cellStyle name="常规 2 4 2 3" xfId="1328"/>
    <cellStyle name="常规 2 4 2 3 2" xfId="1329"/>
    <cellStyle name="常规 2 4 2 4" xfId="1330"/>
    <cellStyle name="常规 2 4 2 4 2" xfId="1331"/>
    <cellStyle name="常规 2 4 2 5" xfId="1332"/>
    <cellStyle name="常规 2 4 2 5 2" xfId="1333"/>
    <cellStyle name="常规 2 4 2 6" xfId="1334"/>
    <cellStyle name="常规 2 4 2 6 2" xfId="1335"/>
    <cellStyle name="常规 2 4 2 7" xfId="1336"/>
    <cellStyle name="常规 2 4 2 7 2" xfId="1337"/>
    <cellStyle name="常规 2 4 2 8" xfId="1338"/>
    <cellStyle name="常规 2 4 2 8 2" xfId="1339"/>
    <cellStyle name="常规 2 4 2 9" xfId="1340"/>
    <cellStyle name="常规 2 4 2 9 2" xfId="1341"/>
    <cellStyle name="常规 2 4 3" xfId="1342"/>
    <cellStyle name="常规 2 4 3 2" xfId="1343"/>
    <cellStyle name="常规 2 4 4" xfId="1344"/>
    <cellStyle name="常规 2 4 4 2" xfId="1345"/>
    <cellStyle name="常规 2 4 5" xfId="1346"/>
    <cellStyle name="常规 2 4 5 2" xfId="1347"/>
    <cellStyle name="常规 2 4 6" xfId="1348"/>
    <cellStyle name="常规 2 4 6 2" xfId="1349"/>
    <cellStyle name="常规 2 4 7" xfId="1350"/>
    <cellStyle name="常规 2 4 7 2" xfId="1351"/>
    <cellStyle name="常规 2 4 8" xfId="1352"/>
    <cellStyle name="常规 2 4 8 2" xfId="1353"/>
    <cellStyle name="常规 2 4 9" xfId="1354"/>
    <cellStyle name="常规 2 4 9 2" xfId="1355"/>
    <cellStyle name="常规 2 5" xfId="1356"/>
    <cellStyle name="常规 2 5 10" xfId="1357"/>
    <cellStyle name="常规 2 5 10 2" xfId="1358"/>
    <cellStyle name="常规 2 5 11" xfId="1359"/>
    <cellStyle name="常规 2 5 11 2" xfId="1360"/>
    <cellStyle name="常规 2 5 12" xfId="1361"/>
    <cellStyle name="常规 2 5 12 2" xfId="1362"/>
    <cellStyle name="常规 2 5 13" xfId="1363"/>
    <cellStyle name="常规 2 5 13 2" xfId="1364"/>
    <cellStyle name="常规 2 5 14" xfId="1365"/>
    <cellStyle name="常规 2 5 14 2" xfId="1366"/>
    <cellStyle name="常规 2 5 15" xfId="1367"/>
    <cellStyle name="常规 2 5 15 2" xfId="1368"/>
    <cellStyle name="常规 2 5 16" xfId="1369"/>
    <cellStyle name="常规 2 5 2" xfId="1370"/>
    <cellStyle name="常规 2 5 2 10" xfId="1371"/>
    <cellStyle name="常规 2 5 2 10 2" xfId="1372"/>
    <cellStyle name="常规 2 5 2 11" xfId="1373"/>
    <cellStyle name="常规 2 5 2 11 2" xfId="1374"/>
    <cellStyle name="常规 2 5 2 12" xfId="1375"/>
    <cellStyle name="常规 2 5 2 12 2" xfId="1376"/>
    <cellStyle name="常规 2 5 2 13" xfId="1377"/>
    <cellStyle name="常规 2 5 2 13 2" xfId="1378"/>
    <cellStyle name="常规 2 5 2 14" xfId="1379"/>
    <cellStyle name="常规 2 5 2 14 2" xfId="1380"/>
    <cellStyle name="常规 2 5 2 15" xfId="1381"/>
    <cellStyle name="常规 2 5 2 2" xfId="1382"/>
    <cellStyle name="常规 2 5 2 2 2" xfId="1383"/>
    <cellStyle name="常规 2 5 2 3" xfId="1384"/>
    <cellStyle name="常规 2 5 2 3 2" xfId="1385"/>
    <cellStyle name="常规 2 5 2 4" xfId="1386"/>
    <cellStyle name="常规 2 5 2 4 2" xfId="1387"/>
    <cellStyle name="常规 2 5 2 5" xfId="1388"/>
    <cellStyle name="常规 2 5 2 5 2" xfId="1389"/>
    <cellStyle name="常规 2 5 2 6" xfId="1390"/>
    <cellStyle name="常规 2 5 2 6 2" xfId="1391"/>
    <cellStyle name="常规 2 5 2 7" xfId="1392"/>
    <cellStyle name="常规 2 5 2 7 2" xfId="1393"/>
    <cellStyle name="常规 2 5 2 8" xfId="1394"/>
    <cellStyle name="常规 2 5 2 8 2" xfId="1395"/>
    <cellStyle name="常规 2 5 2 9" xfId="1396"/>
    <cellStyle name="常规 2 5 2 9 2" xfId="1397"/>
    <cellStyle name="常规 2 5 3" xfId="1398"/>
    <cellStyle name="常规 2 5 3 2" xfId="1399"/>
    <cellStyle name="常规 2 5 4" xfId="1400"/>
    <cellStyle name="常规 2 5 4 2" xfId="1401"/>
    <cellStyle name="常规 2 5 5" xfId="1402"/>
    <cellStyle name="常规 2 5 5 2" xfId="1403"/>
    <cellStyle name="常规 2 5 6" xfId="1404"/>
    <cellStyle name="常规 2 5 6 2" xfId="1405"/>
    <cellStyle name="常规 2 5 7" xfId="1406"/>
    <cellStyle name="常规 2 5 7 2" xfId="1407"/>
    <cellStyle name="常规 2 5 8" xfId="1408"/>
    <cellStyle name="常规 2 5 8 2" xfId="1409"/>
    <cellStyle name="常规 2 5 9" xfId="1410"/>
    <cellStyle name="常规 2 5 9 2" xfId="1411"/>
    <cellStyle name="常规 2 6" xfId="1412"/>
    <cellStyle name="常规 2 6 10" xfId="1413"/>
    <cellStyle name="常规 2 6 10 2" xfId="1414"/>
    <cellStyle name="常规 2 6 11" xfId="1415"/>
    <cellStyle name="常规 2 6 11 2" xfId="1416"/>
    <cellStyle name="常规 2 6 12" xfId="1417"/>
    <cellStyle name="常规 2 6 12 2" xfId="1418"/>
    <cellStyle name="常规 2 6 13" xfId="1419"/>
    <cellStyle name="常规 2 6 13 2" xfId="1420"/>
    <cellStyle name="常规 2 6 14" xfId="1421"/>
    <cellStyle name="常规 2 6 14 2" xfId="1422"/>
    <cellStyle name="常规 2 6 15" xfId="1423"/>
    <cellStyle name="常规 2 6 15 2" xfId="1424"/>
    <cellStyle name="常规 2 6 16" xfId="1425"/>
    <cellStyle name="常规 2 6 2" xfId="1426"/>
    <cellStyle name="常规 2 6 2 10" xfId="1427"/>
    <cellStyle name="常规 2 6 2 10 2" xfId="1428"/>
    <cellStyle name="常规 2 6 2 11" xfId="1429"/>
    <cellStyle name="常规 2 6 2 11 2" xfId="1430"/>
    <cellStyle name="常规 2 6 2 12" xfId="1431"/>
    <cellStyle name="常规 2 6 2 12 2" xfId="1432"/>
    <cellStyle name="常规 2 6 2 13" xfId="1433"/>
    <cellStyle name="常规 2 6 2 13 2" xfId="1434"/>
    <cellStyle name="常规 2 6 2 14" xfId="1435"/>
    <cellStyle name="常规 2 6 2 14 2" xfId="1436"/>
    <cellStyle name="常规 2 6 2 15" xfId="1437"/>
    <cellStyle name="常规 2 6 2 2" xfId="1438"/>
    <cellStyle name="常规 2 6 2 2 2" xfId="1439"/>
    <cellStyle name="常规 2 6 2 3" xfId="1440"/>
    <cellStyle name="常规 2 6 2 3 2" xfId="1441"/>
    <cellStyle name="常规 2 6 2 4" xfId="1442"/>
    <cellStyle name="常规 2 6 2 4 2" xfId="1443"/>
    <cellStyle name="常规 2 6 2 5" xfId="1444"/>
    <cellStyle name="常规 2 6 2 5 2" xfId="1445"/>
    <cellStyle name="常规 2 6 2 6" xfId="1446"/>
    <cellStyle name="常规 2 6 2 6 2" xfId="1447"/>
    <cellStyle name="常规 2 6 2 7" xfId="1448"/>
    <cellStyle name="常规 2 6 2 7 2" xfId="1449"/>
    <cellStyle name="常规 2 6 2 8" xfId="1450"/>
    <cellStyle name="常规 2 6 2 8 2" xfId="1451"/>
    <cellStyle name="常规 2 6 2 9" xfId="1452"/>
    <cellStyle name="常规 2 6 2 9 2" xfId="1453"/>
    <cellStyle name="常规 2 6 3" xfId="1454"/>
    <cellStyle name="常规 2 6 3 2" xfId="1455"/>
    <cellStyle name="常规 2 6 4" xfId="1456"/>
    <cellStyle name="常规 2 6 4 2" xfId="1457"/>
    <cellStyle name="常规 2 6 5" xfId="1458"/>
    <cellStyle name="常规 2 6 5 2" xfId="1459"/>
    <cellStyle name="常规 2 6 6" xfId="1460"/>
    <cellStyle name="常规 2 6 6 2" xfId="1461"/>
    <cellStyle name="常规 2 6 7" xfId="1462"/>
    <cellStyle name="常规 2 6 7 2" xfId="1463"/>
    <cellStyle name="常规 2 6 8" xfId="1464"/>
    <cellStyle name="常规 2 6 8 2" xfId="1465"/>
    <cellStyle name="常规 2 6 9" xfId="1466"/>
    <cellStyle name="常规 2 6 9 2" xfId="1467"/>
    <cellStyle name="常规 2 7" xfId="1468"/>
    <cellStyle name="常规 2 7 10" xfId="1469"/>
    <cellStyle name="常规 2 7 10 2" xfId="1470"/>
    <cellStyle name="常规 2 7 11" xfId="1471"/>
    <cellStyle name="常规 2 7 11 2" xfId="1472"/>
    <cellStyle name="常规 2 7 12" xfId="1473"/>
    <cellStyle name="常规 2 7 12 2" xfId="1474"/>
    <cellStyle name="常规 2 7 13" xfId="1475"/>
    <cellStyle name="常规 2 7 13 2" xfId="1476"/>
    <cellStyle name="常规 2 7 14" xfId="1477"/>
    <cellStyle name="常规 2 7 14 2" xfId="1478"/>
    <cellStyle name="常规 2 7 15" xfId="1479"/>
    <cellStyle name="常规 2 7 15 2" xfId="1480"/>
    <cellStyle name="常规 2 7 16" xfId="1481"/>
    <cellStyle name="常规 2 7 2" xfId="1482"/>
    <cellStyle name="常规 2 7 2 10" xfId="1483"/>
    <cellStyle name="常规 2 7 2 10 2" xfId="1484"/>
    <cellStyle name="常规 2 7 2 11" xfId="1485"/>
    <cellStyle name="常规 2 7 2 11 2" xfId="1486"/>
    <cellStyle name="常规 2 7 2 12" xfId="1487"/>
    <cellStyle name="常规 2 7 2 12 2" xfId="1488"/>
    <cellStyle name="常规 2 7 2 13" xfId="1489"/>
    <cellStyle name="常规 2 7 2 13 2" xfId="1490"/>
    <cellStyle name="常规 2 7 2 14" xfId="1491"/>
    <cellStyle name="常规 2 7 2 14 2" xfId="1492"/>
    <cellStyle name="常规 2 7 2 15" xfId="1493"/>
    <cellStyle name="常规 2 7 2 2" xfId="1494"/>
    <cellStyle name="常规 2 7 2 2 2" xfId="1495"/>
    <cellStyle name="常规 2 7 2 3" xfId="1496"/>
    <cellStyle name="常规 2 7 2 3 2" xfId="1497"/>
    <cellStyle name="常规 2 7 2 4" xfId="1498"/>
    <cellStyle name="常规 2 7 2 4 2" xfId="1499"/>
    <cellStyle name="常规 2 7 2 5" xfId="1500"/>
    <cellStyle name="常规 2 7 2 5 2" xfId="1501"/>
    <cellStyle name="常规 2 7 2 6" xfId="1502"/>
    <cellStyle name="常规 2 7 2 6 2" xfId="1503"/>
    <cellStyle name="常规 2 7 2 7" xfId="1504"/>
    <cellStyle name="常规 2 7 2 7 2" xfId="1505"/>
    <cellStyle name="常规 2 7 2 8" xfId="1506"/>
    <cellStyle name="常规 2 7 2 8 2" xfId="1507"/>
    <cellStyle name="常规 2 7 2 9" xfId="1508"/>
    <cellStyle name="常规 2 7 2 9 2" xfId="1509"/>
    <cellStyle name="常规 2 7 3" xfId="1510"/>
    <cellStyle name="常规 2 7 3 2" xfId="1511"/>
    <cellStyle name="常规 2 7 4" xfId="1512"/>
    <cellStyle name="常规 2 7 4 2" xfId="1513"/>
    <cellStyle name="常规 2 7 5" xfId="1514"/>
    <cellStyle name="常规 2 7 5 2" xfId="1515"/>
    <cellStyle name="常规 2 7 6" xfId="1516"/>
    <cellStyle name="常规 2 7 6 2" xfId="1517"/>
    <cellStyle name="常规 2 7 7" xfId="1518"/>
    <cellStyle name="常规 2 7 7 2" xfId="1519"/>
    <cellStyle name="常规 2 7 8" xfId="1520"/>
    <cellStyle name="常规 2 7 8 2" xfId="1521"/>
    <cellStyle name="常规 2 7 9" xfId="1522"/>
    <cellStyle name="常规 2 7 9 2" xfId="1523"/>
    <cellStyle name="常规 2 8" xfId="1524"/>
    <cellStyle name="常规 2 8 10" xfId="1525"/>
    <cellStyle name="常规 2 8 10 2" xfId="1526"/>
    <cellStyle name="常规 2 8 11" xfId="1527"/>
    <cellStyle name="常规 2 8 11 2" xfId="1528"/>
    <cellStyle name="常规 2 8 12" xfId="1529"/>
    <cellStyle name="常规 2 8 12 2" xfId="1530"/>
    <cellStyle name="常规 2 8 13" xfId="1531"/>
    <cellStyle name="常规 2 8 13 2" xfId="1532"/>
    <cellStyle name="常规 2 8 14" xfId="1533"/>
    <cellStyle name="常规 2 8 14 2" xfId="1534"/>
    <cellStyle name="常规 2 8 15" xfId="1535"/>
    <cellStyle name="常规 2 8 15 2" xfId="1536"/>
    <cellStyle name="常规 2 8 16" xfId="1537"/>
    <cellStyle name="常规 2 8 2" xfId="1538"/>
    <cellStyle name="常规 2 8 2 10" xfId="1539"/>
    <cellStyle name="常规 2 8 2 10 2" xfId="1540"/>
    <cellStyle name="常规 2 8 2 11" xfId="1541"/>
    <cellStyle name="常规 2 8 2 11 2" xfId="1542"/>
    <cellStyle name="常规 2 8 2 12" xfId="1543"/>
    <cellStyle name="常规 2 8 2 12 2" xfId="1544"/>
    <cellStyle name="常规 2 8 2 13" xfId="1545"/>
    <cellStyle name="常规 2 8 2 13 2" xfId="1546"/>
    <cellStyle name="常规 2 8 2 14" xfId="1547"/>
    <cellStyle name="常规 2 8 2 14 2" xfId="1548"/>
    <cellStyle name="常规 2 8 2 15" xfId="1549"/>
    <cellStyle name="常规 2 8 2 2" xfId="1550"/>
    <cellStyle name="常规 2 8 2 2 2" xfId="1551"/>
    <cellStyle name="常规 2 8 2 3" xfId="1552"/>
    <cellStyle name="常规 2 8 2 3 2" xfId="1553"/>
    <cellStyle name="常规 2 8 2 4" xfId="1554"/>
    <cellStyle name="常规 2 8 2 4 2" xfId="1555"/>
    <cellStyle name="常规 2 8 2 5" xfId="1556"/>
    <cellStyle name="常规 2 8 2 5 2" xfId="1557"/>
    <cellStyle name="常规 2 8 2 6" xfId="1558"/>
    <cellStyle name="常规 2 8 2 6 2" xfId="1559"/>
    <cellStyle name="常规 2 8 2 7" xfId="1560"/>
    <cellStyle name="常规 2 8 2 7 2" xfId="1561"/>
    <cellStyle name="常规 2 8 2 8" xfId="1562"/>
    <cellStyle name="常规 2 8 2 8 2" xfId="1563"/>
    <cellStyle name="常规 2 8 2 9" xfId="1564"/>
    <cellStyle name="常规 2 8 2 9 2" xfId="1565"/>
    <cellStyle name="常规 2 8 3" xfId="1566"/>
    <cellStyle name="常规 2 8 3 2" xfId="1567"/>
    <cellStyle name="常规 2 8 4" xfId="1568"/>
    <cellStyle name="常规 2 8 4 2" xfId="1569"/>
    <cellStyle name="常规 2 8 5" xfId="1570"/>
    <cellStyle name="常规 2 8 5 2" xfId="1571"/>
    <cellStyle name="常规 2 8 6" xfId="1572"/>
    <cellStyle name="常规 2 8 6 2" xfId="1573"/>
    <cellStyle name="常规 2 8 7" xfId="1574"/>
    <cellStyle name="常规 2 8 7 2" xfId="1575"/>
    <cellStyle name="常规 2 8 8" xfId="1576"/>
    <cellStyle name="常规 2 8 8 2" xfId="1577"/>
    <cellStyle name="常规 2 8 9" xfId="1578"/>
    <cellStyle name="常规 2 8 9 2" xfId="1579"/>
    <cellStyle name="常规 2 9" xfId="1580"/>
    <cellStyle name="常规 2 9 10" xfId="1581"/>
    <cellStyle name="常规 2 9 10 2" xfId="1582"/>
    <cellStyle name="常规 2 9 11" xfId="1583"/>
    <cellStyle name="常规 2 9 11 2" xfId="1584"/>
    <cellStyle name="常规 2 9 12" xfId="1585"/>
    <cellStyle name="常规 2 9 12 2" xfId="1586"/>
    <cellStyle name="常规 2 9 13" xfId="1587"/>
    <cellStyle name="常规 2 9 13 2" xfId="1588"/>
    <cellStyle name="常规 2 9 14" xfId="1589"/>
    <cellStyle name="常规 2 9 14 2" xfId="1590"/>
    <cellStyle name="常规 2 9 15" xfId="1591"/>
    <cellStyle name="常规 2 9 15 2" xfId="1592"/>
    <cellStyle name="常规 2 9 16" xfId="1593"/>
    <cellStyle name="常规 2 9 2" xfId="1594"/>
    <cellStyle name="常规 2 9 2 10" xfId="1595"/>
    <cellStyle name="常规 2 9 2 10 2" xfId="1596"/>
    <cellStyle name="常规 2 9 2 11" xfId="1597"/>
    <cellStyle name="常规 2 9 2 11 2" xfId="1598"/>
    <cellStyle name="常规 2 9 2 12" xfId="1599"/>
    <cellStyle name="常规 2 9 2 12 2" xfId="1600"/>
    <cellStyle name="常规 2 9 2 13" xfId="1601"/>
    <cellStyle name="常规 2 9 2 13 2" xfId="1602"/>
    <cellStyle name="常规 2 9 2 14" xfId="1603"/>
    <cellStyle name="常规 2 9 2 14 2" xfId="1604"/>
    <cellStyle name="常规 2 9 2 15" xfId="1605"/>
    <cellStyle name="常规 2 9 2 2" xfId="1606"/>
    <cellStyle name="常规 2 9 2 2 2" xfId="1607"/>
    <cellStyle name="常规 2 9 2 3" xfId="1608"/>
    <cellStyle name="常规 2 9 2 3 2" xfId="1609"/>
    <cellStyle name="常规 2 9 2 4" xfId="1610"/>
    <cellStyle name="常规 2 9 2 4 2" xfId="1611"/>
    <cellStyle name="常规 2 9 2 5" xfId="1612"/>
    <cellStyle name="常规 2 9 2 5 2" xfId="1613"/>
    <cellStyle name="常规 2 9 2 6" xfId="1614"/>
    <cellStyle name="常规 2 9 2 6 2" xfId="1615"/>
    <cellStyle name="常规 2 9 2 7" xfId="1616"/>
    <cellStyle name="常规 2 9 2 7 2" xfId="1617"/>
    <cellStyle name="常规 2 9 2 8" xfId="1618"/>
    <cellStyle name="常规 2 9 2 8 2" xfId="1619"/>
    <cellStyle name="常规 2 9 2 9" xfId="1620"/>
    <cellStyle name="常规 2 9 2 9 2" xfId="1621"/>
    <cellStyle name="常规 2 9 3" xfId="1622"/>
    <cellStyle name="常规 2 9 3 2" xfId="1623"/>
    <cellStyle name="常规 2 9 4" xfId="1624"/>
    <cellStyle name="常规 2 9 4 2" xfId="1625"/>
    <cellStyle name="常规 2 9 5" xfId="1626"/>
    <cellStyle name="常规 2 9 5 2" xfId="1627"/>
    <cellStyle name="常规 2 9 6" xfId="1628"/>
    <cellStyle name="常规 2 9 6 2" xfId="1629"/>
    <cellStyle name="常规 2 9 7" xfId="1630"/>
    <cellStyle name="常规 2 9 7 2" xfId="1631"/>
    <cellStyle name="常规 2 9 8" xfId="1632"/>
    <cellStyle name="常规 2 9 8 2" xfId="1633"/>
    <cellStyle name="常规 2 9 9" xfId="1634"/>
    <cellStyle name="常规 2 9 9 2" xfId="1635"/>
    <cellStyle name="常规 20" xfId="1636"/>
    <cellStyle name="常规 21" xfId="1637"/>
    <cellStyle name="常规 21 2" xfId="1638"/>
    <cellStyle name="常规 21 3" xfId="1639"/>
    <cellStyle name="常规 22" xfId="1640"/>
    <cellStyle name="常规 22 2" xfId="1641"/>
    <cellStyle name="常规 22 3" xfId="1642"/>
    <cellStyle name="常规 23" xfId="1643"/>
    <cellStyle name="常规 24" xfId="1644"/>
    <cellStyle name="常规 25" xfId="1645"/>
    <cellStyle name="常规 26" xfId="1646"/>
    <cellStyle name="常规 27" xfId="1647"/>
    <cellStyle name="常规 28" xfId="1648"/>
    <cellStyle name="常规 29" xfId="1649"/>
    <cellStyle name="常规 3" xfId="1650"/>
    <cellStyle name="常规 3 10" xfId="1651"/>
    <cellStyle name="常规 3 11" xfId="1652"/>
    <cellStyle name="常规 3 12" xfId="1653"/>
    <cellStyle name="常规 3 13" xfId="1654"/>
    <cellStyle name="常规 3 14" xfId="1655"/>
    <cellStyle name="常规 3 15" xfId="1656"/>
    <cellStyle name="常规 3 2" xfId="1657"/>
    <cellStyle name="常规 3 2 2" xfId="1658"/>
    <cellStyle name="常规 3 2 3" xfId="1659"/>
    <cellStyle name="常规 3 3" xfId="1660"/>
    <cellStyle name="常规 3 3 2" xfId="1661"/>
    <cellStyle name="常规 3 3 3" xfId="1662"/>
    <cellStyle name="常规 3 4" xfId="1663"/>
    <cellStyle name="常规 3 4 2" xfId="1664"/>
    <cellStyle name="常规 3 4 3" xfId="1665"/>
    <cellStyle name="常规 3 5" xfId="1666"/>
    <cellStyle name="常规 3 5 2" xfId="1667"/>
    <cellStyle name="常规 3 5 3" xfId="1668"/>
    <cellStyle name="常规 3 6" xfId="1669"/>
    <cellStyle name="常规 3 6 2" xfId="1670"/>
    <cellStyle name="常规 3 6 3" xfId="1671"/>
    <cellStyle name="常规 3 7" xfId="1672"/>
    <cellStyle name="常规 3 7 2" xfId="1673"/>
    <cellStyle name="常规 3 7 3" xfId="1674"/>
    <cellStyle name="常规 3 8" xfId="1675"/>
    <cellStyle name="常规 3 9" xfId="1676"/>
    <cellStyle name="常规 30" xfId="1677"/>
    <cellStyle name="常规 31" xfId="1678"/>
    <cellStyle name="常规 32" xfId="1679"/>
    <cellStyle name="常规 33" xfId="1680"/>
    <cellStyle name="常规 34" xfId="1681"/>
    <cellStyle name="常规 35" xfId="1682"/>
    <cellStyle name="常规 36" xfId="1683"/>
    <cellStyle name="常规 37" xfId="1684"/>
    <cellStyle name="常规 38" xfId="1685"/>
    <cellStyle name="常规 39" xfId="1686"/>
    <cellStyle name="常规 4" xfId="1687"/>
    <cellStyle name="常规 4 10" xfId="1688"/>
    <cellStyle name="常规 4 11" xfId="1689"/>
    <cellStyle name="常规 4 12" xfId="1690"/>
    <cellStyle name="常规 4 13" xfId="1691"/>
    <cellStyle name="常规 4 2" xfId="1692"/>
    <cellStyle name="常规 4 2 2" xfId="1693"/>
    <cellStyle name="常规 4 2 3" xfId="1694"/>
    <cellStyle name="常规 4 3" xfId="1695"/>
    <cellStyle name="常规 4 3 2" xfId="1696"/>
    <cellStyle name="常规 4 3 3" xfId="1697"/>
    <cellStyle name="常规 4 4" xfId="1698"/>
    <cellStyle name="常规 4 4 2" xfId="1699"/>
    <cellStyle name="常规 4 4 3" xfId="1700"/>
    <cellStyle name="常规 4 5" xfId="1701"/>
    <cellStyle name="常规 4 5 2" xfId="1702"/>
    <cellStyle name="常规 4 5 3" xfId="1703"/>
    <cellStyle name="常规 4 6" xfId="1704"/>
    <cellStyle name="常规 4 6 2" xfId="1705"/>
    <cellStyle name="常规 4 6 3" xfId="1706"/>
    <cellStyle name="常规 4 7" xfId="1707"/>
    <cellStyle name="常规 4 7 2" xfId="1708"/>
    <cellStyle name="常规 4 7 3" xfId="1709"/>
    <cellStyle name="常规 4 8" xfId="1710"/>
    <cellStyle name="常规 4 9" xfId="1711"/>
    <cellStyle name="常规 40" xfId="1712"/>
    <cellStyle name="常规 41" xfId="1713"/>
    <cellStyle name="常规 42" xfId="1714"/>
    <cellStyle name="常规 43" xfId="1715"/>
    <cellStyle name="常规 45" xfId="1716"/>
    <cellStyle name="常规 46" xfId="1717"/>
    <cellStyle name="常规 47" xfId="1718"/>
    <cellStyle name="常规 48" xfId="1719"/>
    <cellStyle name="常规 49" xfId="1720"/>
    <cellStyle name="常规 5" xfId="1721"/>
    <cellStyle name="常规 5 10" xfId="1722"/>
    <cellStyle name="常规 5 11" xfId="1723"/>
    <cellStyle name="常规 5 12" xfId="1724"/>
    <cellStyle name="常规 5 13" xfId="1725"/>
    <cellStyle name="常规 5 14" xfId="1726"/>
    <cellStyle name="常规 5 15" xfId="1727"/>
    <cellStyle name="常规 5 2" xfId="1728"/>
    <cellStyle name="常规 5 3" xfId="1729"/>
    <cellStyle name="常规 5 4" xfId="1730"/>
    <cellStyle name="常规 5 5" xfId="1731"/>
    <cellStyle name="常规 5 6" xfId="1732"/>
    <cellStyle name="常规 5 7" xfId="1733"/>
    <cellStyle name="常规 5 8" xfId="1734"/>
    <cellStyle name="常规 5 9" xfId="1735"/>
    <cellStyle name="常规 50" xfId="1736"/>
    <cellStyle name="常规 51" xfId="1737"/>
    <cellStyle name="常规 52" xfId="1738"/>
    <cellStyle name="常规 6" xfId="1739"/>
    <cellStyle name="常规 6 10" xfId="1740"/>
    <cellStyle name="常规 6 11" xfId="1741"/>
    <cellStyle name="常规 6 12" xfId="1742"/>
    <cellStyle name="常规 6 13" xfId="1743"/>
    <cellStyle name="常规 6 13 10" xfId="1744"/>
    <cellStyle name="常规 6 13 10 2" xfId="1745"/>
    <cellStyle name="常规 6 13 11" xfId="1746"/>
    <cellStyle name="常规 6 13 11 2" xfId="1747"/>
    <cellStyle name="常规 6 13 12" xfId="1748"/>
    <cellStyle name="常规 6 13 12 2" xfId="1749"/>
    <cellStyle name="常规 6 13 13" xfId="1750"/>
    <cellStyle name="常规 6 13 13 2" xfId="1751"/>
    <cellStyle name="常规 6 13 14" xfId="1752"/>
    <cellStyle name="常规 6 13 14 2" xfId="1753"/>
    <cellStyle name="常规 6 13 15" xfId="1754"/>
    <cellStyle name="常规 6 13 2" xfId="1755"/>
    <cellStyle name="常规 6 13 2 2" xfId="1756"/>
    <cellStyle name="常规 6 13 3" xfId="1757"/>
    <cellStyle name="常规 6 13 3 2" xfId="1758"/>
    <cellStyle name="常规 6 13 4" xfId="1759"/>
    <cellStyle name="常规 6 13 4 2" xfId="1760"/>
    <cellStyle name="常规 6 13 5" xfId="1761"/>
    <cellStyle name="常规 6 13 5 2" xfId="1762"/>
    <cellStyle name="常规 6 13 6" xfId="1763"/>
    <cellStyle name="常规 6 13 6 2" xfId="1764"/>
    <cellStyle name="常规 6 13 7" xfId="1765"/>
    <cellStyle name="常规 6 13 7 2" xfId="1766"/>
    <cellStyle name="常规 6 13 8" xfId="1767"/>
    <cellStyle name="常规 6 13 8 2" xfId="1768"/>
    <cellStyle name="常规 6 13 9" xfId="1769"/>
    <cellStyle name="常规 6 13 9 2" xfId="1770"/>
    <cellStyle name="常规 6 14" xfId="1771"/>
    <cellStyle name="常规 6 14 10" xfId="1772"/>
    <cellStyle name="常规 6 14 10 2" xfId="1773"/>
    <cellStyle name="常规 6 14 11" xfId="1774"/>
    <cellStyle name="常规 6 14 11 2" xfId="1775"/>
    <cellStyle name="常规 6 14 12" xfId="1776"/>
    <cellStyle name="常规 6 14 12 2" xfId="1777"/>
    <cellStyle name="常规 6 14 13" xfId="1778"/>
    <cellStyle name="常规 6 14 13 2" xfId="1779"/>
    <cellStyle name="常规 6 14 14" xfId="1780"/>
    <cellStyle name="常规 6 14 14 2" xfId="1781"/>
    <cellStyle name="常规 6 14 15" xfId="1782"/>
    <cellStyle name="常规 6 14 2" xfId="1783"/>
    <cellStyle name="常规 6 14 2 2" xfId="1784"/>
    <cellStyle name="常规 6 14 3" xfId="1785"/>
    <cellStyle name="常规 6 14 3 2" xfId="1786"/>
    <cellStyle name="常规 6 14 4" xfId="1787"/>
    <cellStyle name="常规 6 14 4 2" xfId="1788"/>
    <cellStyle name="常规 6 14 5" xfId="1789"/>
    <cellStyle name="常规 6 14 5 2" xfId="1790"/>
    <cellStyle name="常规 6 14 6" xfId="1791"/>
    <cellStyle name="常规 6 14 6 2" xfId="1792"/>
    <cellStyle name="常规 6 14 7" xfId="1793"/>
    <cellStyle name="常规 6 14 7 2" xfId="1794"/>
    <cellStyle name="常规 6 14 8" xfId="1795"/>
    <cellStyle name="常规 6 14 8 2" xfId="1796"/>
    <cellStyle name="常规 6 14 9" xfId="1797"/>
    <cellStyle name="常规 6 14 9 2" xfId="1798"/>
    <cellStyle name="常规 6 15" xfId="1799"/>
    <cellStyle name="常规 6 15 10" xfId="1800"/>
    <cellStyle name="常规 6 15 10 2" xfId="1801"/>
    <cellStyle name="常规 6 15 11" xfId="1802"/>
    <cellStyle name="常规 6 15 11 2" xfId="1803"/>
    <cellStyle name="常规 6 15 12" xfId="1804"/>
    <cellStyle name="常规 6 15 12 2" xfId="1805"/>
    <cellStyle name="常规 6 15 13" xfId="1806"/>
    <cellStyle name="常规 6 15 13 2" xfId="1807"/>
    <cellStyle name="常规 6 15 14" xfId="1808"/>
    <cellStyle name="常规 6 15 14 2" xfId="1809"/>
    <cellStyle name="常规 6 15 15" xfId="1810"/>
    <cellStyle name="常规 6 15 2" xfId="1811"/>
    <cellStyle name="常规 6 15 2 2" xfId="1812"/>
    <cellStyle name="常规 6 15 3" xfId="1813"/>
    <cellStyle name="常规 6 15 3 2" xfId="1814"/>
    <cellStyle name="常规 6 15 4" xfId="1815"/>
    <cellStyle name="常规 6 15 4 2" xfId="1816"/>
    <cellStyle name="常规 6 15 5" xfId="1817"/>
    <cellStyle name="常规 6 15 5 2" xfId="1818"/>
    <cellStyle name="常规 6 15 6" xfId="1819"/>
    <cellStyle name="常规 6 15 6 2" xfId="1820"/>
    <cellStyle name="常规 6 15 7" xfId="1821"/>
    <cellStyle name="常规 6 15 7 2" xfId="1822"/>
    <cellStyle name="常规 6 15 8" xfId="1823"/>
    <cellStyle name="常规 6 15 8 2" xfId="1824"/>
    <cellStyle name="常规 6 15 9" xfId="1825"/>
    <cellStyle name="常规 6 15 9 2" xfId="1826"/>
    <cellStyle name="常规 6 16" xfId="1827"/>
    <cellStyle name="常规 6 16 10" xfId="1828"/>
    <cellStyle name="常规 6 16 10 2" xfId="1829"/>
    <cellStyle name="常规 6 16 11" xfId="1830"/>
    <cellStyle name="常规 6 16 11 2" xfId="1831"/>
    <cellStyle name="常规 6 16 12" xfId="1832"/>
    <cellStyle name="常规 6 16 12 2" xfId="1833"/>
    <cellStyle name="常规 6 16 13" xfId="1834"/>
    <cellStyle name="常规 6 16 13 2" xfId="1835"/>
    <cellStyle name="常规 6 16 14" xfId="1836"/>
    <cellStyle name="常规 6 16 14 2" xfId="1837"/>
    <cellStyle name="常规 6 16 15" xfId="1838"/>
    <cellStyle name="常规 6 16 2" xfId="1839"/>
    <cellStyle name="常规 6 16 2 2" xfId="1840"/>
    <cellStyle name="常规 6 16 3" xfId="1841"/>
    <cellStyle name="常规 6 16 3 2" xfId="1842"/>
    <cellStyle name="常规 6 16 4" xfId="1843"/>
    <cellStyle name="常规 6 16 4 2" xfId="1844"/>
    <cellStyle name="常规 6 16 5" xfId="1845"/>
    <cellStyle name="常规 6 16 5 2" xfId="1846"/>
    <cellStyle name="常规 6 16 6" xfId="1847"/>
    <cellStyle name="常规 6 16 6 2" xfId="1848"/>
    <cellStyle name="常规 6 16 7" xfId="1849"/>
    <cellStyle name="常规 6 16 7 2" xfId="1850"/>
    <cellStyle name="常规 6 16 8" xfId="1851"/>
    <cellStyle name="常规 6 16 8 2" xfId="1852"/>
    <cellStyle name="常规 6 16 9" xfId="1853"/>
    <cellStyle name="常规 6 16 9 2" xfId="1854"/>
    <cellStyle name="常规 6 17" xfId="1855"/>
    <cellStyle name="常规 6 17 10" xfId="1856"/>
    <cellStyle name="常规 6 17 10 2" xfId="1857"/>
    <cellStyle name="常规 6 17 11" xfId="1858"/>
    <cellStyle name="常规 6 17 11 2" xfId="1859"/>
    <cellStyle name="常规 6 17 12" xfId="1860"/>
    <cellStyle name="常规 6 17 12 2" xfId="1861"/>
    <cellStyle name="常规 6 17 13" xfId="1862"/>
    <cellStyle name="常规 6 17 13 2" xfId="1863"/>
    <cellStyle name="常规 6 17 14" xfId="1864"/>
    <cellStyle name="常规 6 17 14 2" xfId="1865"/>
    <cellStyle name="常规 6 17 15" xfId="1866"/>
    <cellStyle name="常规 6 17 2" xfId="1867"/>
    <cellStyle name="常规 6 17 2 2" xfId="1868"/>
    <cellStyle name="常规 6 17 3" xfId="1869"/>
    <cellStyle name="常规 6 17 3 2" xfId="1870"/>
    <cellStyle name="常规 6 17 4" xfId="1871"/>
    <cellStyle name="常规 6 17 4 2" xfId="1872"/>
    <cellStyle name="常规 6 17 5" xfId="1873"/>
    <cellStyle name="常规 6 17 5 2" xfId="1874"/>
    <cellStyle name="常规 6 17 6" xfId="1875"/>
    <cellStyle name="常规 6 17 6 2" xfId="1876"/>
    <cellStyle name="常规 6 17 7" xfId="1877"/>
    <cellStyle name="常规 6 17 7 2" xfId="1878"/>
    <cellStyle name="常规 6 17 8" xfId="1879"/>
    <cellStyle name="常规 6 17 8 2" xfId="1880"/>
    <cellStyle name="常规 6 17 9" xfId="1881"/>
    <cellStyle name="常规 6 17 9 2" xfId="1882"/>
    <cellStyle name="常规 6 18" xfId="1883"/>
    <cellStyle name="常规 6 19" xfId="1884"/>
    <cellStyle name="常规 6 2" xfId="1885"/>
    <cellStyle name="常规 6 2 10" xfId="1886"/>
    <cellStyle name="常规 6 2 10 2" xfId="1887"/>
    <cellStyle name="常规 6 2 11" xfId="1888"/>
    <cellStyle name="常规 6 2 11 2" xfId="1889"/>
    <cellStyle name="常规 6 2 12" xfId="1890"/>
    <cellStyle name="常规 6 2 12 2" xfId="1891"/>
    <cellStyle name="常规 6 2 13" xfId="1892"/>
    <cellStyle name="常规 6 2 13 2" xfId="1893"/>
    <cellStyle name="常规 6 2 14" xfId="1894"/>
    <cellStyle name="常规 6 2 14 2" xfId="1895"/>
    <cellStyle name="常规 6 2 15" xfId="1896"/>
    <cellStyle name="常规 6 2 15 2" xfId="1897"/>
    <cellStyle name="常规 6 2 16" xfId="1898"/>
    <cellStyle name="常规 6 2 16 2" xfId="1899"/>
    <cellStyle name="常规 6 2 17" xfId="1900"/>
    <cellStyle name="常规 6 2 17 2" xfId="1901"/>
    <cellStyle name="常规 6 2 18" xfId="1902"/>
    <cellStyle name="常规 6 2 18 2" xfId="1903"/>
    <cellStyle name="常规 6 2 19" xfId="1904"/>
    <cellStyle name="常规 6 2 19 2" xfId="1905"/>
    <cellStyle name="常规 6 2 2" xfId="1906"/>
    <cellStyle name="常规 6 2 20" xfId="1907"/>
    <cellStyle name="常规 6 2 3" xfId="1908"/>
    <cellStyle name="常规 6 2 4" xfId="1909"/>
    <cellStyle name="常规 6 2 5" xfId="1910"/>
    <cellStyle name="常规 6 2 6" xfId="1911"/>
    <cellStyle name="常规 6 2 7" xfId="1912"/>
    <cellStyle name="常规 6 2 7 2" xfId="1913"/>
    <cellStyle name="常规 6 2 8" xfId="1914"/>
    <cellStyle name="常规 6 2 8 2" xfId="1915"/>
    <cellStyle name="常规 6 2 9" xfId="1916"/>
    <cellStyle name="常规 6 2 9 2" xfId="1917"/>
    <cellStyle name="常规 6 3" xfId="1918"/>
    <cellStyle name="常规 6 4" xfId="1919"/>
    <cellStyle name="常规 6 5" xfId="1920"/>
    <cellStyle name="常规 6 6" xfId="1921"/>
    <cellStyle name="常规 6 7" xfId="1922"/>
    <cellStyle name="常规 6 8" xfId="1923"/>
    <cellStyle name="常规 6 9" xfId="1924"/>
    <cellStyle name="常规 64" xfId="1925"/>
    <cellStyle name="常规 7" xfId="1926"/>
    <cellStyle name="常规 7 2" xfId="1927"/>
    <cellStyle name="常规 7 2 10" xfId="1928"/>
    <cellStyle name="常规 7 2 10 2" xfId="1929"/>
    <cellStyle name="常规 7 2 11" xfId="1930"/>
    <cellStyle name="常规 7 2 11 2" xfId="1931"/>
    <cellStyle name="常规 7 2 12" xfId="1932"/>
    <cellStyle name="常规 7 2 12 2" xfId="1933"/>
    <cellStyle name="常规 7 2 13" xfId="1934"/>
    <cellStyle name="常规 7 2 13 2" xfId="1935"/>
    <cellStyle name="常规 7 2 14" xfId="1936"/>
    <cellStyle name="常规 7 2 14 2" xfId="1937"/>
    <cellStyle name="常规 7 2 15" xfId="1938"/>
    <cellStyle name="常规 7 2 2" xfId="1939"/>
    <cellStyle name="常规 7 2 2 2" xfId="1940"/>
    <cellStyle name="常规 7 2 3" xfId="1941"/>
    <cellStyle name="常规 7 2 3 2" xfId="1942"/>
    <cellStyle name="常规 7 2 4" xfId="1943"/>
    <cellStyle name="常规 7 2 4 2" xfId="1944"/>
    <cellStyle name="常规 7 2 5" xfId="1945"/>
    <cellStyle name="常规 7 2 5 2" xfId="1946"/>
    <cellStyle name="常规 7 2 6" xfId="1947"/>
    <cellStyle name="常规 7 2 6 2" xfId="1948"/>
    <cellStyle name="常规 7 2 7" xfId="1949"/>
    <cellStyle name="常规 7 2 7 2" xfId="1950"/>
    <cellStyle name="常规 7 2 8" xfId="1951"/>
    <cellStyle name="常规 7 2 8 2" xfId="1952"/>
    <cellStyle name="常规 7 2 9" xfId="1953"/>
    <cellStyle name="常规 7 2 9 2" xfId="1954"/>
    <cellStyle name="常规 7 3" xfId="1955"/>
    <cellStyle name="常规 7 3 10" xfId="1956"/>
    <cellStyle name="常规 7 3 10 2" xfId="1957"/>
    <cellStyle name="常规 7 3 11" xfId="1958"/>
    <cellStyle name="常规 7 3 11 2" xfId="1959"/>
    <cellStyle name="常规 7 3 12" xfId="1960"/>
    <cellStyle name="常规 7 3 12 2" xfId="1961"/>
    <cellStyle name="常规 7 3 13" xfId="1962"/>
    <cellStyle name="常规 7 3 13 2" xfId="1963"/>
    <cellStyle name="常规 7 3 14" xfId="1964"/>
    <cellStyle name="常规 7 3 14 2" xfId="1965"/>
    <cellStyle name="常规 7 3 15" xfId="1966"/>
    <cellStyle name="常规 7 3 2" xfId="1967"/>
    <cellStyle name="常规 7 3 2 2" xfId="1968"/>
    <cellStyle name="常规 7 3 3" xfId="1969"/>
    <cellStyle name="常规 7 3 3 2" xfId="1970"/>
    <cellStyle name="常规 7 3 4" xfId="1971"/>
    <cellStyle name="常规 7 3 4 2" xfId="1972"/>
    <cellStyle name="常规 7 3 5" xfId="1973"/>
    <cellStyle name="常规 7 3 5 2" xfId="1974"/>
    <cellStyle name="常规 7 3 6" xfId="1975"/>
    <cellStyle name="常规 7 3 6 2" xfId="1976"/>
    <cellStyle name="常规 7 3 7" xfId="1977"/>
    <cellStyle name="常规 7 3 7 2" xfId="1978"/>
    <cellStyle name="常规 7 3 8" xfId="1979"/>
    <cellStyle name="常规 7 3 8 2" xfId="1980"/>
    <cellStyle name="常规 7 3 9" xfId="1981"/>
    <cellStyle name="常规 7 3 9 2" xfId="1982"/>
    <cellStyle name="常规 7 4" xfId="1983"/>
    <cellStyle name="常规 7 4 10" xfId="1984"/>
    <cellStyle name="常规 7 4 10 2" xfId="1985"/>
    <cellStyle name="常规 7 4 11" xfId="1986"/>
    <cellStyle name="常规 7 4 11 2" xfId="1987"/>
    <cellStyle name="常规 7 4 12" xfId="1988"/>
    <cellStyle name="常规 7 4 12 2" xfId="1989"/>
    <cellStyle name="常规 7 4 13" xfId="1990"/>
    <cellStyle name="常规 7 4 13 2" xfId="1991"/>
    <cellStyle name="常规 7 4 14" xfId="1992"/>
    <cellStyle name="常规 7 4 14 2" xfId="1993"/>
    <cellStyle name="常规 7 4 15" xfId="1994"/>
    <cellStyle name="常规 7 4 2" xfId="1995"/>
    <cellStyle name="常规 7 4 2 2" xfId="1996"/>
    <cellStyle name="常规 7 4 3" xfId="1997"/>
    <cellStyle name="常规 7 4 3 2" xfId="1998"/>
    <cellStyle name="常规 7 4 4" xfId="1999"/>
    <cellStyle name="常规 7 4 4 2" xfId="2000"/>
    <cellStyle name="常规 7 4 5" xfId="2001"/>
    <cellStyle name="常规 7 4 5 2" xfId="2002"/>
    <cellStyle name="常规 7 4 6" xfId="2003"/>
    <cellStyle name="常规 7 4 6 2" xfId="2004"/>
    <cellStyle name="常规 7 4 7" xfId="2005"/>
    <cellStyle name="常规 7 4 7 2" xfId="2006"/>
    <cellStyle name="常规 7 4 8" xfId="2007"/>
    <cellStyle name="常规 7 4 8 2" xfId="2008"/>
    <cellStyle name="常规 7 4 9" xfId="2009"/>
    <cellStyle name="常规 7 4 9 2" xfId="2010"/>
    <cellStyle name="常规 7 5" xfId="2011"/>
    <cellStyle name="常规 7 5 10" xfId="2012"/>
    <cellStyle name="常规 7 5 10 2" xfId="2013"/>
    <cellStyle name="常规 7 5 11" xfId="2014"/>
    <cellStyle name="常规 7 5 11 2" xfId="2015"/>
    <cellStyle name="常规 7 5 12" xfId="2016"/>
    <cellStyle name="常规 7 5 12 2" xfId="2017"/>
    <cellStyle name="常规 7 5 13" xfId="2018"/>
    <cellStyle name="常规 7 5 13 2" xfId="2019"/>
    <cellStyle name="常规 7 5 14" xfId="2020"/>
    <cellStyle name="常规 7 5 14 2" xfId="2021"/>
    <cellStyle name="常规 7 5 15" xfId="2022"/>
    <cellStyle name="常规 7 5 2" xfId="2023"/>
    <cellStyle name="常规 7 5 2 2" xfId="2024"/>
    <cellStyle name="常规 7 5 3" xfId="2025"/>
    <cellStyle name="常规 7 5 3 2" xfId="2026"/>
    <cellStyle name="常规 7 5 4" xfId="2027"/>
    <cellStyle name="常规 7 5 4 2" xfId="2028"/>
    <cellStyle name="常规 7 5 5" xfId="2029"/>
    <cellStyle name="常规 7 5 5 2" xfId="2030"/>
    <cellStyle name="常规 7 5 6" xfId="2031"/>
    <cellStyle name="常规 7 5 6 2" xfId="2032"/>
    <cellStyle name="常规 7 5 7" xfId="2033"/>
    <cellStyle name="常规 7 5 7 2" xfId="2034"/>
    <cellStyle name="常规 7 5 8" xfId="2035"/>
    <cellStyle name="常规 7 5 8 2" xfId="2036"/>
    <cellStyle name="常规 7 5 9" xfId="2037"/>
    <cellStyle name="常规 7 5 9 2" xfId="2038"/>
    <cellStyle name="常规 7 6" xfId="2039"/>
    <cellStyle name="常规 7 6 10" xfId="2040"/>
    <cellStyle name="常规 7 6 10 2" xfId="2041"/>
    <cellStyle name="常规 7 6 11" xfId="2042"/>
    <cellStyle name="常规 7 6 11 2" xfId="2043"/>
    <cellStyle name="常规 7 6 12" xfId="2044"/>
    <cellStyle name="常规 7 6 12 2" xfId="2045"/>
    <cellStyle name="常规 7 6 13" xfId="2046"/>
    <cellStyle name="常规 7 6 13 2" xfId="2047"/>
    <cellStyle name="常规 7 6 14" xfId="2048"/>
    <cellStyle name="常规 7 6 14 2" xfId="2049"/>
    <cellStyle name="常规 7 6 15" xfId="2050"/>
    <cellStyle name="常规 7 6 2" xfId="2051"/>
    <cellStyle name="常规 7 6 2 2" xfId="2052"/>
    <cellStyle name="常规 7 6 3" xfId="2053"/>
    <cellStyle name="常规 7 6 3 2" xfId="2054"/>
    <cellStyle name="常规 7 6 4" xfId="2055"/>
    <cellStyle name="常规 7 6 4 2" xfId="2056"/>
    <cellStyle name="常规 7 6 5" xfId="2057"/>
    <cellStyle name="常规 7 6 5 2" xfId="2058"/>
    <cellStyle name="常规 7 6 6" xfId="2059"/>
    <cellStyle name="常规 7 6 6 2" xfId="2060"/>
    <cellStyle name="常规 7 6 7" xfId="2061"/>
    <cellStyle name="常规 7 6 7 2" xfId="2062"/>
    <cellStyle name="常规 7 6 8" xfId="2063"/>
    <cellStyle name="常规 7 6 8 2" xfId="2064"/>
    <cellStyle name="常规 7 6 9" xfId="2065"/>
    <cellStyle name="常规 7 6 9 2" xfId="2066"/>
    <cellStyle name="常规 7 7" xfId="2067"/>
    <cellStyle name="常规 7 8" xfId="2068"/>
    <cellStyle name="常规 8" xfId="2069"/>
    <cellStyle name="常规 9" xfId="2070"/>
    <cellStyle name="常规 9 2" xfId="2071"/>
    <cellStyle name="説明文" xfId="2695"/>
    <cellStyle name="説明文 2" xfId="2696"/>
    <cellStyle name="説明文 3" xfId="2697"/>
    <cellStyle name="説明文 3 2" xfId="2698"/>
    <cellStyle name="説明文 4" xfId="2699"/>
    <cellStyle name="説明文 4 2" xfId="2700"/>
    <cellStyle name="説明文 5" xfId="2701"/>
    <cellStyle name="쉼표 [0]" xfId="1" builtinId="6"/>
    <cellStyle name="쉼표 [0] 2" xfId="2072"/>
    <cellStyle name="쉼표 [0] 2 10" xfId="2073"/>
    <cellStyle name="쉼표 [0] 2 11" xfId="2074"/>
    <cellStyle name="쉼표 [0] 2 12" xfId="2075"/>
    <cellStyle name="쉼표 [0] 2 13" xfId="2076"/>
    <cellStyle name="쉼표 [0] 2 14" xfId="2077"/>
    <cellStyle name="쉼표 [0] 2 15" xfId="2078"/>
    <cellStyle name="쉼표 [0] 2 2" xfId="2079"/>
    <cellStyle name="쉼표 [0] 2 2 10" xfId="2080"/>
    <cellStyle name="쉼표 [0] 2 2 11" xfId="2081"/>
    <cellStyle name="쉼표 [0] 2 2 2" xfId="2082"/>
    <cellStyle name="쉼표 [0] 2 2 2 2" xfId="2083"/>
    <cellStyle name="쉼표 [0] 2 2 2 2 2" xfId="2084"/>
    <cellStyle name="쉼표 [0] 2 2 2 2 2 2" xfId="2085"/>
    <cellStyle name="쉼표 [0] 2 2 2 2 2 2 2" xfId="2086"/>
    <cellStyle name="쉼표 [0] 2 2 2 2 2 2 2 2" xfId="2087"/>
    <cellStyle name="쉼표 [0] 2 2 2 2 2 3" xfId="2088"/>
    <cellStyle name="쉼표 [0] 2 2 2 2 2 4" xfId="2089"/>
    <cellStyle name="쉼표 [0] 2 2 2 2 2 5" xfId="2090"/>
    <cellStyle name="쉼표 [0] 2 2 2 2 2 6" xfId="2091"/>
    <cellStyle name="쉼표 [0] 2 2 2 2 3" xfId="2092"/>
    <cellStyle name="쉼표 [0] 2 2 2 2 4" xfId="2093"/>
    <cellStyle name="쉼표 [0] 2 2 2 2 5" xfId="2094"/>
    <cellStyle name="쉼표 [0] 2 2 2 2 5 2" xfId="2095"/>
    <cellStyle name="쉼표 [0] 2 2 2 2 6" xfId="2096"/>
    <cellStyle name="쉼표 [0] 2 2 2 2 7" xfId="2097"/>
    <cellStyle name="쉼표 [0] 2 2 2 2 8" xfId="2098"/>
    <cellStyle name="쉼표 [0] 2 2 2 3" xfId="2099"/>
    <cellStyle name="쉼표 [0] 2 2 2 3 2" xfId="2100"/>
    <cellStyle name="쉼표 [0] 2 2 2 3 2 2" xfId="2101"/>
    <cellStyle name="쉼표 [0] 2 2 2 3 2 2 2" xfId="2102"/>
    <cellStyle name="쉼표 [0] 2 2 2 3 3" xfId="2103"/>
    <cellStyle name="쉼표 [0] 2 2 2 3 4" xfId="2104"/>
    <cellStyle name="쉼표 [0] 2 2 2 3 5" xfId="2105"/>
    <cellStyle name="쉼표 [0] 2 2 2 3 6" xfId="2106"/>
    <cellStyle name="쉼표 [0] 2 2 2 4" xfId="2107"/>
    <cellStyle name="쉼표 [0] 2 2 2 5" xfId="2108"/>
    <cellStyle name="쉼표 [0] 2 2 2 5 2" xfId="2109"/>
    <cellStyle name="쉼표 [0] 2 2 2 6" xfId="2110"/>
    <cellStyle name="쉼표 [0] 2 2 2 7" xfId="2111"/>
    <cellStyle name="쉼표 [0] 2 2 2 8" xfId="2112"/>
    <cellStyle name="쉼표 [0] 2 2 2 9" xfId="2113"/>
    <cellStyle name="쉼표 [0] 2 2 3" xfId="2114"/>
    <cellStyle name="쉼표 [0] 2 2 4" xfId="2115"/>
    <cellStyle name="쉼표 [0] 2 2 5" xfId="2116"/>
    <cellStyle name="쉼표 [0] 2 2 5 2" xfId="2117"/>
    <cellStyle name="쉼표 [0] 2 2 6" xfId="2118"/>
    <cellStyle name="쉼표 [0] 2 2 7" xfId="2119"/>
    <cellStyle name="쉼표 [0] 2 2 7 2" xfId="2120"/>
    <cellStyle name="쉼표 [0] 2 2 8" xfId="2121"/>
    <cellStyle name="쉼표 [0] 2 2 9" xfId="2122"/>
    <cellStyle name="쉼표 [0] 2 3" xfId="2123"/>
    <cellStyle name="쉼표 [0] 2 3 2" xfId="2124"/>
    <cellStyle name="쉼표 [0] 2 3 2 2" xfId="2125"/>
    <cellStyle name="쉼표 [0] 2 3 2 2 2" xfId="2126"/>
    <cellStyle name="쉼표 [0] 2 3 2 2 2 2" xfId="2127"/>
    <cellStyle name="쉼표 [0] 2 3 2 3" xfId="2128"/>
    <cellStyle name="쉼표 [0] 2 3 2 4" xfId="2129"/>
    <cellStyle name="쉼표 [0] 2 3 2 5" xfId="2130"/>
    <cellStyle name="쉼표 [0] 2 3 2 6" xfId="2131"/>
    <cellStyle name="쉼표 [0] 2 3 3" xfId="2132"/>
    <cellStyle name="쉼표 [0] 2 3 4" xfId="2133"/>
    <cellStyle name="쉼표 [0] 2 3 5" xfId="2134"/>
    <cellStyle name="쉼표 [0] 2 3 5 2" xfId="2135"/>
    <cellStyle name="쉼표 [0] 2 3 6" xfId="2136"/>
    <cellStyle name="쉼표 [0] 2 3 7" xfId="2137"/>
    <cellStyle name="쉼표 [0] 2 3 8" xfId="2138"/>
    <cellStyle name="쉼표 [0] 2 4" xfId="2139"/>
    <cellStyle name="쉼표 [0] 2 4 2" xfId="2140"/>
    <cellStyle name="쉼표 [0] 2 4 3" xfId="2141"/>
    <cellStyle name="쉼표 [0] 2 5" xfId="2142"/>
    <cellStyle name="쉼표 [0] 2 6" xfId="2143"/>
    <cellStyle name="쉼표 [0] 2 7" xfId="2144"/>
    <cellStyle name="쉼표 [0] 2 7 2" xfId="2145"/>
    <cellStyle name="쉼표 [0] 2 8" xfId="2146"/>
    <cellStyle name="쉼표 [0] 2 9" xfId="2147"/>
    <cellStyle name="쉼표 [0] 2 9 2" xfId="2148"/>
    <cellStyle name="쉼표 [0] 3" xfId="2149"/>
    <cellStyle name="쉼표 [0] 3 2" xfId="2150"/>
    <cellStyle name="쉼표 [0] 3 3" xfId="2151"/>
    <cellStyle name="쉼표 [0] 3 4" xfId="2152"/>
    <cellStyle name="쉼표 [0] 3 5" xfId="2153"/>
    <cellStyle name="쉼표 [0] 4" xfId="2154"/>
    <cellStyle name="쉼표 [0] 4 2" xfId="2155"/>
    <cellStyle name="쉼표 [0] 5" xfId="2156"/>
    <cellStyle name="쉼표 [0] 6" xfId="2157"/>
    <cellStyle name="쉼표 [0] 6 2" xfId="2158"/>
    <cellStyle name="쉼표 [0] 8" xfId="2159"/>
    <cellStyle name="悪い" xfId="2688"/>
    <cellStyle name="悪い 2" xfId="2689"/>
    <cellStyle name="悪い 3" xfId="2690"/>
    <cellStyle name="悪い 3 2" xfId="2691"/>
    <cellStyle name="悪い 4" xfId="2692"/>
    <cellStyle name="悪い 4 2" xfId="2693"/>
    <cellStyle name="悪い 5" xfId="2694"/>
    <cellStyle name="入力" xfId="2160"/>
    <cellStyle name="入力 2" xfId="2161"/>
    <cellStyle name="入力 3" xfId="2162"/>
    <cellStyle name="入力 3 2" xfId="2163"/>
    <cellStyle name="入力 3_11FW 판매분석 120506 (JIL MI)" xfId="2164"/>
    <cellStyle name="入力 4" xfId="2165"/>
    <cellStyle name="入力 4 2" xfId="2166"/>
    <cellStyle name="入力 4 3" xfId="2167"/>
    <cellStyle name="入力 4_11FW 판매분석 120506 (JIL MI)" xfId="2168"/>
    <cellStyle name="入力 5" xfId="2169"/>
    <cellStyle name="入力_11FW 판매분석 120506 (JIL MI)" xfId="2170"/>
    <cellStyle name="注释 2" xfId="2171"/>
    <cellStyle name="注释 3" xfId="2172"/>
    <cellStyle name="注释 4" xfId="2173"/>
    <cellStyle name="注释 5" xfId="2174"/>
    <cellStyle name="集計" xfId="2175"/>
    <cellStyle name="集計 2" xfId="2176"/>
    <cellStyle name="集計 3" xfId="2177"/>
    <cellStyle name="集計 3 2" xfId="2178"/>
    <cellStyle name="集計 4" xfId="2179"/>
    <cellStyle name="集計 4 2" xfId="2180"/>
    <cellStyle name="集計 4 3" xfId="2181"/>
    <cellStyle name="集計 5" xfId="2182"/>
    <cellStyle name="差 2" xfId="2183"/>
    <cellStyle name="差 2 2" xfId="2184"/>
    <cellStyle name="差 2 3" xfId="2185"/>
    <cellStyle name="差 2 4" xfId="2186"/>
    <cellStyle name="差 2 5" xfId="2187"/>
    <cellStyle name="差 2 6" xfId="2188"/>
    <cellStyle name="差 2 7" xfId="2189"/>
    <cellStyle name="差 3" xfId="2190"/>
    <cellStyle name="差 3 2" xfId="2191"/>
    <cellStyle name="差 3 3" xfId="2192"/>
    <cellStyle name="差 3 4" xfId="2193"/>
    <cellStyle name="差 3 5" xfId="2194"/>
    <cellStyle name="差 3 6" xfId="2195"/>
    <cellStyle name="差 3 7" xfId="2196"/>
    <cellStyle name="差 4" xfId="2197"/>
    <cellStyle name="差 4 2" xfId="2198"/>
    <cellStyle name="差 4 3" xfId="2199"/>
    <cellStyle name="差 4 4" xfId="2200"/>
    <cellStyle name="差 4 5" xfId="2201"/>
    <cellStyle name="差 4 6" xfId="2202"/>
    <cellStyle name="差 4 7" xfId="2203"/>
    <cellStyle name="差 5" xfId="2204"/>
    <cellStyle name="差 5 2" xfId="2205"/>
    <cellStyle name="差 5 3" xfId="2206"/>
    <cellStyle name="差 5 4" xfId="2207"/>
    <cellStyle name="差 5 5" xfId="2208"/>
    <cellStyle name="差 5 6" xfId="2209"/>
    <cellStyle name="差 5 7" xfId="2210"/>
    <cellStyle name="千位分隔[0] 13" xfId="2211"/>
    <cellStyle name="千位分隔[0] 4 2" xfId="2212"/>
    <cellStyle name="千位分隔[0] 6 2" xfId="2213"/>
    <cellStyle name="千位分隔[0] 7 2" xfId="2214"/>
    <cellStyle name="千位分隔[0] 9" xfId="2215"/>
    <cellStyle name="出力" xfId="2216"/>
    <cellStyle name="出力 2" xfId="2217"/>
    <cellStyle name="出力 3" xfId="2218"/>
    <cellStyle name="出力 3 2" xfId="2219"/>
    <cellStyle name="出力 3_11FW 판매분석 120506 (JIL MI)" xfId="2220"/>
    <cellStyle name="出力 4" xfId="2221"/>
    <cellStyle name="出力 4 2" xfId="2222"/>
    <cellStyle name="出力 4 3" xfId="2223"/>
    <cellStyle name="出力 4_11FW 판매분석 120506 (JIL MI)" xfId="2224"/>
    <cellStyle name="出力 5" xfId="2225"/>
    <cellStyle name="出力_11FW 판매분석 120506 (JIL MI)" xfId="2226"/>
    <cellStyle name="콤마 [0]_0509btn" xfId="2227"/>
    <cellStyle name="콤마_0509btn" xfId="2228"/>
    <cellStyle name="통화 [0] 2" xfId="2229"/>
    <cellStyle name="통화 [0] 2 2" xfId="2230"/>
    <cellStyle name="통화 [0] 2 2 2" xfId="2231"/>
    <cellStyle name="통화 [0] 2 3" xfId="2232"/>
    <cellStyle name="통화 [0] 2 4" xfId="2233"/>
    <cellStyle name="통화 [0] 3" xfId="2234"/>
    <cellStyle name="통화 [0] 3 2" xfId="2235"/>
    <cellStyle name="통화 [0] 3 3" xfId="2236"/>
    <cellStyle name="통화 [0] 3 4" xfId="2237"/>
    <cellStyle name="통화 [0] 4" xfId="2238"/>
    <cellStyle name="통화 [0] 4 2" xfId="2239"/>
    <cellStyle name="통화 [0] 4 2 2" xfId="2240"/>
    <cellStyle name="통화 [0] 4 2 2 2" xfId="2241"/>
    <cellStyle name="통화 [0] 4 2 2 2 2" xfId="2242"/>
    <cellStyle name="통화 [0] 4 2 2 2 2 2" xfId="2243"/>
    <cellStyle name="통화 [0] 4 2 2 3" xfId="2244"/>
    <cellStyle name="통화 [0] 4 2 2 4" xfId="2245"/>
    <cellStyle name="통화 [0] 4 2 2 5" xfId="2246"/>
    <cellStyle name="통화 [0] 4 2 2 6" xfId="2247"/>
    <cellStyle name="통화 [0] 4 2 3" xfId="2248"/>
    <cellStyle name="통화 [0] 4 2 4" xfId="2249"/>
    <cellStyle name="통화 [0] 4 2 5" xfId="2250"/>
    <cellStyle name="통화 [0] 4 2 5 2" xfId="2251"/>
    <cellStyle name="통화 [0] 4 2 6" xfId="2252"/>
    <cellStyle name="통화 [0] 4 2 7" xfId="2253"/>
    <cellStyle name="통화 [0] 4 2 8" xfId="2254"/>
    <cellStyle name="통화 [0] 4 3" xfId="2255"/>
    <cellStyle name="통화 [0] 4 4" xfId="2256"/>
    <cellStyle name="통화 [0] 4 4 2" xfId="2257"/>
    <cellStyle name="통화 [0] 4 5" xfId="2258"/>
    <cellStyle name="통화 [0] 4 6" xfId="2259"/>
    <cellStyle name="통화 [0] 4 6 2" xfId="2260"/>
    <cellStyle name="통화 [0] 4 7" xfId="2261"/>
    <cellStyle name="통화 [0] 4 8" xfId="2262"/>
    <cellStyle name="통화 [0] 4 9" xfId="2263"/>
    <cellStyle name="통화 [0] 5" xfId="2264"/>
    <cellStyle name="통화 [0] 6" xfId="2265"/>
    <cellStyle name="통화 [0] 6 2" xfId="2266"/>
    <cellStyle name="통화 [0] 7" xfId="2267"/>
    <cellStyle name="통화 [0] 7 2" xfId="2268"/>
    <cellStyle name="통화 [0] 8" xfId="2269"/>
    <cellStyle name="통화 [0] 9" xfId="2270"/>
    <cellStyle name="통화 2" xfId="2271"/>
    <cellStyle name="통화 2 2" xfId="2272"/>
    <cellStyle name="통화 3" xfId="2273"/>
    <cellStyle name="표준" xfId="0" builtinId="0"/>
    <cellStyle name="표준 10" xfId="2274"/>
    <cellStyle name="표준 10 2" xfId="2275"/>
    <cellStyle name="표준 100" xfId="2276"/>
    <cellStyle name="표준 101" xfId="2277"/>
    <cellStyle name="표준 102" xfId="2278"/>
    <cellStyle name="표준 103" xfId="2279"/>
    <cellStyle name="표준 104" xfId="2280"/>
    <cellStyle name="표준 105" xfId="2281"/>
    <cellStyle name="표준 106" xfId="2282"/>
    <cellStyle name="표준 107" xfId="2283"/>
    <cellStyle name="표준 108" xfId="2284"/>
    <cellStyle name="표준 109" xfId="2285"/>
    <cellStyle name="표준 11" xfId="2286"/>
    <cellStyle name="표준 11 10" xfId="2287"/>
    <cellStyle name="표준 11 2" xfId="2288"/>
    <cellStyle name="표준 11 2 10" xfId="2289"/>
    <cellStyle name="표준 11 2 2" xfId="2290"/>
    <cellStyle name="표준 11 2 2 2" xfId="2291"/>
    <cellStyle name="표준 11 2 2 2 2" xfId="2292"/>
    <cellStyle name="표준 11 2 2 2 2 2" xfId="2293"/>
    <cellStyle name="표준 11 2 2 2 2 2 2" xfId="2294"/>
    <cellStyle name="표준 11 2 2 2 3" xfId="2295"/>
    <cellStyle name="표준 11 2 2 2 4" xfId="2296"/>
    <cellStyle name="표준 11 2 2 2 5" xfId="2297"/>
    <cellStyle name="표준 11 2 2 2 6" xfId="2298"/>
    <cellStyle name="표준 11 2 2 3" xfId="2299"/>
    <cellStyle name="표준 11 2 2 4" xfId="2300"/>
    <cellStyle name="표준 11 2 2 5" xfId="2301"/>
    <cellStyle name="표준 11 2 2 5 2" xfId="2302"/>
    <cellStyle name="표준 11 2 2 6" xfId="2303"/>
    <cellStyle name="표준 11 2 2 7" xfId="2304"/>
    <cellStyle name="표준 11 2 2 8" xfId="2305"/>
    <cellStyle name="표준 11 2 3" xfId="2306"/>
    <cellStyle name="표준 11 2 3 2" xfId="2307"/>
    <cellStyle name="표준 11 2 3 2 2" xfId="2308"/>
    <cellStyle name="표준 11 2 3 2 2 2" xfId="2309"/>
    <cellStyle name="표준 11 2 3 3" xfId="2310"/>
    <cellStyle name="표준 11 2 3 4" xfId="2311"/>
    <cellStyle name="표준 11 2 3 5" xfId="2312"/>
    <cellStyle name="표준 11 2 3 6" xfId="2313"/>
    <cellStyle name="표준 11 2 4" xfId="2314"/>
    <cellStyle name="표준 11 2 5" xfId="2315"/>
    <cellStyle name="표준 11 2 5 2" xfId="2316"/>
    <cellStyle name="표준 11 2 6" xfId="2317"/>
    <cellStyle name="표준 11 2 7" xfId="2318"/>
    <cellStyle name="표준 11 2 8" xfId="2319"/>
    <cellStyle name="표준 11 2 9" xfId="2320"/>
    <cellStyle name="표준 11 3" xfId="2321"/>
    <cellStyle name="표준 11 3 2" xfId="2322"/>
    <cellStyle name="표준 11 4" xfId="2323"/>
    <cellStyle name="표준 11 4 2" xfId="2324"/>
    <cellStyle name="표준 11 4 3" xfId="2325"/>
    <cellStyle name="표준 11 5" xfId="2326"/>
    <cellStyle name="표준 11 5 2" xfId="2327"/>
    <cellStyle name="표준 11 5 3" xfId="2328"/>
    <cellStyle name="표준 11 6" xfId="2329"/>
    <cellStyle name="표준 11 6 2" xfId="2330"/>
    <cellStyle name="표준 11 7" xfId="2331"/>
    <cellStyle name="표준 11 8" xfId="2332"/>
    <cellStyle name="표준 11 9" xfId="2333"/>
    <cellStyle name="표준 110" xfId="2334"/>
    <cellStyle name="표준 111" xfId="2335"/>
    <cellStyle name="표준 112" xfId="2336"/>
    <cellStyle name="표준 113" xfId="2337"/>
    <cellStyle name="표준 114" xfId="2338"/>
    <cellStyle name="표준 115" xfId="2339"/>
    <cellStyle name="표준 116" xfId="2340"/>
    <cellStyle name="표준 117" xfId="2341"/>
    <cellStyle name="표준 118" xfId="2342"/>
    <cellStyle name="표준 119" xfId="2343"/>
    <cellStyle name="표준 12" xfId="2344"/>
    <cellStyle name="표준 12 2" xfId="2345"/>
    <cellStyle name="표준 120" xfId="2346"/>
    <cellStyle name="표준 121" xfId="2347"/>
    <cellStyle name="표준 122" xfId="2348"/>
    <cellStyle name="표준 123" xfId="2349"/>
    <cellStyle name="표준 124" xfId="2350"/>
    <cellStyle name="표준 125" xfId="2351"/>
    <cellStyle name="표준 126" xfId="2352"/>
    <cellStyle name="표준 127" xfId="2353"/>
    <cellStyle name="표준 13" xfId="2354"/>
    <cellStyle name="표준 13 2" xfId="2355"/>
    <cellStyle name="표준 14" xfId="2356"/>
    <cellStyle name="표준 14 2" xfId="2357"/>
    <cellStyle name="표준 15" xfId="2358"/>
    <cellStyle name="표준 15 2" xfId="2359"/>
    <cellStyle name="표준 16" xfId="2360"/>
    <cellStyle name="표준 16 2" xfId="2361"/>
    <cellStyle name="표준 17" xfId="2362"/>
    <cellStyle name="표준 17 2" xfId="2363"/>
    <cellStyle name="표준 18" xfId="2364"/>
    <cellStyle name="표준 18 2" xfId="2365"/>
    <cellStyle name="표준 19" xfId="2366"/>
    <cellStyle name="표준 19 2" xfId="2367"/>
    <cellStyle name="표준 2" xfId="2368"/>
    <cellStyle name="標準 2" xfId="2369"/>
    <cellStyle name="표준 2 10" xfId="2370"/>
    <cellStyle name="표준 2 100" xfId="2371"/>
    <cellStyle name="표준 2 101" xfId="2372"/>
    <cellStyle name="표준 2 102" xfId="2373"/>
    <cellStyle name="표준 2 103" xfId="2374"/>
    <cellStyle name="표준 2 104" xfId="2375"/>
    <cellStyle name="표준 2 105" xfId="2376"/>
    <cellStyle name="표준 2 106" xfId="2377"/>
    <cellStyle name="표준 2 107" xfId="2378"/>
    <cellStyle name="표준 2 108" xfId="2379"/>
    <cellStyle name="표준 2 109" xfId="2380"/>
    <cellStyle name="표준 2 11" xfId="2381"/>
    <cellStyle name="표준 2 110" xfId="2382"/>
    <cellStyle name="표준 2 111" xfId="2383"/>
    <cellStyle name="표준 2 112" xfId="2384"/>
    <cellStyle name="표준 2 113" xfId="2385"/>
    <cellStyle name="표준 2 114" xfId="2386"/>
    <cellStyle name="표준 2 115" xfId="2387"/>
    <cellStyle name="표준 2 116" xfId="2388"/>
    <cellStyle name="표준 2 117" xfId="2389"/>
    <cellStyle name="표준 2 118" xfId="2390"/>
    <cellStyle name="표준 2 119" xfId="2391"/>
    <cellStyle name="표준 2 12" xfId="2392"/>
    <cellStyle name="표준 2 120" xfId="2393"/>
    <cellStyle name="표준 2 121" xfId="2394"/>
    <cellStyle name="표준 2 122" xfId="2395"/>
    <cellStyle name="표준 2 123" xfId="2396"/>
    <cellStyle name="표준 2 124" xfId="2397"/>
    <cellStyle name="표준 2 125" xfId="2398"/>
    <cellStyle name="표준 2 126" xfId="2399"/>
    <cellStyle name="표준 2 127" xfId="2400"/>
    <cellStyle name="표준 2 128" xfId="2401"/>
    <cellStyle name="표준 2 129" xfId="2402"/>
    <cellStyle name="표준 2 13" xfId="2403"/>
    <cellStyle name="표준 2 130" xfId="2404"/>
    <cellStyle name="표준 2 14" xfId="2405"/>
    <cellStyle name="표준 2 15" xfId="2406"/>
    <cellStyle name="표준 2 16" xfId="2407"/>
    <cellStyle name="표준 2 17" xfId="2408"/>
    <cellStyle name="표준 2 18" xfId="2409"/>
    <cellStyle name="표준 2 19" xfId="2410"/>
    <cellStyle name="표준 2 2" xfId="2411"/>
    <cellStyle name="표준 2 2 2" xfId="2412"/>
    <cellStyle name="표준 2 2 2 2" xfId="2413"/>
    <cellStyle name="표준 2 2 3" xfId="2414"/>
    <cellStyle name="표준 2 2 4" xfId="2415"/>
    <cellStyle name="표준 2 2 4 2" xfId="2416"/>
    <cellStyle name="표준 2 2 5" xfId="2417"/>
    <cellStyle name="표준 2 2 6" xfId="2418"/>
    <cellStyle name="표준 2 2 7" xfId="2419"/>
    <cellStyle name="표준 2 2 8" xfId="2420"/>
    <cellStyle name="표준 2 20" xfId="2421"/>
    <cellStyle name="표준 2 21" xfId="2422"/>
    <cellStyle name="표준 2 22" xfId="2423"/>
    <cellStyle name="표준 2 23" xfId="2424"/>
    <cellStyle name="표준 2 24" xfId="2425"/>
    <cellStyle name="표준 2 25" xfId="2426"/>
    <cellStyle name="표준 2 26" xfId="2427"/>
    <cellStyle name="표준 2 27" xfId="2428"/>
    <cellStyle name="표준 2 28" xfId="2429"/>
    <cellStyle name="표준 2 29" xfId="2430"/>
    <cellStyle name="표준 2 3" xfId="2431"/>
    <cellStyle name="표준 2 30" xfId="2432"/>
    <cellStyle name="표준 2 31" xfId="2433"/>
    <cellStyle name="표준 2 32" xfId="2434"/>
    <cellStyle name="표준 2 33" xfId="2435"/>
    <cellStyle name="표준 2 34" xfId="2436"/>
    <cellStyle name="표준 2 35" xfId="2437"/>
    <cellStyle name="표준 2 36" xfId="2438"/>
    <cellStyle name="표준 2 37" xfId="2439"/>
    <cellStyle name="표준 2 38" xfId="2440"/>
    <cellStyle name="표준 2 39" xfId="2441"/>
    <cellStyle name="표준 2 4" xfId="2442"/>
    <cellStyle name="표준 2 4 2" xfId="2443"/>
    <cellStyle name="표준 2 40" xfId="2444"/>
    <cellStyle name="표준 2 41" xfId="2445"/>
    <cellStyle name="표준 2 42" xfId="2446"/>
    <cellStyle name="표준 2 43" xfId="2447"/>
    <cellStyle name="표준 2 44" xfId="2448"/>
    <cellStyle name="표준 2 45" xfId="2449"/>
    <cellStyle name="표준 2 46" xfId="2450"/>
    <cellStyle name="표준 2 47" xfId="2451"/>
    <cellStyle name="표준 2 48" xfId="2452"/>
    <cellStyle name="표준 2 49" xfId="2453"/>
    <cellStyle name="표준 2 49 2" xfId="2454"/>
    <cellStyle name="표준 2 5" xfId="2455"/>
    <cellStyle name="표준 2 50" xfId="2456"/>
    <cellStyle name="표준 2 51" xfId="2457"/>
    <cellStyle name="표준 2 52" xfId="2458"/>
    <cellStyle name="표준 2 53" xfId="2459"/>
    <cellStyle name="표준 2 54" xfId="2460"/>
    <cellStyle name="표준 2 55" xfId="2461"/>
    <cellStyle name="표준 2 56" xfId="2462"/>
    <cellStyle name="표준 2 57" xfId="2463"/>
    <cellStyle name="표준 2 58" xfId="2464"/>
    <cellStyle name="표준 2 59" xfId="2465"/>
    <cellStyle name="표준 2 6" xfId="2466"/>
    <cellStyle name="표준 2 60" xfId="2467"/>
    <cellStyle name="표준 2 61" xfId="2468"/>
    <cellStyle name="표준 2 62" xfId="2469"/>
    <cellStyle name="표준 2 63" xfId="2470"/>
    <cellStyle name="표준 2 64" xfId="2471"/>
    <cellStyle name="표준 2 65" xfId="2472"/>
    <cellStyle name="표준 2 66" xfId="2473"/>
    <cellStyle name="표준 2 67" xfId="2474"/>
    <cellStyle name="표준 2 68" xfId="2475"/>
    <cellStyle name="표준 2 69" xfId="2476"/>
    <cellStyle name="표준 2 7" xfId="2477"/>
    <cellStyle name="표준 2 70" xfId="2478"/>
    <cellStyle name="표준 2 71" xfId="2479"/>
    <cellStyle name="표준 2 72" xfId="2480"/>
    <cellStyle name="표준 2 73" xfId="2481"/>
    <cellStyle name="표준 2 74" xfId="2482"/>
    <cellStyle name="표준 2 75" xfId="2483"/>
    <cellStyle name="표준 2 75 2" xfId="2484"/>
    <cellStyle name="표준 2 75 2 2" xfId="2485"/>
    <cellStyle name="표준 2 75 2 2 2" xfId="2486"/>
    <cellStyle name="표준 2 75 2 2 2 2" xfId="2487"/>
    <cellStyle name="표준 2 75 2 2 2 2 2" xfId="2488"/>
    <cellStyle name="표준 2 75 2 2 3" xfId="2489"/>
    <cellStyle name="표준 2 75 2 2 4" xfId="2490"/>
    <cellStyle name="표준 2 75 2 2 5" xfId="2491"/>
    <cellStyle name="표준 2 75 2 2 6" xfId="2492"/>
    <cellStyle name="표준 2 75 2 3" xfId="2493"/>
    <cellStyle name="표준 2 75 2 4" xfId="2494"/>
    <cellStyle name="표준 2 75 2 5" xfId="2495"/>
    <cellStyle name="표준 2 75 2 5 2" xfId="2496"/>
    <cellStyle name="표준 2 75 2 6" xfId="2497"/>
    <cellStyle name="표준 2 75 2 7" xfId="2498"/>
    <cellStyle name="표준 2 75 2 8" xfId="2499"/>
    <cellStyle name="표준 2 75 3" xfId="2500"/>
    <cellStyle name="표준 2 75 4" xfId="2501"/>
    <cellStyle name="표준 2 75 4 2" xfId="2502"/>
    <cellStyle name="표준 2 75 5" xfId="2503"/>
    <cellStyle name="표준 2 75 6" xfId="2504"/>
    <cellStyle name="표준 2 75 6 2" xfId="2505"/>
    <cellStyle name="표준 2 75 7" xfId="2506"/>
    <cellStyle name="표준 2 75 8" xfId="2507"/>
    <cellStyle name="표준 2 75 9" xfId="2508"/>
    <cellStyle name="표준 2 76" xfId="2509"/>
    <cellStyle name="표준 2 77" xfId="2510"/>
    <cellStyle name="표준 2 78" xfId="2511"/>
    <cellStyle name="표준 2 79" xfId="2512"/>
    <cellStyle name="표준 2 8" xfId="2513"/>
    <cellStyle name="표준 2 80" xfId="2514"/>
    <cellStyle name="표준 2 81" xfId="2515"/>
    <cellStyle name="표준 2 82" xfId="2516"/>
    <cellStyle name="표준 2 83" xfId="2517"/>
    <cellStyle name="표준 2 84" xfId="2518"/>
    <cellStyle name="표준 2 85" xfId="2519"/>
    <cellStyle name="표준 2 86" xfId="2520"/>
    <cellStyle name="표준 2 87" xfId="2521"/>
    <cellStyle name="표준 2 88" xfId="2522"/>
    <cellStyle name="표준 2 89" xfId="2523"/>
    <cellStyle name="표준 2 9" xfId="2524"/>
    <cellStyle name="표준 2 90" xfId="2525"/>
    <cellStyle name="표준 2 91" xfId="2526"/>
    <cellStyle name="표준 2 92" xfId="2527"/>
    <cellStyle name="표준 2 93" xfId="2528"/>
    <cellStyle name="표준 2 94" xfId="2529"/>
    <cellStyle name="표준 2 95" xfId="2530"/>
    <cellStyle name="표준 2 96" xfId="2531"/>
    <cellStyle name="표준 2 97" xfId="2532"/>
    <cellStyle name="표준 2 98" xfId="2533"/>
    <cellStyle name="표준 2 99" xfId="2534"/>
    <cellStyle name="표준 20" xfId="2535"/>
    <cellStyle name="표준 20 10" xfId="2536"/>
    <cellStyle name="표준 20 2" xfId="2537"/>
    <cellStyle name="표준 20 2 10" xfId="2538"/>
    <cellStyle name="표준 20 2 2" xfId="2539"/>
    <cellStyle name="표준 20 2 2 2" xfId="2540"/>
    <cellStyle name="표준 20 2 2 2 2" xfId="2541"/>
    <cellStyle name="표준 20 3" xfId="2542"/>
    <cellStyle name="표준 20 4" xfId="2543"/>
    <cellStyle name="표준 20 5" xfId="2544"/>
    <cellStyle name="표준 20 5 2" xfId="2545"/>
    <cellStyle name="표준 20 5 3" xfId="2546"/>
    <cellStyle name="표준 20 6" xfId="2547"/>
    <cellStyle name="표준 21" xfId="2548"/>
    <cellStyle name="표준 22" xfId="2549"/>
    <cellStyle name="표준 23" xfId="2550"/>
    <cellStyle name="표준 24" xfId="2551"/>
    <cellStyle name="표준 25" xfId="2552"/>
    <cellStyle name="표준 26" xfId="2553"/>
    <cellStyle name="표준 27" xfId="2554"/>
    <cellStyle name="표준 28" xfId="2555"/>
    <cellStyle name="표준 29" xfId="2556"/>
    <cellStyle name="표준 3" xfId="2557"/>
    <cellStyle name="표준 3 10" xfId="2558"/>
    <cellStyle name="표준 3 11" xfId="2559"/>
    <cellStyle name="표준 3 12" xfId="2560"/>
    <cellStyle name="표준 3 13" xfId="2561"/>
    <cellStyle name="표준 3 14" xfId="2562"/>
    <cellStyle name="표준 3 15" xfId="2563"/>
    <cellStyle name="표준 3 16" xfId="2564"/>
    <cellStyle name="표준 3 17" xfId="2565"/>
    <cellStyle name="표준 3 18" xfId="2566"/>
    <cellStyle name="표준 3 19" xfId="2567"/>
    <cellStyle name="표준 3 2" xfId="2568"/>
    <cellStyle name="표준 3 20" xfId="2569"/>
    <cellStyle name="표준 3 21" xfId="2570"/>
    <cellStyle name="표준 3 22" xfId="2571"/>
    <cellStyle name="표준 3 23" xfId="2572"/>
    <cellStyle name="표준 3 24" xfId="2573"/>
    <cellStyle name="표준 3 25" xfId="2574"/>
    <cellStyle name="표준 3 26" xfId="2575"/>
    <cellStyle name="표준 3 27" xfId="2576"/>
    <cellStyle name="표준 3 28" xfId="2577"/>
    <cellStyle name="표준 3 29" xfId="2578"/>
    <cellStyle name="표준 3 3" xfId="2579"/>
    <cellStyle name="표준 3 30" xfId="2580"/>
    <cellStyle name="표준 3 31" xfId="2581"/>
    <cellStyle name="표준 3 32" xfId="2582"/>
    <cellStyle name="표준 3 33" xfId="2583"/>
    <cellStyle name="표준 3 34" xfId="2584"/>
    <cellStyle name="표준 3 35" xfId="2585"/>
    <cellStyle name="표준 3 36" xfId="2586"/>
    <cellStyle name="표준 3 37" xfId="2587"/>
    <cellStyle name="표준 3 38" xfId="2588"/>
    <cellStyle name="표준 3 39" xfId="2589"/>
    <cellStyle name="표준 3 4" xfId="2590"/>
    <cellStyle name="표준 3 40" xfId="2591"/>
    <cellStyle name="표준 3 41" xfId="2592"/>
    <cellStyle name="표준 3 42" xfId="2593"/>
    <cellStyle name="표준 3 43" xfId="2594"/>
    <cellStyle name="표준 3 44" xfId="2595"/>
    <cellStyle name="표준 3 45" xfId="2596"/>
    <cellStyle name="표준 3 46" xfId="2597"/>
    <cellStyle name="표준 3 47" xfId="2598"/>
    <cellStyle name="표준 3 48" xfId="2599"/>
    <cellStyle name="표준 3 49" xfId="2600"/>
    <cellStyle name="표준 3 5" xfId="2601"/>
    <cellStyle name="표준 3 50" xfId="2602"/>
    <cellStyle name="표준 3 51" xfId="2603"/>
    <cellStyle name="표준 3 52" xfId="2604"/>
    <cellStyle name="표준 3 53" xfId="2605"/>
    <cellStyle name="표준 3 54" xfId="2606"/>
    <cellStyle name="표준 3 55" xfId="2607"/>
    <cellStyle name="표준 3 55 2" xfId="2608"/>
    <cellStyle name="표준 3 55 3" xfId="2609"/>
    <cellStyle name="표준 3 56" xfId="2610"/>
    <cellStyle name="표준 3 6" xfId="2611"/>
    <cellStyle name="표준 3 7" xfId="2612"/>
    <cellStyle name="표준 3 8" xfId="2613"/>
    <cellStyle name="표준 3 9" xfId="2614"/>
    <cellStyle name="표준 30" xfId="2615"/>
    <cellStyle name="표준 31" xfId="2616"/>
    <cellStyle name="표준 32" xfId="2617"/>
    <cellStyle name="표준 33" xfId="2618"/>
    <cellStyle name="표준 34" xfId="2619"/>
    <cellStyle name="표준 35" xfId="2620"/>
    <cellStyle name="표준 36" xfId="2621"/>
    <cellStyle name="표준 37" xfId="2622"/>
    <cellStyle name="표준 38" xfId="2623"/>
    <cellStyle name="표준 39" xfId="2624"/>
    <cellStyle name="표준 4" xfId="2625"/>
    <cellStyle name="표준 40" xfId="2626"/>
    <cellStyle name="표준 41" xfId="2627"/>
    <cellStyle name="표준 42" xfId="2628"/>
    <cellStyle name="표준 43" xfId="2629"/>
    <cellStyle name="표준 44" xfId="2630"/>
    <cellStyle name="표준 45" xfId="2631"/>
    <cellStyle name="표준 46" xfId="2632"/>
    <cellStyle name="표준 47" xfId="2633"/>
    <cellStyle name="표준 48" xfId="2634"/>
    <cellStyle name="표준 49" xfId="2635"/>
    <cellStyle name="표준 5" xfId="2636"/>
    <cellStyle name="표준 5 2" xfId="2637"/>
    <cellStyle name="표준 50" xfId="2638"/>
    <cellStyle name="표준 51" xfId="2639"/>
    <cellStyle name="표준 52" xfId="2640"/>
    <cellStyle name="표준 53" xfId="2641"/>
    <cellStyle name="표준 54" xfId="2642"/>
    <cellStyle name="표준 55" xfId="2643"/>
    <cellStyle name="표준 56" xfId="2644"/>
    <cellStyle name="표준 57" xfId="2645"/>
    <cellStyle name="표준 58" xfId="2646"/>
    <cellStyle name="표준 59" xfId="2647"/>
    <cellStyle name="표준 6" xfId="2648"/>
    <cellStyle name="표준 60" xfId="2649"/>
    <cellStyle name="표준 61" xfId="2650"/>
    <cellStyle name="표준 62" xfId="2651"/>
    <cellStyle name="표준 63" xfId="2652"/>
    <cellStyle name="표준 64" xfId="2653"/>
    <cellStyle name="표준 65" xfId="2654"/>
    <cellStyle name="표준 66" xfId="2655"/>
    <cellStyle name="표준 67" xfId="2656"/>
    <cellStyle name="표준 68" xfId="2657"/>
    <cellStyle name="표준 69" xfId="2658"/>
    <cellStyle name="표준 69 2" xfId="2659"/>
    <cellStyle name="표준 69 3" xfId="2660"/>
    <cellStyle name="표준 69 4" xfId="2661"/>
    <cellStyle name="표준 69 5" xfId="2662"/>
    <cellStyle name="표준 69 5 2" xfId="2663"/>
    <cellStyle name="표준 69 5 3" xfId="2664"/>
    <cellStyle name="표준 69 6" xfId="2665"/>
    <cellStyle name="표준 7" xfId="2666"/>
    <cellStyle name="표준 7 2" xfId="2667"/>
    <cellStyle name="표준 7 2 2" xfId="2668"/>
    <cellStyle name="표준 7 2 3" xfId="2669"/>
    <cellStyle name="표준 7 2 4" xfId="2670"/>
    <cellStyle name="표준 7 2 4 2" xfId="2671"/>
    <cellStyle name="표준 7 2 5" xfId="2672"/>
    <cellStyle name="표준 70" xfId="2673"/>
    <cellStyle name="표준 70 2" xfId="2674"/>
    <cellStyle name="표준 70 3" xfId="2675"/>
    <cellStyle name="표준 70 4" xfId="2676"/>
    <cellStyle name="표준 70 5" xfId="2677"/>
    <cellStyle name="표준 70 5 2" xfId="2678"/>
    <cellStyle name="표준 70 5 3" xfId="2679"/>
    <cellStyle name="표준 70 6" xfId="2680"/>
    <cellStyle name="표준 71" xfId="2681"/>
    <cellStyle name="표준 72" xfId="2682"/>
    <cellStyle name="표준 73" xfId="2683"/>
    <cellStyle name="표준 74" xfId="2816"/>
    <cellStyle name="표준 79" xfId="2684"/>
    <cellStyle name="표준 8" xfId="2685"/>
    <cellStyle name="표준 8 2" xfId="2686"/>
    <cellStyle name="표준 9" xfId="2687"/>
  </cellStyles>
  <dxfs count="86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</font>
    </dxf>
    <dxf>
      <font>
        <b/>
      </font>
    </dxf>
    <dxf>
      <numFmt numFmtId="189" formatCode="0_ "/>
    </dxf>
    <dxf>
      <numFmt numFmtId="189" formatCode="0_ "/>
    </dxf>
    <dxf>
      <numFmt numFmtId="189" formatCode="0_ "/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rgb="FFFFFF00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ont>
        <sz val="1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none">
          <bgColor auto="1"/>
        </patternFill>
      </fill>
    </dxf>
    <dxf>
      <font>
        <sz val="11"/>
      </font>
    </dxf>
    <dxf>
      <alignment horizontal="center" readingOrder="0"/>
    </dxf>
    <dxf>
      <fill>
        <patternFill>
          <bgColor rgb="FFFFFF00"/>
        </patternFill>
      </fill>
    </dxf>
    <dxf>
      <border>
        <left/>
      </border>
    </dxf>
    <dxf>
      <alignment horizont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8" tint="0.39997558519241921"/>
        </patternFill>
      </fill>
    </dxf>
    <dxf>
      <alignment horizontal="center" readingOrder="0"/>
    </dxf>
    <dxf>
      <fill>
        <patternFill>
          <bgColor rgb="FFFFFF00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ont>
        <sz val="1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none">
          <bgColor auto="1"/>
        </patternFill>
      </fill>
    </dxf>
    <dxf>
      <font>
        <sz val="11"/>
      </font>
    </dxf>
    <dxf>
      <alignment horizontal="center" readingOrder="0"/>
    </dxf>
    <dxf>
      <alignment horizont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/>
      </border>
    </dxf>
    <dxf>
      <alignment horizont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5" tint="0.59999389629810485"/>
        </patternFill>
      </fill>
    </dxf>
    <dxf>
      <font>
        <b/>
      </font>
    </dxf>
    <dxf>
      <fill>
        <patternFill>
          <bgColor theme="8" tint="0.39997558519241921"/>
        </patternFill>
      </fill>
    </dxf>
    <dxf>
      <alignment horizontal="center" readingOrder="0"/>
    </dxf>
    <dxf>
      <fill>
        <patternFill>
          <bgColor rgb="FFFFFF00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numFmt numFmtId="3" formatCode="#,##0"/>
    </dxf>
    <dxf>
      <numFmt numFmtId="3" formatCode="#,##0"/>
    </dxf>
    <dxf>
      <numFmt numFmtId="3" formatCode="#,##0"/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ont>
        <sz val="10"/>
      </font>
    </dxf>
    <dxf>
      <fill>
        <patternFill patternType="solid"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none">
          <bgColor auto="1"/>
        </patternFill>
      </fill>
    </dxf>
    <dxf>
      <font>
        <sz val="11"/>
      </font>
    </dxf>
    <dxf>
      <alignment horizontal="center" readingOrder="0"/>
    </dxf>
    <dxf>
      <alignment horizont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/>
      </border>
    </dxf>
    <dxf>
      <alignment horizont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0"/>
      </font>
    </dxf>
    <dxf>
      <fill>
        <patternFill patternType="none">
          <bgColor auto="1"/>
        </patternFill>
      </fill>
    </dxf>
    <dxf>
      <fill>
        <patternFill>
          <bgColor theme="8" tint="0.59999389629810485"/>
        </patternFill>
      </fill>
    </dxf>
    <dxf>
      <fill>
        <patternFill patternType="solid">
          <bgColor rgb="FFFFFF00"/>
        </patternFill>
      </fill>
    </dxf>
    <dxf>
      <numFmt numFmtId="177" formatCode="#,##0.0"/>
    </dxf>
    <dxf>
      <numFmt numFmtId="177" formatCode="#,##0.0"/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>
          <bgColor theme="8" tint="0.39997558519241921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none">
          <bgColor auto="1"/>
        </patternFill>
      </fill>
    </dxf>
    <dxf>
      <font>
        <sz val="11"/>
      </font>
    </dxf>
    <dxf>
      <alignment horizontal="center" readingOrder="0"/>
    </dxf>
    <dxf>
      <alignment horizont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/>
      </border>
    </dxf>
    <dxf>
      <alignment horizont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" formatCode="#,##0"/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 readingOrder="0"/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7" tint="0.39997558519241921"/>
        </patternFill>
      </fill>
    </dxf>
    <dxf>
      <font>
        <sz val="1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>
          <bgColor theme="8" tint="0.39997558519241921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none">
          <bgColor auto="1"/>
        </patternFill>
      </fill>
    </dxf>
    <dxf>
      <font>
        <sz val="11"/>
      </font>
    </dxf>
    <dxf>
      <alignment horizontal="center" readingOrder="0"/>
    </dxf>
    <dxf>
      <fill>
        <patternFill>
          <bgColor rgb="FFFFFF00"/>
        </patternFill>
      </fill>
    </dxf>
    <dxf>
      <border>
        <left/>
      </border>
    </dxf>
    <dxf>
      <alignment horizontal="center" readingOrder="0"/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" formatCode="#,##0"/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 readingOrder="0"/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7" tint="0.39997558519241921"/>
        </patternFill>
      </fill>
    </dxf>
    <dxf>
      <font>
        <sz val="1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>
          <bgColor theme="8" tint="0.39997558519241921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none">
          <bgColor auto="1"/>
        </patternFill>
      </fill>
    </dxf>
    <dxf>
      <font>
        <sz val="11"/>
      </font>
    </dxf>
    <dxf>
      <alignment horizontal="center" readingOrder="0"/>
    </dxf>
    <dxf>
      <fill>
        <patternFill>
          <bgColor rgb="FFFFFF00"/>
        </patternFill>
      </fill>
    </dxf>
    <dxf>
      <border>
        <left/>
      </border>
    </dxf>
    <dxf>
      <alignment horizontal="center" readingOrder="0"/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" formatCode="#,##0"/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 readingOrder="0"/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7" tint="0.39997558519241921"/>
        </patternFill>
      </fill>
    </dxf>
    <dxf>
      <font>
        <sz val="1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>
          <bgColor theme="8" tint="0.39997558519241921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none">
          <bgColor auto="1"/>
        </patternFill>
      </fill>
    </dxf>
    <dxf>
      <font>
        <sz val="11"/>
      </font>
    </dxf>
    <dxf>
      <alignment horizontal="center" readingOrder="0"/>
    </dxf>
    <dxf>
      <fill>
        <patternFill>
          <bgColor rgb="FFFFFF00"/>
        </patternFill>
      </fill>
    </dxf>
    <dxf>
      <border>
        <left/>
      </border>
    </dxf>
    <dxf>
      <alignment horizontal="center" readingOrder="0"/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8" tint="0.59999389629810485"/>
        </patternFill>
      </fill>
    </dxf>
    <dxf>
      <alignment horizontal="center" readingOrder="0"/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7" tint="0.39997558519241921"/>
        </patternFill>
      </fill>
    </dxf>
    <dxf>
      <numFmt numFmtId="3" formatCode="#,##0"/>
    </dxf>
    <dxf>
      <font>
        <sz val="10"/>
      </font>
    </dxf>
    <dxf>
      <fill>
        <patternFill>
          <bgColor theme="8" tint="0.599993896298104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>
          <bgColor theme="8" tint="0.39997558519241921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none">
          <bgColor auto="1"/>
        </patternFill>
      </fill>
    </dxf>
    <dxf>
      <font>
        <sz val="11"/>
      </font>
    </dxf>
    <dxf>
      <alignment horizontal="center" readingOrder="0"/>
    </dxf>
    <dxf>
      <fill>
        <patternFill>
          <bgColor rgb="FFFFFF00"/>
        </patternFill>
      </fill>
    </dxf>
    <dxf>
      <border>
        <left/>
      </border>
    </dxf>
    <dxf>
      <alignment horizontal="center" readingOrder="0"/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>
          <bgColor theme="8" tint="0.59999389629810485"/>
        </patternFill>
      </fill>
    </dxf>
    <dxf>
      <alignment horizontal="center" readingOrder="0"/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color rgb="FFFF0000"/>
      </font>
    </dxf>
    <dxf>
      <font>
        <b val="0"/>
      </font>
    </dxf>
    <dxf>
      <font>
        <color auto="1"/>
      </font>
    </dxf>
    <dxf>
      <font>
        <b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7" tint="0.39997558519241921"/>
        </patternFill>
      </fill>
    </dxf>
    <dxf>
      <numFmt numFmtId="3" formatCode="#,##0"/>
    </dxf>
    <dxf>
      <font>
        <sz val="10"/>
      </font>
    </dxf>
    <dxf>
      <fill>
        <patternFill>
          <bgColor theme="8" tint="0.59999389629810485"/>
        </patternFill>
      </fill>
    </dxf>
    <dxf>
      <fill>
        <patternFill patternType="solid"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>
          <bgColor theme="8" tint="0.39997558519241921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none">
          <bgColor auto="1"/>
        </patternFill>
      </fill>
    </dxf>
    <dxf>
      <font>
        <sz val="11"/>
      </font>
    </dxf>
    <dxf>
      <alignment horizontal="center" readingOrder="0"/>
    </dxf>
    <dxf>
      <fill>
        <patternFill>
          <bgColor rgb="FFFFFF00"/>
        </patternFill>
      </fill>
    </dxf>
    <dxf>
      <border>
        <left/>
      </border>
    </dxf>
    <dxf>
      <alignment horizontal="center" readingOrder="0"/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" formatCode="#,##0"/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 readingOrder="0"/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7" tint="0.39997558519241921"/>
        </patternFill>
      </fill>
    </dxf>
    <dxf>
      <font>
        <sz val="1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>
          <bgColor theme="8" tint="0.39997558519241921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none">
          <bgColor auto="1"/>
        </patternFill>
      </fill>
    </dxf>
    <dxf>
      <font>
        <sz val="11"/>
      </font>
    </dxf>
    <dxf>
      <alignment horizontal="center" readingOrder="0"/>
    </dxf>
    <dxf>
      <fill>
        <patternFill>
          <bgColor rgb="FFFFFF00"/>
        </patternFill>
      </fill>
    </dxf>
    <dxf>
      <border>
        <left/>
      </border>
    </dxf>
    <dxf>
      <alignment horizontal="center" readingOrder="0"/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8" tint="0.59999389629810485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-0.249977111117893"/>
        </patternFill>
      </fill>
    </dxf>
    <dxf>
      <font>
        <color auto="1"/>
      </font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numFmt numFmtId="3" formatCode="#,##0"/>
    </dxf>
    <dxf>
      <font>
        <sz val="10"/>
      </font>
    </dxf>
    <dxf>
      <fill>
        <patternFill patternType="solid">
          <bgColor rgb="FFFFFF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>
          <bgColor theme="8" tint="0.39997558519241921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none">
          <bgColor auto="1"/>
        </patternFill>
      </fill>
    </dxf>
    <dxf>
      <font>
        <sz val="11"/>
      </font>
    </dxf>
    <dxf>
      <alignment horizontal="center" readingOrder="0"/>
    </dxf>
    <dxf>
      <alignment horizont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3" formatCode="#,##0"/>
    </dxf>
    <dxf>
      <border>
        <left/>
      </border>
    </dxf>
    <dxf>
      <alignment horizont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colors>
    <mruColors>
      <color rgb="FFFFFF99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atson\03.&#44592;&#54925;&#49373;&#49328;\HATS%20ON%20&#49373;&#49328;\1.&#44592;&#54925;&#54788;&#54889;\14FW\2.HATS%20ON\14FW%20&#44592;&#54925;&#54788;&#54889;%20(HATS%20ON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.&#44592;&#54925;&#49373;&#49328;\HATS%20ON%20&#49373;&#49328;\1.&#44592;&#54925;&#54788;&#54889;\14FW\3.HATS%20ON%20KIDS\14FW%20&#44592;&#54925;&#54788;&#54889;%20(HATS%20ON%20KIDS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xk-130118\AppData\Roaming\Microsoft\Excel\14FW%20&#49368;&#54540;&#54060;&#46377;%20&#47532;&#49828;&#53944;%20&#52712;&#54633;%20(LUI%20MARCHE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기획현황요약"/>
      <sheetName val="순점검"/>
      <sheetName val="기획현황"/>
      <sheetName val="PO ISSUE"/>
      <sheetName val="가격결정"/>
      <sheetName val="에버그린"/>
      <sheetName val="한림"/>
      <sheetName val="피아"/>
      <sheetName val="입고DB"/>
      <sheetName val="실입고현황"/>
      <sheetName val="입고현황"/>
      <sheetName val="금주"/>
      <sheetName val="차주"/>
      <sheetName val="차차주"/>
      <sheetName val="TARGET MU"/>
      <sheetName val="CODE"/>
      <sheetName val="WKNUM"/>
      <sheetName val="브랜드담당"/>
      <sheetName val="품번순번코드"/>
    </sheetNames>
    <sheetDataSet>
      <sheetData sheetId="0">
        <row r="6">
          <cell r="B6" t="str">
            <v>ELS</v>
          </cell>
          <cell r="C6" t="str">
            <v>ELSTINKO</v>
          </cell>
          <cell r="D6" t="str">
            <v>M</v>
          </cell>
          <cell r="E6">
            <v>0.08</v>
          </cell>
          <cell r="F6">
            <v>5118123454.7374878</v>
          </cell>
          <cell r="G6">
            <v>49000</v>
          </cell>
          <cell r="H6">
            <v>104451.49907627526</v>
          </cell>
          <cell r="I6">
            <v>83561.199261020214</v>
          </cell>
          <cell r="J6">
            <v>0.8</v>
          </cell>
          <cell r="K6">
            <v>20890.299815255043</v>
          </cell>
          <cell r="L6">
            <v>1000</v>
          </cell>
          <cell r="M6">
            <v>83.561199261020221</v>
          </cell>
          <cell r="N6">
            <v>1.2</v>
          </cell>
          <cell r="O6">
            <v>69.634332717516855</v>
          </cell>
          <cell r="P6">
            <v>6</v>
          </cell>
          <cell r="Q6">
            <v>853020575.7895813</v>
          </cell>
          <cell r="S6">
            <v>0.08</v>
          </cell>
          <cell r="T6">
            <v>69.634332717516855</v>
          </cell>
        </row>
        <row r="7">
          <cell r="B7" t="str">
            <v>ELS-의류</v>
          </cell>
          <cell r="D7" t="str">
            <v>M</v>
          </cell>
          <cell r="E7">
            <v>8.5000000000000006E-2</v>
          </cell>
          <cell r="F7">
            <v>5438006170.6585808</v>
          </cell>
          <cell r="G7">
            <v>105000</v>
          </cell>
          <cell r="H7">
            <v>51790.534958653152</v>
          </cell>
          <cell r="I7">
            <v>51790.534958653152</v>
          </cell>
          <cell r="J7">
            <v>1</v>
          </cell>
          <cell r="K7">
            <v>0</v>
          </cell>
          <cell r="L7">
            <v>1200</v>
          </cell>
          <cell r="M7">
            <v>43.15877913221096</v>
          </cell>
          <cell r="N7">
            <v>1.2</v>
          </cell>
          <cell r="O7">
            <v>35.96564927684247</v>
          </cell>
          <cell r="P7">
            <v>4.3</v>
          </cell>
          <cell r="Q7">
            <v>1264652597.8275769</v>
          </cell>
          <cell r="S7">
            <v>8.5000000000000006E-2</v>
          </cell>
          <cell r="T7">
            <v>35.96564927684247</v>
          </cell>
        </row>
        <row r="8">
          <cell r="B8" t="str">
            <v>ELS-가방</v>
          </cell>
          <cell r="D8" t="str">
            <v>M</v>
          </cell>
          <cell r="E8">
            <v>4.4999999999999998E-2</v>
          </cell>
          <cell r="F8">
            <v>2878944443.2898369</v>
          </cell>
          <cell r="G8">
            <v>119000</v>
          </cell>
          <cell r="H8">
            <v>24192.810447813754</v>
          </cell>
          <cell r="I8">
            <v>19354.248358251003</v>
          </cell>
          <cell r="J8">
            <v>0.8</v>
          </cell>
          <cell r="K8">
            <v>4838.5620895627508</v>
          </cell>
          <cell r="L8">
            <v>800</v>
          </cell>
          <cell r="M8">
            <v>24.192810447813756</v>
          </cell>
          <cell r="N8">
            <v>1.2</v>
          </cell>
          <cell r="O8">
            <v>20.16067537317813</v>
          </cell>
          <cell r="P8">
            <v>4.5</v>
          </cell>
          <cell r="Q8">
            <v>639765431.84218597</v>
          </cell>
          <cell r="S8">
            <v>4.4999999999999998E-2</v>
          </cell>
          <cell r="T8">
            <v>20.16067537317813</v>
          </cell>
        </row>
        <row r="9">
          <cell r="B9" t="str">
            <v>ELS-ACC</v>
          </cell>
          <cell r="D9" t="str">
            <v>M</v>
          </cell>
          <cell r="E9">
            <v>2E-3</v>
          </cell>
          <cell r="F9">
            <v>127953086.3684372</v>
          </cell>
          <cell r="G9">
            <v>29000</v>
          </cell>
          <cell r="H9">
            <v>4412.1753920150759</v>
          </cell>
          <cell r="I9">
            <v>4412.1753920150759</v>
          </cell>
          <cell r="J9">
            <v>1</v>
          </cell>
          <cell r="K9">
            <v>0</v>
          </cell>
          <cell r="L9">
            <v>1000</v>
          </cell>
          <cell r="M9">
            <v>4.4121753920150759</v>
          </cell>
          <cell r="N9">
            <v>1</v>
          </cell>
          <cell r="O9">
            <v>4.4121753920150759</v>
          </cell>
          <cell r="P9">
            <v>6</v>
          </cell>
          <cell r="Q9">
            <v>21325514.394739535</v>
          </cell>
          <cell r="S9">
            <v>2E-3</v>
          </cell>
          <cell r="T9">
            <v>4.4121753920150759</v>
          </cell>
        </row>
        <row r="10">
          <cell r="B10" t="str">
            <v>SMB</v>
          </cell>
          <cell r="C10" t="str">
            <v>SUPER MASSIVE BOUND</v>
          </cell>
          <cell r="D10" t="str">
            <v>M</v>
          </cell>
          <cell r="E10">
            <v>0.05</v>
          </cell>
          <cell r="F10">
            <v>3198827159.2109299</v>
          </cell>
          <cell r="G10">
            <v>39000</v>
          </cell>
          <cell r="H10">
            <v>82021.209210536661</v>
          </cell>
          <cell r="I10">
            <v>65616.967368429338</v>
          </cell>
          <cell r="J10">
            <v>0.8</v>
          </cell>
          <cell r="K10">
            <v>16404.241842107323</v>
          </cell>
          <cell r="L10">
            <v>1200</v>
          </cell>
          <cell r="M10">
            <v>54.680806140357781</v>
          </cell>
          <cell r="N10">
            <v>1.2</v>
          </cell>
          <cell r="O10">
            <v>45.567338450298152</v>
          </cell>
          <cell r="P10">
            <v>6</v>
          </cell>
          <cell r="Q10">
            <v>533137859.86848831</v>
          </cell>
          <cell r="S10">
            <v>0.05</v>
          </cell>
          <cell r="T10">
            <v>45.567338450298152</v>
          </cell>
        </row>
        <row r="11">
          <cell r="B11" t="str">
            <v>SWB</v>
          </cell>
          <cell r="C11" t="str">
            <v>SUPER MASSIVE BOUND_W</v>
          </cell>
          <cell r="D11" t="str">
            <v>M</v>
          </cell>
          <cell r="E11">
            <v>0.05</v>
          </cell>
          <cell r="F11">
            <v>3198827159.2109299</v>
          </cell>
          <cell r="G11">
            <v>49000</v>
          </cell>
          <cell r="H11">
            <v>65282.186922672037</v>
          </cell>
          <cell r="I11">
            <v>52225.749538137636</v>
          </cell>
          <cell r="J11">
            <v>0.8</v>
          </cell>
          <cell r="K11">
            <v>13056.437384534402</v>
          </cell>
          <cell r="L11">
            <v>1200</v>
          </cell>
          <cell r="M11">
            <v>43.521457948448031</v>
          </cell>
          <cell r="N11">
            <v>1.2</v>
          </cell>
          <cell r="O11">
            <v>36.267881623706693</v>
          </cell>
          <cell r="P11">
            <v>6</v>
          </cell>
          <cell r="Q11">
            <v>533137859.86848831</v>
          </cell>
          <cell r="S11">
            <v>0.05</v>
          </cell>
          <cell r="T11">
            <v>36.267881623706693</v>
          </cell>
        </row>
        <row r="12">
          <cell r="B12" t="str">
            <v>NAA</v>
          </cell>
          <cell r="C12" t="str">
            <v>NCAA</v>
          </cell>
          <cell r="D12" t="str">
            <v>M</v>
          </cell>
          <cell r="E12">
            <v>0.01</v>
          </cell>
          <cell r="F12">
            <v>639765431.84218597</v>
          </cell>
          <cell r="G12">
            <v>35000</v>
          </cell>
          <cell r="H12">
            <v>18279.01233834817</v>
          </cell>
          <cell r="I12">
            <v>14623.209870678536</v>
          </cell>
          <cell r="J12">
            <v>0.8</v>
          </cell>
          <cell r="K12">
            <v>3655.8024676696332</v>
          </cell>
          <cell r="L12">
            <v>800</v>
          </cell>
          <cell r="M12">
            <v>18.279012338348171</v>
          </cell>
          <cell r="N12">
            <v>1.2</v>
          </cell>
          <cell r="O12">
            <v>15.232510281956809</v>
          </cell>
          <cell r="P12">
            <v>6</v>
          </cell>
          <cell r="Q12">
            <v>106627571.97369766</v>
          </cell>
          <cell r="S12">
            <v>0.01</v>
          </cell>
          <cell r="T12">
            <v>15.232510281956809</v>
          </cell>
        </row>
        <row r="13">
          <cell r="B13" t="str">
            <v>NOV</v>
          </cell>
          <cell r="C13" t="str">
            <v>NOVENT</v>
          </cell>
          <cell r="D13" t="str">
            <v>M</v>
          </cell>
          <cell r="E13">
            <v>1.2E-2</v>
          </cell>
          <cell r="F13">
            <v>767718518.21062315</v>
          </cell>
          <cell r="G13">
            <v>45000</v>
          </cell>
          <cell r="H13">
            <v>17060.411515791624</v>
          </cell>
          <cell r="I13">
            <v>13648.3292126333</v>
          </cell>
          <cell r="J13">
            <v>0.8</v>
          </cell>
          <cell r="K13">
            <v>3412.0823031583241</v>
          </cell>
          <cell r="L13">
            <v>800</v>
          </cell>
          <cell r="M13">
            <v>17.060411515791625</v>
          </cell>
          <cell r="N13">
            <v>1.5</v>
          </cell>
          <cell r="O13">
            <v>11.373607677194416</v>
          </cell>
          <cell r="P13">
            <v>6.2</v>
          </cell>
          <cell r="Q13">
            <v>123825567.45332631</v>
          </cell>
          <cell r="S13">
            <v>1.2E-2</v>
          </cell>
          <cell r="T13">
            <v>11.373607677194416</v>
          </cell>
        </row>
        <row r="14">
          <cell r="B14" t="str">
            <v>NOV-ACC</v>
          </cell>
          <cell r="D14" t="str">
            <v>M</v>
          </cell>
          <cell r="E14">
            <v>1E-3</v>
          </cell>
          <cell r="F14">
            <v>63976543.1842186</v>
          </cell>
          <cell r="G14">
            <v>5900</v>
          </cell>
          <cell r="H14">
            <v>10843.481895630272</v>
          </cell>
          <cell r="I14">
            <v>8674.7855165042183</v>
          </cell>
          <cell r="J14">
            <v>0.8</v>
          </cell>
          <cell r="K14">
            <v>2168.6963791260532</v>
          </cell>
          <cell r="L14">
            <v>1200</v>
          </cell>
          <cell r="M14">
            <v>7.2289879304201818</v>
          </cell>
          <cell r="N14">
            <v>1.5</v>
          </cell>
          <cell r="O14">
            <v>4.8193252869467882</v>
          </cell>
          <cell r="P14">
            <v>4.3</v>
          </cell>
          <cell r="Q14">
            <v>14878265.856795024</v>
          </cell>
          <cell r="S14">
            <v>1E-3</v>
          </cell>
          <cell r="T14">
            <v>4.8193252869467882</v>
          </cell>
        </row>
        <row r="15">
          <cell r="B15" t="str">
            <v>NOV-가방</v>
          </cell>
          <cell r="D15" t="str">
            <v>M</v>
          </cell>
          <cell r="E15">
            <v>6.0000000000000001E-3</v>
          </cell>
          <cell r="F15">
            <v>383859259.10531157</v>
          </cell>
          <cell r="G15">
            <v>99000</v>
          </cell>
          <cell r="H15">
            <v>3877.3662535890057</v>
          </cell>
          <cell r="I15">
            <v>3101.8930028712048</v>
          </cell>
          <cell r="J15">
            <v>0.8</v>
          </cell>
          <cell r="K15">
            <v>775.47325071780097</v>
          </cell>
          <cell r="L15">
            <v>800</v>
          </cell>
          <cell r="M15">
            <v>3.8773662535890061</v>
          </cell>
          <cell r="N15">
            <v>1.5</v>
          </cell>
          <cell r="O15">
            <v>2.5849108357260042</v>
          </cell>
          <cell r="P15">
            <v>4.3</v>
          </cell>
          <cell r="Q15">
            <v>89269595.140770137</v>
          </cell>
          <cell r="S15">
            <v>6.0000000000000001E-3</v>
          </cell>
          <cell r="T15">
            <v>2.5849108357260042</v>
          </cell>
        </row>
        <row r="16">
          <cell r="B16" t="str">
            <v>URB</v>
          </cell>
          <cell r="C16" t="str">
            <v>URBAN SWAGGER</v>
          </cell>
          <cell r="D16" t="str">
            <v>M</v>
          </cell>
          <cell r="E16">
            <v>7.4999999999999997E-2</v>
          </cell>
          <cell r="F16">
            <v>4798240738.8163948</v>
          </cell>
          <cell r="G16">
            <v>43000</v>
          </cell>
          <cell r="H16">
            <v>111586.99392596267</v>
          </cell>
          <cell r="I16">
            <v>89269.595140770136</v>
          </cell>
          <cell r="J16">
            <v>0.8</v>
          </cell>
          <cell r="K16">
            <v>22317.398785192534</v>
          </cell>
          <cell r="L16">
            <v>1500</v>
          </cell>
          <cell r="M16">
            <v>59.513063427180093</v>
          </cell>
          <cell r="N16">
            <v>1.2</v>
          </cell>
          <cell r="O16">
            <v>49.594219522650079</v>
          </cell>
          <cell r="P16">
            <v>5</v>
          </cell>
          <cell r="Q16">
            <v>959648147.76327896</v>
          </cell>
          <cell r="S16">
            <v>7.4999999999999997E-2</v>
          </cell>
          <cell r="T16">
            <v>49.594219522650079</v>
          </cell>
        </row>
        <row r="17">
          <cell r="B17" t="str">
            <v>URB-의류</v>
          </cell>
          <cell r="D17" t="str">
            <v>M</v>
          </cell>
          <cell r="E17">
            <v>0.03</v>
          </cell>
          <cell r="F17">
            <v>1919296295.5265579</v>
          </cell>
          <cell r="G17">
            <v>99000</v>
          </cell>
          <cell r="H17">
            <v>19386.831267945028</v>
          </cell>
          <cell r="I17">
            <v>15509.465014356023</v>
          </cell>
          <cell r="J17">
            <v>0.8</v>
          </cell>
          <cell r="K17">
            <v>3877.3662535890053</v>
          </cell>
          <cell r="L17">
            <v>1200</v>
          </cell>
          <cell r="M17">
            <v>12.92455417863002</v>
          </cell>
          <cell r="N17">
            <v>1.2</v>
          </cell>
          <cell r="O17">
            <v>10.770461815525017</v>
          </cell>
          <cell r="P17">
            <v>5</v>
          </cell>
          <cell r="Q17">
            <v>383859259.10531157</v>
          </cell>
          <cell r="S17">
            <v>0.03</v>
          </cell>
          <cell r="T17">
            <v>10.770461815525017</v>
          </cell>
        </row>
        <row r="18">
          <cell r="B18" t="str">
            <v>VBL</v>
          </cell>
          <cell r="C18" t="str">
            <v>VITAL BLUE</v>
          </cell>
          <cell r="D18" t="str">
            <v>M</v>
          </cell>
          <cell r="E18">
            <v>0.03</v>
          </cell>
          <cell r="F18">
            <v>1919296295.5265579</v>
          </cell>
          <cell r="G18">
            <v>45000</v>
          </cell>
          <cell r="H18">
            <v>42651.028789479067</v>
          </cell>
          <cell r="I18">
            <v>34120.823031583255</v>
          </cell>
          <cell r="J18">
            <v>0.8</v>
          </cell>
          <cell r="K18">
            <v>8530.205757895812</v>
          </cell>
          <cell r="L18">
            <v>1000</v>
          </cell>
          <cell r="M18">
            <v>34.120823031583257</v>
          </cell>
          <cell r="N18">
            <v>1.3</v>
          </cell>
          <cell r="O18">
            <v>26.246786947371735</v>
          </cell>
          <cell r="P18">
            <v>5.8</v>
          </cell>
          <cell r="Q18">
            <v>330913154.40113068</v>
          </cell>
          <cell r="S18">
            <v>0.03</v>
          </cell>
          <cell r="T18">
            <v>26.246786947371735</v>
          </cell>
        </row>
        <row r="19">
          <cell r="B19" t="str">
            <v>VBL-의류</v>
          </cell>
          <cell r="D19" t="str">
            <v>M</v>
          </cell>
          <cell r="E19">
            <v>5.0000000000000001E-3</v>
          </cell>
          <cell r="F19">
            <v>319882715.92109299</v>
          </cell>
          <cell r="G19">
            <v>99000</v>
          </cell>
          <cell r="H19">
            <v>3231.138544657505</v>
          </cell>
          <cell r="I19">
            <v>3231.138544657505</v>
          </cell>
          <cell r="J19">
            <v>1</v>
          </cell>
          <cell r="K19">
            <v>0</v>
          </cell>
          <cell r="L19">
            <v>1200</v>
          </cell>
          <cell r="M19">
            <v>2.6926154538812543</v>
          </cell>
          <cell r="N19">
            <v>1.5</v>
          </cell>
          <cell r="O19">
            <v>1.7950769692541695</v>
          </cell>
          <cell r="P19">
            <v>4.5</v>
          </cell>
          <cell r="Q19">
            <v>71085047.982465103</v>
          </cell>
          <cell r="S19">
            <v>5.0000000000000001E-3</v>
          </cell>
          <cell r="T19">
            <v>1.7950769692541695</v>
          </cell>
        </row>
        <row r="20">
          <cell r="B20" t="str">
            <v>PLA</v>
          </cell>
          <cell r="C20" t="str">
            <v>PLAYBOY</v>
          </cell>
          <cell r="D20" t="str">
            <v>M</v>
          </cell>
          <cell r="E20">
            <v>0.02</v>
          </cell>
          <cell r="F20">
            <v>1279530863.6843719</v>
          </cell>
          <cell r="G20">
            <v>59000</v>
          </cell>
          <cell r="H20">
            <v>21686.963791260543</v>
          </cell>
          <cell r="I20">
            <v>17349.571033008437</v>
          </cell>
          <cell r="J20">
            <v>0.8</v>
          </cell>
          <cell r="K20">
            <v>4337.3927582521064</v>
          </cell>
          <cell r="L20">
            <v>1000</v>
          </cell>
          <cell r="M20">
            <v>17.349571033008438</v>
          </cell>
          <cell r="N20">
            <v>1</v>
          </cell>
          <cell r="O20">
            <v>17.349571033008438</v>
          </cell>
          <cell r="P20">
            <v>6</v>
          </cell>
          <cell r="Q20">
            <v>213255143.94739532</v>
          </cell>
          <cell r="S20">
            <v>0.02</v>
          </cell>
          <cell r="T20">
            <v>17.349571033008438</v>
          </cell>
        </row>
        <row r="21">
          <cell r="B21" t="str">
            <v>PLA-의류</v>
          </cell>
          <cell r="D21" t="str">
            <v>M</v>
          </cell>
          <cell r="E21">
            <v>0.02</v>
          </cell>
          <cell r="F21">
            <v>1279530863.6843719</v>
          </cell>
          <cell r="G21">
            <v>125000</v>
          </cell>
          <cell r="H21">
            <v>10236.246909474976</v>
          </cell>
          <cell r="I21">
            <v>8188.9975275799807</v>
          </cell>
          <cell r="J21">
            <v>0.8</v>
          </cell>
          <cell r="K21">
            <v>2047.2493818949952</v>
          </cell>
          <cell r="L21">
            <v>1200</v>
          </cell>
          <cell r="M21">
            <v>6.8241646063166508</v>
          </cell>
          <cell r="N21">
            <v>1.2</v>
          </cell>
          <cell r="O21">
            <v>5.6868038385972088</v>
          </cell>
          <cell r="P21">
            <v>4.5</v>
          </cell>
          <cell r="Q21">
            <v>284340191.92986041</v>
          </cell>
          <cell r="S21">
            <v>0.02</v>
          </cell>
          <cell r="T21">
            <v>5.6868038385972088</v>
          </cell>
        </row>
        <row r="22">
          <cell r="B22" t="str">
            <v>PLA-가방</v>
          </cell>
          <cell r="D22" t="str">
            <v>M</v>
          </cell>
          <cell r="E22">
            <v>6.0000000000000001E-3</v>
          </cell>
          <cell r="F22">
            <v>383859259.10531157</v>
          </cell>
          <cell r="G22">
            <v>125000</v>
          </cell>
          <cell r="H22">
            <v>3070.8740728424928</v>
          </cell>
          <cell r="I22">
            <v>3070.8740728424928</v>
          </cell>
          <cell r="J22">
            <v>1</v>
          </cell>
          <cell r="K22">
            <v>0</v>
          </cell>
          <cell r="L22">
            <v>800</v>
          </cell>
          <cell r="M22">
            <v>3.838592591053116</v>
          </cell>
          <cell r="N22">
            <v>1.5</v>
          </cell>
          <cell r="O22">
            <v>2.5590617273687442</v>
          </cell>
          <cell r="P22">
            <v>4.5</v>
          </cell>
          <cell r="Q22">
            <v>85302057.578958124</v>
          </cell>
          <cell r="S22">
            <v>6.0000000000000001E-3</v>
          </cell>
          <cell r="T22">
            <v>2.5590617273687442</v>
          </cell>
        </row>
        <row r="23">
          <cell r="B23" t="str">
            <v>SBR</v>
          </cell>
          <cell r="C23" t="str">
            <v>SMITH BRIDGE</v>
          </cell>
          <cell r="D23" t="str">
            <v>M</v>
          </cell>
          <cell r="E23">
            <v>0.22</v>
          </cell>
          <cell r="F23">
            <v>14074839500.528091</v>
          </cell>
          <cell r="G23">
            <v>39000</v>
          </cell>
          <cell r="H23">
            <v>360893.32052636129</v>
          </cell>
          <cell r="I23">
            <v>288714.65642108902</v>
          </cell>
          <cell r="J23">
            <v>0.8</v>
          </cell>
          <cell r="K23">
            <v>72178.66410527227</v>
          </cell>
          <cell r="L23">
            <v>1500</v>
          </cell>
          <cell r="M23">
            <v>192.47643761405934</v>
          </cell>
          <cell r="N23">
            <v>1.5</v>
          </cell>
          <cell r="O23">
            <v>128.31762507603955</v>
          </cell>
          <cell r="P23">
            <v>6.5</v>
          </cell>
          <cell r="Q23">
            <v>2165359923.1581678</v>
          </cell>
          <cell r="S23">
            <v>0.22</v>
          </cell>
          <cell r="T23">
            <v>128.31762507603955</v>
          </cell>
        </row>
        <row r="24">
          <cell r="B24" t="str">
            <v>SBR-ACC</v>
          </cell>
          <cell r="D24" t="str">
            <v>M</v>
          </cell>
          <cell r="E24">
            <v>0.01</v>
          </cell>
          <cell r="F24">
            <v>639765431.84218597</v>
          </cell>
          <cell r="G24">
            <v>45000</v>
          </cell>
          <cell r="H24">
            <v>14217.009596493022</v>
          </cell>
          <cell r="I24">
            <v>14217.009596493022</v>
          </cell>
          <cell r="J24">
            <v>1</v>
          </cell>
          <cell r="K24">
            <v>0</v>
          </cell>
          <cell r="L24">
            <v>1000</v>
          </cell>
          <cell r="M24">
            <v>14.217009596493023</v>
          </cell>
          <cell r="N24">
            <v>1.5</v>
          </cell>
          <cell r="O24">
            <v>9.4780063976620159</v>
          </cell>
          <cell r="P24">
            <v>6.5</v>
          </cell>
          <cell r="Q24">
            <v>98425451.052643999</v>
          </cell>
          <cell r="S24">
            <v>0.01</v>
          </cell>
          <cell r="T24">
            <v>9.4780063976620159</v>
          </cell>
        </row>
        <row r="25">
          <cell r="B25" t="str">
            <v>BEL</v>
          </cell>
          <cell r="C25" t="str">
            <v>BELLO POLLY</v>
          </cell>
          <cell r="D25" t="str">
            <v>M</v>
          </cell>
          <cell r="E25">
            <v>1.6E-2</v>
          </cell>
          <cell r="F25">
            <v>1023624690.9474976</v>
          </cell>
          <cell r="G25">
            <v>49000</v>
          </cell>
          <cell r="H25">
            <v>20890.299815255054</v>
          </cell>
          <cell r="I25">
            <v>16712.239852204042</v>
          </cell>
          <cell r="J25">
            <v>0.8</v>
          </cell>
          <cell r="K25">
            <v>4178.0599630510114</v>
          </cell>
          <cell r="L25">
            <v>400</v>
          </cell>
          <cell r="M25">
            <v>41.780599630510103</v>
          </cell>
          <cell r="N25">
            <v>1.3</v>
          </cell>
          <cell r="O25">
            <v>32.138922792700079</v>
          </cell>
          <cell r="P25">
            <v>5.2</v>
          </cell>
          <cell r="Q25">
            <v>196850902.105288</v>
          </cell>
          <cell r="S25">
            <v>1.6E-2</v>
          </cell>
          <cell r="T25">
            <v>32.138922792700079</v>
          </cell>
        </row>
        <row r="26">
          <cell r="B26" t="str">
            <v>HCU</v>
          </cell>
          <cell r="C26" t="str">
            <v>H.COUSTIC</v>
          </cell>
          <cell r="D26" t="str">
            <v>M</v>
          </cell>
          <cell r="E26">
            <v>0.04</v>
          </cell>
          <cell r="F26">
            <v>2559061727.3687439</v>
          </cell>
          <cell r="G26">
            <v>49000</v>
          </cell>
          <cell r="H26">
            <v>52225.749538137628</v>
          </cell>
          <cell r="I26">
            <v>41780.599630510107</v>
          </cell>
          <cell r="J26">
            <v>0.8</v>
          </cell>
          <cell r="K26">
            <v>10445.149907627521</v>
          </cell>
          <cell r="L26">
            <v>1200</v>
          </cell>
          <cell r="M26">
            <v>34.817166358758421</v>
          </cell>
          <cell r="N26">
            <v>1.2</v>
          </cell>
          <cell r="O26">
            <v>29.01430529896535</v>
          </cell>
          <cell r="P26">
            <v>5.4</v>
          </cell>
          <cell r="Q26">
            <v>473900319.88310069</v>
          </cell>
          <cell r="S26">
            <v>0.04</v>
          </cell>
          <cell r="T26">
            <v>29.01430529896535</v>
          </cell>
        </row>
        <row r="27">
          <cell r="B27" t="str">
            <v>BRO</v>
          </cell>
          <cell r="C27" t="str">
            <v>BROWN SQURE</v>
          </cell>
          <cell r="D27" t="str">
            <v>M</v>
          </cell>
          <cell r="E27">
            <v>0.01</v>
          </cell>
          <cell r="F27">
            <v>639765431.84218597</v>
          </cell>
          <cell r="G27">
            <v>49000</v>
          </cell>
          <cell r="H27">
            <v>13056.437384534407</v>
          </cell>
          <cell r="I27">
            <v>10445.149907627527</v>
          </cell>
          <cell r="J27">
            <v>0.8</v>
          </cell>
          <cell r="K27">
            <v>2611.2874769068803</v>
          </cell>
          <cell r="L27">
            <v>800</v>
          </cell>
          <cell r="M27">
            <v>13.056437384534409</v>
          </cell>
          <cell r="N27">
            <v>1</v>
          </cell>
          <cell r="O27">
            <v>13.056437384534409</v>
          </cell>
          <cell r="P27">
            <v>5</v>
          </cell>
          <cell r="Q27">
            <v>127953086.3684372</v>
          </cell>
          <cell r="S27">
            <v>0.01</v>
          </cell>
          <cell r="T27">
            <v>13.056437384534409</v>
          </cell>
        </row>
        <row r="28">
          <cell r="B28" t="str">
            <v>BMD</v>
          </cell>
          <cell r="C28" t="str">
            <v>BLACK MOOD</v>
          </cell>
          <cell r="D28" t="str">
            <v>M</v>
          </cell>
          <cell r="E28">
            <v>1.2E-2</v>
          </cell>
          <cell r="F28">
            <v>767718518.21062315</v>
          </cell>
          <cell r="G28">
            <v>49000</v>
          </cell>
          <cell r="H28">
            <v>15667.724861441289</v>
          </cell>
          <cell r="I28">
            <v>12534.179889153032</v>
          </cell>
          <cell r="J28">
            <v>0.8</v>
          </cell>
          <cell r="K28">
            <v>3133.5449722882568</v>
          </cell>
          <cell r="L28">
            <v>1000</v>
          </cell>
          <cell r="M28">
            <v>12.534179889153032</v>
          </cell>
          <cell r="N28">
            <v>1.2</v>
          </cell>
          <cell r="O28">
            <v>10.445149907627528</v>
          </cell>
          <cell r="P28">
            <v>5.2</v>
          </cell>
          <cell r="Q28">
            <v>147638176.57896599</v>
          </cell>
          <cell r="S28">
            <v>1.2E-2</v>
          </cell>
          <cell r="T28">
            <v>10.445149907627528</v>
          </cell>
        </row>
        <row r="29">
          <cell r="B29" t="str">
            <v>WTR</v>
          </cell>
          <cell r="C29" t="str">
            <v>WITAILOR</v>
          </cell>
          <cell r="D29" t="str">
            <v>M</v>
          </cell>
          <cell r="E29">
            <v>0.02</v>
          </cell>
          <cell r="F29">
            <v>1279530863.6843719</v>
          </cell>
          <cell r="G29">
            <v>53000</v>
          </cell>
          <cell r="H29">
            <v>24142.091767629659</v>
          </cell>
          <cell r="I29">
            <v>19313.673414103727</v>
          </cell>
          <cell r="J29">
            <v>0.8</v>
          </cell>
          <cell r="K29">
            <v>4828.4183535259326</v>
          </cell>
          <cell r="L29">
            <v>800</v>
          </cell>
          <cell r="M29">
            <v>24.142091767629658</v>
          </cell>
          <cell r="N29">
            <v>1.2</v>
          </cell>
          <cell r="O29">
            <v>20.118409806358049</v>
          </cell>
          <cell r="P29">
            <v>5</v>
          </cell>
          <cell r="Q29">
            <v>255906172.7368744</v>
          </cell>
          <cell r="S29">
            <v>0.02</v>
          </cell>
          <cell r="T29">
            <v>20.118409806358049</v>
          </cell>
        </row>
        <row r="30">
          <cell r="B30" t="str">
            <v>YGF</v>
          </cell>
          <cell r="C30" t="str">
            <v>YG FAMILY</v>
          </cell>
          <cell r="D30" t="str">
            <v>M</v>
          </cell>
          <cell r="E30">
            <v>0.01</v>
          </cell>
          <cell r="F30">
            <v>639765431.84218597</v>
          </cell>
          <cell r="G30">
            <v>55000</v>
          </cell>
          <cell r="H30">
            <v>11632.098760767018</v>
          </cell>
          <cell r="I30">
            <v>9305.6790086136152</v>
          </cell>
          <cell r="J30">
            <v>0.8</v>
          </cell>
          <cell r="K30">
            <v>2326.4197521534024</v>
          </cell>
          <cell r="L30">
            <v>800</v>
          </cell>
          <cell r="M30">
            <v>11.632098760767018</v>
          </cell>
          <cell r="N30">
            <v>1.2</v>
          </cell>
          <cell r="O30">
            <v>9.6934156339725153</v>
          </cell>
          <cell r="P30">
            <v>5</v>
          </cell>
          <cell r="Q30">
            <v>127953086.3684372</v>
          </cell>
          <cell r="S30">
            <v>0.01</v>
          </cell>
          <cell r="T30">
            <v>9.6934156339725153</v>
          </cell>
        </row>
        <row r="31">
          <cell r="B31" t="str">
            <v>B1A</v>
          </cell>
          <cell r="C31" t="str">
            <v>B1A4</v>
          </cell>
          <cell r="D31" t="str">
            <v>M</v>
          </cell>
          <cell r="E31">
            <v>6.0000000000000001E-3</v>
          </cell>
          <cell r="F31">
            <v>383859259.10531157</v>
          </cell>
          <cell r="G31">
            <v>55000</v>
          </cell>
          <cell r="H31">
            <v>6979.2592564602101</v>
          </cell>
          <cell r="I31">
            <v>5583.4074051681682</v>
          </cell>
          <cell r="J31">
            <v>0.8</v>
          </cell>
          <cell r="K31">
            <v>1395.8518512920418</v>
          </cell>
          <cell r="L31">
            <v>800</v>
          </cell>
          <cell r="M31">
            <v>6.9792592564602103</v>
          </cell>
          <cell r="N31">
            <v>1</v>
          </cell>
          <cell r="O31">
            <v>6.9792592564602103</v>
          </cell>
          <cell r="P31">
            <v>5</v>
          </cell>
          <cell r="Q31">
            <v>76771851.821062312</v>
          </cell>
          <cell r="S31">
            <v>6.0000000000000001E-3</v>
          </cell>
          <cell r="T31">
            <v>6.9792592564602103</v>
          </cell>
        </row>
        <row r="32">
          <cell r="B32" t="str">
            <v>POL</v>
          </cell>
          <cell r="C32" t="str">
            <v>로보캅폴리</v>
          </cell>
          <cell r="D32" t="str">
            <v>M</v>
          </cell>
          <cell r="E32">
            <v>0.01</v>
          </cell>
          <cell r="F32">
            <v>639765431.84218597</v>
          </cell>
          <cell r="G32">
            <v>49000</v>
          </cell>
          <cell r="H32">
            <v>13056.437384534407</v>
          </cell>
          <cell r="I32">
            <v>10445.149907627527</v>
          </cell>
          <cell r="J32">
            <v>0.8</v>
          </cell>
          <cell r="K32">
            <v>2611.2874769068803</v>
          </cell>
          <cell r="L32">
            <v>1000</v>
          </cell>
          <cell r="M32">
            <v>10.445149907627528</v>
          </cell>
          <cell r="N32">
            <v>1.1000000000000001</v>
          </cell>
          <cell r="O32">
            <v>9.4955908251159329</v>
          </cell>
          <cell r="P32">
            <v>5</v>
          </cell>
          <cell r="Q32">
            <v>127953086.3684372</v>
          </cell>
          <cell r="S32">
            <v>0.01</v>
          </cell>
          <cell r="T32">
            <v>9.4955908251159329</v>
          </cell>
        </row>
        <row r="33">
          <cell r="B33" t="str">
            <v>DPS</v>
          </cell>
          <cell r="C33" t="str">
            <v>프린세스</v>
          </cell>
          <cell r="D33" t="str">
            <v>M</v>
          </cell>
          <cell r="E33">
            <v>1.4E-2</v>
          </cell>
          <cell r="F33">
            <v>895671604.57906044</v>
          </cell>
          <cell r="G33">
            <v>49000</v>
          </cell>
          <cell r="H33">
            <v>18279.012338348173</v>
          </cell>
          <cell r="I33">
            <v>14623.20987067854</v>
          </cell>
          <cell r="J33">
            <v>0.8</v>
          </cell>
          <cell r="K33">
            <v>3655.8024676696332</v>
          </cell>
          <cell r="L33">
            <v>1000</v>
          </cell>
          <cell r="M33">
            <v>14.62320987067854</v>
          </cell>
          <cell r="N33">
            <v>1.1000000000000001</v>
          </cell>
          <cell r="O33">
            <v>13.293827155162308</v>
          </cell>
          <cell r="P33">
            <v>5</v>
          </cell>
          <cell r="Q33">
            <v>179134320.91581208</v>
          </cell>
          <cell r="S33">
            <v>1.4E-2</v>
          </cell>
          <cell r="T33">
            <v>13.293827155162308</v>
          </cell>
        </row>
        <row r="34">
          <cell r="B34" t="str">
            <v>MGM</v>
          </cell>
          <cell r="C34" t="str">
            <v>MR.REAL GOOD MAN</v>
          </cell>
          <cell r="D34" t="str">
            <v>M</v>
          </cell>
          <cell r="E34">
            <v>0.03</v>
          </cell>
          <cell r="F34">
            <v>1919296295.5265579</v>
          </cell>
          <cell r="G34">
            <v>49000</v>
          </cell>
          <cell r="H34">
            <v>39169.312153603219</v>
          </cell>
          <cell r="I34">
            <v>31335.449722882578</v>
          </cell>
          <cell r="J34">
            <v>0.8</v>
          </cell>
          <cell r="K34">
            <v>7833.862430720641</v>
          </cell>
          <cell r="L34">
            <v>1000</v>
          </cell>
          <cell r="M34">
            <v>31.335449722882579</v>
          </cell>
          <cell r="N34">
            <v>1.2</v>
          </cell>
          <cell r="O34">
            <v>26.112874769068817</v>
          </cell>
          <cell r="P34">
            <v>5</v>
          </cell>
          <cell r="Q34">
            <v>383859259.10531157</v>
          </cell>
          <cell r="S34">
            <v>0.03</v>
          </cell>
          <cell r="T34">
            <v>26.112874769068817</v>
          </cell>
        </row>
        <row r="35">
          <cell r="B35" t="str">
            <v>ZZZ</v>
          </cell>
          <cell r="C35" t="str">
            <v>기타</v>
          </cell>
          <cell r="D35" t="str">
            <v>M</v>
          </cell>
          <cell r="E35">
            <v>2.4E-2</v>
          </cell>
          <cell r="F35">
            <v>1535437036.4212463</v>
          </cell>
          <cell r="G35">
            <v>45000</v>
          </cell>
          <cell r="H35">
            <v>34120.823031583248</v>
          </cell>
          <cell r="I35">
            <v>27296.6584252666</v>
          </cell>
          <cell r="J35">
            <v>0.8</v>
          </cell>
          <cell r="K35">
            <v>6824.1646063166481</v>
          </cell>
          <cell r="L35">
            <v>800</v>
          </cell>
          <cell r="M35">
            <v>34.120823031583249</v>
          </cell>
          <cell r="N35">
            <v>1.2</v>
          </cell>
          <cell r="O35">
            <v>28.434019192986042</v>
          </cell>
          <cell r="P35">
            <v>5</v>
          </cell>
          <cell r="Q35">
            <v>307087407.28424925</v>
          </cell>
          <cell r="S35">
            <v>2.4E-2</v>
          </cell>
          <cell r="T35">
            <v>28.434019192986042</v>
          </cell>
        </row>
        <row r="36">
          <cell r="B36" t="str">
            <v>JOI</v>
          </cell>
          <cell r="C36" t="str">
            <v>JOIE BETE</v>
          </cell>
          <cell r="D36" t="str">
            <v>M</v>
          </cell>
          <cell r="E36">
            <v>1.4999999999999999E-2</v>
          </cell>
          <cell r="F36">
            <v>959648147.76327896</v>
          </cell>
          <cell r="G36">
            <v>49000</v>
          </cell>
          <cell r="H36">
            <v>19584.65607680161</v>
          </cell>
          <cell r="I36">
            <v>15667.724861441289</v>
          </cell>
          <cell r="J36">
            <v>0.8</v>
          </cell>
          <cell r="K36">
            <v>3916.9312153603205</v>
          </cell>
          <cell r="L36">
            <v>1000</v>
          </cell>
          <cell r="M36">
            <v>15.66772486144129</v>
          </cell>
          <cell r="N36">
            <v>1.4</v>
          </cell>
          <cell r="O36">
            <v>11.191232043886636</v>
          </cell>
          <cell r="P36">
            <v>5.5</v>
          </cell>
          <cell r="Q36">
            <v>174481481.41150525</v>
          </cell>
          <cell r="S36">
            <v>1.4999999999999999E-2</v>
          </cell>
          <cell r="T36">
            <v>11.191232043886636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기획현황요약"/>
      <sheetName val="순점검"/>
      <sheetName val="기획현황"/>
      <sheetName val="PO ISSUE"/>
      <sheetName val="아트"/>
      <sheetName val="에버그린"/>
      <sheetName val="대경"/>
      <sheetName val="한림"/>
      <sheetName val="피아필드"/>
      <sheetName val="용상"/>
      <sheetName val="가격결정"/>
      <sheetName val="입고DB"/>
      <sheetName val="실입고현황"/>
      <sheetName val="입고현황"/>
      <sheetName val="금주"/>
      <sheetName val="차주"/>
      <sheetName val="TARGET MU"/>
      <sheetName val="CODE"/>
      <sheetName val="WKNUM"/>
      <sheetName val="브랜드담당"/>
      <sheetName val="품번순번코드"/>
    </sheetNames>
    <sheetDataSet>
      <sheetData sheetId="0">
        <row r="6">
          <cell r="B6" t="str">
            <v>ELK</v>
          </cell>
          <cell r="C6" t="str">
            <v>ELSTINKO</v>
          </cell>
          <cell r="D6" t="str">
            <v>M</v>
          </cell>
          <cell r="E6">
            <v>0.2</v>
          </cell>
          <cell r="F6">
            <v>2038423333.3333292</v>
          </cell>
          <cell r="G6">
            <v>45000</v>
          </cell>
          <cell r="H6">
            <v>45298.296296296205</v>
          </cell>
          <cell r="I6">
            <v>36238.637037036962</v>
          </cell>
          <cell r="J6">
            <v>0.8</v>
          </cell>
          <cell r="K6">
            <v>9059.6592592592424</v>
          </cell>
          <cell r="L6">
            <v>400</v>
          </cell>
          <cell r="M6">
            <v>90.596592592592401</v>
          </cell>
          <cell r="N6">
            <v>1.2</v>
          </cell>
          <cell r="O6">
            <v>75.49716049382701</v>
          </cell>
          <cell r="P6">
            <v>4</v>
          </cell>
          <cell r="Q6">
            <v>509605833.3333323</v>
          </cell>
          <cell r="R6">
            <v>0</v>
          </cell>
          <cell r="S6">
            <v>0.2</v>
          </cell>
          <cell r="T6">
            <v>75.49716049382701</v>
          </cell>
        </row>
        <row r="7">
          <cell r="B7" t="str">
            <v>ELK-의류</v>
          </cell>
          <cell r="C7">
            <v>0</v>
          </cell>
          <cell r="D7" t="str">
            <v>M</v>
          </cell>
          <cell r="E7">
            <v>0.14499999999999999</v>
          </cell>
          <cell r="F7">
            <v>1477856916.6666634</v>
          </cell>
          <cell r="G7">
            <v>79000</v>
          </cell>
          <cell r="H7">
            <v>18707.049578059032</v>
          </cell>
          <cell r="I7">
            <v>18707.049578059032</v>
          </cell>
          <cell r="J7">
            <v>1</v>
          </cell>
          <cell r="K7">
            <v>0</v>
          </cell>
          <cell r="L7">
            <v>300</v>
          </cell>
          <cell r="M7">
            <v>62.356831926863443</v>
          </cell>
          <cell r="N7">
            <v>1.3</v>
          </cell>
          <cell r="O7">
            <v>47.966793789894957</v>
          </cell>
          <cell r="P7">
            <v>4</v>
          </cell>
          <cell r="Q7">
            <v>369464229.16666585</v>
          </cell>
          <cell r="R7">
            <v>0</v>
          </cell>
          <cell r="S7">
            <v>0.14499999999999999</v>
          </cell>
          <cell r="T7">
            <v>47.966793789894957</v>
          </cell>
        </row>
        <row r="8">
          <cell r="B8" t="str">
            <v>ELK-가방</v>
          </cell>
          <cell r="C8">
            <v>0</v>
          </cell>
          <cell r="D8" t="str">
            <v>M</v>
          </cell>
          <cell r="E8">
            <v>2.5000000000000001E-2</v>
          </cell>
          <cell r="F8">
            <v>254802916.66666615</v>
          </cell>
          <cell r="G8">
            <v>99000</v>
          </cell>
          <cell r="H8">
            <v>2573.7668350168296</v>
          </cell>
          <cell r="I8">
            <v>2059.0134680134638</v>
          </cell>
          <cell r="J8">
            <v>0.8</v>
          </cell>
          <cell r="K8">
            <v>514.75336700336584</v>
          </cell>
          <cell r="L8">
            <v>250</v>
          </cell>
          <cell r="M8">
            <v>8.236053872053855</v>
          </cell>
          <cell r="N8">
            <v>1.1000000000000001</v>
          </cell>
          <cell r="O8">
            <v>7.4873217018671401</v>
          </cell>
          <cell r="P8">
            <v>4</v>
          </cell>
          <cell r="Q8">
            <v>63700729.166666538</v>
          </cell>
          <cell r="R8">
            <v>0</v>
          </cell>
          <cell r="S8">
            <v>2.5000000000000001E-2</v>
          </cell>
          <cell r="T8">
            <v>7.4873217018671401</v>
          </cell>
        </row>
        <row r="9">
          <cell r="B9" t="str">
            <v>ELK-ACC</v>
          </cell>
          <cell r="C9">
            <v>0</v>
          </cell>
          <cell r="D9" t="str">
            <v>M</v>
          </cell>
          <cell r="E9">
            <v>5.0000000000000001E-3</v>
          </cell>
          <cell r="F9">
            <v>50960583.333333232</v>
          </cell>
          <cell r="G9">
            <v>39000</v>
          </cell>
          <cell r="H9">
            <v>1306.6816239316213</v>
          </cell>
          <cell r="I9">
            <v>1306.6816239316213</v>
          </cell>
          <cell r="J9">
            <v>1</v>
          </cell>
          <cell r="K9">
            <v>0</v>
          </cell>
          <cell r="L9">
            <v>250</v>
          </cell>
          <cell r="M9">
            <v>5.226726495726485</v>
          </cell>
          <cell r="N9">
            <v>1</v>
          </cell>
          <cell r="O9">
            <v>5.226726495726485</v>
          </cell>
          <cell r="P9">
            <v>4</v>
          </cell>
          <cell r="Q9">
            <v>12740145.833333308</v>
          </cell>
          <cell r="R9">
            <v>0</v>
          </cell>
          <cell r="S9">
            <v>5.0000000000000001E-3</v>
          </cell>
          <cell r="T9">
            <v>5.226726495726485</v>
          </cell>
        </row>
        <row r="10">
          <cell r="B10" t="str">
            <v>SMK</v>
          </cell>
          <cell r="C10" t="str">
            <v>SUPER MASSIVE BOUND</v>
          </cell>
          <cell r="D10" t="str">
            <v>M</v>
          </cell>
          <cell r="E10">
            <v>0.11600000000000001</v>
          </cell>
          <cell r="F10">
            <v>1182285533.3333309</v>
          </cell>
          <cell r="G10">
            <v>35000</v>
          </cell>
          <cell r="H10">
            <v>33779.586666666597</v>
          </cell>
          <cell r="I10">
            <v>27023.669333333281</v>
          </cell>
          <cell r="J10">
            <v>0.8</v>
          </cell>
          <cell r="K10">
            <v>6755.9173333333165</v>
          </cell>
          <cell r="L10">
            <v>350</v>
          </cell>
          <cell r="M10">
            <v>77.210483809523652</v>
          </cell>
          <cell r="N10">
            <v>1.2</v>
          </cell>
          <cell r="O10">
            <v>64.342069841269719</v>
          </cell>
          <cell r="P10">
            <v>4</v>
          </cell>
          <cell r="Q10">
            <v>295571383.33333272</v>
          </cell>
          <cell r="R10">
            <v>0</v>
          </cell>
          <cell r="S10">
            <v>0.11600000000000001</v>
          </cell>
          <cell r="T10">
            <v>64.342069841269719</v>
          </cell>
        </row>
        <row r="11">
          <cell r="B11" t="str">
            <v>SMK-의류</v>
          </cell>
          <cell r="C11">
            <v>0</v>
          </cell>
          <cell r="D11" t="str">
            <v>M</v>
          </cell>
          <cell r="E11">
            <v>0.04</v>
          </cell>
          <cell r="F11">
            <v>407684666.66666585</v>
          </cell>
          <cell r="G11">
            <v>75000</v>
          </cell>
          <cell r="H11">
            <v>5435.7955555555445</v>
          </cell>
          <cell r="I11">
            <v>5435.7955555555445</v>
          </cell>
          <cell r="J11">
            <v>1</v>
          </cell>
          <cell r="K11">
            <v>0</v>
          </cell>
          <cell r="L11">
            <v>300</v>
          </cell>
          <cell r="M11">
            <v>18.119318518518483</v>
          </cell>
          <cell r="N11">
            <v>1.1000000000000001</v>
          </cell>
          <cell r="O11">
            <v>16.47210774410771</v>
          </cell>
          <cell r="P11">
            <v>4</v>
          </cell>
          <cell r="Q11">
            <v>101921166.66666646</v>
          </cell>
          <cell r="R11">
            <v>0</v>
          </cell>
          <cell r="S11">
            <v>0.04</v>
          </cell>
          <cell r="T11">
            <v>16.47210774410771</v>
          </cell>
        </row>
        <row r="12">
          <cell r="B12" t="str">
            <v>SMK-가방</v>
          </cell>
          <cell r="C12">
            <v>0</v>
          </cell>
          <cell r="D12" t="str">
            <v>M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4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</row>
        <row r="13">
          <cell r="B13" t="str">
            <v>NAK</v>
          </cell>
          <cell r="C13" t="str">
            <v>NCAA</v>
          </cell>
          <cell r="D13" t="str">
            <v>M</v>
          </cell>
          <cell r="E13">
            <v>5.0000000000000001E-3</v>
          </cell>
          <cell r="F13">
            <v>50960583.333333232</v>
          </cell>
          <cell r="G13">
            <v>25000</v>
          </cell>
          <cell r="H13">
            <v>2038.4233333333293</v>
          </cell>
          <cell r="I13">
            <v>1630.7386666666634</v>
          </cell>
          <cell r="J13">
            <v>0.8</v>
          </cell>
          <cell r="K13">
            <v>407.68466666666586</v>
          </cell>
          <cell r="L13">
            <v>200</v>
          </cell>
          <cell r="M13">
            <v>8.153693333333317</v>
          </cell>
          <cell r="N13">
            <v>1.5</v>
          </cell>
          <cell r="O13">
            <v>5.4357955555555444</v>
          </cell>
          <cell r="P13">
            <v>4</v>
          </cell>
          <cell r="Q13">
            <v>12740145.833333308</v>
          </cell>
          <cell r="R13">
            <v>0</v>
          </cell>
          <cell r="S13">
            <v>5.0000000000000001E-3</v>
          </cell>
          <cell r="T13">
            <v>5.4357955555555444</v>
          </cell>
        </row>
        <row r="14">
          <cell r="B14" t="str">
            <v>NOK</v>
          </cell>
          <cell r="C14" t="str">
            <v>NOVENT</v>
          </cell>
          <cell r="D14" t="str">
            <v>M</v>
          </cell>
          <cell r="E14">
            <v>1.4E-2</v>
          </cell>
          <cell r="F14">
            <v>142689633.33333305</v>
          </cell>
          <cell r="G14">
            <v>43000</v>
          </cell>
          <cell r="H14">
            <v>3318.3635658914664</v>
          </cell>
          <cell r="I14">
            <v>2654.6908527131732</v>
          </cell>
          <cell r="J14">
            <v>0.8</v>
          </cell>
          <cell r="K14">
            <v>663.67271317829318</v>
          </cell>
          <cell r="L14">
            <v>200</v>
          </cell>
          <cell r="M14">
            <v>13.273454263565865</v>
          </cell>
          <cell r="N14">
            <v>1.5</v>
          </cell>
          <cell r="O14">
            <v>8.8489695090439096</v>
          </cell>
          <cell r="P14">
            <v>4</v>
          </cell>
          <cell r="Q14">
            <v>35672408.333333261</v>
          </cell>
          <cell r="R14">
            <v>0</v>
          </cell>
          <cell r="S14">
            <v>1.4E-2</v>
          </cell>
          <cell r="T14">
            <v>8.8489695090439096</v>
          </cell>
        </row>
        <row r="15">
          <cell r="B15" t="str">
            <v>URK</v>
          </cell>
          <cell r="C15" t="str">
            <v>URBAN SWAGGER</v>
          </cell>
          <cell r="D15" t="str">
            <v>M</v>
          </cell>
          <cell r="E15">
            <v>0.05</v>
          </cell>
          <cell r="F15">
            <v>509605833.3333323</v>
          </cell>
          <cell r="G15">
            <v>35000</v>
          </cell>
          <cell r="H15">
            <v>14560.166666666637</v>
          </cell>
          <cell r="I15">
            <v>11648.13333333331</v>
          </cell>
          <cell r="J15">
            <v>0.8</v>
          </cell>
          <cell r="K15">
            <v>2912.0333333333274</v>
          </cell>
          <cell r="L15">
            <v>250</v>
          </cell>
          <cell r="M15">
            <v>46.592533333333236</v>
          </cell>
          <cell r="N15">
            <v>1</v>
          </cell>
          <cell r="O15">
            <v>46.592533333333236</v>
          </cell>
          <cell r="P15">
            <v>4</v>
          </cell>
          <cell r="Q15">
            <v>127401458.33333308</v>
          </cell>
          <cell r="R15">
            <v>0</v>
          </cell>
          <cell r="S15">
            <v>0.05</v>
          </cell>
          <cell r="T15">
            <v>46.592533333333236</v>
          </cell>
        </row>
        <row r="16">
          <cell r="B16" t="str">
            <v>VBK</v>
          </cell>
          <cell r="C16" t="str">
            <v>VITAL BLUE</v>
          </cell>
          <cell r="D16" t="str">
            <v>M</v>
          </cell>
          <cell r="E16">
            <v>0.05</v>
          </cell>
          <cell r="F16">
            <v>509605833.3333323</v>
          </cell>
          <cell r="G16">
            <v>43000</v>
          </cell>
          <cell r="H16">
            <v>11851.298449612379</v>
          </cell>
          <cell r="I16">
            <v>9481.0387596899036</v>
          </cell>
          <cell r="J16">
            <v>0.8</v>
          </cell>
          <cell r="K16">
            <v>2370.2596899224754</v>
          </cell>
          <cell r="L16">
            <v>250</v>
          </cell>
          <cell r="M16">
            <v>37.924155038759615</v>
          </cell>
          <cell r="N16">
            <v>1.2</v>
          </cell>
          <cell r="O16">
            <v>31.60346253229968</v>
          </cell>
          <cell r="P16">
            <v>4</v>
          </cell>
          <cell r="Q16">
            <v>127401458.33333308</v>
          </cell>
          <cell r="R16">
            <v>0</v>
          </cell>
          <cell r="S16">
            <v>0.05</v>
          </cell>
          <cell r="T16">
            <v>31.60346253229968</v>
          </cell>
        </row>
        <row r="17">
          <cell r="B17" t="str">
            <v>PLK</v>
          </cell>
          <cell r="C17" t="str">
            <v>PLAYBOY</v>
          </cell>
          <cell r="D17" t="str">
            <v>M</v>
          </cell>
          <cell r="E17">
            <v>0.02</v>
          </cell>
          <cell r="F17">
            <v>203842333.33333293</v>
          </cell>
          <cell r="G17">
            <v>55000</v>
          </cell>
          <cell r="H17">
            <v>3706.2242424242349</v>
          </cell>
          <cell r="I17">
            <v>2964.979393939388</v>
          </cell>
          <cell r="J17">
            <v>0.8</v>
          </cell>
          <cell r="K17">
            <v>741.2448484848469</v>
          </cell>
          <cell r="L17">
            <v>250</v>
          </cell>
          <cell r="M17">
            <v>11.859917575757553</v>
          </cell>
          <cell r="N17">
            <v>1</v>
          </cell>
          <cell r="O17">
            <v>11.859917575757553</v>
          </cell>
          <cell r="P17">
            <v>4</v>
          </cell>
          <cell r="Q17">
            <v>50960583.333333232</v>
          </cell>
          <cell r="R17">
            <v>0</v>
          </cell>
          <cell r="S17">
            <v>0.02</v>
          </cell>
          <cell r="T17">
            <v>11.859917575757553</v>
          </cell>
        </row>
        <row r="18">
          <cell r="B18" t="str">
            <v>PLK-의류</v>
          </cell>
          <cell r="C18">
            <v>0</v>
          </cell>
          <cell r="D18" t="str">
            <v>M</v>
          </cell>
          <cell r="E18">
            <v>0.06</v>
          </cell>
          <cell r="F18">
            <v>611526999.99999869</v>
          </cell>
          <cell r="G18">
            <v>79000</v>
          </cell>
          <cell r="H18">
            <v>7740.8481012658058</v>
          </cell>
          <cell r="I18">
            <v>7740.8481012658058</v>
          </cell>
          <cell r="J18">
            <v>1</v>
          </cell>
          <cell r="K18">
            <v>0</v>
          </cell>
          <cell r="L18">
            <v>300</v>
          </cell>
          <cell r="M18">
            <v>25.802827004219353</v>
          </cell>
          <cell r="N18">
            <v>1</v>
          </cell>
          <cell r="O18">
            <v>25.802827004219353</v>
          </cell>
          <cell r="P18">
            <v>4</v>
          </cell>
          <cell r="Q18">
            <v>152881749.99999967</v>
          </cell>
          <cell r="R18">
            <v>0</v>
          </cell>
          <cell r="S18">
            <v>0.06</v>
          </cell>
          <cell r="T18">
            <v>25.802827004219353</v>
          </cell>
        </row>
        <row r="19">
          <cell r="B19" t="str">
            <v>PLK-가방</v>
          </cell>
          <cell r="C19">
            <v>0</v>
          </cell>
          <cell r="D19" t="str">
            <v>M</v>
          </cell>
          <cell r="E19">
            <v>0</v>
          </cell>
          <cell r="F19">
            <v>0</v>
          </cell>
          <cell r="G19">
            <v>99000</v>
          </cell>
          <cell r="H19">
            <v>0</v>
          </cell>
          <cell r="I19">
            <v>0</v>
          </cell>
          <cell r="J19">
            <v>0.8</v>
          </cell>
          <cell r="K19">
            <v>0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4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</row>
        <row r="20">
          <cell r="B20" t="str">
            <v>JIK</v>
          </cell>
          <cell r="C20" t="str">
            <v>JILL BY JILL STUART</v>
          </cell>
          <cell r="D20" t="str">
            <v>M</v>
          </cell>
          <cell r="E20">
            <v>0.08</v>
          </cell>
          <cell r="F20">
            <v>815369333.3333317</v>
          </cell>
          <cell r="G20">
            <v>37000</v>
          </cell>
          <cell r="H20">
            <v>22037.009009008965</v>
          </cell>
          <cell r="I20">
            <v>17629.607207207173</v>
          </cell>
          <cell r="J20">
            <v>0.8</v>
          </cell>
          <cell r="K20">
            <v>4407.4018018017923</v>
          </cell>
          <cell r="L20">
            <v>300</v>
          </cell>
          <cell r="M20">
            <v>58.765357357357246</v>
          </cell>
          <cell r="N20">
            <v>1.5</v>
          </cell>
          <cell r="O20">
            <v>39.176904904904831</v>
          </cell>
          <cell r="P20">
            <v>4</v>
          </cell>
          <cell r="Q20">
            <v>203842333.33333293</v>
          </cell>
          <cell r="R20">
            <v>0</v>
          </cell>
          <cell r="S20">
            <v>0.08</v>
          </cell>
          <cell r="T20">
            <v>39.176904904904831</v>
          </cell>
        </row>
        <row r="21">
          <cell r="B21" t="str">
            <v>JIK-ACC</v>
          </cell>
          <cell r="C21">
            <v>0</v>
          </cell>
          <cell r="D21" t="str">
            <v>M</v>
          </cell>
          <cell r="E21">
            <v>5.0000000000000001E-3</v>
          </cell>
          <cell r="F21">
            <v>50960583.333333232</v>
          </cell>
          <cell r="G21">
            <v>39000</v>
          </cell>
          <cell r="H21">
            <v>1306.6816239316213</v>
          </cell>
          <cell r="I21">
            <v>1045.3452991452971</v>
          </cell>
          <cell r="J21">
            <v>0.8</v>
          </cell>
          <cell r="K21">
            <v>261.33632478632421</v>
          </cell>
          <cell r="L21">
            <v>250</v>
          </cell>
          <cell r="M21">
            <v>4.1813811965811887</v>
          </cell>
          <cell r="N21">
            <v>1</v>
          </cell>
          <cell r="O21">
            <v>4.1813811965811887</v>
          </cell>
          <cell r="P21">
            <v>4</v>
          </cell>
          <cell r="Q21">
            <v>12740145.833333308</v>
          </cell>
          <cell r="R21">
            <v>0</v>
          </cell>
          <cell r="S21">
            <v>5.0000000000000001E-3</v>
          </cell>
          <cell r="T21">
            <v>4.1813811965811887</v>
          </cell>
        </row>
        <row r="22">
          <cell r="B22" t="str">
            <v>HCK</v>
          </cell>
          <cell r="C22" t="str">
            <v>H.COUSTIC</v>
          </cell>
          <cell r="D22" t="str">
            <v>M</v>
          </cell>
          <cell r="E22">
            <v>1.4999999999999999E-2</v>
          </cell>
          <cell r="F22">
            <v>152881749.99999967</v>
          </cell>
          <cell r="G22">
            <v>43000</v>
          </cell>
          <cell r="H22">
            <v>3555.3895348837132</v>
          </cell>
          <cell r="I22">
            <v>2844.3116279069709</v>
          </cell>
          <cell r="J22">
            <v>0.8</v>
          </cell>
          <cell r="K22">
            <v>711.07790697674227</v>
          </cell>
          <cell r="L22">
            <v>200</v>
          </cell>
          <cell r="M22">
            <v>14.221558139534855</v>
          </cell>
          <cell r="N22">
            <v>1.5</v>
          </cell>
          <cell r="O22">
            <v>9.4810387596899037</v>
          </cell>
          <cell r="P22">
            <v>4</v>
          </cell>
          <cell r="Q22">
            <v>38220437.499999918</v>
          </cell>
          <cell r="R22">
            <v>0</v>
          </cell>
          <cell r="S22">
            <v>1.4999999999999999E-2</v>
          </cell>
          <cell r="T22">
            <v>9.4810387596899037</v>
          </cell>
        </row>
        <row r="23">
          <cell r="B23" t="str">
            <v>BRK</v>
          </cell>
          <cell r="C23" t="str">
            <v>BROWN SQURE</v>
          </cell>
          <cell r="D23" t="str">
            <v>M</v>
          </cell>
          <cell r="E23">
            <v>5.0000000000000001E-3</v>
          </cell>
          <cell r="F23">
            <v>50960583.333333232</v>
          </cell>
          <cell r="G23">
            <v>39000</v>
          </cell>
          <cell r="H23">
            <v>1306.6816239316213</v>
          </cell>
          <cell r="I23">
            <v>1045.3452991452971</v>
          </cell>
          <cell r="J23">
            <v>0.8</v>
          </cell>
          <cell r="K23">
            <v>261.33632478632421</v>
          </cell>
          <cell r="L23">
            <v>200</v>
          </cell>
          <cell r="M23">
            <v>5.226726495726485</v>
          </cell>
          <cell r="N23">
            <v>1</v>
          </cell>
          <cell r="O23">
            <v>5.226726495726485</v>
          </cell>
          <cell r="P23">
            <v>4</v>
          </cell>
          <cell r="Q23">
            <v>12740145.833333308</v>
          </cell>
          <cell r="R23">
            <v>0</v>
          </cell>
          <cell r="S23">
            <v>5.0000000000000001E-3</v>
          </cell>
          <cell r="T23">
            <v>5.226726495726485</v>
          </cell>
        </row>
        <row r="24">
          <cell r="B24" t="str">
            <v>BMK</v>
          </cell>
          <cell r="C24" t="str">
            <v>BLACK MOOD</v>
          </cell>
          <cell r="D24" t="str">
            <v>M</v>
          </cell>
          <cell r="E24">
            <v>0.01</v>
          </cell>
          <cell r="F24">
            <v>101921166.66666646</v>
          </cell>
          <cell r="G24">
            <v>45000</v>
          </cell>
          <cell r="H24">
            <v>2264.9148148148101</v>
          </cell>
          <cell r="I24">
            <v>1811.9318518518483</v>
          </cell>
          <cell r="J24">
            <v>0.8</v>
          </cell>
          <cell r="K24">
            <v>452.98296296296189</v>
          </cell>
          <cell r="L24">
            <v>200</v>
          </cell>
          <cell r="M24">
            <v>9.0596592592592415</v>
          </cell>
          <cell r="N24">
            <v>1.1000000000000001</v>
          </cell>
          <cell r="O24">
            <v>8.236053872053855</v>
          </cell>
          <cell r="P24">
            <v>4</v>
          </cell>
          <cell r="Q24">
            <v>25480291.666666616</v>
          </cell>
          <cell r="R24">
            <v>0</v>
          </cell>
          <cell r="S24">
            <v>0.01</v>
          </cell>
          <cell r="T24">
            <v>8.236053872053855</v>
          </cell>
        </row>
        <row r="25">
          <cell r="B25" t="str">
            <v>WTK</v>
          </cell>
          <cell r="C25" t="str">
            <v>WITAILOR</v>
          </cell>
          <cell r="D25" t="str">
            <v>M</v>
          </cell>
          <cell r="E25">
            <v>0.01</v>
          </cell>
          <cell r="F25">
            <v>101921166.66666646</v>
          </cell>
          <cell r="G25">
            <v>49000</v>
          </cell>
          <cell r="H25">
            <v>2080.0238095238055</v>
          </cell>
          <cell r="I25">
            <v>1664.0190476190446</v>
          </cell>
          <cell r="J25">
            <v>0.8</v>
          </cell>
          <cell r="K25">
            <v>416.00476190476093</v>
          </cell>
          <cell r="L25">
            <v>200</v>
          </cell>
          <cell r="M25">
            <v>8.3200952380952238</v>
          </cell>
          <cell r="N25">
            <v>1.5</v>
          </cell>
          <cell r="O25">
            <v>5.5467301587301492</v>
          </cell>
          <cell r="P25">
            <v>4</v>
          </cell>
          <cell r="Q25">
            <v>25480291.666666616</v>
          </cell>
          <cell r="R25">
            <v>0</v>
          </cell>
          <cell r="S25">
            <v>0.01</v>
          </cell>
          <cell r="T25">
            <v>5.5467301587301492</v>
          </cell>
        </row>
        <row r="26">
          <cell r="B26" t="str">
            <v>YGK</v>
          </cell>
          <cell r="C26" t="str">
            <v>YG FAMILY</v>
          </cell>
          <cell r="D26" t="str">
            <v>M</v>
          </cell>
          <cell r="E26">
            <v>0.01</v>
          </cell>
          <cell r="F26">
            <v>101921166.66666646</v>
          </cell>
          <cell r="G26">
            <v>55000</v>
          </cell>
          <cell r="H26">
            <v>1853.1121212121175</v>
          </cell>
          <cell r="I26">
            <v>1482.489696969694</v>
          </cell>
          <cell r="J26">
            <v>0.8</v>
          </cell>
          <cell r="K26">
            <v>370.62242424242345</v>
          </cell>
          <cell r="L26">
            <v>200</v>
          </cell>
          <cell r="M26">
            <v>7.4124484848484702</v>
          </cell>
          <cell r="N26">
            <v>1</v>
          </cell>
          <cell r="O26">
            <v>7.4124484848484702</v>
          </cell>
          <cell r="P26">
            <v>4</v>
          </cell>
          <cell r="Q26">
            <v>25480291.666666616</v>
          </cell>
          <cell r="R26">
            <v>0</v>
          </cell>
          <cell r="S26">
            <v>0.01</v>
          </cell>
          <cell r="T26">
            <v>7.4124484848484702</v>
          </cell>
        </row>
        <row r="27">
          <cell r="B27" t="str">
            <v>B1K</v>
          </cell>
          <cell r="C27" t="str">
            <v>B1A4</v>
          </cell>
          <cell r="D27" t="str">
            <v>M</v>
          </cell>
          <cell r="E27">
            <v>0</v>
          </cell>
          <cell r="F27">
            <v>0</v>
          </cell>
          <cell r="G27">
            <v>55000</v>
          </cell>
          <cell r="H27">
            <v>0</v>
          </cell>
          <cell r="I27">
            <v>0</v>
          </cell>
          <cell r="J27">
            <v>0.8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0</v>
          </cell>
          <cell r="P27">
            <v>4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</row>
        <row r="28">
          <cell r="B28" t="str">
            <v>POK</v>
          </cell>
          <cell r="C28" t="str">
            <v>로보캅폴리</v>
          </cell>
          <cell r="D28" t="str">
            <v>M</v>
          </cell>
          <cell r="E28">
            <v>0.03</v>
          </cell>
          <cell r="F28">
            <v>305763499.99999934</v>
          </cell>
          <cell r="G28">
            <v>49000</v>
          </cell>
          <cell r="H28">
            <v>6240.0714285714148</v>
          </cell>
          <cell r="I28">
            <v>4992.057142857132</v>
          </cell>
          <cell r="J28">
            <v>0.8</v>
          </cell>
          <cell r="K28">
            <v>1248.0142857142828</v>
          </cell>
          <cell r="L28">
            <v>350</v>
          </cell>
          <cell r="M28">
            <v>14.263020408163234</v>
          </cell>
          <cell r="N28">
            <v>1</v>
          </cell>
          <cell r="O28">
            <v>14.263020408163234</v>
          </cell>
          <cell r="P28">
            <v>4</v>
          </cell>
          <cell r="Q28">
            <v>76440874.999999836</v>
          </cell>
          <cell r="R28">
            <v>0</v>
          </cell>
          <cell r="S28">
            <v>0.03</v>
          </cell>
          <cell r="T28">
            <v>14.263020408163234</v>
          </cell>
        </row>
        <row r="29">
          <cell r="B29" t="str">
            <v>DPS</v>
          </cell>
          <cell r="C29" t="str">
            <v>디즈니 프린세스</v>
          </cell>
          <cell r="D29" t="str">
            <v>M</v>
          </cell>
          <cell r="E29">
            <v>0.03</v>
          </cell>
          <cell r="F29">
            <v>305763499.99999934</v>
          </cell>
          <cell r="G29">
            <v>39000</v>
          </cell>
          <cell r="H29">
            <v>7840.0897435897268</v>
          </cell>
          <cell r="I29">
            <v>6272.071794871782</v>
          </cell>
          <cell r="J29">
            <v>0.8</v>
          </cell>
          <cell r="K29">
            <v>1568.0179487179448</v>
          </cell>
          <cell r="L29">
            <v>350</v>
          </cell>
          <cell r="M29">
            <v>17.92020512820509</v>
          </cell>
          <cell r="N29">
            <v>1</v>
          </cell>
          <cell r="O29">
            <v>17.92020512820509</v>
          </cell>
          <cell r="P29">
            <v>4</v>
          </cell>
          <cell r="Q29">
            <v>76440874.999999836</v>
          </cell>
          <cell r="R29">
            <v>0</v>
          </cell>
          <cell r="S29">
            <v>0.03</v>
          </cell>
          <cell r="T29">
            <v>17.92020512820509</v>
          </cell>
        </row>
        <row r="30">
          <cell r="B30" t="str">
            <v>JOK</v>
          </cell>
          <cell r="C30" t="str">
            <v>JOIE BETE</v>
          </cell>
          <cell r="D30" t="str">
            <v>M</v>
          </cell>
          <cell r="E30">
            <v>4.4999999999999998E-2</v>
          </cell>
          <cell r="F30">
            <v>458645249.99999905</v>
          </cell>
          <cell r="G30">
            <v>49000</v>
          </cell>
          <cell r="H30">
            <v>9360.1071428571231</v>
          </cell>
          <cell r="I30">
            <v>7488.0857142856985</v>
          </cell>
          <cell r="J30">
            <v>0.8</v>
          </cell>
          <cell r="K30">
            <v>1872.0214285714246</v>
          </cell>
          <cell r="L30">
            <v>400</v>
          </cell>
          <cell r="M30">
            <v>18.720214285714246</v>
          </cell>
          <cell r="N30">
            <v>1</v>
          </cell>
          <cell r="O30">
            <v>18.720214285714246</v>
          </cell>
          <cell r="P30">
            <v>4</v>
          </cell>
          <cell r="Q30">
            <v>114661312.49999976</v>
          </cell>
          <cell r="R30">
            <v>0</v>
          </cell>
          <cell r="S30">
            <v>4.4999999999999998E-2</v>
          </cell>
          <cell r="T30">
            <v>18.720214285714246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브랜드품목별"/>
      <sheetName val="발주입고월"/>
      <sheetName val="샘플별업체별"/>
      <sheetName val="샘플현황취합"/>
      <sheetName val="兰"/>
      <sheetName val="LAN NOVENT"/>
      <sheetName val="노민석 (JST,BEL)"/>
      <sheetName val="생산업체"/>
      <sheetName val="CODE"/>
      <sheetName val="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월일</v>
          </cell>
          <cell r="B1" t="str">
            <v>요일</v>
          </cell>
          <cell r="C1" t="str">
            <v>주</v>
          </cell>
          <cell r="D1" t="str">
            <v>월</v>
          </cell>
          <cell r="E1" t="str">
            <v>주</v>
          </cell>
          <cell r="F1" t="str">
            <v>월주</v>
          </cell>
        </row>
        <row r="2">
          <cell r="A2">
            <v>41448</v>
          </cell>
          <cell r="B2" t="str">
            <v>일</v>
          </cell>
          <cell r="C2">
            <v>26</v>
          </cell>
          <cell r="D2">
            <v>6</v>
          </cell>
          <cell r="E2">
            <v>4</v>
          </cell>
          <cell r="F2" t="str">
            <v>6월 4주</v>
          </cell>
        </row>
        <row r="3">
          <cell r="A3">
            <v>41449</v>
          </cell>
          <cell r="B3" t="str">
            <v>월</v>
          </cell>
          <cell r="C3">
            <v>26</v>
          </cell>
          <cell r="D3">
            <v>6</v>
          </cell>
          <cell r="E3">
            <v>4</v>
          </cell>
          <cell r="F3" t="str">
            <v>6월 4주</v>
          </cell>
        </row>
        <row r="4">
          <cell r="A4">
            <v>41450</v>
          </cell>
          <cell r="B4" t="str">
            <v>화</v>
          </cell>
          <cell r="C4">
            <v>26</v>
          </cell>
          <cell r="D4">
            <v>6</v>
          </cell>
          <cell r="E4">
            <v>4</v>
          </cell>
          <cell r="F4" t="str">
            <v>6월 4주</v>
          </cell>
        </row>
        <row r="5">
          <cell r="A5">
            <v>41451</v>
          </cell>
          <cell r="B5" t="str">
            <v>수</v>
          </cell>
          <cell r="C5">
            <v>26</v>
          </cell>
          <cell r="D5">
            <v>6</v>
          </cell>
          <cell r="E5">
            <v>4</v>
          </cell>
          <cell r="F5" t="str">
            <v>6월 4주</v>
          </cell>
        </row>
        <row r="6">
          <cell r="A6">
            <v>41452</v>
          </cell>
          <cell r="B6" t="str">
            <v>목</v>
          </cell>
          <cell r="C6">
            <v>26</v>
          </cell>
          <cell r="D6">
            <v>6</v>
          </cell>
          <cell r="E6">
            <v>4</v>
          </cell>
          <cell r="F6" t="str">
            <v>6월 4주</v>
          </cell>
        </row>
        <row r="7">
          <cell r="A7">
            <v>41453</v>
          </cell>
          <cell r="B7" t="str">
            <v>금</v>
          </cell>
          <cell r="C7">
            <v>26</v>
          </cell>
          <cell r="D7">
            <v>6</v>
          </cell>
          <cell r="E7">
            <v>4</v>
          </cell>
          <cell r="F7" t="str">
            <v>6월 4주</v>
          </cell>
        </row>
        <row r="8">
          <cell r="A8">
            <v>41454</v>
          </cell>
          <cell r="B8" t="str">
            <v>토</v>
          </cell>
          <cell r="C8">
            <v>26</v>
          </cell>
          <cell r="D8">
            <v>6</v>
          </cell>
          <cell r="E8">
            <v>4</v>
          </cell>
          <cell r="F8" t="str">
            <v>6월 4주</v>
          </cell>
        </row>
        <row r="9">
          <cell r="A9">
            <v>41455</v>
          </cell>
          <cell r="B9" t="str">
            <v>일</v>
          </cell>
          <cell r="C9">
            <v>27</v>
          </cell>
          <cell r="D9">
            <v>7</v>
          </cell>
          <cell r="E9">
            <v>1</v>
          </cell>
          <cell r="F9" t="str">
            <v>7월 1주</v>
          </cell>
        </row>
        <row r="10">
          <cell r="A10">
            <v>41456</v>
          </cell>
          <cell r="B10" t="str">
            <v>월</v>
          </cell>
          <cell r="C10">
            <v>27</v>
          </cell>
          <cell r="D10">
            <v>7</v>
          </cell>
          <cell r="E10">
            <v>1</v>
          </cell>
          <cell r="F10" t="str">
            <v>7월 1주</v>
          </cell>
        </row>
        <row r="11">
          <cell r="A11">
            <v>41457</v>
          </cell>
          <cell r="B11" t="str">
            <v>화</v>
          </cell>
          <cell r="C11">
            <v>27</v>
          </cell>
          <cell r="D11">
            <v>7</v>
          </cell>
          <cell r="E11">
            <v>1</v>
          </cell>
          <cell r="F11" t="str">
            <v>7월 1주</v>
          </cell>
        </row>
        <row r="12">
          <cell r="A12">
            <v>41458</v>
          </cell>
          <cell r="B12" t="str">
            <v>수</v>
          </cell>
          <cell r="C12">
            <v>27</v>
          </cell>
          <cell r="D12">
            <v>7</v>
          </cell>
          <cell r="E12">
            <v>1</v>
          </cell>
          <cell r="F12" t="str">
            <v>7월 1주</v>
          </cell>
        </row>
        <row r="13">
          <cell r="A13">
            <v>41459</v>
          </cell>
          <cell r="B13" t="str">
            <v>목</v>
          </cell>
          <cell r="C13">
            <v>27</v>
          </cell>
          <cell r="D13">
            <v>7</v>
          </cell>
          <cell r="E13">
            <v>1</v>
          </cell>
          <cell r="F13" t="str">
            <v>7월 1주</v>
          </cell>
        </row>
        <row r="14">
          <cell r="A14">
            <v>41460</v>
          </cell>
          <cell r="B14" t="str">
            <v>금</v>
          </cell>
          <cell r="C14">
            <v>27</v>
          </cell>
          <cell r="D14">
            <v>7</v>
          </cell>
          <cell r="E14">
            <v>1</v>
          </cell>
          <cell r="F14" t="str">
            <v>7월 1주</v>
          </cell>
        </row>
        <row r="15">
          <cell r="A15">
            <v>41461</v>
          </cell>
          <cell r="B15" t="str">
            <v>토</v>
          </cell>
          <cell r="C15">
            <v>27</v>
          </cell>
          <cell r="D15">
            <v>7</v>
          </cell>
          <cell r="E15">
            <v>1</v>
          </cell>
          <cell r="F15" t="str">
            <v>7월 1주</v>
          </cell>
        </row>
        <row r="16">
          <cell r="A16">
            <v>41462</v>
          </cell>
          <cell r="B16" t="str">
            <v>일</v>
          </cell>
          <cell r="C16">
            <v>28</v>
          </cell>
          <cell r="D16">
            <v>7</v>
          </cell>
          <cell r="E16">
            <v>2</v>
          </cell>
          <cell r="F16" t="str">
            <v>7월 2주</v>
          </cell>
        </row>
        <row r="17">
          <cell r="A17">
            <v>41463</v>
          </cell>
          <cell r="B17" t="str">
            <v>월</v>
          </cell>
          <cell r="C17">
            <v>28</v>
          </cell>
          <cell r="D17">
            <v>7</v>
          </cell>
          <cell r="E17">
            <v>2</v>
          </cell>
          <cell r="F17" t="str">
            <v>7월 2주</v>
          </cell>
        </row>
        <row r="18">
          <cell r="A18">
            <v>41464</v>
          </cell>
          <cell r="B18" t="str">
            <v>화</v>
          </cell>
          <cell r="C18">
            <v>28</v>
          </cell>
          <cell r="D18">
            <v>7</v>
          </cell>
          <cell r="E18">
            <v>2</v>
          </cell>
          <cell r="F18" t="str">
            <v>7월 2주</v>
          </cell>
        </row>
        <row r="19">
          <cell r="A19">
            <v>41465</v>
          </cell>
          <cell r="B19" t="str">
            <v>수</v>
          </cell>
          <cell r="C19">
            <v>28</v>
          </cell>
          <cell r="D19">
            <v>7</v>
          </cell>
          <cell r="E19">
            <v>2</v>
          </cell>
          <cell r="F19" t="str">
            <v>7월 2주</v>
          </cell>
        </row>
        <row r="20">
          <cell r="A20">
            <v>41466</v>
          </cell>
          <cell r="B20" t="str">
            <v>목</v>
          </cell>
          <cell r="C20">
            <v>28</v>
          </cell>
          <cell r="D20">
            <v>7</v>
          </cell>
          <cell r="E20">
            <v>2</v>
          </cell>
          <cell r="F20" t="str">
            <v>7월 2주</v>
          </cell>
        </row>
        <row r="21">
          <cell r="A21">
            <v>41467</v>
          </cell>
          <cell r="B21" t="str">
            <v>금</v>
          </cell>
          <cell r="C21">
            <v>28</v>
          </cell>
          <cell r="D21">
            <v>7</v>
          </cell>
          <cell r="E21">
            <v>2</v>
          </cell>
          <cell r="F21" t="str">
            <v>7월 2주</v>
          </cell>
        </row>
        <row r="22">
          <cell r="A22">
            <v>41468</v>
          </cell>
          <cell r="B22" t="str">
            <v>토</v>
          </cell>
          <cell r="C22">
            <v>28</v>
          </cell>
          <cell r="D22">
            <v>7</v>
          </cell>
          <cell r="E22">
            <v>2</v>
          </cell>
          <cell r="F22" t="str">
            <v>7월 2주</v>
          </cell>
        </row>
        <row r="23">
          <cell r="A23">
            <v>41469</v>
          </cell>
          <cell r="B23" t="str">
            <v>일</v>
          </cell>
          <cell r="C23">
            <v>29</v>
          </cell>
          <cell r="D23">
            <v>7</v>
          </cell>
          <cell r="E23">
            <v>3</v>
          </cell>
          <cell r="F23" t="str">
            <v>7월 3주</v>
          </cell>
        </row>
        <row r="24">
          <cell r="A24">
            <v>41470</v>
          </cell>
          <cell r="B24" t="str">
            <v>월</v>
          </cell>
          <cell r="C24">
            <v>29</v>
          </cell>
          <cell r="D24">
            <v>7</v>
          </cell>
          <cell r="E24">
            <v>3</v>
          </cell>
          <cell r="F24" t="str">
            <v>7월 3주</v>
          </cell>
        </row>
        <row r="25">
          <cell r="A25">
            <v>41471</v>
          </cell>
          <cell r="B25" t="str">
            <v>화</v>
          </cell>
          <cell r="C25">
            <v>29</v>
          </cell>
          <cell r="D25">
            <v>7</v>
          </cell>
          <cell r="E25">
            <v>3</v>
          </cell>
          <cell r="F25" t="str">
            <v>7월 3주</v>
          </cell>
        </row>
        <row r="26">
          <cell r="A26">
            <v>41472</v>
          </cell>
          <cell r="B26" t="str">
            <v>수</v>
          </cell>
          <cell r="C26">
            <v>29</v>
          </cell>
          <cell r="D26">
            <v>7</v>
          </cell>
          <cell r="E26">
            <v>3</v>
          </cell>
          <cell r="F26" t="str">
            <v>7월 3주</v>
          </cell>
        </row>
        <row r="27">
          <cell r="A27">
            <v>41473</v>
          </cell>
          <cell r="B27" t="str">
            <v>목</v>
          </cell>
          <cell r="C27">
            <v>29</v>
          </cell>
          <cell r="D27">
            <v>7</v>
          </cell>
          <cell r="E27">
            <v>3</v>
          </cell>
          <cell r="F27" t="str">
            <v>7월 3주</v>
          </cell>
        </row>
        <row r="28">
          <cell r="A28">
            <v>41474</v>
          </cell>
          <cell r="B28" t="str">
            <v>금</v>
          </cell>
          <cell r="C28">
            <v>29</v>
          </cell>
          <cell r="D28">
            <v>7</v>
          </cell>
          <cell r="E28">
            <v>3</v>
          </cell>
          <cell r="F28" t="str">
            <v>7월 3주</v>
          </cell>
        </row>
        <row r="29">
          <cell r="A29">
            <v>41475</v>
          </cell>
          <cell r="B29" t="str">
            <v>토</v>
          </cell>
          <cell r="C29">
            <v>29</v>
          </cell>
          <cell r="D29">
            <v>7</v>
          </cell>
          <cell r="E29">
            <v>3</v>
          </cell>
          <cell r="F29" t="str">
            <v>7월 3주</v>
          </cell>
        </row>
        <row r="30">
          <cell r="A30">
            <v>41476</v>
          </cell>
          <cell r="B30" t="str">
            <v>일</v>
          </cell>
          <cell r="C30">
            <v>30</v>
          </cell>
          <cell r="D30">
            <v>7</v>
          </cell>
          <cell r="E30">
            <v>4</v>
          </cell>
          <cell r="F30" t="str">
            <v>7월 4주</v>
          </cell>
        </row>
        <row r="31">
          <cell r="A31">
            <v>41477</v>
          </cell>
          <cell r="B31" t="str">
            <v>월</v>
          </cell>
          <cell r="C31">
            <v>30</v>
          </cell>
          <cell r="D31">
            <v>7</v>
          </cell>
          <cell r="E31">
            <v>4</v>
          </cell>
          <cell r="F31" t="str">
            <v>7월 4주</v>
          </cell>
        </row>
        <row r="32">
          <cell r="A32">
            <v>41478</v>
          </cell>
          <cell r="B32" t="str">
            <v>화</v>
          </cell>
          <cell r="C32">
            <v>30</v>
          </cell>
          <cell r="D32">
            <v>7</v>
          </cell>
          <cell r="E32">
            <v>4</v>
          </cell>
          <cell r="F32" t="str">
            <v>7월 4주</v>
          </cell>
        </row>
        <row r="33">
          <cell r="A33">
            <v>41479</v>
          </cell>
          <cell r="B33" t="str">
            <v>수</v>
          </cell>
          <cell r="C33">
            <v>30</v>
          </cell>
          <cell r="D33">
            <v>7</v>
          </cell>
          <cell r="E33">
            <v>4</v>
          </cell>
          <cell r="F33" t="str">
            <v>7월 4주</v>
          </cell>
        </row>
        <row r="34">
          <cell r="A34">
            <v>41480</v>
          </cell>
          <cell r="B34" t="str">
            <v>목</v>
          </cell>
          <cell r="C34">
            <v>30</v>
          </cell>
          <cell r="D34">
            <v>7</v>
          </cell>
          <cell r="E34">
            <v>4</v>
          </cell>
          <cell r="F34" t="str">
            <v>7월 4주</v>
          </cell>
        </row>
        <row r="35">
          <cell r="A35">
            <v>41481</v>
          </cell>
          <cell r="B35" t="str">
            <v>금</v>
          </cell>
          <cell r="C35">
            <v>30</v>
          </cell>
          <cell r="D35">
            <v>7</v>
          </cell>
          <cell r="E35">
            <v>4</v>
          </cell>
          <cell r="F35" t="str">
            <v>7월 4주</v>
          </cell>
        </row>
        <row r="36">
          <cell r="A36">
            <v>41482</v>
          </cell>
          <cell r="B36" t="str">
            <v>토</v>
          </cell>
          <cell r="C36">
            <v>30</v>
          </cell>
          <cell r="D36">
            <v>7</v>
          </cell>
          <cell r="E36">
            <v>4</v>
          </cell>
          <cell r="F36" t="str">
            <v>7월 4주</v>
          </cell>
        </row>
        <row r="37">
          <cell r="A37">
            <v>41483</v>
          </cell>
          <cell r="B37" t="str">
            <v>일</v>
          </cell>
          <cell r="C37">
            <v>31</v>
          </cell>
          <cell r="D37">
            <v>8</v>
          </cell>
          <cell r="E37">
            <v>1</v>
          </cell>
          <cell r="F37" t="str">
            <v>8월 1주</v>
          </cell>
        </row>
        <row r="38">
          <cell r="A38">
            <v>41484</v>
          </cell>
          <cell r="B38" t="str">
            <v>월</v>
          </cell>
          <cell r="C38">
            <v>31</v>
          </cell>
          <cell r="D38">
            <v>8</v>
          </cell>
          <cell r="E38">
            <v>1</v>
          </cell>
          <cell r="F38" t="str">
            <v>8월 1주</v>
          </cell>
        </row>
        <row r="39">
          <cell r="A39">
            <v>41485</v>
          </cell>
          <cell r="B39" t="str">
            <v>화</v>
          </cell>
          <cell r="C39">
            <v>31</v>
          </cell>
          <cell r="D39">
            <v>8</v>
          </cell>
          <cell r="E39">
            <v>1</v>
          </cell>
          <cell r="F39" t="str">
            <v>8월 1주</v>
          </cell>
        </row>
        <row r="40">
          <cell r="A40">
            <v>41486</v>
          </cell>
          <cell r="B40" t="str">
            <v>수</v>
          </cell>
          <cell r="C40">
            <v>31</v>
          </cell>
          <cell r="D40">
            <v>8</v>
          </cell>
          <cell r="E40">
            <v>1</v>
          </cell>
          <cell r="F40" t="str">
            <v>8월 1주</v>
          </cell>
        </row>
        <row r="41">
          <cell r="A41">
            <v>41487</v>
          </cell>
          <cell r="B41" t="str">
            <v>목</v>
          </cell>
          <cell r="C41">
            <v>31</v>
          </cell>
          <cell r="D41">
            <v>8</v>
          </cell>
          <cell r="E41">
            <v>1</v>
          </cell>
          <cell r="F41" t="str">
            <v>8월 1주</v>
          </cell>
        </row>
        <row r="42">
          <cell r="A42">
            <v>41488</v>
          </cell>
          <cell r="B42" t="str">
            <v>금</v>
          </cell>
          <cell r="C42">
            <v>31</v>
          </cell>
          <cell r="D42">
            <v>8</v>
          </cell>
          <cell r="E42">
            <v>1</v>
          </cell>
          <cell r="F42" t="str">
            <v>8월 1주</v>
          </cell>
        </row>
        <row r="43">
          <cell r="A43">
            <v>41489</v>
          </cell>
          <cell r="B43" t="str">
            <v>토</v>
          </cell>
          <cell r="C43">
            <v>31</v>
          </cell>
          <cell r="D43">
            <v>8</v>
          </cell>
          <cell r="E43">
            <v>1</v>
          </cell>
          <cell r="F43" t="str">
            <v>8월 1주</v>
          </cell>
        </row>
        <row r="44">
          <cell r="A44">
            <v>41490</v>
          </cell>
          <cell r="B44" t="str">
            <v>일</v>
          </cell>
          <cell r="C44">
            <v>32</v>
          </cell>
          <cell r="D44">
            <v>8</v>
          </cell>
          <cell r="E44">
            <v>2</v>
          </cell>
          <cell r="F44" t="str">
            <v>8월 2주</v>
          </cell>
        </row>
        <row r="45">
          <cell r="A45">
            <v>41491</v>
          </cell>
          <cell r="B45" t="str">
            <v>월</v>
          </cell>
          <cell r="C45">
            <v>32</v>
          </cell>
          <cell r="D45">
            <v>8</v>
          </cell>
          <cell r="E45">
            <v>2</v>
          </cell>
          <cell r="F45" t="str">
            <v>8월 2주</v>
          </cell>
        </row>
        <row r="46">
          <cell r="A46">
            <v>41492</v>
          </cell>
          <cell r="B46" t="str">
            <v>화</v>
          </cell>
          <cell r="C46">
            <v>32</v>
          </cell>
          <cell r="D46">
            <v>8</v>
          </cell>
          <cell r="E46">
            <v>2</v>
          </cell>
          <cell r="F46" t="str">
            <v>8월 2주</v>
          </cell>
        </row>
        <row r="47">
          <cell r="A47">
            <v>41493</v>
          </cell>
          <cell r="B47" t="str">
            <v>수</v>
          </cell>
          <cell r="C47">
            <v>32</v>
          </cell>
          <cell r="D47">
            <v>8</v>
          </cell>
          <cell r="E47">
            <v>2</v>
          </cell>
          <cell r="F47" t="str">
            <v>8월 2주</v>
          </cell>
        </row>
        <row r="48">
          <cell r="A48">
            <v>41494</v>
          </cell>
          <cell r="B48" t="str">
            <v>목</v>
          </cell>
          <cell r="C48">
            <v>32</v>
          </cell>
          <cell r="D48">
            <v>8</v>
          </cell>
          <cell r="E48">
            <v>2</v>
          </cell>
          <cell r="F48" t="str">
            <v>8월 2주</v>
          </cell>
        </row>
        <row r="49">
          <cell r="A49">
            <v>41495</v>
          </cell>
          <cell r="B49" t="str">
            <v>금</v>
          </cell>
          <cell r="C49">
            <v>32</v>
          </cell>
          <cell r="D49">
            <v>8</v>
          </cell>
          <cell r="E49">
            <v>2</v>
          </cell>
          <cell r="F49" t="str">
            <v>8월 2주</v>
          </cell>
        </row>
        <row r="50">
          <cell r="A50">
            <v>41496</v>
          </cell>
          <cell r="B50" t="str">
            <v>토</v>
          </cell>
          <cell r="C50">
            <v>32</v>
          </cell>
          <cell r="D50">
            <v>8</v>
          </cell>
          <cell r="E50">
            <v>2</v>
          </cell>
          <cell r="F50" t="str">
            <v>8월 2주</v>
          </cell>
        </row>
        <row r="51">
          <cell r="A51">
            <v>41497</v>
          </cell>
          <cell r="B51" t="str">
            <v>일</v>
          </cell>
          <cell r="C51">
            <v>33</v>
          </cell>
          <cell r="D51">
            <v>8</v>
          </cell>
          <cell r="E51">
            <v>3</v>
          </cell>
          <cell r="F51" t="str">
            <v>8월 3주</v>
          </cell>
        </row>
        <row r="52">
          <cell r="A52">
            <v>41498</v>
          </cell>
          <cell r="B52" t="str">
            <v>월</v>
          </cell>
          <cell r="C52">
            <v>33</v>
          </cell>
          <cell r="D52">
            <v>8</v>
          </cell>
          <cell r="E52">
            <v>3</v>
          </cell>
          <cell r="F52" t="str">
            <v>8월 3주</v>
          </cell>
        </row>
        <row r="53">
          <cell r="A53">
            <v>41499</v>
          </cell>
          <cell r="B53" t="str">
            <v>화</v>
          </cell>
          <cell r="C53">
            <v>33</v>
          </cell>
          <cell r="D53">
            <v>8</v>
          </cell>
          <cell r="E53">
            <v>3</v>
          </cell>
          <cell r="F53" t="str">
            <v>8월 3주</v>
          </cell>
        </row>
        <row r="54">
          <cell r="A54">
            <v>41500</v>
          </cell>
          <cell r="B54" t="str">
            <v>수</v>
          </cell>
          <cell r="C54">
            <v>33</v>
          </cell>
          <cell r="D54">
            <v>8</v>
          </cell>
          <cell r="E54">
            <v>3</v>
          </cell>
          <cell r="F54" t="str">
            <v>8월 3주</v>
          </cell>
        </row>
        <row r="55">
          <cell r="A55">
            <v>41501</v>
          </cell>
          <cell r="B55" t="str">
            <v>목</v>
          </cell>
          <cell r="C55">
            <v>33</v>
          </cell>
          <cell r="D55">
            <v>8</v>
          </cell>
          <cell r="E55">
            <v>3</v>
          </cell>
          <cell r="F55" t="str">
            <v>8월 3주</v>
          </cell>
        </row>
        <row r="56">
          <cell r="A56">
            <v>41502</v>
          </cell>
          <cell r="B56" t="str">
            <v>금</v>
          </cell>
          <cell r="C56">
            <v>33</v>
          </cell>
          <cell r="D56">
            <v>8</v>
          </cell>
          <cell r="E56">
            <v>3</v>
          </cell>
          <cell r="F56" t="str">
            <v>8월 3주</v>
          </cell>
        </row>
        <row r="57">
          <cell r="A57">
            <v>41503</v>
          </cell>
          <cell r="B57" t="str">
            <v>토</v>
          </cell>
          <cell r="C57">
            <v>33</v>
          </cell>
          <cell r="D57">
            <v>8</v>
          </cell>
          <cell r="E57">
            <v>3</v>
          </cell>
          <cell r="F57" t="str">
            <v>8월 3주</v>
          </cell>
        </row>
        <row r="58">
          <cell r="A58">
            <v>41504</v>
          </cell>
          <cell r="B58" t="str">
            <v>일</v>
          </cell>
          <cell r="C58">
            <v>34</v>
          </cell>
          <cell r="D58">
            <v>8</v>
          </cell>
          <cell r="E58">
            <v>4</v>
          </cell>
          <cell r="F58" t="str">
            <v>8월 4주</v>
          </cell>
        </row>
        <row r="59">
          <cell r="A59">
            <v>41505</v>
          </cell>
          <cell r="B59" t="str">
            <v>월</v>
          </cell>
          <cell r="C59">
            <v>34</v>
          </cell>
          <cell r="D59">
            <v>8</v>
          </cell>
          <cell r="E59">
            <v>4</v>
          </cell>
          <cell r="F59" t="str">
            <v>8월 4주</v>
          </cell>
        </row>
        <row r="60">
          <cell r="A60">
            <v>41506</v>
          </cell>
          <cell r="B60" t="str">
            <v>화</v>
          </cell>
          <cell r="C60">
            <v>34</v>
          </cell>
          <cell r="D60">
            <v>8</v>
          </cell>
          <cell r="E60">
            <v>4</v>
          </cell>
          <cell r="F60" t="str">
            <v>8월 4주</v>
          </cell>
        </row>
        <row r="61">
          <cell r="A61">
            <v>41507</v>
          </cell>
          <cell r="B61" t="str">
            <v>수</v>
          </cell>
          <cell r="C61">
            <v>34</v>
          </cell>
          <cell r="D61">
            <v>8</v>
          </cell>
          <cell r="E61">
            <v>4</v>
          </cell>
          <cell r="F61" t="str">
            <v>8월 4주</v>
          </cell>
        </row>
        <row r="62">
          <cell r="A62">
            <v>41508</v>
          </cell>
          <cell r="B62" t="str">
            <v>목</v>
          </cell>
          <cell r="C62">
            <v>34</v>
          </cell>
          <cell r="D62">
            <v>8</v>
          </cell>
          <cell r="E62">
            <v>4</v>
          </cell>
          <cell r="F62" t="str">
            <v>8월 4주</v>
          </cell>
        </row>
        <row r="63">
          <cell r="A63">
            <v>41509</v>
          </cell>
          <cell r="B63" t="str">
            <v>금</v>
          </cell>
          <cell r="C63">
            <v>34</v>
          </cell>
          <cell r="D63">
            <v>8</v>
          </cell>
          <cell r="E63">
            <v>4</v>
          </cell>
          <cell r="F63" t="str">
            <v>8월 4주</v>
          </cell>
        </row>
        <row r="64">
          <cell r="A64">
            <v>41510</v>
          </cell>
          <cell r="B64" t="str">
            <v>토</v>
          </cell>
          <cell r="C64">
            <v>34</v>
          </cell>
          <cell r="D64">
            <v>8</v>
          </cell>
          <cell r="E64">
            <v>4</v>
          </cell>
          <cell r="F64" t="str">
            <v>8월 4주</v>
          </cell>
        </row>
        <row r="65">
          <cell r="A65">
            <v>41511</v>
          </cell>
          <cell r="B65" t="str">
            <v>일</v>
          </cell>
          <cell r="C65">
            <v>35</v>
          </cell>
          <cell r="D65">
            <v>8</v>
          </cell>
          <cell r="E65">
            <v>5</v>
          </cell>
          <cell r="F65" t="str">
            <v>8월 5주</v>
          </cell>
        </row>
        <row r="66">
          <cell r="A66">
            <v>41512</v>
          </cell>
          <cell r="B66" t="str">
            <v>월</v>
          </cell>
          <cell r="C66">
            <v>35</v>
          </cell>
          <cell r="D66">
            <v>8</v>
          </cell>
          <cell r="E66">
            <v>5</v>
          </cell>
          <cell r="F66" t="str">
            <v>8월 5주</v>
          </cell>
        </row>
        <row r="67">
          <cell r="A67">
            <v>41513</v>
          </cell>
          <cell r="B67" t="str">
            <v>화</v>
          </cell>
          <cell r="C67">
            <v>35</v>
          </cell>
          <cell r="D67">
            <v>8</v>
          </cell>
          <cell r="E67">
            <v>5</v>
          </cell>
          <cell r="F67" t="str">
            <v>8월 5주</v>
          </cell>
        </row>
        <row r="68">
          <cell r="A68">
            <v>41514</v>
          </cell>
          <cell r="B68" t="str">
            <v>수</v>
          </cell>
          <cell r="C68">
            <v>35</v>
          </cell>
          <cell r="D68">
            <v>8</v>
          </cell>
          <cell r="E68">
            <v>5</v>
          </cell>
          <cell r="F68" t="str">
            <v>8월 5주</v>
          </cell>
        </row>
        <row r="69">
          <cell r="A69">
            <v>41515</v>
          </cell>
          <cell r="B69" t="str">
            <v>목</v>
          </cell>
          <cell r="C69">
            <v>35</v>
          </cell>
          <cell r="D69">
            <v>8</v>
          </cell>
          <cell r="E69">
            <v>5</v>
          </cell>
          <cell r="F69" t="str">
            <v>8월 5주</v>
          </cell>
        </row>
        <row r="70">
          <cell r="A70">
            <v>41516</v>
          </cell>
          <cell r="B70" t="str">
            <v>금</v>
          </cell>
          <cell r="C70">
            <v>35</v>
          </cell>
          <cell r="D70">
            <v>8</v>
          </cell>
          <cell r="E70">
            <v>5</v>
          </cell>
          <cell r="F70" t="str">
            <v>8월 5주</v>
          </cell>
        </row>
        <row r="71">
          <cell r="A71">
            <v>41517</v>
          </cell>
          <cell r="B71" t="str">
            <v>토</v>
          </cell>
          <cell r="C71">
            <v>35</v>
          </cell>
          <cell r="D71">
            <v>8</v>
          </cell>
          <cell r="E71">
            <v>5</v>
          </cell>
          <cell r="F71" t="str">
            <v>8월 5주</v>
          </cell>
        </row>
        <row r="72">
          <cell r="A72">
            <v>41518</v>
          </cell>
          <cell r="B72" t="str">
            <v>일</v>
          </cell>
          <cell r="C72">
            <v>36</v>
          </cell>
          <cell r="D72">
            <v>9</v>
          </cell>
          <cell r="E72">
            <v>1</v>
          </cell>
          <cell r="F72" t="str">
            <v>9월 1주</v>
          </cell>
        </row>
        <row r="73">
          <cell r="A73">
            <v>41519</v>
          </cell>
          <cell r="B73" t="str">
            <v>월</v>
          </cell>
          <cell r="C73">
            <v>36</v>
          </cell>
          <cell r="D73">
            <v>9</v>
          </cell>
          <cell r="E73">
            <v>1</v>
          </cell>
          <cell r="F73" t="str">
            <v>9월 1주</v>
          </cell>
        </row>
        <row r="74">
          <cell r="A74">
            <v>41520</v>
          </cell>
          <cell r="B74" t="str">
            <v>화</v>
          </cell>
          <cell r="C74">
            <v>36</v>
          </cell>
          <cell r="D74">
            <v>9</v>
          </cell>
          <cell r="E74">
            <v>1</v>
          </cell>
          <cell r="F74" t="str">
            <v>9월 1주</v>
          </cell>
        </row>
        <row r="75">
          <cell r="A75">
            <v>41521</v>
          </cell>
          <cell r="B75" t="str">
            <v>수</v>
          </cell>
          <cell r="C75">
            <v>36</v>
          </cell>
          <cell r="D75">
            <v>9</v>
          </cell>
          <cell r="E75">
            <v>1</v>
          </cell>
          <cell r="F75" t="str">
            <v>9월 1주</v>
          </cell>
        </row>
        <row r="76">
          <cell r="A76">
            <v>41522</v>
          </cell>
          <cell r="B76" t="str">
            <v>목</v>
          </cell>
          <cell r="C76">
            <v>36</v>
          </cell>
          <cell r="D76">
            <v>9</v>
          </cell>
          <cell r="E76">
            <v>1</v>
          </cell>
          <cell r="F76" t="str">
            <v>9월 1주</v>
          </cell>
        </row>
        <row r="77">
          <cell r="A77">
            <v>41523</v>
          </cell>
          <cell r="B77" t="str">
            <v>금</v>
          </cell>
          <cell r="C77">
            <v>36</v>
          </cell>
          <cell r="D77">
            <v>9</v>
          </cell>
          <cell r="E77">
            <v>1</v>
          </cell>
          <cell r="F77" t="str">
            <v>9월 1주</v>
          </cell>
        </row>
        <row r="78">
          <cell r="A78">
            <v>41524</v>
          </cell>
          <cell r="B78" t="str">
            <v>토</v>
          </cell>
          <cell r="C78">
            <v>36</v>
          </cell>
          <cell r="D78">
            <v>9</v>
          </cell>
          <cell r="E78">
            <v>1</v>
          </cell>
          <cell r="F78" t="str">
            <v>9월 1주</v>
          </cell>
        </row>
        <row r="79">
          <cell r="A79">
            <v>41525</v>
          </cell>
          <cell r="B79" t="str">
            <v>일</v>
          </cell>
          <cell r="C79">
            <v>37</v>
          </cell>
          <cell r="D79">
            <v>9</v>
          </cell>
          <cell r="E79">
            <v>2</v>
          </cell>
          <cell r="F79" t="str">
            <v>9월 2주</v>
          </cell>
        </row>
        <row r="80">
          <cell r="A80">
            <v>41526</v>
          </cell>
          <cell r="B80" t="str">
            <v>월</v>
          </cell>
          <cell r="C80">
            <v>37</v>
          </cell>
          <cell r="D80">
            <v>9</v>
          </cell>
          <cell r="E80">
            <v>2</v>
          </cell>
          <cell r="F80" t="str">
            <v>9월 2주</v>
          </cell>
        </row>
        <row r="81">
          <cell r="A81">
            <v>41527</v>
          </cell>
          <cell r="B81" t="str">
            <v>화</v>
          </cell>
          <cell r="C81">
            <v>37</v>
          </cell>
          <cell r="D81">
            <v>9</v>
          </cell>
          <cell r="E81">
            <v>2</v>
          </cell>
          <cell r="F81" t="str">
            <v>9월 2주</v>
          </cell>
        </row>
        <row r="82">
          <cell r="A82">
            <v>41528</v>
          </cell>
          <cell r="B82" t="str">
            <v>수</v>
          </cell>
          <cell r="C82">
            <v>37</v>
          </cell>
          <cell r="D82">
            <v>9</v>
          </cell>
          <cell r="E82">
            <v>2</v>
          </cell>
          <cell r="F82" t="str">
            <v>9월 2주</v>
          </cell>
        </row>
        <row r="83">
          <cell r="A83">
            <v>41529</v>
          </cell>
          <cell r="B83" t="str">
            <v>목</v>
          </cell>
          <cell r="C83">
            <v>37</v>
          </cell>
          <cell r="D83">
            <v>9</v>
          </cell>
          <cell r="E83">
            <v>2</v>
          </cell>
          <cell r="F83" t="str">
            <v>9월 2주</v>
          </cell>
        </row>
        <row r="84">
          <cell r="A84">
            <v>41530</v>
          </cell>
          <cell r="B84" t="str">
            <v>금</v>
          </cell>
          <cell r="C84">
            <v>37</v>
          </cell>
          <cell r="D84">
            <v>9</v>
          </cell>
          <cell r="E84">
            <v>2</v>
          </cell>
          <cell r="F84" t="str">
            <v>9월 2주</v>
          </cell>
        </row>
        <row r="85">
          <cell r="A85">
            <v>41531</v>
          </cell>
          <cell r="B85" t="str">
            <v>토</v>
          </cell>
          <cell r="C85">
            <v>37</v>
          </cell>
          <cell r="D85">
            <v>9</v>
          </cell>
          <cell r="E85">
            <v>2</v>
          </cell>
          <cell r="F85" t="str">
            <v>9월 2주</v>
          </cell>
        </row>
        <row r="86">
          <cell r="A86">
            <v>41532</v>
          </cell>
          <cell r="B86" t="str">
            <v>일</v>
          </cell>
          <cell r="C86">
            <v>38</v>
          </cell>
          <cell r="D86">
            <v>9</v>
          </cell>
          <cell r="E86">
            <v>3</v>
          </cell>
          <cell r="F86" t="str">
            <v>9월 3주</v>
          </cell>
        </row>
        <row r="87">
          <cell r="A87">
            <v>41533</v>
          </cell>
          <cell r="B87" t="str">
            <v>월</v>
          </cell>
          <cell r="C87">
            <v>38</v>
          </cell>
          <cell r="D87">
            <v>9</v>
          </cell>
          <cell r="E87">
            <v>3</v>
          </cell>
          <cell r="F87" t="str">
            <v>9월 3주</v>
          </cell>
        </row>
        <row r="88">
          <cell r="A88">
            <v>41534</v>
          </cell>
          <cell r="B88" t="str">
            <v>화</v>
          </cell>
          <cell r="C88">
            <v>38</v>
          </cell>
          <cell r="D88">
            <v>9</v>
          </cell>
          <cell r="E88">
            <v>3</v>
          </cell>
          <cell r="F88" t="str">
            <v>9월 3주</v>
          </cell>
        </row>
        <row r="89">
          <cell r="A89">
            <v>41535</v>
          </cell>
          <cell r="B89" t="str">
            <v>수</v>
          </cell>
          <cell r="C89">
            <v>38</v>
          </cell>
          <cell r="D89">
            <v>9</v>
          </cell>
          <cell r="E89">
            <v>3</v>
          </cell>
          <cell r="F89" t="str">
            <v>9월 3주</v>
          </cell>
        </row>
        <row r="90">
          <cell r="A90">
            <v>41536</v>
          </cell>
          <cell r="B90" t="str">
            <v>목</v>
          </cell>
          <cell r="C90">
            <v>38</v>
          </cell>
          <cell r="D90">
            <v>9</v>
          </cell>
          <cell r="E90">
            <v>3</v>
          </cell>
          <cell r="F90" t="str">
            <v>9월 3주</v>
          </cell>
        </row>
        <row r="91">
          <cell r="A91">
            <v>41537</v>
          </cell>
          <cell r="B91" t="str">
            <v>금</v>
          </cell>
          <cell r="C91">
            <v>38</v>
          </cell>
          <cell r="D91">
            <v>9</v>
          </cell>
          <cell r="E91">
            <v>3</v>
          </cell>
          <cell r="F91" t="str">
            <v>9월 3주</v>
          </cell>
        </row>
        <row r="92">
          <cell r="A92">
            <v>41538</v>
          </cell>
          <cell r="B92" t="str">
            <v>토</v>
          </cell>
          <cell r="C92">
            <v>38</v>
          </cell>
          <cell r="D92">
            <v>9</v>
          </cell>
          <cell r="E92">
            <v>3</v>
          </cell>
          <cell r="F92" t="str">
            <v>9월 3주</v>
          </cell>
        </row>
        <row r="93">
          <cell r="A93">
            <v>41539</v>
          </cell>
          <cell r="B93" t="str">
            <v>일</v>
          </cell>
          <cell r="C93">
            <v>39</v>
          </cell>
          <cell r="D93">
            <v>9</v>
          </cell>
          <cell r="E93">
            <v>4</v>
          </cell>
          <cell r="F93" t="str">
            <v>9월 4주</v>
          </cell>
        </row>
        <row r="94">
          <cell r="A94">
            <v>41540</v>
          </cell>
          <cell r="B94" t="str">
            <v>월</v>
          </cell>
          <cell r="C94">
            <v>39</v>
          </cell>
          <cell r="D94">
            <v>9</v>
          </cell>
          <cell r="E94">
            <v>4</v>
          </cell>
          <cell r="F94" t="str">
            <v>9월 4주</v>
          </cell>
        </row>
        <row r="95">
          <cell r="A95">
            <v>41541</v>
          </cell>
          <cell r="B95" t="str">
            <v>화</v>
          </cell>
          <cell r="C95">
            <v>39</v>
          </cell>
          <cell r="D95">
            <v>9</v>
          </cell>
          <cell r="E95">
            <v>4</v>
          </cell>
          <cell r="F95" t="str">
            <v>9월 4주</v>
          </cell>
        </row>
        <row r="96">
          <cell r="A96">
            <v>41542</v>
          </cell>
          <cell r="B96" t="str">
            <v>수</v>
          </cell>
          <cell r="C96">
            <v>39</v>
          </cell>
          <cell r="D96">
            <v>9</v>
          </cell>
          <cell r="E96">
            <v>4</v>
          </cell>
          <cell r="F96" t="str">
            <v>9월 4주</v>
          </cell>
        </row>
        <row r="97">
          <cell r="A97">
            <v>41543</v>
          </cell>
          <cell r="B97" t="str">
            <v>목</v>
          </cell>
          <cell r="C97">
            <v>39</v>
          </cell>
          <cell r="D97">
            <v>9</v>
          </cell>
          <cell r="E97">
            <v>4</v>
          </cell>
          <cell r="F97" t="str">
            <v>9월 4주</v>
          </cell>
        </row>
        <row r="98">
          <cell r="A98">
            <v>41544</v>
          </cell>
          <cell r="B98" t="str">
            <v>금</v>
          </cell>
          <cell r="C98">
            <v>39</v>
          </cell>
          <cell r="D98">
            <v>9</v>
          </cell>
          <cell r="E98">
            <v>4</v>
          </cell>
          <cell r="F98" t="str">
            <v>9월 4주</v>
          </cell>
        </row>
        <row r="99">
          <cell r="A99">
            <v>41545</v>
          </cell>
          <cell r="B99" t="str">
            <v>토</v>
          </cell>
          <cell r="C99">
            <v>39</v>
          </cell>
          <cell r="D99">
            <v>9</v>
          </cell>
          <cell r="E99">
            <v>4</v>
          </cell>
          <cell r="F99" t="str">
            <v>9월 4주</v>
          </cell>
        </row>
        <row r="100">
          <cell r="A100">
            <v>41546</v>
          </cell>
          <cell r="B100" t="str">
            <v>일</v>
          </cell>
          <cell r="C100">
            <v>40</v>
          </cell>
          <cell r="D100">
            <v>10</v>
          </cell>
          <cell r="E100">
            <v>1</v>
          </cell>
          <cell r="F100" t="str">
            <v>10월 1주</v>
          </cell>
        </row>
        <row r="101">
          <cell r="A101">
            <v>41547</v>
          </cell>
          <cell r="B101" t="str">
            <v>월</v>
          </cell>
          <cell r="C101">
            <v>40</v>
          </cell>
          <cell r="D101">
            <v>10</v>
          </cell>
          <cell r="E101">
            <v>1</v>
          </cell>
          <cell r="F101" t="str">
            <v>10월 1주</v>
          </cell>
        </row>
        <row r="102">
          <cell r="A102">
            <v>41548</v>
          </cell>
          <cell r="B102" t="str">
            <v>화</v>
          </cell>
          <cell r="C102">
            <v>40</v>
          </cell>
          <cell r="D102">
            <v>10</v>
          </cell>
          <cell r="E102">
            <v>1</v>
          </cell>
          <cell r="F102" t="str">
            <v>10월 1주</v>
          </cell>
        </row>
        <row r="103">
          <cell r="A103">
            <v>41549</v>
          </cell>
          <cell r="B103" t="str">
            <v>수</v>
          </cell>
          <cell r="C103">
            <v>40</v>
          </cell>
          <cell r="D103">
            <v>10</v>
          </cell>
          <cell r="E103">
            <v>1</v>
          </cell>
          <cell r="F103" t="str">
            <v>10월 1주</v>
          </cell>
        </row>
        <row r="104">
          <cell r="A104">
            <v>41550</v>
          </cell>
          <cell r="B104" t="str">
            <v>목</v>
          </cell>
          <cell r="C104">
            <v>40</v>
          </cell>
          <cell r="D104">
            <v>10</v>
          </cell>
          <cell r="E104">
            <v>1</v>
          </cell>
          <cell r="F104" t="str">
            <v>10월 1주</v>
          </cell>
        </row>
        <row r="105">
          <cell r="A105">
            <v>41551</v>
          </cell>
          <cell r="B105" t="str">
            <v>금</v>
          </cell>
          <cell r="C105">
            <v>40</v>
          </cell>
          <cell r="D105">
            <v>10</v>
          </cell>
          <cell r="E105">
            <v>1</v>
          </cell>
          <cell r="F105" t="str">
            <v>10월 1주</v>
          </cell>
        </row>
        <row r="106">
          <cell r="A106">
            <v>41552</v>
          </cell>
          <cell r="B106" t="str">
            <v>토</v>
          </cell>
          <cell r="C106">
            <v>40</v>
          </cell>
          <cell r="D106">
            <v>10</v>
          </cell>
          <cell r="E106">
            <v>1</v>
          </cell>
          <cell r="F106" t="str">
            <v>10월 1주</v>
          </cell>
        </row>
        <row r="107">
          <cell r="A107">
            <v>41553</v>
          </cell>
          <cell r="B107" t="str">
            <v>일</v>
          </cell>
          <cell r="C107">
            <v>41</v>
          </cell>
          <cell r="D107">
            <v>10</v>
          </cell>
          <cell r="E107">
            <v>2</v>
          </cell>
          <cell r="F107" t="str">
            <v>10월 2주</v>
          </cell>
        </row>
        <row r="108">
          <cell r="A108">
            <v>41554</v>
          </cell>
          <cell r="B108" t="str">
            <v>월</v>
          </cell>
          <cell r="C108">
            <v>41</v>
          </cell>
          <cell r="D108">
            <v>10</v>
          </cell>
          <cell r="E108">
            <v>2</v>
          </cell>
          <cell r="F108" t="str">
            <v>10월 2주</v>
          </cell>
        </row>
        <row r="109">
          <cell r="A109">
            <v>41555</v>
          </cell>
          <cell r="B109" t="str">
            <v>화</v>
          </cell>
          <cell r="C109">
            <v>41</v>
          </cell>
          <cell r="D109">
            <v>10</v>
          </cell>
          <cell r="E109">
            <v>2</v>
          </cell>
          <cell r="F109" t="str">
            <v>10월 2주</v>
          </cell>
        </row>
        <row r="110">
          <cell r="A110">
            <v>41556</v>
          </cell>
          <cell r="B110" t="str">
            <v>수</v>
          </cell>
          <cell r="C110">
            <v>41</v>
          </cell>
          <cell r="D110">
            <v>10</v>
          </cell>
          <cell r="E110">
            <v>2</v>
          </cell>
          <cell r="F110" t="str">
            <v>10월 2주</v>
          </cell>
        </row>
        <row r="111">
          <cell r="A111">
            <v>41557</v>
          </cell>
          <cell r="B111" t="str">
            <v>목</v>
          </cell>
          <cell r="C111">
            <v>41</v>
          </cell>
          <cell r="D111">
            <v>10</v>
          </cell>
          <cell r="E111">
            <v>2</v>
          </cell>
          <cell r="F111" t="str">
            <v>10월 2주</v>
          </cell>
        </row>
        <row r="112">
          <cell r="A112">
            <v>41558</v>
          </cell>
          <cell r="B112" t="str">
            <v>금</v>
          </cell>
          <cell r="C112">
            <v>41</v>
          </cell>
          <cell r="D112">
            <v>10</v>
          </cell>
          <cell r="E112">
            <v>2</v>
          </cell>
          <cell r="F112" t="str">
            <v>10월 2주</v>
          </cell>
        </row>
        <row r="113">
          <cell r="A113">
            <v>41559</v>
          </cell>
          <cell r="B113" t="str">
            <v>토</v>
          </cell>
          <cell r="C113">
            <v>41</v>
          </cell>
          <cell r="D113">
            <v>10</v>
          </cell>
          <cell r="E113">
            <v>2</v>
          </cell>
          <cell r="F113" t="str">
            <v>10월 2주</v>
          </cell>
        </row>
        <row r="114">
          <cell r="A114">
            <v>41560</v>
          </cell>
          <cell r="B114" t="str">
            <v>일</v>
          </cell>
          <cell r="C114">
            <v>42</v>
          </cell>
          <cell r="D114">
            <v>10</v>
          </cell>
          <cell r="E114">
            <v>3</v>
          </cell>
          <cell r="F114" t="str">
            <v>10월 3주</v>
          </cell>
        </row>
        <row r="115">
          <cell r="A115">
            <v>41561</v>
          </cell>
          <cell r="B115" t="str">
            <v>월</v>
          </cell>
          <cell r="C115">
            <v>42</v>
          </cell>
          <cell r="D115">
            <v>10</v>
          </cell>
          <cell r="E115">
            <v>3</v>
          </cell>
          <cell r="F115" t="str">
            <v>10월 3주</v>
          </cell>
        </row>
        <row r="116">
          <cell r="A116">
            <v>41562</v>
          </cell>
          <cell r="B116" t="str">
            <v>화</v>
          </cell>
          <cell r="C116">
            <v>42</v>
          </cell>
          <cell r="D116">
            <v>10</v>
          </cell>
          <cell r="E116">
            <v>3</v>
          </cell>
          <cell r="F116" t="str">
            <v>10월 3주</v>
          </cell>
        </row>
        <row r="117">
          <cell r="A117">
            <v>41563</v>
          </cell>
          <cell r="B117" t="str">
            <v>수</v>
          </cell>
          <cell r="C117">
            <v>42</v>
          </cell>
          <cell r="D117">
            <v>10</v>
          </cell>
          <cell r="E117">
            <v>3</v>
          </cell>
          <cell r="F117" t="str">
            <v>10월 3주</v>
          </cell>
        </row>
        <row r="118">
          <cell r="A118">
            <v>41564</v>
          </cell>
          <cell r="B118" t="str">
            <v>목</v>
          </cell>
          <cell r="C118">
            <v>42</v>
          </cell>
          <cell r="D118">
            <v>10</v>
          </cell>
          <cell r="E118">
            <v>3</v>
          </cell>
          <cell r="F118" t="str">
            <v>10월 3주</v>
          </cell>
        </row>
        <row r="119">
          <cell r="A119">
            <v>41565</v>
          </cell>
          <cell r="B119" t="str">
            <v>금</v>
          </cell>
          <cell r="C119">
            <v>42</v>
          </cell>
          <cell r="D119">
            <v>10</v>
          </cell>
          <cell r="E119">
            <v>3</v>
          </cell>
          <cell r="F119" t="str">
            <v>10월 3주</v>
          </cell>
        </row>
        <row r="120">
          <cell r="A120">
            <v>41566</v>
          </cell>
          <cell r="B120" t="str">
            <v>토</v>
          </cell>
          <cell r="C120">
            <v>42</v>
          </cell>
          <cell r="D120">
            <v>10</v>
          </cell>
          <cell r="E120">
            <v>3</v>
          </cell>
          <cell r="F120" t="str">
            <v>10월 3주</v>
          </cell>
        </row>
        <row r="121">
          <cell r="A121">
            <v>41567</v>
          </cell>
          <cell r="B121" t="str">
            <v>일</v>
          </cell>
          <cell r="C121">
            <v>43</v>
          </cell>
          <cell r="D121">
            <v>10</v>
          </cell>
          <cell r="E121">
            <v>4</v>
          </cell>
          <cell r="F121" t="str">
            <v>10월 4주</v>
          </cell>
        </row>
        <row r="122">
          <cell r="A122">
            <v>41568</v>
          </cell>
          <cell r="B122" t="str">
            <v>월</v>
          </cell>
          <cell r="C122">
            <v>43</v>
          </cell>
          <cell r="D122">
            <v>10</v>
          </cell>
          <cell r="E122">
            <v>4</v>
          </cell>
          <cell r="F122" t="str">
            <v>10월 4주</v>
          </cell>
        </row>
        <row r="123">
          <cell r="A123">
            <v>41569</v>
          </cell>
          <cell r="B123" t="str">
            <v>화</v>
          </cell>
          <cell r="C123">
            <v>43</v>
          </cell>
          <cell r="D123">
            <v>10</v>
          </cell>
          <cell r="E123">
            <v>4</v>
          </cell>
          <cell r="F123" t="str">
            <v>10월 4주</v>
          </cell>
        </row>
        <row r="124">
          <cell r="A124">
            <v>41570</v>
          </cell>
          <cell r="B124" t="str">
            <v>수</v>
          </cell>
          <cell r="C124">
            <v>43</v>
          </cell>
          <cell r="D124">
            <v>10</v>
          </cell>
          <cell r="E124">
            <v>4</v>
          </cell>
          <cell r="F124" t="str">
            <v>10월 4주</v>
          </cell>
        </row>
        <row r="125">
          <cell r="A125">
            <v>41571</v>
          </cell>
          <cell r="B125" t="str">
            <v>목</v>
          </cell>
          <cell r="C125">
            <v>43</v>
          </cell>
          <cell r="D125">
            <v>10</v>
          </cell>
          <cell r="E125">
            <v>4</v>
          </cell>
          <cell r="F125" t="str">
            <v>10월 4주</v>
          </cell>
        </row>
        <row r="126">
          <cell r="A126">
            <v>41572</v>
          </cell>
          <cell r="B126" t="str">
            <v>금</v>
          </cell>
          <cell r="C126">
            <v>43</v>
          </cell>
          <cell r="D126">
            <v>10</v>
          </cell>
          <cell r="E126">
            <v>4</v>
          </cell>
          <cell r="F126" t="str">
            <v>10월 4주</v>
          </cell>
        </row>
        <row r="127">
          <cell r="A127">
            <v>41573</v>
          </cell>
          <cell r="B127" t="str">
            <v>토</v>
          </cell>
          <cell r="C127">
            <v>43</v>
          </cell>
          <cell r="D127">
            <v>10</v>
          </cell>
          <cell r="E127">
            <v>4</v>
          </cell>
          <cell r="F127" t="str">
            <v>10월 4주</v>
          </cell>
        </row>
        <row r="128">
          <cell r="A128">
            <v>41574</v>
          </cell>
          <cell r="B128" t="str">
            <v>일</v>
          </cell>
          <cell r="C128">
            <v>44</v>
          </cell>
          <cell r="D128">
            <v>10</v>
          </cell>
          <cell r="E128">
            <v>5</v>
          </cell>
          <cell r="F128" t="str">
            <v>10월 5주</v>
          </cell>
        </row>
        <row r="129">
          <cell r="A129">
            <v>41575</v>
          </cell>
          <cell r="B129" t="str">
            <v>월</v>
          </cell>
          <cell r="C129">
            <v>44</v>
          </cell>
          <cell r="D129">
            <v>10</v>
          </cell>
          <cell r="E129">
            <v>5</v>
          </cell>
          <cell r="F129" t="str">
            <v>10월 5주</v>
          </cell>
        </row>
        <row r="130">
          <cell r="A130">
            <v>41576</v>
          </cell>
          <cell r="B130" t="str">
            <v>화</v>
          </cell>
          <cell r="C130">
            <v>44</v>
          </cell>
          <cell r="D130">
            <v>10</v>
          </cell>
          <cell r="E130">
            <v>5</v>
          </cell>
          <cell r="F130" t="str">
            <v>10월 5주</v>
          </cell>
        </row>
        <row r="131">
          <cell r="A131">
            <v>41577</v>
          </cell>
          <cell r="B131" t="str">
            <v>수</v>
          </cell>
          <cell r="C131">
            <v>44</v>
          </cell>
          <cell r="D131">
            <v>10</v>
          </cell>
          <cell r="E131">
            <v>5</v>
          </cell>
          <cell r="F131" t="str">
            <v>10월 5주</v>
          </cell>
        </row>
        <row r="132">
          <cell r="A132">
            <v>41578</v>
          </cell>
          <cell r="B132" t="str">
            <v>목</v>
          </cell>
          <cell r="C132">
            <v>44</v>
          </cell>
          <cell r="D132">
            <v>10</v>
          </cell>
          <cell r="E132">
            <v>5</v>
          </cell>
          <cell r="F132" t="str">
            <v>10월 5주</v>
          </cell>
        </row>
        <row r="133">
          <cell r="A133">
            <v>41579</v>
          </cell>
          <cell r="B133" t="str">
            <v>금</v>
          </cell>
          <cell r="C133">
            <v>44</v>
          </cell>
          <cell r="D133">
            <v>10</v>
          </cell>
          <cell r="E133">
            <v>5</v>
          </cell>
          <cell r="F133" t="str">
            <v>10월 5주</v>
          </cell>
        </row>
        <row r="134">
          <cell r="A134">
            <v>41580</v>
          </cell>
          <cell r="B134" t="str">
            <v>토</v>
          </cell>
          <cell r="C134">
            <v>44</v>
          </cell>
          <cell r="D134">
            <v>10</v>
          </cell>
          <cell r="E134">
            <v>5</v>
          </cell>
          <cell r="F134" t="str">
            <v>10월 5주</v>
          </cell>
        </row>
        <row r="135">
          <cell r="A135">
            <v>41581</v>
          </cell>
          <cell r="B135" t="str">
            <v>일</v>
          </cell>
          <cell r="C135">
            <v>45</v>
          </cell>
          <cell r="D135">
            <v>11</v>
          </cell>
          <cell r="E135">
            <v>1</v>
          </cell>
          <cell r="F135" t="str">
            <v>11월 1주</v>
          </cell>
        </row>
        <row r="136">
          <cell r="A136">
            <v>41582</v>
          </cell>
          <cell r="B136" t="str">
            <v>월</v>
          </cell>
          <cell r="C136">
            <v>45</v>
          </cell>
          <cell r="D136">
            <v>11</v>
          </cell>
          <cell r="E136">
            <v>1</v>
          </cell>
          <cell r="F136" t="str">
            <v>11월 1주</v>
          </cell>
        </row>
        <row r="137">
          <cell r="A137">
            <v>41583</v>
          </cell>
          <cell r="B137" t="str">
            <v>화</v>
          </cell>
          <cell r="C137">
            <v>45</v>
          </cell>
          <cell r="D137">
            <v>11</v>
          </cell>
          <cell r="E137">
            <v>1</v>
          </cell>
          <cell r="F137" t="str">
            <v>11월 1주</v>
          </cell>
        </row>
        <row r="138">
          <cell r="A138">
            <v>41584</v>
          </cell>
          <cell r="B138" t="str">
            <v>수</v>
          </cell>
          <cell r="C138">
            <v>45</v>
          </cell>
          <cell r="D138">
            <v>11</v>
          </cell>
          <cell r="E138">
            <v>1</v>
          </cell>
          <cell r="F138" t="str">
            <v>11월 1주</v>
          </cell>
        </row>
        <row r="139">
          <cell r="A139">
            <v>41585</v>
          </cell>
          <cell r="B139" t="str">
            <v>목</v>
          </cell>
          <cell r="C139">
            <v>45</v>
          </cell>
          <cell r="D139">
            <v>11</v>
          </cell>
          <cell r="E139">
            <v>1</v>
          </cell>
          <cell r="F139" t="str">
            <v>11월 1주</v>
          </cell>
        </row>
        <row r="140">
          <cell r="A140">
            <v>41586</v>
          </cell>
          <cell r="B140" t="str">
            <v>금</v>
          </cell>
          <cell r="C140">
            <v>45</v>
          </cell>
          <cell r="D140">
            <v>11</v>
          </cell>
          <cell r="E140">
            <v>1</v>
          </cell>
          <cell r="F140" t="str">
            <v>11월 1주</v>
          </cell>
        </row>
        <row r="141">
          <cell r="A141">
            <v>41587</v>
          </cell>
          <cell r="B141" t="str">
            <v>토</v>
          </cell>
          <cell r="C141">
            <v>45</v>
          </cell>
          <cell r="D141">
            <v>11</v>
          </cell>
          <cell r="E141">
            <v>1</v>
          </cell>
          <cell r="F141" t="str">
            <v>11월 1주</v>
          </cell>
        </row>
        <row r="142">
          <cell r="A142">
            <v>41588</v>
          </cell>
          <cell r="B142" t="str">
            <v>일</v>
          </cell>
          <cell r="C142">
            <v>46</v>
          </cell>
          <cell r="D142">
            <v>11</v>
          </cell>
          <cell r="E142">
            <v>2</v>
          </cell>
          <cell r="F142" t="str">
            <v>11월 2주</v>
          </cell>
        </row>
        <row r="143">
          <cell r="A143">
            <v>41589</v>
          </cell>
          <cell r="B143" t="str">
            <v>월</v>
          </cell>
          <cell r="C143">
            <v>46</v>
          </cell>
          <cell r="D143">
            <v>11</v>
          </cell>
          <cell r="E143">
            <v>2</v>
          </cell>
          <cell r="F143" t="str">
            <v>11월 2주</v>
          </cell>
        </row>
        <row r="144">
          <cell r="A144">
            <v>41590</v>
          </cell>
          <cell r="B144" t="str">
            <v>화</v>
          </cell>
          <cell r="C144">
            <v>46</v>
          </cell>
          <cell r="D144">
            <v>11</v>
          </cell>
          <cell r="E144">
            <v>2</v>
          </cell>
          <cell r="F144" t="str">
            <v>11월 2주</v>
          </cell>
        </row>
        <row r="145">
          <cell r="A145">
            <v>41591</v>
          </cell>
          <cell r="B145" t="str">
            <v>수</v>
          </cell>
          <cell r="C145">
            <v>46</v>
          </cell>
          <cell r="D145">
            <v>11</v>
          </cell>
          <cell r="E145">
            <v>2</v>
          </cell>
          <cell r="F145" t="str">
            <v>11월 2주</v>
          </cell>
        </row>
        <row r="146">
          <cell r="A146">
            <v>41592</v>
          </cell>
          <cell r="B146" t="str">
            <v>목</v>
          </cell>
          <cell r="C146">
            <v>46</v>
          </cell>
          <cell r="D146">
            <v>11</v>
          </cell>
          <cell r="E146">
            <v>2</v>
          </cell>
          <cell r="F146" t="str">
            <v>11월 2주</v>
          </cell>
        </row>
        <row r="147">
          <cell r="A147">
            <v>41593</v>
          </cell>
          <cell r="B147" t="str">
            <v>금</v>
          </cell>
          <cell r="C147">
            <v>46</v>
          </cell>
          <cell r="D147">
            <v>11</v>
          </cell>
          <cell r="E147">
            <v>2</v>
          </cell>
          <cell r="F147" t="str">
            <v>11월 2주</v>
          </cell>
        </row>
        <row r="148">
          <cell r="A148">
            <v>41594</v>
          </cell>
          <cell r="B148" t="str">
            <v>토</v>
          </cell>
          <cell r="C148">
            <v>46</v>
          </cell>
          <cell r="D148">
            <v>11</v>
          </cell>
          <cell r="E148">
            <v>2</v>
          </cell>
          <cell r="F148" t="str">
            <v>11월 2주</v>
          </cell>
        </row>
        <row r="149">
          <cell r="A149">
            <v>41595</v>
          </cell>
          <cell r="B149" t="str">
            <v>일</v>
          </cell>
          <cell r="C149">
            <v>47</v>
          </cell>
          <cell r="D149">
            <v>11</v>
          </cell>
          <cell r="E149">
            <v>3</v>
          </cell>
          <cell r="F149" t="str">
            <v>11월 3주</v>
          </cell>
        </row>
        <row r="150">
          <cell r="A150">
            <v>41596</v>
          </cell>
          <cell r="B150" t="str">
            <v>월</v>
          </cell>
          <cell r="C150">
            <v>47</v>
          </cell>
          <cell r="D150">
            <v>11</v>
          </cell>
          <cell r="E150">
            <v>3</v>
          </cell>
          <cell r="F150" t="str">
            <v>11월 3주</v>
          </cell>
        </row>
        <row r="151">
          <cell r="A151">
            <v>41597</v>
          </cell>
          <cell r="B151" t="str">
            <v>화</v>
          </cell>
          <cell r="C151">
            <v>47</v>
          </cell>
          <cell r="D151">
            <v>11</v>
          </cell>
          <cell r="E151">
            <v>3</v>
          </cell>
          <cell r="F151" t="str">
            <v>11월 3주</v>
          </cell>
        </row>
        <row r="152">
          <cell r="A152">
            <v>41598</v>
          </cell>
          <cell r="B152" t="str">
            <v>수</v>
          </cell>
          <cell r="C152">
            <v>47</v>
          </cell>
          <cell r="D152">
            <v>11</v>
          </cell>
          <cell r="E152">
            <v>3</v>
          </cell>
          <cell r="F152" t="str">
            <v>11월 3주</v>
          </cell>
        </row>
        <row r="153">
          <cell r="A153">
            <v>41599</v>
          </cell>
          <cell r="B153" t="str">
            <v>목</v>
          </cell>
          <cell r="C153">
            <v>47</v>
          </cell>
          <cell r="D153">
            <v>11</v>
          </cell>
          <cell r="E153">
            <v>3</v>
          </cell>
          <cell r="F153" t="str">
            <v>11월 3주</v>
          </cell>
        </row>
        <row r="154">
          <cell r="A154">
            <v>41600</v>
          </cell>
          <cell r="B154" t="str">
            <v>금</v>
          </cell>
          <cell r="C154">
            <v>47</v>
          </cell>
          <cell r="D154">
            <v>11</v>
          </cell>
          <cell r="E154">
            <v>3</v>
          </cell>
          <cell r="F154" t="str">
            <v>11월 3주</v>
          </cell>
        </row>
        <row r="155">
          <cell r="A155">
            <v>41601</v>
          </cell>
          <cell r="B155" t="str">
            <v>토</v>
          </cell>
          <cell r="C155">
            <v>47</v>
          </cell>
          <cell r="D155">
            <v>11</v>
          </cell>
          <cell r="E155">
            <v>3</v>
          </cell>
          <cell r="F155" t="str">
            <v>11월 3주</v>
          </cell>
        </row>
        <row r="156">
          <cell r="A156">
            <v>41602</v>
          </cell>
          <cell r="B156" t="str">
            <v>일</v>
          </cell>
          <cell r="C156">
            <v>48</v>
          </cell>
          <cell r="D156">
            <v>11</v>
          </cell>
          <cell r="E156">
            <v>4</v>
          </cell>
          <cell r="F156" t="str">
            <v>11월 4주</v>
          </cell>
        </row>
        <row r="157">
          <cell r="A157">
            <v>41603</v>
          </cell>
          <cell r="B157" t="str">
            <v>월</v>
          </cell>
          <cell r="C157">
            <v>48</v>
          </cell>
          <cell r="D157">
            <v>11</v>
          </cell>
          <cell r="E157">
            <v>4</v>
          </cell>
          <cell r="F157" t="str">
            <v>11월 4주</v>
          </cell>
        </row>
        <row r="158">
          <cell r="A158">
            <v>41604</v>
          </cell>
          <cell r="B158" t="str">
            <v>화</v>
          </cell>
          <cell r="C158">
            <v>48</v>
          </cell>
          <cell r="D158">
            <v>11</v>
          </cell>
          <cell r="E158">
            <v>4</v>
          </cell>
          <cell r="F158" t="str">
            <v>11월 4주</v>
          </cell>
        </row>
        <row r="159">
          <cell r="A159">
            <v>41605</v>
          </cell>
          <cell r="B159" t="str">
            <v>수</v>
          </cell>
          <cell r="C159">
            <v>48</v>
          </cell>
          <cell r="D159">
            <v>11</v>
          </cell>
          <cell r="E159">
            <v>4</v>
          </cell>
          <cell r="F159" t="str">
            <v>11월 4주</v>
          </cell>
        </row>
        <row r="160">
          <cell r="A160">
            <v>41606</v>
          </cell>
          <cell r="B160" t="str">
            <v>목</v>
          </cell>
          <cell r="C160">
            <v>48</v>
          </cell>
          <cell r="D160">
            <v>11</v>
          </cell>
          <cell r="E160">
            <v>4</v>
          </cell>
          <cell r="F160" t="str">
            <v>11월 4주</v>
          </cell>
        </row>
        <row r="161">
          <cell r="A161">
            <v>41607</v>
          </cell>
          <cell r="B161" t="str">
            <v>금</v>
          </cell>
          <cell r="C161">
            <v>48</v>
          </cell>
          <cell r="D161">
            <v>11</v>
          </cell>
          <cell r="E161">
            <v>4</v>
          </cell>
          <cell r="F161" t="str">
            <v>11월 4주</v>
          </cell>
        </row>
        <row r="162">
          <cell r="A162">
            <v>41608</v>
          </cell>
          <cell r="B162" t="str">
            <v>토</v>
          </cell>
          <cell r="C162">
            <v>48</v>
          </cell>
          <cell r="D162">
            <v>11</v>
          </cell>
          <cell r="E162">
            <v>4</v>
          </cell>
          <cell r="F162" t="str">
            <v>11월 4주</v>
          </cell>
        </row>
        <row r="163">
          <cell r="A163">
            <v>41609</v>
          </cell>
          <cell r="B163" t="str">
            <v>일</v>
          </cell>
          <cell r="C163">
            <v>49</v>
          </cell>
          <cell r="D163">
            <v>12</v>
          </cell>
          <cell r="E163">
            <v>1</v>
          </cell>
          <cell r="F163" t="str">
            <v>12월 1주</v>
          </cell>
        </row>
        <row r="164">
          <cell r="A164">
            <v>41610</v>
          </cell>
          <cell r="B164" t="str">
            <v>월</v>
          </cell>
          <cell r="C164">
            <v>49</v>
          </cell>
          <cell r="D164">
            <v>12</v>
          </cell>
          <cell r="E164">
            <v>1</v>
          </cell>
          <cell r="F164" t="str">
            <v>12월 1주</v>
          </cell>
        </row>
        <row r="165">
          <cell r="A165">
            <v>41611</v>
          </cell>
          <cell r="B165" t="str">
            <v>화</v>
          </cell>
          <cell r="C165">
            <v>49</v>
          </cell>
          <cell r="D165">
            <v>12</v>
          </cell>
          <cell r="E165">
            <v>1</v>
          </cell>
          <cell r="F165" t="str">
            <v>12월 1주</v>
          </cell>
        </row>
        <row r="166">
          <cell r="A166">
            <v>41612</v>
          </cell>
          <cell r="B166" t="str">
            <v>수</v>
          </cell>
          <cell r="C166">
            <v>49</v>
          </cell>
          <cell r="D166">
            <v>12</v>
          </cell>
          <cell r="E166">
            <v>1</v>
          </cell>
          <cell r="F166" t="str">
            <v>12월 1주</v>
          </cell>
        </row>
        <row r="167">
          <cell r="A167">
            <v>41613</v>
          </cell>
          <cell r="B167" t="str">
            <v>목</v>
          </cell>
          <cell r="C167">
            <v>49</v>
          </cell>
          <cell r="D167">
            <v>12</v>
          </cell>
          <cell r="E167">
            <v>1</v>
          </cell>
          <cell r="F167" t="str">
            <v>12월 1주</v>
          </cell>
        </row>
        <row r="168">
          <cell r="A168">
            <v>41614</v>
          </cell>
          <cell r="B168" t="str">
            <v>금</v>
          </cell>
          <cell r="C168">
            <v>49</v>
          </cell>
          <cell r="D168">
            <v>12</v>
          </cell>
          <cell r="E168">
            <v>1</v>
          </cell>
          <cell r="F168" t="str">
            <v>12월 1주</v>
          </cell>
        </row>
        <row r="169">
          <cell r="A169">
            <v>41615</v>
          </cell>
          <cell r="B169" t="str">
            <v>토</v>
          </cell>
          <cell r="C169">
            <v>49</v>
          </cell>
          <cell r="D169">
            <v>12</v>
          </cell>
          <cell r="E169">
            <v>1</v>
          </cell>
          <cell r="F169" t="str">
            <v>12월 1주</v>
          </cell>
        </row>
        <row r="170">
          <cell r="A170">
            <v>41616</v>
          </cell>
          <cell r="B170" t="str">
            <v>일</v>
          </cell>
          <cell r="C170">
            <v>50</v>
          </cell>
          <cell r="D170">
            <v>12</v>
          </cell>
          <cell r="E170">
            <v>2</v>
          </cell>
          <cell r="F170" t="str">
            <v>12월 2주</v>
          </cell>
        </row>
        <row r="171">
          <cell r="A171">
            <v>41617</v>
          </cell>
          <cell r="B171" t="str">
            <v>월</v>
          </cell>
          <cell r="C171">
            <v>50</v>
          </cell>
          <cell r="D171">
            <v>12</v>
          </cell>
          <cell r="E171">
            <v>2</v>
          </cell>
          <cell r="F171" t="str">
            <v>12월 2주</v>
          </cell>
        </row>
        <row r="172">
          <cell r="A172">
            <v>41618</v>
          </cell>
          <cell r="B172" t="str">
            <v>화</v>
          </cell>
          <cell r="C172">
            <v>50</v>
          </cell>
          <cell r="D172">
            <v>12</v>
          </cell>
          <cell r="E172">
            <v>2</v>
          </cell>
          <cell r="F172" t="str">
            <v>12월 2주</v>
          </cell>
        </row>
        <row r="173">
          <cell r="A173">
            <v>41619</v>
          </cell>
          <cell r="B173" t="str">
            <v>수</v>
          </cell>
          <cell r="C173">
            <v>50</v>
          </cell>
          <cell r="D173">
            <v>12</v>
          </cell>
          <cell r="E173">
            <v>2</v>
          </cell>
          <cell r="F173" t="str">
            <v>12월 2주</v>
          </cell>
        </row>
        <row r="174">
          <cell r="A174">
            <v>41620</v>
          </cell>
          <cell r="B174" t="str">
            <v>목</v>
          </cell>
          <cell r="C174">
            <v>50</v>
          </cell>
          <cell r="D174">
            <v>12</v>
          </cell>
          <cell r="E174">
            <v>2</v>
          </cell>
          <cell r="F174" t="str">
            <v>12월 2주</v>
          </cell>
        </row>
        <row r="175">
          <cell r="A175">
            <v>41621</v>
          </cell>
          <cell r="B175" t="str">
            <v>금</v>
          </cell>
          <cell r="C175">
            <v>50</v>
          </cell>
          <cell r="D175">
            <v>12</v>
          </cell>
          <cell r="E175">
            <v>2</v>
          </cell>
          <cell r="F175" t="str">
            <v>12월 2주</v>
          </cell>
        </row>
        <row r="176">
          <cell r="A176">
            <v>41622</v>
          </cell>
          <cell r="B176" t="str">
            <v>토</v>
          </cell>
          <cell r="C176">
            <v>50</v>
          </cell>
          <cell r="D176">
            <v>12</v>
          </cell>
          <cell r="E176">
            <v>2</v>
          </cell>
          <cell r="F176" t="str">
            <v>12월 2주</v>
          </cell>
        </row>
        <row r="177">
          <cell r="A177">
            <v>41623</v>
          </cell>
          <cell r="B177" t="str">
            <v>일</v>
          </cell>
          <cell r="C177">
            <v>51</v>
          </cell>
          <cell r="D177">
            <v>12</v>
          </cell>
          <cell r="E177">
            <v>3</v>
          </cell>
          <cell r="F177" t="str">
            <v>12월 3주</v>
          </cell>
        </row>
        <row r="178">
          <cell r="A178">
            <v>41624</v>
          </cell>
          <cell r="B178" t="str">
            <v>월</v>
          </cell>
          <cell r="C178">
            <v>51</v>
          </cell>
          <cell r="D178">
            <v>12</v>
          </cell>
          <cell r="E178">
            <v>3</v>
          </cell>
          <cell r="F178" t="str">
            <v>12월 3주</v>
          </cell>
        </row>
        <row r="179">
          <cell r="A179">
            <v>41625</v>
          </cell>
          <cell r="B179" t="str">
            <v>화</v>
          </cell>
          <cell r="C179">
            <v>51</v>
          </cell>
          <cell r="D179">
            <v>12</v>
          </cell>
          <cell r="E179">
            <v>3</v>
          </cell>
          <cell r="F179" t="str">
            <v>12월 3주</v>
          </cell>
        </row>
        <row r="180">
          <cell r="A180">
            <v>41626</v>
          </cell>
          <cell r="B180" t="str">
            <v>수</v>
          </cell>
          <cell r="C180">
            <v>51</v>
          </cell>
          <cell r="D180">
            <v>12</v>
          </cell>
          <cell r="E180">
            <v>3</v>
          </cell>
          <cell r="F180" t="str">
            <v>12월 3주</v>
          </cell>
        </row>
        <row r="181">
          <cell r="A181">
            <v>41627</v>
          </cell>
          <cell r="B181" t="str">
            <v>목</v>
          </cell>
          <cell r="C181">
            <v>51</v>
          </cell>
          <cell r="D181">
            <v>12</v>
          </cell>
          <cell r="E181">
            <v>3</v>
          </cell>
          <cell r="F181" t="str">
            <v>12월 3주</v>
          </cell>
        </row>
        <row r="182">
          <cell r="A182">
            <v>41628</v>
          </cell>
          <cell r="B182" t="str">
            <v>금</v>
          </cell>
          <cell r="C182">
            <v>51</v>
          </cell>
          <cell r="D182">
            <v>12</v>
          </cell>
          <cell r="E182">
            <v>3</v>
          </cell>
          <cell r="F182" t="str">
            <v>12월 3주</v>
          </cell>
        </row>
        <row r="183">
          <cell r="A183">
            <v>41629</v>
          </cell>
          <cell r="B183" t="str">
            <v>토</v>
          </cell>
          <cell r="C183">
            <v>51</v>
          </cell>
          <cell r="D183">
            <v>12</v>
          </cell>
          <cell r="E183">
            <v>3</v>
          </cell>
          <cell r="F183" t="str">
            <v>12월 3주</v>
          </cell>
        </row>
        <row r="184">
          <cell r="A184">
            <v>41630</v>
          </cell>
          <cell r="B184" t="str">
            <v>일</v>
          </cell>
          <cell r="C184">
            <v>52</v>
          </cell>
          <cell r="D184">
            <v>12</v>
          </cell>
          <cell r="E184">
            <v>4</v>
          </cell>
          <cell r="F184" t="str">
            <v>12월 4주</v>
          </cell>
        </row>
        <row r="185">
          <cell r="A185">
            <v>41631</v>
          </cell>
          <cell r="B185" t="str">
            <v>월</v>
          </cell>
          <cell r="C185">
            <v>52</v>
          </cell>
          <cell r="D185">
            <v>12</v>
          </cell>
          <cell r="E185">
            <v>4</v>
          </cell>
          <cell r="F185" t="str">
            <v>12월 4주</v>
          </cell>
        </row>
        <row r="186">
          <cell r="A186">
            <v>41632</v>
          </cell>
          <cell r="B186" t="str">
            <v>화</v>
          </cell>
          <cell r="C186">
            <v>52</v>
          </cell>
          <cell r="D186">
            <v>12</v>
          </cell>
          <cell r="E186">
            <v>4</v>
          </cell>
          <cell r="F186" t="str">
            <v>12월 4주</v>
          </cell>
        </row>
        <row r="187">
          <cell r="A187">
            <v>41633</v>
          </cell>
          <cell r="B187" t="str">
            <v>수</v>
          </cell>
          <cell r="C187">
            <v>52</v>
          </cell>
          <cell r="D187">
            <v>12</v>
          </cell>
          <cell r="E187">
            <v>4</v>
          </cell>
          <cell r="F187" t="str">
            <v>12월 4주</v>
          </cell>
        </row>
        <row r="188">
          <cell r="A188">
            <v>41634</v>
          </cell>
          <cell r="B188" t="str">
            <v>목</v>
          </cell>
          <cell r="C188">
            <v>52</v>
          </cell>
          <cell r="D188">
            <v>12</v>
          </cell>
          <cell r="E188">
            <v>4</v>
          </cell>
          <cell r="F188" t="str">
            <v>12월 4주</v>
          </cell>
        </row>
        <row r="189">
          <cell r="A189">
            <v>41635</v>
          </cell>
          <cell r="B189" t="str">
            <v>금</v>
          </cell>
          <cell r="C189">
            <v>52</v>
          </cell>
          <cell r="D189">
            <v>12</v>
          </cell>
          <cell r="E189">
            <v>4</v>
          </cell>
          <cell r="F189" t="str">
            <v>12월 4주</v>
          </cell>
        </row>
        <row r="190">
          <cell r="A190">
            <v>41636</v>
          </cell>
          <cell r="B190" t="str">
            <v>토</v>
          </cell>
          <cell r="C190">
            <v>52</v>
          </cell>
          <cell r="D190">
            <v>12</v>
          </cell>
          <cell r="E190">
            <v>4</v>
          </cell>
          <cell r="F190" t="str">
            <v>12월 4주</v>
          </cell>
        </row>
        <row r="191">
          <cell r="A191">
            <v>41637</v>
          </cell>
          <cell r="B191" t="str">
            <v>일</v>
          </cell>
          <cell r="C191">
            <v>53</v>
          </cell>
          <cell r="D191">
            <v>1</v>
          </cell>
          <cell r="E191">
            <v>1</v>
          </cell>
          <cell r="F191" t="str">
            <v>1월 1주</v>
          </cell>
        </row>
        <row r="192">
          <cell r="A192">
            <v>41638</v>
          </cell>
          <cell r="B192" t="str">
            <v>월</v>
          </cell>
          <cell r="C192">
            <v>53</v>
          </cell>
          <cell r="D192">
            <v>1</v>
          </cell>
          <cell r="E192">
            <v>1</v>
          </cell>
          <cell r="F192" t="str">
            <v>1월 1주</v>
          </cell>
        </row>
        <row r="193">
          <cell r="A193">
            <v>41639</v>
          </cell>
          <cell r="B193" t="str">
            <v>화</v>
          </cell>
          <cell r="C193">
            <v>53</v>
          </cell>
          <cell r="D193">
            <v>1</v>
          </cell>
          <cell r="E193">
            <v>1</v>
          </cell>
          <cell r="F193" t="str">
            <v>1월 1주</v>
          </cell>
        </row>
        <row r="194">
          <cell r="A194">
            <v>41640</v>
          </cell>
          <cell r="B194" t="str">
            <v>수</v>
          </cell>
          <cell r="C194">
            <v>1</v>
          </cell>
          <cell r="D194">
            <v>1</v>
          </cell>
          <cell r="E194">
            <v>1</v>
          </cell>
          <cell r="F194" t="str">
            <v>1월 1주</v>
          </cell>
        </row>
        <row r="195">
          <cell r="A195">
            <v>41641</v>
          </cell>
          <cell r="B195" t="str">
            <v>목</v>
          </cell>
          <cell r="C195">
            <v>1</v>
          </cell>
          <cell r="D195">
            <v>1</v>
          </cell>
          <cell r="E195">
            <v>1</v>
          </cell>
          <cell r="F195" t="str">
            <v>1월 1주</v>
          </cell>
        </row>
        <row r="196">
          <cell r="A196">
            <v>41642</v>
          </cell>
          <cell r="B196" t="str">
            <v>금</v>
          </cell>
          <cell r="C196">
            <v>1</v>
          </cell>
          <cell r="D196">
            <v>1</v>
          </cell>
          <cell r="E196">
            <v>1</v>
          </cell>
          <cell r="F196" t="str">
            <v>1월 1주</v>
          </cell>
        </row>
        <row r="197">
          <cell r="A197">
            <v>41643</v>
          </cell>
          <cell r="B197" t="str">
            <v>토</v>
          </cell>
          <cell r="C197">
            <v>1</v>
          </cell>
          <cell r="D197">
            <v>1</v>
          </cell>
          <cell r="E197">
            <v>1</v>
          </cell>
          <cell r="F197" t="str">
            <v>1월 1주</v>
          </cell>
        </row>
        <row r="198">
          <cell r="A198">
            <v>41644</v>
          </cell>
          <cell r="B198" t="str">
            <v>일</v>
          </cell>
          <cell r="C198">
            <v>2</v>
          </cell>
          <cell r="D198">
            <v>1</v>
          </cell>
          <cell r="E198">
            <v>2</v>
          </cell>
          <cell r="F198" t="str">
            <v>1월 2주</v>
          </cell>
        </row>
        <row r="199">
          <cell r="A199">
            <v>41645</v>
          </cell>
          <cell r="B199" t="str">
            <v>월</v>
          </cell>
          <cell r="C199">
            <v>2</v>
          </cell>
          <cell r="D199">
            <v>1</v>
          </cell>
          <cell r="E199">
            <v>2</v>
          </cell>
          <cell r="F199" t="str">
            <v>1월 2주</v>
          </cell>
        </row>
        <row r="200">
          <cell r="A200">
            <v>41646</v>
          </cell>
          <cell r="B200" t="str">
            <v>화</v>
          </cell>
          <cell r="C200">
            <v>2</v>
          </cell>
          <cell r="D200">
            <v>1</v>
          </cell>
          <cell r="E200">
            <v>2</v>
          </cell>
          <cell r="F200" t="str">
            <v>1월 2주</v>
          </cell>
        </row>
        <row r="201">
          <cell r="A201">
            <v>41647</v>
          </cell>
          <cell r="B201" t="str">
            <v>수</v>
          </cell>
          <cell r="C201">
            <v>2</v>
          </cell>
          <cell r="D201">
            <v>1</v>
          </cell>
          <cell r="E201">
            <v>2</v>
          </cell>
          <cell r="F201" t="str">
            <v>1월 2주</v>
          </cell>
        </row>
        <row r="202">
          <cell r="A202">
            <v>41648</v>
          </cell>
          <cell r="B202" t="str">
            <v>목</v>
          </cell>
          <cell r="C202">
            <v>2</v>
          </cell>
          <cell r="D202">
            <v>1</v>
          </cell>
          <cell r="E202">
            <v>2</v>
          </cell>
          <cell r="F202" t="str">
            <v>1월 2주</v>
          </cell>
        </row>
        <row r="203">
          <cell r="A203">
            <v>41649</v>
          </cell>
          <cell r="B203" t="str">
            <v>금</v>
          </cell>
          <cell r="C203">
            <v>2</v>
          </cell>
          <cell r="D203">
            <v>1</v>
          </cell>
          <cell r="E203">
            <v>2</v>
          </cell>
          <cell r="F203" t="str">
            <v>1월 2주</v>
          </cell>
        </row>
        <row r="204">
          <cell r="A204">
            <v>41650</v>
          </cell>
          <cell r="B204" t="str">
            <v>토</v>
          </cell>
          <cell r="C204">
            <v>2</v>
          </cell>
          <cell r="D204">
            <v>1</v>
          </cell>
          <cell r="E204">
            <v>2</v>
          </cell>
          <cell r="F204" t="str">
            <v>1월 2주</v>
          </cell>
        </row>
        <row r="205">
          <cell r="A205">
            <v>41651</v>
          </cell>
          <cell r="B205" t="str">
            <v>일</v>
          </cell>
          <cell r="C205">
            <v>3</v>
          </cell>
          <cell r="D205">
            <v>1</v>
          </cell>
          <cell r="E205">
            <v>3</v>
          </cell>
          <cell r="F205" t="str">
            <v>1월 3주</v>
          </cell>
        </row>
        <row r="206">
          <cell r="A206">
            <v>41652</v>
          </cell>
          <cell r="B206" t="str">
            <v>월</v>
          </cell>
          <cell r="C206">
            <v>3</v>
          </cell>
          <cell r="D206">
            <v>1</v>
          </cell>
          <cell r="E206">
            <v>3</v>
          </cell>
          <cell r="F206" t="str">
            <v>1월 3주</v>
          </cell>
        </row>
        <row r="207">
          <cell r="A207">
            <v>41653</v>
          </cell>
          <cell r="B207" t="str">
            <v>화</v>
          </cell>
          <cell r="C207">
            <v>3</v>
          </cell>
          <cell r="D207">
            <v>1</v>
          </cell>
          <cell r="E207">
            <v>3</v>
          </cell>
          <cell r="F207" t="str">
            <v>1월 3주</v>
          </cell>
        </row>
        <row r="208">
          <cell r="A208">
            <v>41654</v>
          </cell>
          <cell r="B208" t="str">
            <v>수</v>
          </cell>
          <cell r="C208">
            <v>3</v>
          </cell>
          <cell r="D208">
            <v>1</v>
          </cell>
          <cell r="E208">
            <v>3</v>
          </cell>
          <cell r="F208" t="str">
            <v>1월 3주</v>
          </cell>
        </row>
        <row r="209">
          <cell r="A209">
            <v>41655</v>
          </cell>
          <cell r="B209" t="str">
            <v>목</v>
          </cell>
          <cell r="C209">
            <v>3</v>
          </cell>
          <cell r="D209">
            <v>1</v>
          </cell>
          <cell r="E209">
            <v>3</v>
          </cell>
          <cell r="F209" t="str">
            <v>1월 3주</v>
          </cell>
        </row>
        <row r="210">
          <cell r="A210">
            <v>41656</v>
          </cell>
          <cell r="B210" t="str">
            <v>금</v>
          </cell>
          <cell r="C210">
            <v>3</v>
          </cell>
          <cell r="D210">
            <v>1</v>
          </cell>
          <cell r="E210">
            <v>3</v>
          </cell>
          <cell r="F210" t="str">
            <v>1월 3주</v>
          </cell>
        </row>
        <row r="211">
          <cell r="A211">
            <v>41657</v>
          </cell>
          <cell r="B211" t="str">
            <v>토</v>
          </cell>
          <cell r="C211">
            <v>3</v>
          </cell>
          <cell r="D211">
            <v>1</v>
          </cell>
          <cell r="E211">
            <v>3</v>
          </cell>
          <cell r="F211" t="str">
            <v>1월 3주</v>
          </cell>
        </row>
        <row r="212">
          <cell r="A212">
            <v>41658</v>
          </cell>
          <cell r="B212" t="str">
            <v>일</v>
          </cell>
          <cell r="C212">
            <v>4</v>
          </cell>
          <cell r="D212">
            <v>1</v>
          </cell>
          <cell r="E212">
            <v>4</v>
          </cell>
          <cell r="F212" t="str">
            <v>1월 4주</v>
          </cell>
        </row>
        <row r="213">
          <cell r="A213">
            <v>41659</v>
          </cell>
          <cell r="B213" t="str">
            <v>월</v>
          </cell>
          <cell r="C213">
            <v>4</v>
          </cell>
          <cell r="D213">
            <v>1</v>
          </cell>
          <cell r="E213">
            <v>4</v>
          </cell>
          <cell r="F213" t="str">
            <v>1월 4주</v>
          </cell>
        </row>
        <row r="214">
          <cell r="A214">
            <v>41660</v>
          </cell>
          <cell r="B214" t="str">
            <v>화</v>
          </cell>
          <cell r="C214">
            <v>4</v>
          </cell>
          <cell r="D214">
            <v>1</v>
          </cell>
          <cell r="E214">
            <v>4</v>
          </cell>
          <cell r="F214" t="str">
            <v>1월 4주</v>
          </cell>
        </row>
        <row r="215">
          <cell r="A215">
            <v>41661</v>
          </cell>
          <cell r="B215" t="str">
            <v>수</v>
          </cell>
          <cell r="C215">
            <v>4</v>
          </cell>
          <cell r="D215">
            <v>1</v>
          </cell>
          <cell r="E215">
            <v>4</v>
          </cell>
          <cell r="F215" t="str">
            <v>1월 4주</v>
          </cell>
        </row>
        <row r="216">
          <cell r="A216">
            <v>41662</v>
          </cell>
          <cell r="B216" t="str">
            <v>목</v>
          </cell>
          <cell r="C216">
            <v>4</v>
          </cell>
          <cell r="D216">
            <v>1</v>
          </cell>
          <cell r="E216">
            <v>4</v>
          </cell>
          <cell r="F216" t="str">
            <v>1월 4주</v>
          </cell>
        </row>
        <row r="217">
          <cell r="A217">
            <v>41663</v>
          </cell>
          <cell r="B217" t="str">
            <v>금</v>
          </cell>
          <cell r="C217">
            <v>4</v>
          </cell>
          <cell r="D217">
            <v>1</v>
          </cell>
          <cell r="E217">
            <v>4</v>
          </cell>
          <cell r="F217" t="str">
            <v>1월 4주</v>
          </cell>
        </row>
        <row r="218">
          <cell r="A218">
            <v>41664</v>
          </cell>
          <cell r="B218" t="str">
            <v>토</v>
          </cell>
          <cell r="C218">
            <v>4</v>
          </cell>
          <cell r="D218">
            <v>1</v>
          </cell>
          <cell r="E218">
            <v>4</v>
          </cell>
          <cell r="F218" t="str">
            <v>1월 4주</v>
          </cell>
        </row>
        <row r="219">
          <cell r="A219">
            <v>41665</v>
          </cell>
          <cell r="B219" t="str">
            <v>일</v>
          </cell>
          <cell r="C219">
            <v>5</v>
          </cell>
          <cell r="D219">
            <v>1</v>
          </cell>
          <cell r="E219">
            <v>5</v>
          </cell>
          <cell r="F219" t="str">
            <v>1월 5주</v>
          </cell>
        </row>
        <row r="220">
          <cell r="A220">
            <v>41666</v>
          </cell>
          <cell r="B220" t="str">
            <v>월</v>
          </cell>
          <cell r="C220">
            <v>5</v>
          </cell>
          <cell r="D220">
            <v>1</v>
          </cell>
          <cell r="E220">
            <v>5</v>
          </cell>
          <cell r="F220" t="str">
            <v>1월 5주</v>
          </cell>
        </row>
        <row r="221">
          <cell r="A221">
            <v>41667</v>
          </cell>
          <cell r="B221" t="str">
            <v>화</v>
          </cell>
          <cell r="C221">
            <v>5</v>
          </cell>
          <cell r="D221">
            <v>1</v>
          </cell>
          <cell r="E221">
            <v>5</v>
          </cell>
          <cell r="F221" t="str">
            <v>1월 5주</v>
          </cell>
        </row>
        <row r="222">
          <cell r="A222">
            <v>41668</v>
          </cell>
          <cell r="B222" t="str">
            <v>수</v>
          </cell>
          <cell r="C222">
            <v>5</v>
          </cell>
          <cell r="D222">
            <v>1</v>
          </cell>
          <cell r="E222">
            <v>5</v>
          </cell>
          <cell r="F222" t="str">
            <v>1월 5주</v>
          </cell>
        </row>
        <row r="223">
          <cell r="A223">
            <v>41669</v>
          </cell>
          <cell r="B223" t="str">
            <v>목</v>
          </cell>
          <cell r="C223">
            <v>5</v>
          </cell>
          <cell r="D223">
            <v>1</v>
          </cell>
          <cell r="E223">
            <v>5</v>
          </cell>
          <cell r="F223" t="str">
            <v>1월 5주</v>
          </cell>
        </row>
        <row r="224">
          <cell r="A224">
            <v>41670</v>
          </cell>
          <cell r="B224" t="str">
            <v>금</v>
          </cell>
          <cell r="C224">
            <v>5</v>
          </cell>
          <cell r="D224">
            <v>1</v>
          </cell>
          <cell r="E224">
            <v>5</v>
          </cell>
          <cell r="F224" t="str">
            <v>1월 5주</v>
          </cell>
        </row>
        <row r="225">
          <cell r="A225">
            <v>41671</v>
          </cell>
          <cell r="B225" t="str">
            <v>토</v>
          </cell>
          <cell r="C225">
            <v>5</v>
          </cell>
          <cell r="D225">
            <v>2</v>
          </cell>
          <cell r="E225">
            <v>1</v>
          </cell>
          <cell r="F225" t="str">
            <v>2월 1주</v>
          </cell>
        </row>
        <row r="226">
          <cell r="A226">
            <v>41672</v>
          </cell>
          <cell r="B226" t="str">
            <v>일</v>
          </cell>
          <cell r="C226">
            <v>6</v>
          </cell>
          <cell r="D226">
            <v>2</v>
          </cell>
          <cell r="E226">
            <v>1</v>
          </cell>
          <cell r="F226" t="str">
            <v>2월 1주</v>
          </cell>
        </row>
        <row r="227">
          <cell r="A227">
            <v>41673</v>
          </cell>
          <cell r="B227" t="str">
            <v>월</v>
          </cell>
          <cell r="C227">
            <v>6</v>
          </cell>
          <cell r="D227">
            <v>2</v>
          </cell>
          <cell r="E227">
            <v>1</v>
          </cell>
          <cell r="F227" t="str">
            <v>2월 1주</v>
          </cell>
        </row>
        <row r="228">
          <cell r="A228">
            <v>41674</v>
          </cell>
          <cell r="B228" t="str">
            <v>화</v>
          </cell>
          <cell r="C228">
            <v>6</v>
          </cell>
          <cell r="D228">
            <v>2</v>
          </cell>
          <cell r="E228">
            <v>1</v>
          </cell>
          <cell r="F228" t="str">
            <v>2월 1주</v>
          </cell>
        </row>
        <row r="229">
          <cell r="A229">
            <v>41675</v>
          </cell>
          <cell r="B229" t="str">
            <v>수</v>
          </cell>
          <cell r="C229">
            <v>6</v>
          </cell>
          <cell r="D229">
            <v>2</v>
          </cell>
          <cell r="E229">
            <v>1</v>
          </cell>
          <cell r="F229" t="str">
            <v>2월 1주</v>
          </cell>
        </row>
        <row r="230">
          <cell r="A230">
            <v>41676</v>
          </cell>
          <cell r="B230" t="str">
            <v>목</v>
          </cell>
          <cell r="C230">
            <v>6</v>
          </cell>
          <cell r="D230">
            <v>2</v>
          </cell>
          <cell r="E230">
            <v>1</v>
          </cell>
          <cell r="F230" t="str">
            <v>2월 1주</v>
          </cell>
        </row>
        <row r="231">
          <cell r="A231">
            <v>41677</v>
          </cell>
          <cell r="B231" t="str">
            <v>금</v>
          </cell>
          <cell r="C231">
            <v>6</v>
          </cell>
          <cell r="D231">
            <v>2</v>
          </cell>
          <cell r="E231">
            <v>1</v>
          </cell>
          <cell r="F231" t="str">
            <v>2월 1주</v>
          </cell>
        </row>
        <row r="232">
          <cell r="A232">
            <v>41678</v>
          </cell>
          <cell r="B232" t="str">
            <v>토</v>
          </cell>
          <cell r="C232">
            <v>6</v>
          </cell>
          <cell r="D232">
            <v>2</v>
          </cell>
          <cell r="E232">
            <v>2</v>
          </cell>
          <cell r="F232" t="str">
            <v>2월 2주</v>
          </cell>
        </row>
        <row r="233">
          <cell r="A233">
            <v>41679</v>
          </cell>
          <cell r="B233" t="str">
            <v>일</v>
          </cell>
          <cell r="C233">
            <v>7</v>
          </cell>
          <cell r="D233">
            <v>2</v>
          </cell>
          <cell r="E233">
            <v>2</v>
          </cell>
          <cell r="F233" t="str">
            <v>2월 2주</v>
          </cell>
        </row>
        <row r="234">
          <cell r="A234">
            <v>41680</v>
          </cell>
          <cell r="B234" t="str">
            <v>월</v>
          </cell>
          <cell r="C234">
            <v>7</v>
          </cell>
          <cell r="D234">
            <v>2</v>
          </cell>
          <cell r="E234">
            <v>2</v>
          </cell>
          <cell r="F234" t="str">
            <v>2월 2주</v>
          </cell>
        </row>
        <row r="235">
          <cell r="A235">
            <v>41681</v>
          </cell>
          <cell r="B235" t="str">
            <v>화</v>
          </cell>
          <cell r="C235">
            <v>7</v>
          </cell>
          <cell r="D235">
            <v>2</v>
          </cell>
          <cell r="E235">
            <v>2</v>
          </cell>
          <cell r="F235" t="str">
            <v>2월 2주</v>
          </cell>
        </row>
        <row r="236">
          <cell r="A236">
            <v>41682</v>
          </cell>
          <cell r="B236" t="str">
            <v>수</v>
          </cell>
          <cell r="C236">
            <v>7</v>
          </cell>
          <cell r="D236">
            <v>2</v>
          </cell>
          <cell r="E236">
            <v>2</v>
          </cell>
          <cell r="F236" t="str">
            <v>2월 2주</v>
          </cell>
        </row>
        <row r="237">
          <cell r="A237">
            <v>41683</v>
          </cell>
          <cell r="B237" t="str">
            <v>목</v>
          </cell>
          <cell r="C237">
            <v>7</v>
          </cell>
          <cell r="D237">
            <v>2</v>
          </cell>
          <cell r="E237">
            <v>2</v>
          </cell>
          <cell r="F237" t="str">
            <v>2월 2주</v>
          </cell>
        </row>
        <row r="238">
          <cell r="A238">
            <v>41684</v>
          </cell>
          <cell r="B238" t="str">
            <v>금</v>
          </cell>
          <cell r="C238">
            <v>7</v>
          </cell>
          <cell r="D238">
            <v>2</v>
          </cell>
          <cell r="E238">
            <v>2</v>
          </cell>
          <cell r="F238" t="str">
            <v>2월 2주</v>
          </cell>
        </row>
        <row r="239">
          <cell r="A239">
            <v>41685</v>
          </cell>
          <cell r="B239" t="str">
            <v>토</v>
          </cell>
          <cell r="C239">
            <v>7</v>
          </cell>
          <cell r="D239">
            <v>2</v>
          </cell>
          <cell r="E239">
            <v>2</v>
          </cell>
          <cell r="F239" t="str">
            <v>2월 2주</v>
          </cell>
        </row>
        <row r="240">
          <cell r="A240">
            <v>41686</v>
          </cell>
          <cell r="B240" t="str">
            <v>일</v>
          </cell>
          <cell r="C240">
            <v>8</v>
          </cell>
          <cell r="D240">
            <v>2</v>
          </cell>
          <cell r="E240">
            <v>3</v>
          </cell>
          <cell r="F240" t="str">
            <v>2월 3주</v>
          </cell>
        </row>
        <row r="241">
          <cell r="A241">
            <v>41687</v>
          </cell>
          <cell r="B241" t="str">
            <v>월</v>
          </cell>
          <cell r="C241">
            <v>8</v>
          </cell>
          <cell r="D241">
            <v>2</v>
          </cell>
          <cell r="E241">
            <v>3</v>
          </cell>
          <cell r="F241" t="str">
            <v>2월 3주</v>
          </cell>
        </row>
        <row r="242">
          <cell r="A242">
            <v>41688</v>
          </cell>
          <cell r="B242" t="str">
            <v>화</v>
          </cell>
          <cell r="C242">
            <v>8</v>
          </cell>
          <cell r="D242">
            <v>2</v>
          </cell>
          <cell r="E242">
            <v>3</v>
          </cell>
          <cell r="F242" t="str">
            <v>2월 3주</v>
          </cell>
        </row>
        <row r="243">
          <cell r="A243">
            <v>41689</v>
          </cell>
          <cell r="B243" t="str">
            <v>수</v>
          </cell>
          <cell r="C243">
            <v>8</v>
          </cell>
          <cell r="D243">
            <v>2</v>
          </cell>
          <cell r="E243">
            <v>3</v>
          </cell>
          <cell r="F243" t="str">
            <v>2월 3주</v>
          </cell>
        </row>
        <row r="244">
          <cell r="A244">
            <v>41690</v>
          </cell>
          <cell r="B244" t="str">
            <v>목</v>
          </cell>
          <cell r="C244">
            <v>8</v>
          </cell>
          <cell r="D244">
            <v>2</v>
          </cell>
          <cell r="E244">
            <v>3</v>
          </cell>
          <cell r="F244" t="str">
            <v>2월 3주</v>
          </cell>
        </row>
        <row r="245">
          <cell r="A245">
            <v>41691</v>
          </cell>
          <cell r="B245" t="str">
            <v>금</v>
          </cell>
          <cell r="C245">
            <v>8</v>
          </cell>
          <cell r="D245">
            <v>2</v>
          </cell>
          <cell r="E245">
            <v>3</v>
          </cell>
          <cell r="F245" t="str">
            <v>2월 3주</v>
          </cell>
        </row>
        <row r="246">
          <cell r="A246">
            <v>41692</v>
          </cell>
          <cell r="B246" t="str">
            <v>토</v>
          </cell>
          <cell r="C246">
            <v>8</v>
          </cell>
          <cell r="D246">
            <v>2</v>
          </cell>
          <cell r="E246">
            <v>3</v>
          </cell>
          <cell r="F246" t="str">
            <v>2월 3주</v>
          </cell>
        </row>
        <row r="247">
          <cell r="A247">
            <v>41693</v>
          </cell>
          <cell r="B247" t="str">
            <v>일</v>
          </cell>
          <cell r="C247">
            <v>9</v>
          </cell>
          <cell r="D247">
            <v>2</v>
          </cell>
          <cell r="E247">
            <v>4</v>
          </cell>
          <cell r="F247" t="str">
            <v>2월 4주</v>
          </cell>
        </row>
        <row r="248">
          <cell r="A248">
            <v>41694</v>
          </cell>
          <cell r="B248" t="str">
            <v>월</v>
          </cell>
          <cell r="C248">
            <v>9</v>
          </cell>
          <cell r="D248">
            <v>2</v>
          </cell>
          <cell r="E248">
            <v>4</v>
          </cell>
          <cell r="F248" t="str">
            <v>2월 4주</v>
          </cell>
        </row>
        <row r="249">
          <cell r="A249">
            <v>41695</v>
          </cell>
          <cell r="B249" t="str">
            <v>화</v>
          </cell>
          <cell r="C249">
            <v>9</v>
          </cell>
          <cell r="D249">
            <v>2</v>
          </cell>
          <cell r="E249">
            <v>4</v>
          </cell>
          <cell r="F249" t="str">
            <v>2월 4주</v>
          </cell>
        </row>
        <row r="250">
          <cell r="A250">
            <v>41696</v>
          </cell>
          <cell r="B250" t="str">
            <v>수</v>
          </cell>
          <cell r="C250">
            <v>9</v>
          </cell>
          <cell r="D250">
            <v>2</v>
          </cell>
          <cell r="E250">
            <v>4</v>
          </cell>
          <cell r="F250" t="str">
            <v>2월 4주</v>
          </cell>
        </row>
        <row r="251">
          <cell r="A251">
            <v>41697</v>
          </cell>
          <cell r="B251" t="str">
            <v>목</v>
          </cell>
          <cell r="C251">
            <v>9</v>
          </cell>
          <cell r="D251">
            <v>2</v>
          </cell>
          <cell r="E251">
            <v>4</v>
          </cell>
          <cell r="F251" t="str">
            <v>2월 4주</v>
          </cell>
        </row>
        <row r="252">
          <cell r="A252">
            <v>41698</v>
          </cell>
          <cell r="B252" t="str">
            <v>금</v>
          </cell>
          <cell r="C252">
            <v>9</v>
          </cell>
          <cell r="D252">
            <v>2</v>
          </cell>
          <cell r="E252">
            <v>4</v>
          </cell>
          <cell r="F252" t="str">
            <v>2월 4주</v>
          </cell>
        </row>
        <row r="253">
          <cell r="A253">
            <v>41699</v>
          </cell>
          <cell r="B253" t="str">
            <v>토</v>
          </cell>
          <cell r="C253">
            <v>9</v>
          </cell>
          <cell r="D253">
            <v>2</v>
          </cell>
          <cell r="E253">
            <v>4</v>
          </cell>
          <cell r="F253" t="str">
            <v>2월 4주</v>
          </cell>
        </row>
        <row r="254">
          <cell r="A254">
            <v>41700</v>
          </cell>
          <cell r="B254" t="str">
            <v>일</v>
          </cell>
          <cell r="C254">
            <v>10</v>
          </cell>
          <cell r="D254">
            <v>3</v>
          </cell>
          <cell r="E254">
            <v>1</v>
          </cell>
          <cell r="F254" t="str">
            <v>3월 1주</v>
          </cell>
        </row>
        <row r="255">
          <cell r="A255">
            <v>41701</v>
          </cell>
          <cell r="B255" t="str">
            <v>월</v>
          </cell>
          <cell r="C255">
            <v>10</v>
          </cell>
          <cell r="D255">
            <v>3</v>
          </cell>
          <cell r="E255">
            <v>1</v>
          </cell>
          <cell r="F255" t="str">
            <v>3월 1주</v>
          </cell>
        </row>
        <row r="256">
          <cell r="A256">
            <v>41702</v>
          </cell>
          <cell r="B256" t="str">
            <v>화</v>
          </cell>
          <cell r="C256">
            <v>10</v>
          </cell>
          <cell r="D256">
            <v>3</v>
          </cell>
          <cell r="E256">
            <v>1</v>
          </cell>
          <cell r="F256" t="str">
            <v>3월 1주</v>
          </cell>
        </row>
        <row r="257">
          <cell r="A257">
            <v>41703</v>
          </cell>
          <cell r="B257" t="str">
            <v>수</v>
          </cell>
          <cell r="C257">
            <v>10</v>
          </cell>
          <cell r="D257">
            <v>3</v>
          </cell>
          <cell r="E257">
            <v>1</v>
          </cell>
          <cell r="F257" t="str">
            <v>3월 1주</v>
          </cell>
        </row>
        <row r="258">
          <cell r="A258">
            <v>41704</v>
          </cell>
          <cell r="B258" t="str">
            <v>목</v>
          </cell>
          <cell r="C258">
            <v>10</v>
          </cell>
          <cell r="D258">
            <v>3</v>
          </cell>
          <cell r="E258">
            <v>1</v>
          </cell>
          <cell r="F258" t="str">
            <v>3월 1주</v>
          </cell>
        </row>
        <row r="259">
          <cell r="A259">
            <v>41705</v>
          </cell>
          <cell r="B259" t="str">
            <v>금</v>
          </cell>
          <cell r="C259">
            <v>10</v>
          </cell>
          <cell r="D259">
            <v>3</v>
          </cell>
          <cell r="E259">
            <v>1</v>
          </cell>
          <cell r="F259" t="str">
            <v>3월 1주</v>
          </cell>
        </row>
        <row r="260">
          <cell r="A260">
            <v>41706</v>
          </cell>
          <cell r="B260" t="str">
            <v>토</v>
          </cell>
          <cell r="C260">
            <v>10</v>
          </cell>
          <cell r="D260">
            <v>3</v>
          </cell>
          <cell r="E260">
            <v>1</v>
          </cell>
          <cell r="F260" t="str">
            <v>3월 1주</v>
          </cell>
        </row>
        <row r="261">
          <cell r="A261">
            <v>41707</v>
          </cell>
          <cell r="B261" t="str">
            <v>일</v>
          </cell>
          <cell r="C261">
            <v>11</v>
          </cell>
          <cell r="D261">
            <v>3</v>
          </cell>
          <cell r="E261">
            <v>2</v>
          </cell>
          <cell r="F261" t="str">
            <v>3월 2주</v>
          </cell>
        </row>
        <row r="262">
          <cell r="A262">
            <v>41708</v>
          </cell>
          <cell r="B262" t="str">
            <v>월</v>
          </cell>
          <cell r="C262">
            <v>11</v>
          </cell>
          <cell r="D262">
            <v>3</v>
          </cell>
          <cell r="E262">
            <v>2</v>
          </cell>
          <cell r="F262" t="str">
            <v>3월 2주</v>
          </cell>
        </row>
        <row r="263">
          <cell r="A263">
            <v>41709</v>
          </cell>
          <cell r="B263" t="str">
            <v>화</v>
          </cell>
          <cell r="C263">
            <v>11</v>
          </cell>
          <cell r="D263">
            <v>3</v>
          </cell>
          <cell r="E263">
            <v>2</v>
          </cell>
          <cell r="F263" t="str">
            <v>3월 2주</v>
          </cell>
        </row>
        <row r="264">
          <cell r="A264">
            <v>41710</v>
          </cell>
          <cell r="B264" t="str">
            <v>수</v>
          </cell>
          <cell r="C264">
            <v>11</v>
          </cell>
          <cell r="D264">
            <v>3</v>
          </cell>
          <cell r="E264">
            <v>2</v>
          </cell>
          <cell r="F264" t="str">
            <v>3월 2주</v>
          </cell>
        </row>
        <row r="265">
          <cell r="A265">
            <v>41711</v>
          </cell>
          <cell r="B265" t="str">
            <v>목</v>
          </cell>
          <cell r="C265">
            <v>11</v>
          </cell>
          <cell r="D265">
            <v>3</v>
          </cell>
          <cell r="E265">
            <v>2</v>
          </cell>
          <cell r="F265" t="str">
            <v>3월 2주</v>
          </cell>
        </row>
        <row r="266">
          <cell r="A266">
            <v>41712</v>
          </cell>
          <cell r="B266" t="str">
            <v>금</v>
          </cell>
          <cell r="C266">
            <v>11</v>
          </cell>
          <cell r="D266">
            <v>3</v>
          </cell>
          <cell r="E266">
            <v>2</v>
          </cell>
          <cell r="F266" t="str">
            <v>3월 2주</v>
          </cell>
        </row>
        <row r="267">
          <cell r="A267">
            <v>41713</v>
          </cell>
          <cell r="B267" t="str">
            <v>토</v>
          </cell>
          <cell r="C267">
            <v>11</v>
          </cell>
          <cell r="D267">
            <v>3</v>
          </cell>
          <cell r="E267">
            <v>2</v>
          </cell>
          <cell r="F267" t="str">
            <v>3월 2주</v>
          </cell>
        </row>
        <row r="268">
          <cell r="A268">
            <v>41714</v>
          </cell>
          <cell r="B268" t="str">
            <v>일</v>
          </cell>
          <cell r="C268">
            <v>12</v>
          </cell>
          <cell r="D268">
            <v>3</v>
          </cell>
          <cell r="E268">
            <v>2</v>
          </cell>
          <cell r="F268" t="str">
            <v>3월 2주</v>
          </cell>
        </row>
        <row r="269">
          <cell r="A269">
            <v>41715</v>
          </cell>
          <cell r="B269" t="str">
            <v>월</v>
          </cell>
          <cell r="C269">
            <v>12</v>
          </cell>
          <cell r="D269">
            <v>3</v>
          </cell>
          <cell r="E269">
            <v>2</v>
          </cell>
          <cell r="F269" t="str">
            <v>3월 2주</v>
          </cell>
        </row>
        <row r="270">
          <cell r="A270">
            <v>41716</v>
          </cell>
          <cell r="B270" t="str">
            <v>화</v>
          </cell>
          <cell r="C270">
            <v>12</v>
          </cell>
          <cell r="D270">
            <v>3</v>
          </cell>
          <cell r="E270">
            <v>2</v>
          </cell>
          <cell r="F270" t="str">
            <v>3월 2주</v>
          </cell>
        </row>
        <row r="271">
          <cell r="A271">
            <v>41717</v>
          </cell>
          <cell r="B271" t="str">
            <v>수</v>
          </cell>
          <cell r="C271">
            <v>12</v>
          </cell>
          <cell r="D271">
            <v>3</v>
          </cell>
          <cell r="E271">
            <v>2</v>
          </cell>
          <cell r="F271" t="str">
            <v>3월 2주</v>
          </cell>
        </row>
        <row r="272">
          <cell r="A272">
            <v>41718</v>
          </cell>
          <cell r="B272" t="str">
            <v>목</v>
          </cell>
          <cell r="C272">
            <v>12</v>
          </cell>
          <cell r="D272">
            <v>3</v>
          </cell>
          <cell r="E272">
            <v>2</v>
          </cell>
          <cell r="F272" t="str">
            <v>3월 2주</v>
          </cell>
        </row>
        <row r="273">
          <cell r="A273">
            <v>41719</v>
          </cell>
          <cell r="B273" t="str">
            <v>금</v>
          </cell>
          <cell r="C273">
            <v>12</v>
          </cell>
          <cell r="D273">
            <v>3</v>
          </cell>
          <cell r="E273">
            <v>2</v>
          </cell>
          <cell r="F273" t="str">
            <v>3월 2주</v>
          </cell>
        </row>
        <row r="274">
          <cell r="A274">
            <v>41720</v>
          </cell>
          <cell r="B274" t="str">
            <v>토</v>
          </cell>
          <cell r="C274">
            <v>12</v>
          </cell>
          <cell r="D274">
            <v>3</v>
          </cell>
          <cell r="E274">
            <v>2</v>
          </cell>
          <cell r="F274" t="str">
            <v>3월 2주</v>
          </cell>
        </row>
        <row r="275">
          <cell r="A275">
            <v>41721</v>
          </cell>
          <cell r="B275" t="str">
            <v>일</v>
          </cell>
          <cell r="C275">
            <v>13</v>
          </cell>
          <cell r="D275">
            <v>3</v>
          </cell>
          <cell r="E275">
            <v>2</v>
          </cell>
          <cell r="F275" t="str">
            <v>3월 2주</v>
          </cell>
        </row>
        <row r="276">
          <cell r="A276">
            <v>41722</v>
          </cell>
          <cell r="B276" t="str">
            <v>월</v>
          </cell>
          <cell r="C276">
            <v>13</v>
          </cell>
          <cell r="D276">
            <v>3</v>
          </cell>
          <cell r="E276">
            <v>2</v>
          </cell>
          <cell r="F276" t="str">
            <v>3월 2주</v>
          </cell>
        </row>
        <row r="277">
          <cell r="A277">
            <v>41723</v>
          </cell>
          <cell r="B277" t="str">
            <v>화</v>
          </cell>
          <cell r="C277">
            <v>13</v>
          </cell>
          <cell r="D277">
            <v>3</v>
          </cell>
          <cell r="E277">
            <v>2</v>
          </cell>
          <cell r="F277" t="str">
            <v>3월 2주</v>
          </cell>
        </row>
        <row r="278">
          <cell r="A278">
            <v>41724</v>
          </cell>
          <cell r="B278" t="str">
            <v>수</v>
          </cell>
          <cell r="C278">
            <v>13</v>
          </cell>
          <cell r="D278">
            <v>3</v>
          </cell>
          <cell r="E278">
            <v>2</v>
          </cell>
          <cell r="F278" t="str">
            <v>3월 2주</v>
          </cell>
        </row>
        <row r="279">
          <cell r="A279">
            <v>41725</v>
          </cell>
          <cell r="B279" t="str">
            <v>목</v>
          </cell>
          <cell r="C279">
            <v>13</v>
          </cell>
          <cell r="D279">
            <v>3</v>
          </cell>
          <cell r="E279">
            <v>2</v>
          </cell>
          <cell r="F279" t="str">
            <v>3월 2주</v>
          </cell>
        </row>
        <row r="280">
          <cell r="A280">
            <v>41726</v>
          </cell>
          <cell r="B280" t="str">
            <v>금</v>
          </cell>
          <cell r="C280">
            <v>13</v>
          </cell>
          <cell r="D280">
            <v>3</v>
          </cell>
          <cell r="E280">
            <v>2</v>
          </cell>
          <cell r="F280" t="str">
            <v>3월 2주</v>
          </cell>
        </row>
        <row r="281">
          <cell r="A281">
            <v>41727</v>
          </cell>
          <cell r="B281" t="str">
            <v>토</v>
          </cell>
          <cell r="C281">
            <v>13</v>
          </cell>
          <cell r="D281">
            <v>3</v>
          </cell>
          <cell r="E281">
            <v>2</v>
          </cell>
          <cell r="F281" t="str">
            <v>3월 2주</v>
          </cell>
        </row>
        <row r="282">
          <cell r="A282">
            <v>41728</v>
          </cell>
          <cell r="B282" t="str">
            <v>일</v>
          </cell>
          <cell r="C282">
            <v>14</v>
          </cell>
          <cell r="D282">
            <v>3</v>
          </cell>
          <cell r="E282">
            <v>2</v>
          </cell>
          <cell r="F282" t="str">
            <v>3월 2주</v>
          </cell>
        </row>
        <row r="283">
          <cell r="A283">
            <v>41729</v>
          </cell>
          <cell r="B283" t="str">
            <v>월</v>
          </cell>
          <cell r="C283">
            <v>14</v>
          </cell>
          <cell r="D283">
            <v>3</v>
          </cell>
          <cell r="E283">
            <v>2</v>
          </cell>
          <cell r="F283" t="str">
            <v>3월 2주</v>
          </cell>
        </row>
        <row r="284">
          <cell r="A284">
            <v>41730</v>
          </cell>
          <cell r="B284" t="str">
            <v>화</v>
          </cell>
          <cell r="C284">
            <v>14</v>
          </cell>
          <cell r="D284">
            <v>3</v>
          </cell>
          <cell r="E284">
            <v>2</v>
          </cell>
          <cell r="F284" t="str">
            <v>3월 2주</v>
          </cell>
        </row>
        <row r="285">
          <cell r="A285">
            <v>41731</v>
          </cell>
          <cell r="B285" t="str">
            <v>수</v>
          </cell>
          <cell r="C285">
            <v>14</v>
          </cell>
          <cell r="D285">
            <v>3</v>
          </cell>
          <cell r="E285">
            <v>2</v>
          </cell>
          <cell r="F285" t="str">
            <v>3월 2주</v>
          </cell>
        </row>
        <row r="286">
          <cell r="A286">
            <v>41732</v>
          </cell>
          <cell r="B286" t="str">
            <v>목</v>
          </cell>
          <cell r="C286">
            <v>14</v>
          </cell>
          <cell r="D286">
            <v>3</v>
          </cell>
          <cell r="E286">
            <v>2</v>
          </cell>
          <cell r="F286" t="str">
            <v>3월 2주</v>
          </cell>
        </row>
        <row r="287">
          <cell r="A287">
            <v>41733</v>
          </cell>
          <cell r="B287" t="str">
            <v>금</v>
          </cell>
          <cell r="C287">
            <v>14</v>
          </cell>
          <cell r="D287">
            <v>3</v>
          </cell>
          <cell r="E287">
            <v>2</v>
          </cell>
          <cell r="F287" t="str">
            <v>3월 2주</v>
          </cell>
        </row>
        <row r="288">
          <cell r="A288">
            <v>41734</v>
          </cell>
          <cell r="B288" t="str">
            <v>토</v>
          </cell>
          <cell r="C288">
            <v>14</v>
          </cell>
          <cell r="D288">
            <v>3</v>
          </cell>
          <cell r="E288">
            <v>2</v>
          </cell>
          <cell r="F288" t="str">
            <v>3월 2주</v>
          </cell>
        </row>
        <row r="289">
          <cell r="A289">
            <v>41735</v>
          </cell>
          <cell r="B289" t="str">
            <v>일</v>
          </cell>
          <cell r="C289">
            <v>15</v>
          </cell>
          <cell r="D289">
            <v>3</v>
          </cell>
          <cell r="E289">
            <v>2</v>
          </cell>
          <cell r="F289" t="str">
            <v>3월 2주</v>
          </cell>
        </row>
        <row r="290">
          <cell r="A290">
            <v>41736</v>
          </cell>
          <cell r="B290" t="str">
            <v>월</v>
          </cell>
          <cell r="C290">
            <v>15</v>
          </cell>
          <cell r="D290">
            <v>3</v>
          </cell>
          <cell r="E290">
            <v>2</v>
          </cell>
          <cell r="F290" t="str">
            <v>3월 2주</v>
          </cell>
        </row>
        <row r="291">
          <cell r="A291">
            <v>41737</v>
          </cell>
          <cell r="B291" t="str">
            <v>화</v>
          </cell>
          <cell r="C291">
            <v>15</v>
          </cell>
          <cell r="D291">
            <v>3</v>
          </cell>
          <cell r="E291">
            <v>2</v>
          </cell>
          <cell r="F291" t="str">
            <v>3월 2주</v>
          </cell>
        </row>
        <row r="292">
          <cell r="A292">
            <v>41738</v>
          </cell>
          <cell r="B292" t="str">
            <v>수</v>
          </cell>
          <cell r="C292">
            <v>15</v>
          </cell>
          <cell r="D292">
            <v>3</v>
          </cell>
          <cell r="E292">
            <v>2</v>
          </cell>
          <cell r="F292" t="str">
            <v>3월 2주</v>
          </cell>
        </row>
        <row r="293">
          <cell r="A293">
            <v>41739</v>
          </cell>
          <cell r="B293" t="str">
            <v>목</v>
          </cell>
          <cell r="C293">
            <v>15</v>
          </cell>
          <cell r="D293">
            <v>3</v>
          </cell>
          <cell r="E293">
            <v>2</v>
          </cell>
          <cell r="F293" t="str">
            <v>3월 2주</v>
          </cell>
        </row>
        <row r="294">
          <cell r="A294">
            <v>41740</v>
          </cell>
          <cell r="B294" t="str">
            <v>금</v>
          </cell>
          <cell r="C294">
            <v>15</v>
          </cell>
          <cell r="D294">
            <v>3</v>
          </cell>
          <cell r="E294">
            <v>2</v>
          </cell>
          <cell r="F294" t="str">
            <v>3월 2주</v>
          </cell>
        </row>
        <row r="295">
          <cell r="A295">
            <v>41741</v>
          </cell>
          <cell r="B295" t="str">
            <v>토</v>
          </cell>
          <cell r="C295">
            <v>15</v>
          </cell>
          <cell r="D295">
            <v>3</v>
          </cell>
          <cell r="E295">
            <v>2</v>
          </cell>
          <cell r="F295" t="str">
            <v>3월 2주</v>
          </cell>
        </row>
        <row r="296">
          <cell r="A296">
            <v>41742</v>
          </cell>
          <cell r="B296" t="str">
            <v>일</v>
          </cell>
          <cell r="C296">
            <v>16</v>
          </cell>
          <cell r="D296">
            <v>3</v>
          </cell>
          <cell r="E296">
            <v>2</v>
          </cell>
          <cell r="F296" t="str">
            <v>3월 2주</v>
          </cell>
        </row>
        <row r="297">
          <cell r="A297">
            <v>41743</v>
          </cell>
          <cell r="B297" t="str">
            <v>월</v>
          </cell>
          <cell r="C297">
            <v>16</v>
          </cell>
          <cell r="D297">
            <v>3</v>
          </cell>
          <cell r="E297">
            <v>2</v>
          </cell>
          <cell r="F297" t="str">
            <v>3월 2주</v>
          </cell>
        </row>
        <row r="298">
          <cell r="A298">
            <v>41744</v>
          </cell>
          <cell r="B298" t="str">
            <v>화</v>
          </cell>
          <cell r="C298">
            <v>16</v>
          </cell>
          <cell r="D298">
            <v>3</v>
          </cell>
          <cell r="E298">
            <v>2</v>
          </cell>
          <cell r="F298" t="str">
            <v>3월 2주</v>
          </cell>
        </row>
        <row r="299">
          <cell r="A299">
            <v>41745</v>
          </cell>
          <cell r="B299" t="str">
            <v>수</v>
          </cell>
          <cell r="C299">
            <v>16</v>
          </cell>
          <cell r="D299">
            <v>3</v>
          </cell>
          <cell r="E299">
            <v>2</v>
          </cell>
          <cell r="F299" t="str">
            <v>3월 2주</v>
          </cell>
        </row>
        <row r="300">
          <cell r="A300">
            <v>41746</v>
          </cell>
          <cell r="B300" t="str">
            <v>목</v>
          </cell>
          <cell r="C300">
            <v>16</v>
          </cell>
          <cell r="D300">
            <v>3</v>
          </cell>
          <cell r="E300">
            <v>2</v>
          </cell>
          <cell r="F300" t="str">
            <v>3월 2주</v>
          </cell>
        </row>
        <row r="301">
          <cell r="A301">
            <v>41747</v>
          </cell>
          <cell r="B301" t="str">
            <v>금</v>
          </cell>
          <cell r="C301">
            <v>16</v>
          </cell>
          <cell r="D301">
            <v>3</v>
          </cell>
          <cell r="E301">
            <v>2</v>
          </cell>
          <cell r="F301" t="str">
            <v>3월 2주</v>
          </cell>
        </row>
        <row r="302">
          <cell r="A302">
            <v>41748</v>
          </cell>
          <cell r="B302" t="str">
            <v>토</v>
          </cell>
          <cell r="C302">
            <v>16</v>
          </cell>
          <cell r="D302">
            <v>3</v>
          </cell>
          <cell r="E302">
            <v>2</v>
          </cell>
          <cell r="F302" t="str">
            <v>3월 2주</v>
          </cell>
        </row>
        <row r="303">
          <cell r="A303">
            <v>41749</v>
          </cell>
          <cell r="B303" t="str">
            <v>일</v>
          </cell>
          <cell r="C303">
            <v>17</v>
          </cell>
          <cell r="D303">
            <v>3</v>
          </cell>
          <cell r="E303">
            <v>2</v>
          </cell>
          <cell r="F303" t="str">
            <v>3월 2주</v>
          </cell>
        </row>
        <row r="304">
          <cell r="A304">
            <v>41750</v>
          </cell>
          <cell r="B304" t="str">
            <v>월</v>
          </cell>
          <cell r="C304">
            <v>17</v>
          </cell>
          <cell r="D304">
            <v>3</v>
          </cell>
          <cell r="E304">
            <v>2</v>
          </cell>
          <cell r="F304" t="str">
            <v>3월 2주</v>
          </cell>
        </row>
        <row r="305">
          <cell r="A305">
            <v>41751</v>
          </cell>
          <cell r="B305" t="str">
            <v>화</v>
          </cell>
          <cell r="C305">
            <v>17</v>
          </cell>
          <cell r="D305">
            <v>3</v>
          </cell>
          <cell r="E305">
            <v>2</v>
          </cell>
          <cell r="F305" t="str">
            <v>3월 2주</v>
          </cell>
        </row>
        <row r="306">
          <cell r="A306">
            <v>41752</v>
          </cell>
          <cell r="B306" t="str">
            <v>수</v>
          </cell>
          <cell r="C306">
            <v>17</v>
          </cell>
          <cell r="D306">
            <v>3</v>
          </cell>
          <cell r="E306">
            <v>2</v>
          </cell>
          <cell r="F306" t="str">
            <v>3월 2주</v>
          </cell>
        </row>
        <row r="307">
          <cell r="A307">
            <v>41753</v>
          </cell>
          <cell r="B307" t="str">
            <v>목</v>
          </cell>
          <cell r="C307">
            <v>17</v>
          </cell>
          <cell r="D307">
            <v>3</v>
          </cell>
          <cell r="E307">
            <v>2</v>
          </cell>
          <cell r="F307" t="str">
            <v>3월 2주</v>
          </cell>
        </row>
        <row r="308">
          <cell r="A308">
            <v>41754</v>
          </cell>
          <cell r="B308" t="str">
            <v>금</v>
          </cell>
          <cell r="C308">
            <v>17</v>
          </cell>
          <cell r="D308">
            <v>3</v>
          </cell>
          <cell r="E308">
            <v>2</v>
          </cell>
          <cell r="F308" t="str">
            <v>3월 2주</v>
          </cell>
        </row>
        <row r="309">
          <cell r="A309">
            <v>41755</v>
          </cell>
          <cell r="B309" t="str">
            <v>토</v>
          </cell>
          <cell r="C309">
            <v>17</v>
          </cell>
          <cell r="D309">
            <v>3</v>
          </cell>
          <cell r="E309">
            <v>2</v>
          </cell>
          <cell r="F309" t="str">
            <v>3월 2주</v>
          </cell>
        </row>
        <row r="310">
          <cell r="A310">
            <v>41756</v>
          </cell>
          <cell r="B310" t="str">
            <v>일</v>
          </cell>
          <cell r="C310">
            <v>18</v>
          </cell>
          <cell r="D310">
            <v>3</v>
          </cell>
          <cell r="E310">
            <v>2</v>
          </cell>
          <cell r="F310" t="str">
            <v>3월 2주</v>
          </cell>
        </row>
        <row r="311">
          <cell r="A311">
            <v>41757</v>
          </cell>
          <cell r="B311" t="str">
            <v>월</v>
          </cell>
          <cell r="C311">
            <v>18</v>
          </cell>
          <cell r="D311">
            <v>3</v>
          </cell>
          <cell r="E311">
            <v>2</v>
          </cell>
          <cell r="F311" t="str">
            <v>3월 2주</v>
          </cell>
        </row>
        <row r="312">
          <cell r="A312">
            <v>41758</v>
          </cell>
          <cell r="B312" t="str">
            <v>화</v>
          </cell>
          <cell r="C312">
            <v>18</v>
          </cell>
          <cell r="D312">
            <v>3</v>
          </cell>
          <cell r="E312">
            <v>2</v>
          </cell>
          <cell r="F312" t="str">
            <v>3월 2주</v>
          </cell>
        </row>
        <row r="313">
          <cell r="A313">
            <v>41759</v>
          </cell>
          <cell r="B313" t="str">
            <v>수</v>
          </cell>
          <cell r="C313">
            <v>18</v>
          </cell>
          <cell r="D313">
            <v>3</v>
          </cell>
          <cell r="E313">
            <v>2</v>
          </cell>
          <cell r="F313" t="str">
            <v>3월 2주</v>
          </cell>
        </row>
        <row r="314">
          <cell r="A314">
            <v>41760</v>
          </cell>
          <cell r="B314" t="str">
            <v>목</v>
          </cell>
          <cell r="C314">
            <v>18</v>
          </cell>
          <cell r="D314">
            <v>3</v>
          </cell>
          <cell r="E314">
            <v>2</v>
          </cell>
          <cell r="F314" t="str">
            <v>3월 2주</v>
          </cell>
        </row>
        <row r="315">
          <cell r="A315">
            <v>41761</v>
          </cell>
          <cell r="B315" t="str">
            <v>금</v>
          </cell>
          <cell r="C315">
            <v>18</v>
          </cell>
          <cell r="D315">
            <v>3</v>
          </cell>
          <cell r="E315">
            <v>2</v>
          </cell>
          <cell r="F315" t="str">
            <v>3월 2주</v>
          </cell>
        </row>
        <row r="316">
          <cell r="A316">
            <v>41762</v>
          </cell>
          <cell r="B316" t="str">
            <v>토</v>
          </cell>
          <cell r="C316">
            <v>18</v>
          </cell>
          <cell r="D316">
            <v>3</v>
          </cell>
          <cell r="E316">
            <v>2</v>
          </cell>
          <cell r="F316" t="str">
            <v>3월 2주</v>
          </cell>
        </row>
        <row r="317">
          <cell r="A317">
            <v>41763</v>
          </cell>
          <cell r="B317" t="str">
            <v>일</v>
          </cell>
          <cell r="C317">
            <v>19</v>
          </cell>
          <cell r="D317">
            <v>3</v>
          </cell>
          <cell r="E317">
            <v>2</v>
          </cell>
          <cell r="F317" t="str">
            <v>3월 2주</v>
          </cell>
        </row>
        <row r="318">
          <cell r="A318">
            <v>41764</v>
          </cell>
          <cell r="B318" t="str">
            <v>월</v>
          </cell>
          <cell r="C318">
            <v>19</v>
          </cell>
          <cell r="D318">
            <v>3</v>
          </cell>
          <cell r="E318">
            <v>2</v>
          </cell>
          <cell r="F318" t="str">
            <v>3월 2주</v>
          </cell>
        </row>
        <row r="319">
          <cell r="A319">
            <v>41765</v>
          </cell>
          <cell r="B319" t="str">
            <v>화</v>
          </cell>
          <cell r="C319">
            <v>19</v>
          </cell>
          <cell r="D319">
            <v>3</v>
          </cell>
          <cell r="E319">
            <v>2</v>
          </cell>
          <cell r="F319" t="str">
            <v>3월 2주</v>
          </cell>
        </row>
        <row r="320">
          <cell r="A320">
            <v>41766</v>
          </cell>
          <cell r="B320" t="str">
            <v>수</v>
          </cell>
          <cell r="C320">
            <v>19</v>
          </cell>
          <cell r="D320">
            <v>3</v>
          </cell>
          <cell r="E320">
            <v>2</v>
          </cell>
          <cell r="F320" t="str">
            <v>3월 2주</v>
          </cell>
        </row>
        <row r="321">
          <cell r="A321">
            <v>41767</v>
          </cell>
          <cell r="B321" t="str">
            <v>목</v>
          </cell>
          <cell r="C321">
            <v>19</v>
          </cell>
          <cell r="D321">
            <v>3</v>
          </cell>
          <cell r="E321">
            <v>2</v>
          </cell>
          <cell r="F321" t="str">
            <v>3월 2주</v>
          </cell>
        </row>
        <row r="322">
          <cell r="A322">
            <v>41768</v>
          </cell>
          <cell r="B322" t="str">
            <v>금</v>
          </cell>
          <cell r="C322">
            <v>19</v>
          </cell>
          <cell r="D322">
            <v>3</v>
          </cell>
          <cell r="E322">
            <v>2</v>
          </cell>
          <cell r="F322" t="str">
            <v>3월 2주</v>
          </cell>
        </row>
        <row r="323">
          <cell r="A323">
            <v>41769</v>
          </cell>
          <cell r="B323" t="str">
            <v>토</v>
          </cell>
          <cell r="C323">
            <v>19</v>
          </cell>
          <cell r="D323">
            <v>3</v>
          </cell>
          <cell r="E323">
            <v>2</v>
          </cell>
          <cell r="F323" t="str">
            <v>3월 2주</v>
          </cell>
        </row>
        <row r="324">
          <cell r="A324">
            <v>41770</v>
          </cell>
          <cell r="B324" t="str">
            <v>일</v>
          </cell>
          <cell r="C324">
            <v>20</v>
          </cell>
          <cell r="D324">
            <v>3</v>
          </cell>
          <cell r="E324">
            <v>2</v>
          </cell>
          <cell r="F324" t="str">
            <v>3월 2주</v>
          </cell>
        </row>
        <row r="325">
          <cell r="A325">
            <v>41771</v>
          </cell>
          <cell r="B325" t="str">
            <v>월</v>
          </cell>
          <cell r="C325">
            <v>20</v>
          </cell>
          <cell r="D325">
            <v>3</v>
          </cell>
          <cell r="E325">
            <v>2</v>
          </cell>
          <cell r="F325" t="str">
            <v>3월 2주</v>
          </cell>
        </row>
        <row r="326">
          <cell r="A326">
            <v>41772</v>
          </cell>
          <cell r="B326" t="str">
            <v>화</v>
          </cell>
          <cell r="C326">
            <v>20</v>
          </cell>
          <cell r="D326">
            <v>3</v>
          </cell>
          <cell r="E326">
            <v>2</v>
          </cell>
          <cell r="F326" t="str">
            <v>3월 2주</v>
          </cell>
        </row>
        <row r="327">
          <cell r="A327">
            <v>41773</v>
          </cell>
          <cell r="B327" t="str">
            <v>수</v>
          </cell>
          <cell r="C327">
            <v>20</v>
          </cell>
          <cell r="D327">
            <v>3</v>
          </cell>
          <cell r="E327">
            <v>2</v>
          </cell>
          <cell r="F327" t="str">
            <v>3월 2주</v>
          </cell>
        </row>
        <row r="328">
          <cell r="A328">
            <v>41774</v>
          </cell>
          <cell r="B328" t="str">
            <v>목</v>
          </cell>
          <cell r="C328">
            <v>20</v>
          </cell>
          <cell r="D328">
            <v>3</v>
          </cell>
          <cell r="E328">
            <v>2</v>
          </cell>
          <cell r="F328" t="str">
            <v>3월 2주</v>
          </cell>
        </row>
        <row r="329">
          <cell r="A329">
            <v>41775</v>
          </cell>
          <cell r="B329" t="str">
            <v>금</v>
          </cell>
          <cell r="C329">
            <v>20</v>
          </cell>
          <cell r="D329">
            <v>3</v>
          </cell>
          <cell r="E329">
            <v>2</v>
          </cell>
          <cell r="F329" t="str">
            <v>3월 2주</v>
          </cell>
        </row>
        <row r="330">
          <cell r="A330">
            <v>41776</v>
          </cell>
          <cell r="B330" t="str">
            <v>토</v>
          </cell>
          <cell r="C330">
            <v>20</v>
          </cell>
          <cell r="D330">
            <v>3</v>
          </cell>
          <cell r="E330">
            <v>2</v>
          </cell>
          <cell r="F330" t="str">
            <v>3월 2주</v>
          </cell>
        </row>
        <row r="331">
          <cell r="A331">
            <v>41777</v>
          </cell>
          <cell r="B331" t="str">
            <v>일</v>
          </cell>
          <cell r="C331">
            <v>21</v>
          </cell>
          <cell r="D331">
            <v>3</v>
          </cell>
          <cell r="E331">
            <v>2</v>
          </cell>
          <cell r="F331" t="str">
            <v>3월 2주</v>
          </cell>
        </row>
        <row r="332">
          <cell r="A332">
            <v>41778</v>
          </cell>
          <cell r="B332" t="str">
            <v>월</v>
          </cell>
          <cell r="C332">
            <v>21</v>
          </cell>
          <cell r="D332">
            <v>3</v>
          </cell>
          <cell r="E332">
            <v>2</v>
          </cell>
          <cell r="F332" t="str">
            <v>3월 2주</v>
          </cell>
        </row>
        <row r="333">
          <cell r="A333">
            <v>41779</v>
          </cell>
          <cell r="B333" t="str">
            <v>화</v>
          </cell>
          <cell r="C333">
            <v>21</v>
          </cell>
          <cell r="D333">
            <v>3</v>
          </cell>
          <cell r="E333">
            <v>2</v>
          </cell>
          <cell r="F333" t="str">
            <v>3월 2주</v>
          </cell>
        </row>
        <row r="334">
          <cell r="A334">
            <v>41780</v>
          </cell>
          <cell r="B334" t="str">
            <v>수</v>
          </cell>
          <cell r="C334">
            <v>21</v>
          </cell>
          <cell r="D334">
            <v>3</v>
          </cell>
          <cell r="E334">
            <v>2</v>
          </cell>
          <cell r="F334" t="str">
            <v>3월 2주</v>
          </cell>
        </row>
        <row r="335">
          <cell r="A335">
            <v>41781</v>
          </cell>
          <cell r="B335" t="str">
            <v>목</v>
          </cell>
          <cell r="C335">
            <v>21</v>
          </cell>
          <cell r="D335">
            <v>3</v>
          </cell>
          <cell r="E335">
            <v>2</v>
          </cell>
          <cell r="F335" t="str">
            <v>3월 2주</v>
          </cell>
        </row>
        <row r="336">
          <cell r="A336">
            <v>41782</v>
          </cell>
          <cell r="B336" t="str">
            <v>금</v>
          </cell>
          <cell r="C336">
            <v>21</v>
          </cell>
          <cell r="D336">
            <v>3</v>
          </cell>
          <cell r="E336">
            <v>2</v>
          </cell>
          <cell r="F336" t="str">
            <v>3월 2주</v>
          </cell>
        </row>
        <row r="337">
          <cell r="A337">
            <v>41783</v>
          </cell>
          <cell r="B337" t="str">
            <v>토</v>
          </cell>
          <cell r="C337">
            <v>21</v>
          </cell>
          <cell r="D337">
            <v>3</v>
          </cell>
          <cell r="E337">
            <v>2</v>
          </cell>
          <cell r="F337" t="str">
            <v>3월 2주</v>
          </cell>
        </row>
        <row r="338">
          <cell r="A338">
            <v>41784</v>
          </cell>
          <cell r="B338" t="str">
            <v>일</v>
          </cell>
          <cell r="C338">
            <v>22</v>
          </cell>
          <cell r="D338">
            <v>3</v>
          </cell>
          <cell r="E338">
            <v>2</v>
          </cell>
          <cell r="F338" t="str">
            <v>3월 2주</v>
          </cell>
        </row>
        <row r="339">
          <cell r="A339">
            <v>41785</v>
          </cell>
          <cell r="B339" t="str">
            <v>월</v>
          </cell>
          <cell r="C339">
            <v>22</v>
          </cell>
          <cell r="D339">
            <v>3</v>
          </cell>
          <cell r="E339">
            <v>2</v>
          </cell>
          <cell r="F339" t="str">
            <v>3월 2주</v>
          </cell>
        </row>
        <row r="340">
          <cell r="A340">
            <v>41786</v>
          </cell>
          <cell r="B340" t="str">
            <v>화</v>
          </cell>
          <cell r="C340">
            <v>22</v>
          </cell>
          <cell r="D340">
            <v>3</v>
          </cell>
          <cell r="E340">
            <v>2</v>
          </cell>
          <cell r="F340" t="str">
            <v>3월 2주</v>
          </cell>
        </row>
        <row r="341">
          <cell r="A341">
            <v>41787</v>
          </cell>
          <cell r="B341" t="str">
            <v>수</v>
          </cell>
          <cell r="C341">
            <v>22</v>
          </cell>
          <cell r="D341">
            <v>3</v>
          </cell>
          <cell r="E341">
            <v>2</v>
          </cell>
          <cell r="F341" t="str">
            <v>3월 2주</v>
          </cell>
        </row>
        <row r="342">
          <cell r="A342">
            <v>41788</v>
          </cell>
          <cell r="B342" t="str">
            <v>목</v>
          </cell>
          <cell r="C342">
            <v>22</v>
          </cell>
          <cell r="D342">
            <v>3</v>
          </cell>
          <cell r="E342">
            <v>2</v>
          </cell>
          <cell r="F342" t="str">
            <v>3월 2주</v>
          </cell>
        </row>
        <row r="343">
          <cell r="A343">
            <v>41789</v>
          </cell>
          <cell r="B343" t="str">
            <v>금</v>
          </cell>
          <cell r="C343">
            <v>22</v>
          </cell>
          <cell r="D343">
            <v>3</v>
          </cell>
          <cell r="E343">
            <v>2</v>
          </cell>
          <cell r="F343" t="str">
            <v>3월 2주</v>
          </cell>
        </row>
        <row r="344">
          <cell r="A344">
            <v>41790</v>
          </cell>
          <cell r="B344" t="str">
            <v>토</v>
          </cell>
          <cell r="C344">
            <v>22</v>
          </cell>
          <cell r="D344">
            <v>3</v>
          </cell>
          <cell r="E344">
            <v>2</v>
          </cell>
          <cell r="F344" t="str">
            <v>3월 2주</v>
          </cell>
        </row>
        <row r="345">
          <cell r="A345">
            <v>41791</v>
          </cell>
          <cell r="B345" t="str">
            <v>일</v>
          </cell>
          <cell r="C345">
            <v>23</v>
          </cell>
          <cell r="D345">
            <v>3</v>
          </cell>
          <cell r="E345">
            <v>2</v>
          </cell>
          <cell r="F345" t="str">
            <v>3월 2주</v>
          </cell>
        </row>
        <row r="346">
          <cell r="A346">
            <v>41792</v>
          </cell>
          <cell r="B346" t="str">
            <v>월</v>
          </cell>
          <cell r="C346">
            <v>23</v>
          </cell>
          <cell r="D346">
            <v>3</v>
          </cell>
          <cell r="E346">
            <v>2</v>
          </cell>
          <cell r="F346" t="str">
            <v>3월 2주</v>
          </cell>
        </row>
        <row r="347">
          <cell r="A347">
            <v>41793</v>
          </cell>
          <cell r="B347" t="str">
            <v>화</v>
          </cell>
          <cell r="C347">
            <v>23</v>
          </cell>
          <cell r="D347">
            <v>3</v>
          </cell>
          <cell r="E347">
            <v>2</v>
          </cell>
          <cell r="F347" t="str">
            <v>3월 2주</v>
          </cell>
        </row>
        <row r="348">
          <cell r="A348">
            <v>41794</v>
          </cell>
          <cell r="B348" t="str">
            <v>수</v>
          </cell>
          <cell r="C348">
            <v>23</v>
          </cell>
          <cell r="D348">
            <v>3</v>
          </cell>
          <cell r="E348">
            <v>2</v>
          </cell>
          <cell r="F348" t="str">
            <v>3월 2주</v>
          </cell>
        </row>
        <row r="349">
          <cell r="A349">
            <v>41795</v>
          </cell>
          <cell r="B349" t="str">
            <v>목</v>
          </cell>
          <cell r="C349">
            <v>23</v>
          </cell>
          <cell r="D349">
            <v>3</v>
          </cell>
          <cell r="E349">
            <v>2</v>
          </cell>
          <cell r="F349" t="str">
            <v>3월 2주</v>
          </cell>
        </row>
        <row r="350">
          <cell r="A350">
            <v>41796</v>
          </cell>
          <cell r="B350" t="str">
            <v>금</v>
          </cell>
          <cell r="C350">
            <v>23</v>
          </cell>
          <cell r="D350">
            <v>3</v>
          </cell>
          <cell r="E350">
            <v>2</v>
          </cell>
          <cell r="F350" t="str">
            <v>3월 2주</v>
          </cell>
        </row>
        <row r="351">
          <cell r="A351">
            <v>41797</v>
          </cell>
          <cell r="B351" t="str">
            <v>토</v>
          </cell>
          <cell r="C351">
            <v>23</v>
          </cell>
          <cell r="D351">
            <v>3</v>
          </cell>
          <cell r="E351">
            <v>2</v>
          </cell>
          <cell r="F351" t="str">
            <v>3월 2주</v>
          </cell>
        </row>
        <row r="352">
          <cell r="A352">
            <v>41798</v>
          </cell>
          <cell r="B352" t="str">
            <v>일</v>
          </cell>
          <cell r="C352">
            <v>24</v>
          </cell>
          <cell r="D352">
            <v>3</v>
          </cell>
          <cell r="E352">
            <v>2</v>
          </cell>
          <cell r="F352" t="str">
            <v>3월 2주</v>
          </cell>
        </row>
        <row r="353">
          <cell r="A353">
            <v>41799</v>
          </cell>
          <cell r="B353" t="str">
            <v>월</v>
          </cell>
          <cell r="C353">
            <v>24</v>
          </cell>
          <cell r="D353">
            <v>3</v>
          </cell>
          <cell r="E353">
            <v>2</v>
          </cell>
          <cell r="F353" t="str">
            <v>3월 2주</v>
          </cell>
        </row>
        <row r="354">
          <cell r="A354">
            <v>41800</v>
          </cell>
          <cell r="B354" t="str">
            <v>화</v>
          </cell>
          <cell r="C354">
            <v>24</v>
          </cell>
          <cell r="D354">
            <v>3</v>
          </cell>
          <cell r="E354">
            <v>2</v>
          </cell>
          <cell r="F354" t="str">
            <v>3월 2주</v>
          </cell>
        </row>
        <row r="355">
          <cell r="A355">
            <v>41801</v>
          </cell>
          <cell r="B355" t="str">
            <v>수</v>
          </cell>
          <cell r="C355">
            <v>24</v>
          </cell>
          <cell r="D355">
            <v>3</v>
          </cell>
          <cell r="E355">
            <v>2</v>
          </cell>
          <cell r="F355" t="str">
            <v>3월 2주</v>
          </cell>
        </row>
        <row r="356">
          <cell r="A356">
            <v>41802</v>
          </cell>
          <cell r="B356" t="str">
            <v>목</v>
          </cell>
          <cell r="C356">
            <v>24</v>
          </cell>
          <cell r="D356">
            <v>3</v>
          </cell>
          <cell r="E356">
            <v>2</v>
          </cell>
          <cell r="F356" t="str">
            <v>3월 2주</v>
          </cell>
        </row>
        <row r="357">
          <cell r="A357">
            <v>41803</v>
          </cell>
          <cell r="B357" t="str">
            <v>금</v>
          </cell>
          <cell r="C357">
            <v>24</v>
          </cell>
          <cell r="D357">
            <v>3</v>
          </cell>
          <cell r="E357">
            <v>2</v>
          </cell>
          <cell r="F357" t="str">
            <v>3월 2주</v>
          </cell>
        </row>
        <row r="358">
          <cell r="A358">
            <v>41804</v>
          </cell>
          <cell r="B358" t="str">
            <v>토</v>
          </cell>
          <cell r="C358">
            <v>24</v>
          </cell>
          <cell r="D358">
            <v>3</v>
          </cell>
          <cell r="E358">
            <v>2</v>
          </cell>
          <cell r="F358" t="str">
            <v>3월 2주</v>
          </cell>
        </row>
        <row r="359">
          <cell r="A359">
            <v>41805</v>
          </cell>
          <cell r="B359" t="str">
            <v>일</v>
          </cell>
          <cell r="C359">
            <v>25</v>
          </cell>
          <cell r="D359">
            <v>3</v>
          </cell>
          <cell r="E359">
            <v>2</v>
          </cell>
          <cell r="F359" t="str">
            <v>3월 2주</v>
          </cell>
        </row>
        <row r="360">
          <cell r="A360">
            <v>41806</v>
          </cell>
          <cell r="B360" t="str">
            <v>월</v>
          </cell>
          <cell r="C360">
            <v>25</v>
          </cell>
          <cell r="D360">
            <v>3</v>
          </cell>
          <cell r="E360">
            <v>2</v>
          </cell>
          <cell r="F360" t="str">
            <v>3월 2주</v>
          </cell>
        </row>
        <row r="361">
          <cell r="A361">
            <v>41807</v>
          </cell>
          <cell r="B361" t="str">
            <v>화</v>
          </cell>
          <cell r="C361">
            <v>25</v>
          </cell>
          <cell r="D361">
            <v>3</v>
          </cell>
          <cell r="E361">
            <v>2</v>
          </cell>
          <cell r="F361" t="str">
            <v>3월 2주</v>
          </cell>
        </row>
        <row r="362">
          <cell r="A362">
            <v>41808</v>
          </cell>
          <cell r="B362" t="str">
            <v>수</v>
          </cell>
          <cell r="C362">
            <v>25</v>
          </cell>
          <cell r="D362">
            <v>3</v>
          </cell>
          <cell r="E362">
            <v>2</v>
          </cell>
          <cell r="F362" t="str">
            <v>3월 2주</v>
          </cell>
        </row>
        <row r="363">
          <cell r="A363">
            <v>41809</v>
          </cell>
          <cell r="B363" t="str">
            <v>목</v>
          </cell>
          <cell r="C363">
            <v>25</v>
          </cell>
          <cell r="D363">
            <v>3</v>
          </cell>
          <cell r="E363">
            <v>2</v>
          </cell>
          <cell r="F363" t="str">
            <v>3월 2주</v>
          </cell>
        </row>
        <row r="364">
          <cell r="A364">
            <v>41810</v>
          </cell>
          <cell r="B364" t="str">
            <v>금</v>
          </cell>
          <cell r="C364">
            <v>25</v>
          </cell>
          <cell r="D364">
            <v>3</v>
          </cell>
          <cell r="E364">
            <v>2</v>
          </cell>
          <cell r="F364" t="str">
            <v>3월 2주</v>
          </cell>
        </row>
        <row r="365">
          <cell r="A365">
            <v>41811</v>
          </cell>
          <cell r="B365" t="str">
            <v>토</v>
          </cell>
          <cell r="C365">
            <v>25</v>
          </cell>
          <cell r="D365">
            <v>3</v>
          </cell>
          <cell r="E365">
            <v>2</v>
          </cell>
          <cell r="F365" t="str">
            <v>3월 2주</v>
          </cell>
        </row>
        <row r="366">
          <cell r="A366">
            <v>41812</v>
          </cell>
          <cell r="B366" t="str">
            <v>일</v>
          </cell>
          <cell r="C366">
            <v>26</v>
          </cell>
          <cell r="D366">
            <v>3</v>
          </cell>
          <cell r="E366">
            <v>2</v>
          </cell>
          <cell r="F366" t="str">
            <v>3월 2주</v>
          </cell>
        </row>
        <row r="367">
          <cell r="A367">
            <v>41813</v>
          </cell>
          <cell r="B367" t="str">
            <v>월</v>
          </cell>
          <cell r="C367">
            <v>26</v>
          </cell>
          <cell r="D367">
            <v>3</v>
          </cell>
          <cell r="E367">
            <v>2</v>
          </cell>
          <cell r="F367" t="str">
            <v>3월 2주</v>
          </cell>
        </row>
        <row r="368">
          <cell r="A368">
            <v>41814</v>
          </cell>
          <cell r="B368" t="str">
            <v>화</v>
          </cell>
          <cell r="C368">
            <v>26</v>
          </cell>
          <cell r="D368">
            <v>3</v>
          </cell>
          <cell r="E368">
            <v>2</v>
          </cell>
          <cell r="F368" t="str">
            <v>3월 2주</v>
          </cell>
        </row>
        <row r="369">
          <cell r="A369">
            <v>41815</v>
          </cell>
          <cell r="B369" t="str">
            <v>수</v>
          </cell>
          <cell r="C369">
            <v>26</v>
          </cell>
          <cell r="D369">
            <v>3</v>
          </cell>
          <cell r="E369">
            <v>2</v>
          </cell>
          <cell r="F369" t="str">
            <v>3월 2주</v>
          </cell>
        </row>
        <row r="370">
          <cell r="A370">
            <v>41816</v>
          </cell>
          <cell r="B370" t="str">
            <v>목</v>
          </cell>
          <cell r="C370">
            <v>26</v>
          </cell>
          <cell r="D370">
            <v>3</v>
          </cell>
          <cell r="E370">
            <v>2</v>
          </cell>
          <cell r="F370" t="str">
            <v>3월 2주</v>
          </cell>
        </row>
        <row r="371">
          <cell r="A371">
            <v>41817</v>
          </cell>
          <cell r="B371" t="str">
            <v>금</v>
          </cell>
          <cell r="C371">
            <v>26</v>
          </cell>
          <cell r="D371">
            <v>3</v>
          </cell>
          <cell r="E371">
            <v>2</v>
          </cell>
          <cell r="F371" t="str">
            <v>3월 2주</v>
          </cell>
        </row>
        <row r="372">
          <cell r="A372">
            <v>41818</v>
          </cell>
          <cell r="B372" t="str">
            <v>토</v>
          </cell>
          <cell r="C372">
            <v>26</v>
          </cell>
          <cell r="D372">
            <v>3</v>
          </cell>
          <cell r="E372">
            <v>2</v>
          </cell>
          <cell r="F372" t="str">
            <v>3월 2주</v>
          </cell>
        </row>
        <row r="373">
          <cell r="A373">
            <v>41819</v>
          </cell>
          <cell r="B373" t="str">
            <v>일</v>
          </cell>
          <cell r="C373">
            <v>27</v>
          </cell>
          <cell r="D373">
            <v>3</v>
          </cell>
          <cell r="E373">
            <v>2</v>
          </cell>
          <cell r="F373" t="str">
            <v>3월 2주</v>
          </cell>
        </row>
        <row r="374">
          <cell r="A374">
            <v>41820</v>
          </cell>
          <cell r="B374" t="str">
            <v>월</v>
          </cell>
          <cell r="C374">
            <v>27</v>
          </cell>
          <cell r="D374">
            <v>3</v>
          </cell>
          <cell r="E374">
            <v>2</v>
          </cell>
          <cell r="F374" t="str">
            <v>3월 2주</v>
          </cell>
        </row>
        <row r="375">
          <cell r="A375">
            <v>41821</v>
          </cell>
          <cell r="B375" t="str">
            <v>화</v>
          </cell>
          <cell r="C375">
            <v>27</v>
          </cell>
          <cell r="D375">
            <v>3</v>
          </cell>
          <cell r="E375">
            <v>2</v>
          </cell>
          <cell r="F375" t="str">
            <v>3월 2주</v>
          </cell>
        </row>
        <row r="376">
          <cell r="A376">
            <v>41822</v>
          </cell>
          <cell r="B376" t="str">
            <v>수</v>
          </cell>
          <cell r="C376">
            <v>27</v>
          </cell>
          <cell r="D376">
            <v>3</v>
          </cell>
          <cell r="E376">
            <v>2</v>
          </cell>
          <cell r="F376" t="str">
            <v>3월 2주</v>
          </cell>
        </row>
        <row r="377">
          <cell r="A377">
            <v>41823</v>
          </cell>
          <cell r="B377" t="str">
            <v>목</v>
          </cell>
          <cell r="C377">
            <v>27</v>
          </cell>
          <cell r="D377">
            <v>3</v>
          </cell>
          <cell r="E377">
            <v>2</v>
          </cell>
          <cell r="F377" t="str">
            <v>3월 2주</v>
          </cell>
        </row>
        <row r="378">
          <cell r="A378">
            <v>41824</v>
          </cell>
          <cell r="B378" t="str">
            <v>금</v>
          </cell>
          <cell r="C378">
            <v>27</v>
          </cell>
          <cell r="D378">
            <v>3</v>
          </cell>
          <cell r="E378">
            <v>2</v>
          </cell>
          <cell r="F378" t="str">
            <v>3월 2주</v>
          </cell>
        </row>
        <row r="379">
          <cell r="A379">
            <v>41825</v>
          </cell>
          <cell r="B379" t="str">
            <v>토</v>
          </cell>
          <cell r="C379">
            <v>27</v>
          </cell>
          <cell r="D379">
            <v>3</v>
          </cell>
          <cell r="E379">
            <v>2</v>
          </cell>
          <cell r="F379" t="str">
            <v>3월 2주</v>
          </cell>
        </row>
        <row r="380">
          <cell r="A380">
            <v>41826</v>
          </cell>
          <cell r="B380" t="str">
            <v>일</v>
          </cell>
          <cell r="C380">
            <v>28</v>
          </cell>
          <cell r="D380">
            <v>3</v>
          </cell>
          <cell r="E380">
            <v>2</v>
          </cell>
          <cell r="F380" t="str">
            <v>3월 2주</v>
          </cell>
        </row>
        <row r="381">
          <cell r="A381">
            <v>41827</v>
          </cell>
          <cell r="B381" t="str">
            <v>월</v>
          </cell>
          <cell r="C381">
            <v>28</v>
          </cell>
          <cell r="D381">
            <v>3</v>
          </cell>
          <cell r="E381">
            <v>2</v>
          </cell>
          <cell r="F381" t="str">
            <v>3월 2주</v>
          </cell>
        </row>
        <row r="382">
          <cell r="A382">
            <v>41828</v>
          </cell>
          <cell r="B382" t="str">
            <v>화</v>
          </cell>
          <cell r="C382">
            <v>28</v>
          </cell>
          <cell r="D382">
            <v>3</v>
          </cell>
          <cell r="E382">
            <v>2</v>
          </cell>
          <cell r="F382" t="str">
            <v>3월 2주</v>
          </cell>
        </row>
        <row r="383">
          <cell r="A383">
            <v>41829</v>
          </cell>
          <cell r="B383" t="str">
            <v>수</v>
          </cell>
          <cell r="C383">
            <v>28</v>
          </cell>
          <cell r="D383">
            <v>3</v>
          </cell>
          <cell r="E383">
            <v>2</v>
          </cell>
          <cell r="F383" t="str">
            <v>3월 2주</v>
          </cell>
        </row>
        <row r="384">
          <cell r="A384">
            <v>41830</v>
          </cell>
          <cell r="B384" t="str">
            <v>목</v>
          </cell>
          <cell r="C384">
            <v>28</v>
          </cell>
          <cell r="D384">
            <v>3</v>
          </cell>
          <cell r="E384">
            <v>2</v>
          </cell>
          <cell r="F384" t="str">
            <v>3월 2주</v>
          </cell>
        </row>
        <row r="385">
          <cell r="A385">
            <v>41831</v>
          </cell>
          <cell r="B385" t="str">
            <v>금</v>
          </cell>
          <cell r="C385">
            <v>28</v>
          </cell>
          <cell r="D385">
            <v>3</v>
          </cell>
          <cell r="E385">
            <v>2</v>
          </cell>
          <cell r="F385" t="str">
            <v>3월 2주</v>
          </cell>
        </row>
        <row r="386">
          <cell r="A386">
            <v>41832</v>
          </cell>
          <cell r="B386" t="str">
            <v>토</v>
          </cell>
          <cell r="C386">
            <v>28</v>
          </cell>
          <cell r="D386">
            <v>3</v>
          </cell>
          <cell r="E386">
            <v>2</v>
          </cell>
          <cell r="F386" t="str">
            <v>3월 2주</v>
          </cell>
        </row>
        <row r="387">
          <cell r="A387">
            <v>41833</v>
          </cell>
          <cell r="B387" t="str">
            <v>일</v>
          </cell>
          <cell r="C387">
            <v>29</v>
          </cell>
          <cell r="D387">
            <v>3</v>
          </cell>
          <cell r="E387">
            <v>2</v>
          </cell>
          <cell r="F387" t="str">
            <v>3월 2주</v>
          </cell>
        </row>
        <row r="388">
          <cell r="A388">
            <v>41834</v>
          </cell>
          <cell r="B388" t="str">
            <v>월</v>
          </cell>
          <cell r="C388">
            <v>29</v>
          </cell>
          <cell r="D388">
            <v>3</v>
          </cell>
          <cell r="E388">
            <v>2</v>
          </cell>
          <cell r="F388" t="str">
            <v>3월 2주</v>
          </cell>
        </row>
        <row r="389">
          <cell r="A389">
            <v>41835</v>
          </cell>
          <cell r="B389" t="str">
            <v>화</v>
          </cell>
          <cell r="C389">
            <v>29</v>
          </cell>
          <cell r="D389">
            <v>3</v>
          </cell>
          <cell r="E389">
            <v>2</v>
          </cell>
          <cell r="F389" t="str">
            <v>3월 2주</v>
          </cell>
        </row>
        <row r="390">
          <cell r="A390">
            <v>41836</v>
          </cell>
          <cell r="B390" t="str">
            <v>수</v>
          </cell>
          <cell r="C390">
            <v>29</v>
          </cell>
          <cell r="D390">
            <v>3</v>
          </cell>
          <cell r="E390">
            <v>2</v>
          </cell>
          <cell r="F390" t="str">
            <v>3월 2주</v>
          </cell>
        </row>
        <row r="391">
          <cell r="A391">
            <v>41837</v>
          </cell>
          <cell r="B391" t="str">
            <v>목</v>
          </cell>
          <cell r="C391">
            <v>29</v>
          </cell>
          <cell r="D391">
            <v>3</v>
          </cell>
          <cell r="E391">
            <v>2</v>
          </cell>
          <cell r="F391" t="str">
            <v>3월 2주</v>
          </cell>
        </row>
        <row r="392">
          <cell r="A392">
            <v>41838</v>
          </cell>
          <cell r="B392" t="str">
            <v>금</v>
          </cell>
          <cell r="C392">
            <v>29</v>
          </cell>
          <cell r="D392">
            <v>3</v>
          </cell>
          <cell r="E392">
            <v>2</v>
          </cell>
          <cell r="F392" t="str">
            <v>3월 2주</v>
          </cell>
        </row>
        <row r="393">
          <cell r="A393">
            <v>41839</v>
          </cell>
          <cell r="B393" t="str">
            <v>토</v>
          </cell>
          <cell r="C393">
            <v>29</v>
          </cell>
          <cell r="D393">
            <v>3</v>
          </cell>
          <cell r="E393">
            <v>2</v>
          </cell>
          <cell r="F393" t="str">
            <v>3월 2주</v>
          </cell>
        </row>
        <row r="394">
          <cell r="A394">
            <v>41840</v>
          </cell>
          <cell r="B394" t="str">
            <v>일</v>
          </cell>
          <cell r="C394">
            <v>30</v>
          </cell>
          <cell r="D394">
            <v>3</v>
          </cell>
          <cell r="E394">
            <v>2</v>
          </cell>
          <cell r="F394" t="str">
            <v>3월 2주</v>
          </cell>
        </row>
        <row r="395">
          <cell r="A395">
            <v>41841</v>
          </cell>
          <cell r="B395" t="str">
            <v>월</v>
          </cell>
          <cell r="C395">
            <v>30</v>
          </cell>
          <cell r="D395">
            <v>3</v>
          </cell>
          <cell r="E395">
            <v>2</v>
          </cell>
          <cell r="F395" t="str">
            <v>3월 2주</v>
          </cell>
        </row>
        <row r="396">
          <cell r="A396">
            <v>41842</v>
          </cell>
          <cell r="B396" t="str">
            <v>화</v>
          </cell>
          <cell r="C396">
            <v>30</v>
          </cell>
          <cell r="D396">
            <v>3</v>
          </cell>
          <cell r="E396">
            <v>2</v>
          </cell>
          <cell r="F396" t="str">
            <v>3월 2주</v>
          </cell>
        </row>
        <row r="397">
          <cell r="A397">
            <v>41843</v>
          </cell>
          <cell r="B397" t="str">
            <v>수</v>
          </cell>
          <cell r="C397">
            <v>30</v>
          </cell>
          <cell r="D397">
            <v>3</v>
          </cell>
          <cell r="E397">
            <v>2</v>
          </cell>
          <cell r="F397" t="str">
            <v>3월 2주</v>
          </cell>
        </row>
        <row r="398">
          <cell r="A398">
            <v>41844</v>
          </cell>
          <cell r="B398" t="str">
            <v>목</v>
          </cell>
          <cell r="C398">
            <v>30</v>
          </cell>
          <cell r="D398">
            <v>3</v>
          </cell>
          <cell r="E398">
            <v>2</v>
          </cell>
          <cell r="F398" t="str">
            <v>3월 2주</v>
          </cell>
        </row>
        <row r="399">
          <cell r="A399">
            <v>41845</v>
          </cell>
          <cell r="B399" t="str">
            <v>금</v>
          </cell>
          <cell r="C399">
            <v>30</v>
          </cell>
          <cell r="D399">
            <v>3</v>
          </cell>
          <cell r="E399">
            <v>2</v>
          </cell>
          <cell r="F399" t="str">
            <v>3월 2주</v>
          </cell>
        </row>
        <row r="400">
          <cell r="A400">
            <v>41846</v>
          </cell>
          <cell r="B400" t="str">
            <v>토</v>
          </cell>
          <cell r="C400">
            <v>30</v>
          </cell>
          <cell r="D400">
            <v>3</v>
          </cell>
          <cell r="E400">
            <v>2</v>
          </cell>
          <cell r="F400" t="str">
            <v>3월 2주</v>
          </cell>
        </row>
        <row r="401">
          <cell r="A401">
            <v>41847</v>
          </cell>
          <cell r="B401" t="str">
            <v>일</v>
          </cell>
          <cell r="C401">
            <v>31</v>
          </cell>
          <cell r="D401">
            <v>3</v>
          </cell>
          <cell r="E401">
            <v>2</v>
          </cell>
          <cell r="F401" t="str">
            <v>3월 2주</v>
          </cell>
        </row>
        <row r="402">
          <cell r="A402">
            <v>41848</v>
          </cell>
          <cell r="B402" t="str">
            <v>월</v>
          </cell>
          <cell r="C402">
            <v>31</v>
          </cell>
          <cell r="D402">
            <v>3</v>
          </cell>
          <cell r="E402">
            <v>2</v>
          </cell>
          <cell r="F402" t="str">
            <v>3월 2주</v>
          </cell>
        </row>
        <row r="403">
          <cell r="A403">
            <v>41849</v>
          </cell>
          <cell r="B403" t="str">
            <v>화</v>
          </cell>
          <cell r="C403">
            <v>31</v>
          </cell>
          <cell r="D403">
            <v>3</v>
          </cell>
          <cell r="E403">
            <v>2</v>
          </cell>
          <cell r="F403" t="str">
            <v>3월 2주</v>
          </cell>
        </row>
        <row r="404">
          <cell r="A404">
            <v>41850</v>
          </cell>
          <cell r="B404" t="str">
            <v>수</v>
          </cell>
          <cell r="C404">
            <v>31</v>
          </cell>
          <cell r="D404">
            <v>3</v>
          </cell>
          <cell r="E404">
            <v>2</v>
          </cell>
          <cell r="F404" t="str">
            <v>3월 2주</v>
          </cell>
        </row>
        <row r="405">
          <cell r="A405">
            <v>41851</v>
          </cell>
          <cell r="B405" t="str">
            <v>목</v>
          </cell>
          <cell r="C405">
            <v>31</v>
          </cell>
          <cell r="D405">
            <v>3</v>
          </cell>
          <cell r="E405">
            <v>2</v>
          </cell>
          <cell r="F405" t="str">
            <v>3월 2주</v>
          </cell>
        </row>
        <row r="406">
          <cell r="A406">
            <v>41852</v>
          </cell>
          <cell r="B406" t="str">
            <v>금</v>
          </cell>
          <cell r="C406">
            <v>31</v>
          </cell>
          <cell r="D406">
            <v>3</v>
          </cell>
          <cell r="E406">
            <v>2</v>
          </cell>
          <cell r="F406" t="str">
            <v>3월 2주</v>
          </cell>
        </row>
        <row r="407">
          <cell r="A407">
            <v>41853</v>
          </cell>
          <cell r="B407" t="str">
            <v>토</v>
          </cell>
          <cell r="C407">
            <v>31</v>
          </cell>
          <cell r="D407">
            <v>3</v>
          </cell>
          <cell r="E407">
            <v>2</v>
          </cell>
          <cell r="F407" t="str">
            <v>3월 2주</v>
          </cell>
        </row>
        <row r="408">
          <cell r="A408">
            <v>41854</v>
          </cell>
          <cell r="B408" t="str">
            <v>일</v>
          </cell>
          <cell r="C408">
            <v>32</v>
          </cell>
          <cell r="D408">
            <v>3</v>
          </cell>
          <cell r="E408">
            <v>2</v>
          </cell>
          <cell r="F408" t="str">
            <v>3월 2주</v>
          </cell>
        </row>
        <row r="409">
          <cell r="A409">
            <v>41855</v>
          </cell>
          <cell r="B409" t="str">
            <v>월</v>
          </cell>
          <cell r="C409">
            <v>32</v>
          </cell>
          <cell r="D409">
            <v>3</v>
          </cell>
          <cell r="E409">
            <v>2</v>
          </cell>
          <cell r="F409" t="str">
            <v>3월 2주</v>
          </cell>
        </row>
        <row r="410">
          <cell r="A410">
            <v>41856</v>
          </cell>
          <cell r="B410" t="str">
            <v>화</v>
          </cell>
          <cell r="C410">
            <v>32</v>
          </cell>
          <cell r="D410">
            <v>3</v>
          </cell>
          <cell r="E410">
            <v>2</v>
          </cell>
          <cell r="F410" t="str">
            <v>3월 2주</v>
          </cell>
        </row>
        <row r="411">
          <cell r="A411">
            <v>41857</v>
          </cell>
          <cell r="B411" t="str">
            <v>수</v>
          </cell>
          <cell r="C411">
            <v>32</v>
          </cell>
          <cell r="D411">
            <v>3</v>
          </cell>
          <cell r="E411">
            <v>2</v>
          </cell>
          <cell r="F411" t="str">
            <v>3월 2주</v>
          </cell>
        </row>
        <row r="412">
          <cell r="A412">
            <v>41858</v>
          </cell>
          <cell r="B412" t="str">
            <v>목</v>
          </cell>
          <cell r="C412">
            <v>32</v>
          </cell>
          <cell r="D412">
            <v>3</v>
          </cell>
          <cell r="E412">
            <v>2</v>
          </cell>
          <cell r="F412" t="str">
            <v>3월 2주</v>
          </cell>
        </row>
        <row r="413">
          <cell r="A413">
            <v>41859</v>
          </cell>
          <cell r="B413" t="str">
            <v>금</v>
          </cell>
          <cell r="C413">
            <v>32</v>
          </cell>
          <cell r="D413">
            <v>3</v>
          </cell>
          <cell r="E413">
            <v>2</v>
          </cell>
          <cell r="F413" t="str">
            <v>3월 2주</v>
          </cell>
        </row>
        <row r="414">
          <cell r="A414">
            <v>41860</v>
          </cell>
          <cell r="B414" t="str">
            <v>토</v>
          </cell>
          <cell r="C414">
            <v>32</v>
          </cell>
          <cell r="D414">
            <v>3</v>
          </cell>
          <cell r="E414">
            <v>2</v>
          </cell>
          <cell r="F414" t="str">
            <v>3월 2주</v>
          </cell>
        </row>
        <row r="415">
          <cell r="A415">
            <v>41861</v>
          </cell>
          <cell r="B415" t="str">
            <v>일</v>
          </cell>
          <cell r="C415">
            <v>33</v>
          </cell>
          <cell r="D415">
            <v>3</v>
          </cell>
          <cell r="E415">
            <v>2</v>
          </cell>
          <cell r="F415" t="str">
            <v>3월 2주</v>
          </cell>
        </row>
        <row r="416">
          <cell r="A416">
            <v>41862</v>
          </cell>
          <cell r="B416" t="str">
            <v>월</v>
          </cell>
          <cell r="C416">
            <v>33</v>
          </cell>
          <cell r="D416">
            <v>3</v>
          </cell>
          <cell r="E416">
            <v>2</v>
          </cell>
          <cell r="F416" t="str">
            <v>3월 2주</v>
          </cell>
        </row>
        <row r="417">
          <cell r="A417">
            <v>41863</v>
          </cell>
          <cell r="B417" t="str">
            <v>화</v>
          </cell>
          <cell r="C417">
            <v>33</v>
          </cell>
          <cell r="D417">
            <v>3</v>
          </cell>
          <cell r="E417">
            <v>2</v>
          </cell>
          <cell r="F417" t="str">
            <v>3월 2주</v>
          </cell>
        </row>
        <row r="418">
          <cell r="A418">
            <v>41864</v>
          </cell>
          <cell r="B418" t="str">
            <v>수</v>
          </cell>
          <cell r="C418">
            <v>33</v>
          </cell>
          <cell r="D418">
            <v>3</v>
          </cell>
          <cell r="E418">
            <v>2</v>
          </cell>
          <cell r="F418" t="str">
            <v>3월 2주</v>
          </cell>
        </row>
        <row r="419">
          <cell r="A419">
            <v>41865</v>
          </cell>
          <cell r="B419" t="str">
            <v>목</v>
          </cell>
          <cell r="C419">
            <v>33</v>
          </cell>
          <cell r="D419">
            <v>3</v>
          </cell>
          <cell r="E419">
            <v>2</v>
          </cell>
          <cell r="F419" t="str">
            <v>3월 2주</v>
          </cell>
        </row>
        <row r="420">
          <cell r="A420">
            <v>41866</v>
          </cell>
          <cell r="B420" t="str">
            <v>금</v>
          </cell>
          <cell r="C420">
            <v>33</v>
          </cell>
          <cell r="D420">
            <v>3</v>
          </cell>
          <cell r="E420">
            <v>2</v>
          </cell>
          <cell r="F420" t="str">
            <v>3월 2주</v>
          </cell>
        </row>
        <row r="421">
          <cell r="A421">
            <v>41867</v>
          </cell>
          <cell r="B421" t="str">
            <v>토</v>
          </cell>
          <cell r="C421">
            <v>33</v>
          </cell>
          <cell r="D421">
            <v>3</v>
          </cell>
          <cell r="E421">
            <v>2</v>
          </cell>
          <cell r="F421" t="str">
            <v>3월 2주</v>
          </cell>
        </row>
        <row r="422">
          <cell r="A422">
            <v>41868</v>
          </cell>
          <cell r="B422" t="str">
            <v>일</v>
          </cell>
          <cell r="C422">
            <v>34</v>
          </cell>
          <cell r="D422">
            <v>3</v>
          </cell>
          <cell r="E422">
            <v>2</v>
          </cell>
          <cell r="F422" t="str">
            <v>3월 2주</v>
          </cell>
        </row>
        <row r="423">
          <cell r="A423">
            <v>41869</v>
          </cell>
          <cell r="B423" t="str">
            <v>월</v>
          </cell>
          <cell r="C423">
            <v>34</v>
          </cell>
          <cell r="D423">
            <v>3</v>
          </cell>
          <cell r="E423">
            <v>2</v>
          </cell>
          <cell r="F423" t="str">
            <v>3월 2주</v>
          </cell>
        </row>
        <row r="424">
          <cell r="A424">
            <v>41870</v>
          </cell>
          <cell r="B424" t="str">
            <v>화</v>
          </cell>
          <cell r="C424">
            <v>34</v>
          </cell>
          <cell r="D424">
            <v>3</v>
          </cell>
          <cell r="E424">
            <v>2</v>
          </cell>
          <cell r="F424" t="str">
            <v>3월 2주</v>
          </cell>
        </row>
        <row r="425">
          <cell r="A425">
            <v>41871</v>
          </cell>
          <cell r="B425" t="str">
            <v>수</v>
          </cell>
          <cell r="C425">
            <v>34</v>
          </cell>
          <cell r="D425">
            <v>3</v>
          </cell>
          <cell r="E425">
            <v>2</v>
          </cell>
          <cell r="F425" t="str">
            <v>3월 2주</v>
          </cell>
        </row>
        <row r="426">
          <cell r="A426">
            <v>41872</v>
          </cell>
          <cell r="B426" t="str">
            <v>목</v>
          </cell>
          <cell r="C426">
            <v>34</v>
          </cell>
          <cell r="D426">
            <v>3</v>
          </cell>
          <cell r="E426">
            <v>2</v>
          </cell>
          <cell r="F426" t="str">
            <v>3월 2주</v>
          </cell>
        </row>
        <row r="427">
          <cell r="A427">
            <v>41873</v>
          </cell>
          <cell r="B427" t="str">
            <v>금</v>
          </cell>
          <cell r="C427">
            <v>34</v>
          </cell>
          <cell r="D427">
            <v>3</v>
          </cell>
          <cell r="E427">
            <v>2</v>
          </cell>
          <cell r="F427" t="str">
            <v>3월 2주</v>
          </cell>
        </row>
        <row r="428">
          <cell r="A428">
            <v>41874</v>
          </cell>
          <cell r="B428" t="str">
            <v>토</v>
          </cell>
          <cell r="C428">
            <v>34</v>
          </cell>
          <cell r="D428">
            <v>3</v>
          </cell>
          <cell r="E428">
            <v>2</v>
          </cell>
          <cell r="F428" t="str">
            <v>3월 2주</v>
          </cell>
        </row>
        <row r="429">
          <cell r="A429">
            <v>41875</v>
          </cell>
          <cell r="B429" t="str">
            <v>일</v>
          </cell>
          <cell r="C429">
            <v>35</v>
          </cell>
          <cell r="D429">
            <v>3</v>
          </cell>
          <cell r="E429">
            <v>2</v>
          </cell>
          <cell r="F429" t="str">
            <v>3월 2주</v>
          </cell>
        </row>
        <row r="430">
          <cell r="A430">
            <v>41876</v>
          </cell>
          <cell r="B430" t="str">
            <v>월</v>
          </cell>
          <cell r="C430">
            <v>35</v>
          </cell>
          <cell r="D430">
            <v>3</v>
          </cell>
          <cell r="E430">
            <v>2</v>
          </cell>
          <cell r="F430" t="str">
            <v>3월 2주</v>
          </cell>
        </row>
        <row r="431">
          <cell r="A431">
            <v>41877</v>
          </cell>
          <cell r="B431" t="str">
            <v>화</v>
          </cell>
          <cell r="C431">
            <v>35</v>
          </cell>
          <cell r="D431">
            <v>3</v>
          </cell>
          <cell r="E431">
            <v>2</v>
          </cell>
          <cell r="F431" t="str">
            <v>3월 2주</v>
          </cell>
        </row>
        <row r="432">
          <cell r="A432">
            <v>41878</v>
          </cell>
          <cell r="B432" t="str">
            <v>수</v>
          </cell>
          <cell r="C432">
            <v>35</v>
          </cell>
          <cell r="D432">
            <v>3</v>
          </cell>
          <cell r="E432">
            <v>2</v>
          </cell>
          <cell r="F432" t="str">
            <v>3월 2주</v>
          </cell>
        </row>
        <row r="433">
          <cell r="A433">
            <v>41879</v>
          </cell>
          <cell r="B433" t="str">
            <v>목</v>
          </cell>
          <cell r="C433">
            <v>35</v>
          </cell>
          <cell r="D433">
            <v>3</v>
          </cell>
          <cell r="E433">
            <v>2</v>
          </cell>
          <cell r="F433" t="str">
            <v>3월 2주</v>
          </cell>
        </row>
        <row r="434">
          <cell r="A434">
            <v>41880</v>
          </cell>
          <cell r="B434" t="str">
            <v>금</v>
          </cell>
          <cell r="C434">
            <v>35</v>
          </cell>
          <cell r="D434">
            <v>3</v>
          </cell>
          <cell r="E434">
            <v>2</v>
          </cell>
          <cell r="F434" t="str">
            <v>3월 2주</v>
          </cell>
        </row>
        <row r="435">
          <cell r="A435">
            <v>41881</v>
          </cell>
          <cell r="B435" t="str">
            <v>토</v>
          </cell>
          <cell r="C435">
            <v>35</v>
          </cell>
          <cell r="D435">
            <v>3</v>
          </cell>
          <cell r="E435">
            <v>2</v>
          </cell>
          <cell r="F435" t="str">
            <v>3월 2주</v>
          </cell>
        </row>
        <row r="436">
          <cell r="A436">
            <v>41882</v>
          </cell>
          <cell r="B436" t="str">
            <v>일</v>
          </cell>
          <cell r="C436">
            <v>36</v>
          </cell>
          <cell r="D436">
            <v>3</v>
          </cell>
          <cell r="E436">
            <v>2</v>
          </cell>
          <cell r="F436" t="str">
            <v>3월 2주</v>
          </cell>
        </row>
        <row r="437">
          <cell r="A437">
            <v>41883</v>
          </cell>
          <cell r="B437" t="str">
            <v>월</v>
          </cell>
          <cell r="C437">
            <v>36</v>
          </cell>
          <cell r="D437">
            <v>3</v>
          </cell>
          <cell r="E437">
            <v>2</v>
          </cell>
          <cell r="F437" t="str">
            <v>3월 2주</v>
          </cell>
        </row>
        <row r="438">
          <cell r="A438">
            <v>41884</v>
          </cell>
          <cell r="B438" t="str">
            <v>화</v>
          </cell>
          <cell r="C438">
            <v>36</v>
          </cell>
          <cell r="D438">
            <v>3</v>
          </cell>
          <cell r="E438">
            <v>2</v>
          </cell>
          <cell r="F438" t="str">
            <v>3월 2주</v>
          </cell>
        </row>
        <row r="439">
          <cell r="A439">
            <v>41885</v>
          </cell>
          <cell r="B439" t="str">
            <v>수</v>
          </cell>
          <cell r="C439">
            <v>36</v>
          </cell>
          <cell r="D439">
            <v>3</v>
          </cell>
          <cell r="E439">
            <v>2</v>
          </cell>
          <cell r="F439" t="str">
            <v>3월 2주</v>
          </cell>
        </row>
        <row r="440">
          <cell r="A440">
            <v>41886</v>
          </cell>
          <cell r="B440" t="str">
            <v>목</v>
          </cell>
          <cell r="C440">
            <v>36</v>
          </cell>
          <cell r="D440">
            <v>3</v>
          </cell>
          <cell r="E440">
            <v>2</v>
          </cell>
          <cell r="F440" t="str">
            <v>3월 2주</v>
          </cell>
        </row>
        <row r="441">
          <cell r="A441">
            <v>41887</v>
          </cell>
          <cell r="B441" t="str">
            <v>금</v>
          </cell>
          <cell r="C441">
            <v>36</v>
          </cell>
          <cell r="D441">
            <v>3</v>
          </cell>
          <cell r="E441">
            <v>2</v>
          </cell>
          <cell r="F441" t="str">
            <v>3월 2주</v>
          </cell>
        </row>
        <row r="442">
          <cell r="A442">
            <v>41888</v>
          </cell>
          <cell r="B442" t="str">
            <v>토</v>
          </cell>
          <cell r="C442">
            <v>36</v>
          </cell>
          <cell r="D442">
            <v>3</v>
          </cell>
          <cell r="E442">
            <v>2</v>
          </cell>
          <cell r="F442" t="str">
            <v>3월 2주</v>
          </cell>
        </row>
        <row r="443">
          <cell r="A443">
            <v>41889</v>
          </cell>
          <cell r="B443" t="str">
            <v>일</v>
          </cell>
          <cell r="C443">
            <v>37</v>
          </cell>
          <cell r="D443">
            <v>3</v>
          </cell>
          <cell r="E443">
            <v>2</v>
          </cell>
          <cell r="F443" t="str">
            <v>3월 2주</v>
          </cell>
        </row>
        <row r="444">
          <cell r="A444">
            <v>41890</v>
          </cell>
          <cell r="B444" t="str">
            <v>월</v>
          </cell>
          <cell r="C444">
            <v>37</v>
          </cell>
          <cell r="D444">
            <v>3</v>
          </cell>
          <cell r="E444">
            <v>2</v>
          </cell>
          <cell r="F444" t="str">
            <v>3월 2주</v>
          </cell>
        </row>
        <row r="445">
          <cell r="A445">
            <v>41891</v>
          </cell>
          <cell r="B445" t="str">
            <v>화</v>
          </cell>
          <cell r="C445">
            <v>37</v>
          </cell>
          <cell r="D445">
            <v>3</v>
          </cell>
          <cell r="E445">
            <v>2</v>
          </cell>
          <cell r="F445" t="str">
            <v>3월 2주</v>
          </cell>
        </row>
        <row r="446">
          <cell r="A446">
            <v>41892</v>
          </cell>
          <cell r="B446" t="str">
            <v>수</v>
          </cell>
          <cell r="C446">
            <v>37</v>
          </cell>
          <cell r="D446">
            <v>3</v>
          </cell>
          <cell r="E446">
            <v>2</v>
          </cell>
          <cell r="F446" t="str">
            <v>3월 2주</v>
          </cell>
        </row>
        <row r="447">
          <cell r="A447">
            <v>41893</v>
          </cell>
          <cell r="B447" t="str">
            <v>목</v>
          </cell>
          <cell r="C447">
            <v>37</v>
          </cell>
          <cell r="D447">
            <v>3</v>
          </cell>
          <cell r="E447">
            <v>2</v>
          </cell>
          <cell r="F447" t="str">
            <v>3월 2주</v>
          </cell>
        </row>
        <row r="448">
          <cell r="A448">
            <v>41894</v>
          </cell>
          <cell r="B448" t="str">
            <v>금</v>
          </cell>
          <cell r="C448">
            <v>37</v>
          </cell>
          <cell r="D448">
            <v>3</v>
          </cell>
          <cell r="E448">
            <v>2</v>
          </cell>
          <cell r="F448" t="str">
            <v>3월 2주</v>
          </cell>
        </row>
        <row r="449">
          <cell r="A449">
            <v>41895</v>
          </cell>
          <cell r="B449" t="str">
            <v>토</v>
          </cell>
          <cell r="C449">
            <v>37</v>
          </cell>
          <cell r="D449">
            <v>3</v>
          </cell>
          <cell r="E449">
            <v>2</v>
          </cell>
          <cell r="F449" t="str">
            <v>3월 2주</v>
          </cell>
        </row>
        <row r="450">
          <cell r="A450">
            <v>41896</v>
          </cell>
          <cell r="B450" t="str">
            <v>일</v>
          </cell>
          <cell r="C450">
            <v>38</v>
          </cell>
          <cell r="D450">
            <v>3</v>
          </cell>
          <cell r="E450">
            <v>2</v>
          </cell>
          <cell r="F450" t="str">
            <v>3월 2주</v>
          </cell>
        </row>
        <row r="451">
          <cell r="A451">
            <v>41897</v>
          </cell>
          <cell r="B451" t="str">
            <v>월</v>
          </cell>
          <cell r="C451">
            <v>38</v>
          </cell>
          <cell r="D451">
            <v>3</v>
          </cell>
          <cell r="E451">
            <v>2</v>
          </cell>
          <cell r="F451" t="str">
            <v>3월 2주</v>
          </cell>
        </row>
        <row r="452">
          <cell r="A452">
            <v>41898</v>
          </cell>
          <cell r="B452" t="str">
            <v>화</v>
          </cell>
          <cell r="C452">
            <v>38</v>
          </cell>
          <cell r="D452">
            <v>3</v>
          </cell>
          <cell r="E452">
            <v>2</v>
          </cell>
          <cell r="F452" t="str">
            <v>3월 2주</v>
          </cell>
        </row>
        <row r="453">
          <cell r="A453">
            <v>41899</v>
          </cell>
          <cell r="B453" t="str">
            <v>수</v>
          </cell>
          <cell r="C453">
            <v>38</v>
          </cell>
          <cell r="D453">
            <v>3</v>
          </cell>
          <cell r="E453">
            <v>2</v>
          </cell>
          <cell r="F453" t="str">
            <v>3월 2주</v>
          </cell>
        </row>
        <row r="454">
          <cell r="A454">
            <v>41900</v>
          </cell>
          <cell r="B454" t="str">
            <v>목</v>
          </cell>
          <cell r="C454">
            <v>38</v>
          </cell>
          <cell r="D454">
            <v>3</v>
          </cell>
          <cell r="E454">
            <v>2</v>
          </cell>
          <cell r="F454" t="str">
            <v>3월 2주</v>
          </cell>
        </row>
        <row r="455">
          <cell r="A455">
            <v>41901</v>
          </cell>
          <cell r="B455" t="str">
            <v>금</v>
          </cell>
          <cell r="C455">
            <v>38</v>
          </cell>
          <cell r="D455">
            <v>3</v>
          </cell>
          <cell r="E455">
            <v>2</v>
          </cell>
          <cell r="F455" t="str">
            <v>3월 2주</v>
          </cell>
        </row>
        <row r="456">
          <cell r="A456">
            <v>41902</v>
          </cell>
          <cell r="B456" t="str">
            <v>토</v>
          </cell>
          <cell r="C456">
            <v>38</v>
          </cell>
          <cell r="D456">
            <v>3</v>
          </cell>
          <cell r="E456">
            <v>2</v>
          </cell>
          <cell r="F456" t="str">
            <v>3월 2주</v>
          </cell>
        </row>
        <row r="457">
          <cell r="A457">
            <v>41903</v>
          </cell>
          <cell r="B457" t="str">
            <v>일</v>
          </cell>
          <cell r="C457">
            <v>39</v>
          </cell>
          <cell r="D457">
            <v>3</v>
          </cell>
          <cell r="E457">
            <v>2</v>
          </cell>
          <cell r="F457" t="str">
            <v>3월 2주</v>
          </cell>
        </row>
        <row r="458">
          <cell r="A458">
            <v>41904</v>
          </cell>
          <cell r="B458" t="str">
            <v>월</v>
          </cell>
          <cell r="C458">
            <v>39</v>
          </cell>
          <cell r="D458">
            <v>3</v>
          </cell>
          <cell r="E458">
            <v>2</v>
          </cell>
          <cell r="F458" t="str">
            <v>3월 2주</v>
          </cell>
        </row>
        <row r="459">
          <cell r="A459">
            <v>41905</v>
          </cell>
          <cell r="B459" t="str">
            <v>화</v>
          </cell>
          <cell r="C459">
            <v>39</v>
          </cell>
          <cell r="D459">
            <v>3</v>
          </cell>
          <cell r="E459">
            <v>2</v>
          </cell>
          <cell r="F459" t="str">
            <v>3월 2주</v>
          </cell>
        </row>
        <row r="460">
          <cell r="A460">
            <v>41906</v>
          </cell>
          <cell r="B460" t="str">
            <v>수</v>
          </cell>
          <cell r="C460">
            <v>39</v>
          </cell>
          <cell r="D460">
            <v>3</v>
          </cell>
          <cell r="E460">
            <v>2</v>
          </cell>
          <cell r="F460" t="str">
            <v>3월 2주</v>
          </cell>
        </row>
        <row r="461">
          <cell r="A461">
            <v>41907</v>
          </cell>
          <cell r="B461" t="str">
            <v>목</v>
          </cell>
          <cell r="C461">
            <v>39</v>
          </cell>
          <cell r="D461">
            <v>3</v>
          </cell>
          <cell r="E461">
            <v>2</v>
          </cell>
          <cell r="F461" t="str">
            <v>3월 2주</v>
          </cell>
        </row>
        <row r="462">
          <cell r="A462">
            <v>41908</v>
          </cell>
          <cell r="B462" t="str">
            <v>금</v>
          </cell>
          <cell r="C462">
            <v>39</v>
          </cell>
          <cell r="D462">
            <v>3</v>
          </cell>
          <cell r="E462">
            <v>2</v>
          </cell>
          <cell r="F462" t="str">
            <v>3월 2주</v>
          </cell>
        </row>
        <row r="463">
          <cell r="A463">
            <v>41909</v>
          </cell>
          <cell r="B463" t="str">
            <v>토</v>
          </cell>
          <cell r="C463">
            <v>39</v>
          </cell>
          <cell r="D463">
            <v>3</v>
          </cell>
          <cell r="E463">
            <v>2</v>
          </cell>
          <cell r="F463" t="str">
            <v>3월 2주</v>
          </cell>
        </row>
        <row r="464">
          <cell r="A464">
            <v>41910</v>
          </cell>
          <cell r="B464" t="str">
            <v>일</v>
          </cell>
          <cell r="C464">
            <v>40</v>
          </cell>
          <cell r="D464">
            <v>3</v>
          </cell>
          <cell r="E464">
            <v>2</v>
          </cell>
          <cell r="F464" t="str">
            <v>3월 2주</v>
          </cell>
        </row>
        <row r="465">
          <cell r="A465">
            <v>41911</v>
          </cell>
          <cell r="B465" t="str">
            <v>월</v>
          </cell>
          <cell r="C465">
            <v>40</v>
          </cell>
          <cell r="D465">
            <v>3</v>
          </cell>
          <cell r="E465">
            <v>2</v>
          </cell>
          <cell r="F465" t="str">
            <v>3월 2주</v>
          </cell>
        </row>
        <row r="466">
          <cell r="A466">
            <v>41912</v>
          </cell>
          <cell r="B466" t="str">
            <v>화</v>
          </cell>
          <cell r="C466">
            <v>40</v>
          </cell>
          <cell r="D466">
            <v>3</v>
          </cell>
          <cell r="E466">
            <v>2</v>
          </cell>
          <cell r="F466" t="str">
            <v>3월 2주</v>
          </cell>
        </row>
        <row r="467">
          <cell r="A467">
            <v>41913</v>
          </cell>
          <cell r="B467" t="str">
            <v>수</v>
          </cell>
          <cell r="C467">
            <v>40</v>
          </cell>
          <cell r="D467">
            <v>3</v>
          </cell>
          <cell r="E467">
            <v>2</v>
          </cell>
          <cell r="F467" t="str">
            <v>3월 2주</v>
          </cell>
        </row>
        <row r="468">
          <cell r="A468">
            <v>41914</v>
          </cell>
          <cell r="B468" t="str">
            <v>목</v>
          </cell>
          <cell r="C468">
            <v>40</v>
          </cell>
          <cell r="D468">
            <v>3</v>
          </cell>
          <cell r="E468">
            <v>2</v>
          </cell>
          <cell r="F468" t="str">
            <v>3월 2주</v>
          </cell>
        </row>
        <row r="469">
          <cell r="A469">
            <v>41915</v>
          </cell>
          <cell r="B469" t="str">
            <v>금</v>
          </cell>
          <cell r="C469">
            <v>40</v>
          </cell>
          <cell r="D469">
            <v>3</v>
          </cell>
          <cell r="E469">
            <v>2</v>
          </cell>
          <cell r="F469" t="str">
            <v>3월 2주</v>
          </cell>
        </row>
        <row r="470">
          <cell r="A470">
            <v>41916</v>
          </cell>
          <cell r="B470" t="str">
            <v>토</v>
          </cell>
          <cell r="C470">
            <v>40</v>
          </cell>
          <cell r="D470">
            <v>3</v>
          </cell>
          <cell r="E470">
            <v>2</v>
          </cell>
          <cell r="F470" t="str">
            <v>3월 2주</v>
          </cell>
        </row>
        <row r="471">
          <cell r="A471">
            <v>41917</v>
          </cell>
          <cell r="B471" t="str">
            <v>일</v>
          </cell>
          <cell r="C471">
            <v>41</v>
          </cell>
          <cell r="D471">
            <v>3</v>
          </cell>
          <cell r="E471">
            <v>2</v>
          </cell>
          <cell r="F471" t="str">
            <v>3월 2주</v>
          </cell>
        </row>
        <row r="472">
          <cell r="A472">
            <v>41918</v>
          </cell>
          <cell r="B472" t="str">
            <v>월</v>
          </cell>
          <cell r="C472">
            <v>41</v>
          </cell>
          <cell r="D472">
            <v>3</v>
          </cell>
          <cell r="E472">
            <v>2</v>
          </cell>
          <cell r="F472" t="str">
            <v>3월 2주</v>
          </cell>
        </row>
        <row r="473">
          <cell r="A473">
            <v>41919</v>
          </cell>
          <cell r="B473" t="str">
            <v>화</v>
          </cell>
          <cell r="C473">
            <v>41</v>
          </cell>
          <cell r="D473">
            <v>3</v>
          </cell>
          <cell r="E473">
            <v>2</v>
          </cell>
          <cell r="F473" t="str">
            <v>3월 2주</v>
          </cell>
        </row>
        <row r="474">
          <cell r="A474">
            <v>41920</v>
          </cell>
          <cell r="B474" t="str">
            <v>수</v>
          </cell>
          <cell r="C474">
            <v>41</v>
          </cell>
          <cell r="D474">
            <v>3</v>
          </cell>
          <cell r="E474">
            <v>2</v>
          </cell>
          <cell r="F474" t="str">
            <v>3월 2주</v>
          </cell>
        </row>
        <row r="475">
          <cell r="A475">
            <v>41921</v>
          </cell>
          <cell r="B475" t="str">
            <v>목</v>
          </cell>
          <cell r="C475">
            <v>41</v>
          </cell>
          <cell r="D475">
            <v>3</v>
          </cell>
          <cell r="E475">
            <v>2</v>
          </cell>
          <cell r="F475" t="str">
            <v>3월 2주</v>
          </cell>
        </row>
        <row r="476">
          <cell r="A476">
            <v>41922</v>
          </cell>
          <cell r="B476" t="str">
            <v>금</v>
          </cell>
          <cell r="C476">
            <v>41</v>
          </cell>
          <cell r="D476">
            <v>3</v>
          </cell>
          <cell r="E476">
            <v>2</v>
          </cell>
          <cell r="F476" t="str">
            <v>3월 2주</v>
          </cell>
        </row>
        <row r="477">
          <cell r="A477">
            <v>41923</v>
          </cell>
          <cell r="B477" t="str">
            <v>토</v>
          </cell>
          <cell r="C477">
            <v>41</v>
          </cell>
          <cell r="D477">
            <v>3</v>
          </cell>
          <cell r="E477">
            <v>2</v>
          </cell>
          <cell r="F477" t="str">
            <v>3월 2주</v>
          </cell>
        </row>
        <row r="478">
          <cell r="A478">
            <v>41924</v>
          </cell>
          <cell r="B478" t="str">
            <v>일</v>
          </cell>
          <cell r="C478">
            <v>42</v>
          </cell>
          <cell r="D478">
            <v>3</v>
          </cell>
          <cell r="E478">
            <v>2</v>
          </cell>
          <cell r="F478" t="str">
            <v>3월 2주</v>
          </cell>
        </row>
        <row r="479">
          <cell r="A479">
            <v>41925</v>
          </cell>
          <cell r="B479" t="str">
            <v>월</v>
          </cell>
          <cell r="C479">
            <v>42</v>
          </cell>
          <cell r="D479">
            <v>3</v>
          </cell>
          <cell r="E479">
            <v>2</v>
          </cell>
          <cell r="F479" t="str">
            <v>3월 2주</v>
          </cell>
        </row>
        <row r="480">
          <cell r="A480">
            <v>41926</v>
          </cell>
          <cell r="B480" t="str">
            <v>화</v>
          </cell>
          <cell r="C480">
            <v>42</v>
          </cell>
          <cell r="D480">
            <v>3</v>
          </cell>
          <cell r="E480">
            <v>2</v>
          </cell>
          <cell r="F480" t="str">
            <v>3월 2주</v>
          </cell>
        </row>
        <row r="481">
          <cell r="A481">
            <v>41927</v>
          </cell>
          <cell r="B481" t="str">
            <v>수</v>
          </cell>
          <cell r="C481">
            <v>42</v>
          </cell>
          <cell r="D481">
            <v>3</v>
          </cell>
          <cell r="E481">
            <v>2</v>
          </cell>
          <cell r="F481" t="str">
            <v>3월 2주</v>
          </cell>
        </row>
        <row r="482">
          <cell r="A482">
            <v>41928</v>
          </cell>
          <cell r="B482" t="str">
            <v>목</v>
          </cell>
          <cell r="C482">
            <v>42</v>
          </cell>
          <cell r="D482">
            <v>3</v>
          </cell>
          <cell r="E482">
            <v>2</v>
          </cell>
          <cell r="F482" t="str">
            <v>3월 2주</v>
          </cell>
        </row>
        <row r="483">
          <cell r="A483">
            <v>41929</v>
          </cell>
          <cell r="B483" t="str">
            <v>금</v>
          </cell>
          <cell r="C483">
            <v>42</v>
          </cell>
          <cell r="D483">
            <v>3</v>
          </cell>
          <cell r="E483">
            <v>2</v>
          </cell>
          <cell r="F483" t="str">
            <v>3월 2주</v>
          </cell>
        </row>
        <row r="484">
          <cell r="A484">
            <v>41930</v>
          </cell>
          <cell r="B484" t="str">
            <v>토</v>
          </cell>
          <cell r="C484">
            <v>42</v>
          </cell>
          <cell r="D484">
            <v>3</v>
          </cell>
          <cell r="E484">
            <v>2</v>
          </cell>
          <cell r="F484" t="str">
            <v>3월 2주</v>
          </cell>
        </row>
        <row r="485">
          <cell r="A485">
            <v>41931</v>
          </cell>
          <cell r="B485" t="str">
            <v>일</v>
          </cell>
          <cell r="C485">
            <v>43</v>
          </cell>
          <cell r="D485">
            <v>3</v>
          </cell>
          <cell r="E485">
            <v>2</v>
          </cell>
          <cell r="F485" t="str">
            <v>3월 2주</v>
          </cell>
        </row>
        <row r="486">
          <cell r="A486">
            <v>41932</v>
          </cell>
          <cell r="B486" t="str">
            <v>월</v>
          </cell>
          <cell r="C486">
            <v>43</v>
          </cell>
          <cell r="D486">
            <v>3</v>
          </cell>
          <cell r="E486">
            <v>2</v>
          </cell>
          <cell r="F486" t="str">
            <v>3월 2주</v>
          </cell>
        </row>
        <row r="487">
          <cell r="A487">
            <v>41933</v>
          </cell>
          <cell r="B487" t="str">
            <v>화</v>
          </cell>
          <cell r="C487">
            <v>43</v>
          </cell>
          <cell r="D487">
            <v>3</v>
          </cell>
          <cell r="E487">
            <v>2</v>
          </cell>
          <cell r="F487" t="str">
            <v>3월 2주</v>
          </cell>
        </row>
        <row r="488">
          <cell r="A488">
            <v>41934</v>
          </cell>
          <cell r="B488" t="str">
            <v>수</v>
          </cell>
          <cell r="C488">
            <v>43</v>
          </cell>
          <cell r="D488">
            <v>3</v>
          </cell>
          <cell r="E488">
            <v>2</v>
          </cell>
          <cell r="F488" t="str">
            <v>3월 2주</v>
          </cell>
        </row>
        <row r="489">
          <cell r="A489">
            <v>41935</v>
          </cell>
          <cell r="B489" t="str">
            <v>목</v>
          </cell>
          <cell r="C489">
            <v>43</v>
          </cell>
          <cell r="D489">
            <v>3</v>
          </cell>
          <cell r="E489">
            <v>2</v>
          </cell>
          <cell r="F489" t="str">
            <v>3월 2주</v>
          </cell>
        </row>
        <row r="490">
          <cell r="A490">
            <v>41936</v>
          </cell>
          <cell r="B490" t="str">
            <v>금</v>
          </cell>
          <cell r="C490">
            <v>43</v>
          </cell>
          <cell r="D490">
            <v>3</v>
          </cell>
          <cell r="E490">
            <v>2</v>
          </cell>
          <cell r="F490" t="str">
            <v>3월 2주</v>
          </cell>
        </row>
        <row r="491">
          <cell r="A491">
            <v>41937</v>
          </cell>
          <cell r="B491" t="str">
            <v>토</v>
          </cell>
          <cell r="C491">
            <v>43</v>
          </cell>
          <cell r="D491">
            <v>3</v>
          </cell>
          <cell r="E491">
            <v>2</v>
          </cell>
          <cell r="F491" t="str">
            <v>3월 2주</v>
          </cell>
        </row>
        <row r="492">
          <cell r="A492">
            <v>41938</v>
          </cell>
          <cell r="B492" t="str">
            <v>일</v>
          </cell>
          <cell r="C492">
            <v>44</v>
          </cell>
          <cell r="D492">
            <v>3</v>
          </cell>
          <cell r="E492">
            <v>2</v>
          </cell>
          <cell r="F492" t="str">
            <v>3월 2주</v>
          </cell>
        </row>
        <row r="493">
          <cell r="A493">
            <v>41939</v>
          </cell>
          <cell r="B493" t="str">
            <v>월</v>
          </cell>
          <cell r="C493">
            <v>44</v>
          </cell>
          <cell r="D493">
            <v>3</v>
          </cell>
          <cell r="E493">
            <v>2</v>
          </cell>
          <cell r="F493" t="str">
            <v>3월 2주</v>
          </cell>
        </row>
        <row r="494">
          <cell r="A494">
            <v>41940</v>
          </cell>
          <cell r="B494" t="str">
            <v>화</v>
          </cell>
          <cell r="C494">
            <v>44</v>
          </cell>
          <cell r="D494">
            <v>3</v>
          </cell>
          <cell r="E494">
            <v>2</v>
          </cell>
          <cell r="F494" t="str">
            <v>3월 2주</v>
          </cell>
        </row>
        <row r="495">
          <cell r="A495">
            <v>41941</v>
          </cell>
          <cell r="B495" t="str">
            <v>수</v>
          </cell>
          <cell r="C495">
            <v>44</v>
          </cell>
          <cell r="D495">
            <v>3</v>
          </cell>
          <cell r="E495">
            <v>2</v>
          </cell>
          <cell r="F495" t="str">
            <v>3월 2주</v>
          </cell>
        </row>
        <row r="496">
          <cell r="A496">
            <v>41942</v>
          </cell>
          <cell r="B496" t="str">
            <v>목</v>
          </cell>
          <cell r="C496">
            <v>44</v>
          </cell>
          <cell r="D496">
            <v>3</v>
          </cell>
          <cell r="E496">
            <v>2</v>
          </cell>
          <cell r="F496" t="str">
            <v>3월 2주</v>
          </cell>
        </row>
        <row r="497">
          <cell r="A497">
            <v>41943</v>
          </cell>
          <cell r="B497" t="str">
            <v>금</v>
          </cell>
          <cell r="C497">
            <v>44</v>
          </cell>
          <cell r="D497">
            <v>3</v>
          </cell>
          <cell r="E497">
            <v>2</v>
          </cell>
          <cell r="F497" t="str">
            <v>3월 2주</v>
          </cell>
        </row>
        <row r="498">
          <cell r="A498">
            <v>41944</v>
          </cell>
          <cell r="B498" t="str">
            <v>토</v>
          </cell>
          <cell r="C498">
            <v>44</v>
          </cell>
          <cell r="D498">
            <v>3</v>
          </cell>
          <cell r="E498">
            <v>2</v>
          </cell>
          <cell r="F498" t="str">
            <v>3월 2주</v>
          </cell>
        </row>
        <row r="499">
          <cell r="A499">
            <v>41945</v>
          </cell>
          <cell r="B499" t="str">
            <v>일</v>
          </cell>
          <cell r="C499">
            <v>45</v>
          </cell>
          <cell r="D499">
            <v>3</v>
          </cell>
          <cell r="E499">
            <v>2</v>
          </cell>
          <cell r="F499" t="str">
            <v>3월 2주</v>
          </cell>
        </row>
        <row r="500">
          <cell r="A500">
            <v>41946</v>
          </cell>
          <cell r="B500" t="str">
            <v>월</v>
          </cell>
          <cell r="C500">
            <v>45</v>
          </cell>
          <cell r="D500">
            <v>3</v>
          </cell>
          <cell r="E500">
            <v>2</v>
          </cell>
          <cell r="F500" t="str">
            <v>3월 2주</v>
          </cell>
        </row>
        <row r="501">
          <cell r="A501">
            <v>41947</v>
          </cell>
          <cell r="B501" t="str">
            <v>화</v>
          </cell>
          <cell r="C501">
            <v>45</v>
          </cell>
          <cell r="D501">
            <v>3</v>
          </cell>
          <cell r="E501">
            <v>2</v>
          </cell>
          <cell r="F501" t="str">
            <v>3월 2주</v>
          </cell>
        </row>
        <row r="502">
          <cell r="A502">
            <v>41948</v>
          </cell>
          <cell r="B502" t="str">
            <v>수</v>
          </cell>
          <cell r="C502">
            <v>45</v>
          </cell>
          <cell r="D502">
            <v>3</v>
          </cell>
          <cell r="E502">
            <v>2</v>
          </cell>
          <cell r="F502" t="str">
            <v>3월 2주</v>
          </cell>
        </row>
        <row r="503">
          <cell r="A503">
            <v>41949</v>
          </cell>
          <cell r="B503" t="str">
            <v>목</v>
          </cell>
          <cell r="C503">
            <v>45</v>
          </cell>
          <cell r="D503">
            <v>3</v>
          </cell>
          <cell r="E503">
            <v>2</v>
          </cell>
          <cell r="F503" t="str">
            <v>3월 2주</v>
          </cell>
        </row>
        <row r="504">
          <cell r="A504">
            <v>41950</v>
          </cell>
          <cell r="B504" t="str">
            <v>금</v>
          </cell>
          <cell r="C504">
            <v>45</v>
          </cell>
          <cell r="D504">
            <v>3</v>
          </cell>
          <cell r="E504">
            <v>2</v>
          </cell>
          <cell r="F504" t="str">
            <v>3월 2주</v>
          </cell>
        </row>
        <row r="505">
          <cell r="A505">
            <v>41951</v>
          </cell>
          <cell r="B505" t="str">
            <v>토</v>
          </cell>
          <cell r="C505">
            <v>45</v>
          </cell>
          <cell r="D505">
            <v>3</v>
          </cell>
          <cell r="E505">
            <v>2</v>
          </cell>
          <cell r="F505" t="str">
            <v>3월 2주</v>
          </cell>
        </row>
        <row r="506">
          <cell r="A506">
            <v>41952</v>
          </cell>
          <cell r="B506" t="str">
            <v>일</v>
          </cell>
          <cell r="C506">
            <v>46</v>
          </cell>
          <cell r="D506">
            <v>3</v>
          </cell>
          <cell r="E506">
            <v>2</v>
          </cell>
          <cell r="F506" t="str">
            <v>3월 2주</v>
          </cell>
        </row>
        <row r="507">
          <cell r="A507">
            <v>41953</v>
          </cell>
          <cell r="B507" t="str">
            <v>월</v>
          </cell>
          <cell r="C507">
            <v>46</v>
          </cell>
          <cell r="D507">
            <v>3</v>
          </cell>
          <cell r="E507">
            <v>2</v>
          </cell>
          <cell r="F507" t="str">
            <v>3월 2주</v>
          </cell>
        </row>
        <row r="508">
          <cell r="A508">
            <v>41954</v>
          </cell>
          <cell r="B508" t="str">
            <v>화</v>
          </cell>
          <cell r="C508">
            <v>46</v>
          </cell>
          <cell r="D508">
            <v>3</v>
          </cell>
          <cell r="E508">
            <v>2</v>
          </cell>
          <cell r="F508" t="str">
            <v>3월 2주</v>
          </cell>
        </row>
        <row r="509">
          <cell r="A509">
            <v>41955</v>
          </cell>
          <cell r="B509" t="str">
            <v>수</v>
          </cell>
          <cell r="C509">
            <v>46</v>
          </cell>
          <cell r="D509">
            <v>3</v>
          </cell>
          <cell r="E509">
            <v>2</v>
          </cell>
          <cell r="F509" t="str">
            <v>3월 2주</v>
          </cell>
        </row>
        <row r="510">
          <cell r="A510">
            <v>41956</v>
          </cell>
          <cell r="B510" t="str">
            <v>목</v>
          </cell>
          <cell r="C510">
            <v>46</v>
          </cell>
          <cell r="D510">
            <v>3</v>
          </cell>
          <cell r="E510">
            <v>2</v>
          </cell>
          <cell r="F510" t="str">
            <v>3월 2주</v>
          </cell>
        </row>
        <row r="511">
          <cell r="A511">
            <v>41957</v>
          </cell>
          <cell r="B511" t="str">
            <v>금</v>
          </cell>
          <cell r="C511">
            <v>46</v>
          </cell>
          <cell r="D511">
            <v>3</v>
          </cell>
          <cell r="E511">
            <v>2</v>
          </cell>
          <cell r="F511" t="str">
            <v>3월 2주</v>
          </cell>
        </row>
        <row r="512">
          <cell r="A512">
            <v>41958</v>
          </cell>
          <cell r="B512" t="str">
            <v>토</v>
          </cell>
          <cell r="C512">
            <v>46</v>
          </cell>
          <cell r="D512">
            <v>3</v>
          </cell>
          <cell r="E512">
            <v>2</v>
          </cell>
          <cell r="F512" t="str">
            <v>3월 2주</v>
          </cell>
        </row>
        <row r="513">
          <cell r="A513">
            <v>41959</v>
          </cell>
          <cell r="B513" t="str">
            <v>일</v>
          </cell>
          <cell r="C513">
            <v>47</v>
          </cell>
          <cell r="D513">
            <v>3</v>
          </cell>
          <cell r="E513">
            <v>2</v>
          </cell>
          <cell r="F513" t="str">
            <v>3월 2주</v>
          </cell>
        </row>
        <row r="514">
          <cell r="A514">
            <v>41960</v>
          </cell>
          <cell r="B514" t="str">
            <v>월</v>
          </cell>
          <cell r="C514">
            <v>47</v>
          </cell>
          <cell r="D514">
            <v>3</v>
          </cell>
          <cell r="E514">
            <v>2</v>
          </cell>
          <cell r="F514" t="str">
            <v>3월 2주</v>
          </cell>
        </row>
        <row r="515">
          <cell r="A515">
            <v>41961</v>
          </cell>
          <cell r="B515" t="str">
            <v>화</v>
          </cell>
          <cell r="C515">
            <v>47</v>
          </cell>
          <cell r="D515">
            <v>3</v>
          </cell>
          <cell r="E515">
            <v>2</v>
          </cell>
          <cell r="F515" t="str">
            <v>3월 2주</v>
          </cell>
        </row>
        <row r="516">
          <cell r="A516">
            <v>41962</v>
          </cell>
          <cell r="B516" t="str">
            <v>수</v>
          </cell>
          <cell r="C516">
            <v>47</v>
          </cell>
          <cell r="D516">
            <v>3</v>
          </cell>
          <cell r="E516">
            <v>2</v>
          </cell>
          <cell r="F516" t="str">
            <v>3월 2주</v>
          </cell>
        </row>
        <row r="517">
          <cell r="A517">
            <v>41963</v>
          </cell>
          <cell r="B517" t="str">
            <v>목</v>
          </cell>
          <cell r="C517">
            <v>47</v>
          </cell>
          <cell r="D517">
            <v>3</v>
          </cell>
          <cell r="E517">
            <v>2</v>
          </cell>
          <cell r="F517" t="str">
            <v>3월 2주</v>
          </cell>
        </row>
        <row r="518">
          <cell r="A518">
            <v>41964</v>
          </cell>
          <cell r="B518" t="str">
            <v>금</v>
          </cell>
          <cell r="C518">
            <v>47</v>
          </cell>
          <cell r="D518">
            <v>3</v>
          </cell>
          <cell r="E518">
            <v>2</v>
          </cell>
          <cell r="F518" t="str">
            <v>3월 2주</v>
          </cell>
        </row>
        <row r="519">
          <cell r="A519">
            <v>41965</v>
          </cell>
          <cell r="B519" t="str">
            <v>토</v>
          </cell>
          <cell r="C519">
            <v>47</v>
          </cell>
          <cell r="D519">
            <v>3</v>
          </cell>
          <cell r="E519">
            <v>2</v>
          </cell>
          <cell r="F519" t="str">
            <v>3월 2주</v>
          </cell>
        </row>
        <row r="520">
          <cell r="A520">
            <v>41966</v>
          </cell>
          <cell r="B520" t="str">
            <v>일</v>
          </cell>
          <cell r="C520">
            <v>48</v>
          </cell>
          <cell r="D520">
            <v>3</v>
          </cell>
          <cell r="E520">
            <v>2</v>
          </cell>
          <cell r="F520" t="str">
            <v>3월 2주</v>
          </cell>
        </row>
        <row r="521">
          <cell r="A521">
            <v>41967</v>
          </cell>
          <cell r="B521" t="str">
            <v>월</v>
          </cell>
          <cell r="C521">
            <v>48</v>
          </cell>
          <cell r="D521">
            <v>3</v>
          </cell>
          <cell r="E521">
            <v>2</v>
          </cell>
          <cell r="F521" t="str">
            <v>3월 2주</v>
          </cell>
        </row>
        <row r="522">
          <cell r="A522">
            <v>41968</v>
          </cell>
          <cell r="B522" t="str">
            <v>화</v>
          </cell>
          <cell r="C522">
            <v>48</v>
          </cell>
          <cell r="D522">
            <v>3</v>
          </cell>
          <cell r="E522">
            <v>2</v>
          </cell>
          <cell r="F522" t="str">
            <v>3월 2주</v>
          </cell>
        </row>
        <row r="523">
          <cell r="A523">
            <v>41969</v>
          </cell>
          <cell r="B523" t="str">
            <v>수</v>
          </cell>
          <cell r="C523">
            <v>48</v>
          </cell>
          <cell r="D523">
            <v>3</v>
          </cell>
          <cell r="E523">
            <v>2</v>
          </cell>
          <cell r="F523" t="str">
            <v>3월 2주</v>
          </cell>
        </row>
        <row r="524">
          <cell r="A524">
            <v>41970</v>
          </cell>
          <cell r="B524" t="str">
            <v>목</v>
          </cell>
          <cell r="C524">
            <v>48</v>
          </cell>
          <cell r="D524">
            <v>3</v>
          </cell>
          <cell r="E524">
            <v>2</v>
          </cell>
          <cell r="F524" t="str">
            <v>3월 2주</v>
          </cell>
        </row>
        <row r="525">
          <cell r="A525">
            <v>41971</v>
          </cell>
          <cell r="B525" t="str">
            <v>금</v>
          </cell>
          <cell r="C525">
            <v>48</v>
          </cell>
          <cell r="D525">
            <v>3</v>
          </cell>
          <cell r="E525">
            <v>2</v>
          </cell>
          <cell r="F525" t="str">
            <v>3월 2주</v>
          </cell>
        </row>
        <row r="526">
          <cell r="A526">
            <v>41972</v>
          </cell>
          <cell r="B526" t="str">
            <v>토</v>
          </cell>
          <cell r="C526">
            <v>48</v>
          </cell>
          <cell r="D526">
            <v>3</v>
          </cell>
          <cell r="E526">
            <v>2</v>
          </cell>
          <cell r="F526" t="str">
            <v>3월 2주</v>
          </cell>
        </row>
        <row r="527">
          <cell r="A527">
            <v>41973</v>
          </cell>
          <cell r="B527" t="str">
            <v>일</v>
          </cell>
          <cell r="C527">
            <v>49</v>
          </cell>
          <cell r="D527">
            <v>3</v>
          </cell>
          <cell r="E527">
            <v>2</v>
          </cell>
          <cell r="F527" t="str">
            <v>3월 2주</v>
          </cell>
        </row>
        <row r="528">
          <cell r="A528">
            <v>41974</v>
          </cell>
          <cell r="B528" t="str">
            <v>월</v>
          </cell>
          <cell r="C528">
            <v>49</v>
          </cell>
          <cell r="D528">
            <v>3</v>
          </cell>
          <cell r="E528">
            <v>2</v>
          </cell>
          <cell r="F528" t="str">
            <v>3월 2주</v>
          </cell>
        </row>
        <row r="529">
          <cell r="A529">
            <v>41975</v>
          </cell>
          <cell r="B529" t="str">
            <v>화</v>
          </cell>
          <cell r="C529">
            <v>49</v>
          </cell>
          <cell r="D529">
            <v>3</v>
          </cell>
          <cell r="E529">
            <v>2</v>
          </cell>
          <cell r="F529" t="str">
            <v>3월 2주</v>
          </cell>
        </row>
        <row r="530">
          <cell r="A530">
            <v>41976</v>
          </cell>
          <cell r="B530" t="str">
            <v>수</v>
          </cell>
          <cell r="C530">
            <v>49</v>
          </cell>
          <cell r="D530">
            <v>3</v>
          </cell>
          <cell r="E530">
            <v>2</v>
          </cell>
          <cell r="F530" t="str">
            <v>3월 2주</v>
          </cell>
        </row>
        <row r="531">
          <cell r="A531">
            <v>41977</v>
          </cell>
          <cell r="B531" t="str">
            <v>목</v>
          </cell>
          <cell r="C531">
            <v>49</v>
          </cell>
          <cell r="D531">
            <v>3</v>
          </cell>
          <cell r="E531">
            <v>2</v>
          </cell>
          <cell r="F531" t="str">
            <v>3월 2주</v>
          </cell>
        </row>
        <row r="532">
          <cell r="A532">
            <v>41978</v>
          </cell>
          <cell r="B532" t="str">
            <v>금</v>
          </cell>
          <cell r="C532">
            <v>49</v>
          </cell>
          <cell r="D532">
            <v>3</v>
          </cell>
          <cell r="E532">
            <v>2</v>
          </cell>
          <cell r="F532" t="str">
            <v>3월 2주</v>
          </cell>
        </row>
        <row r="533">
          <cell r="A533">
            <v>41979</v>
          </cell>
          <cell r="B533" t="str">
            <v>토</v>
          </cell>
          <cell r="C533">
            <v>49</v>
          </cell>
          <cell r="D533">
            <v>3</v>
          </cell>
          <cell r="E533">
            <v>2</v>
          </cell>
          <cell r="F533" t="str">
            <v>3월 2주</v>
          </cell>
        </row>
        <row r="534">
          <cell r="A534">
            <v>41980</v>
          </cell>
          <cell r="B534" t="str">
            <v>일</v>
          </cell>
          <cell r="C534">
            <v>50</v>
          </cell>
          <cell r="D534">
            <v>3</v>
          </cell>
          <cell r="E534">
            <v>2</v>
          </cell>
          <cell r="F534" t="str">
            <v>3월 2주</v>
          </cell>
        </row>
        <row r="535">
          <cell r="A535">
            <v>41981</v>
          </cell>
          <cell r="B535" t="str">
            <v>월</v>
          </cell>
          <cell r="C535">
            <v>50</v>
          </cell>
          <cell r="D535">
            <v>3</v>
          </cell>
          <cell r="E535">
            <v>2</v>
          </cell>
          <cell r="F535" t="str">
            <v>3월 2주</v>
          </cell>
        </row>
        <row r="536">
          <cell r="A536">
            <v>41982</v>
          </cell>
          <cell r="B536" t="str">
            <v>화</v>
          </cell>
          <cell r="C536">
            <v>50</v>
          </cell>
          <cell r="D536">
            <v>3</v>
          </cell>
          <cell r="E536">
            <v>2</v>
          </cell>
          <cell r="F536" t="str">
            <v>3월 2주</v>
          </cell>
        </row>
        <row r="537">
          <cell r="A537">
            <v>41983</v>
          </cell>
          <cell r="B537" t="str">
            <v>수</v>
          </cell>
          <cell r="C537">
            <v>50</v>
          </cell>
          <cell r="D537">
            <v>3</v>
          </cell>
          <cell r="E537">
            <v>2</v>
          </cell>
          <cell r="F537" t="str">
            <v>3월 2주</v>
          </cell>
        </row>
        <row r="538">
          <cell r="A538">
            <v>41984</v>
          </cell>
          <cell r="B538" t="str">
            <v>목</v>
          </cell>
          <cell r="C538">
            <v>50</v>
          </cell>
          <cell r="D538">
            <v>3</v>
          </cell>
          <cell r="E538">
            <v>2</v>
          </cell>
          <cell r="F538" t="str">
            <v>3월 2주</v>
          </cell>
        </row>
        <row r="539">
          <cell r="A539">
            <v>41985</v>
          </cell>
          <cell r="B539" t="str">
            <v>금</v>
          </cell>
          <cell r="C539">
            <v>50</v>
          </cell>
          <cell r="D539">
            <v>3</v>
          </cell>
          <cell r="E539">
            <v>2</v>
          </cell>
          <cell r="F539" t="str">
            <v>3월 2주</v>
          </cell>
        </row>
        <row r="540">
          <cell r="A540">
            <v>41986</v>
          </cell>
          <cell r="B540" t="str">
            <v>토</v>
          </cell>
          <cell r="C540">
            <v>50</v>
          </cell>
          <cell r="D540">
            <v>3</v>
          </cell>
          <cell r="E540">
            <v>2</v>
          </cell>
          <cell r="F540" t="str">
            <v>3월 2주</v>
          </cell>
        </row>
        <row r="541">
          <cell r="A541">
            <v>41987</v>
          </cell>
          <cell r="B541" t="str">
            <v>일</v>
          </cell>
          <cell r="C541">
            <v>51</v>
          </cell>
          <cell r="D541">
            <v>3</v>
          </cell>
          <cell r="E541">
            <v>2</v>
          </cell>
          <cell r="F541" t="str">
            <v>3월 2주</v>
          </cell>
        </row>
        <row r="542">
          <cell r="A542">
            <v>41988</v>
          </cell>
          <cell r="B542" t="str">
            <v>월</v>
          </cell>
          <cell r="C542">
            <v>51</v>
          </cell>
          <cell r="D542">
            <v>3</v>
          </cell>
          <cell r="E542">
            <v>2</v>
          </cell>
          <cell r="F542" t="str">
            <v>3월 2주</v>
          </cell>
        </row>
        <row r="543">
          <cell r="A543">
            <v>41989</v>
          </cell>
          <cell r="B543" t="str">
            <v>화</v>
          </cell>
          <cell r="C543">
            <v>51</v>
          </cell>
          <cell r="D543">
            <v>3</v>
          </cell>
          <cell r="E543">
            <v>2</v>
          </cell>
          <cell r="F543" t="str">
            <v>3월 2주</v>
          </cell>
        </row>
        <row r="544">
          <cell r="A544">
            <v>41990</v>
          </cell>
          <cell r="B544" t="str">
            <v>수</v>
          </cell>
          <cell r="C544">
            <v>51</v>
          </cell>
          <cell r="D544">
            <v>3</v>
          </cell>
          <cell r="E544">
            <v>2</v>
          </cell>
          <cell r="F544" t="str">
            <v>3월 2주</v>
          </cell>
        </row>
        <row r="545">
          <cell r="A545">
            <v>41991</v>
          </cell>
          <cell r="B545" t="str">
            <v>목</v>
          </cell>
          <cell r="C545">
            <v>51</v>
          </cell>
          <cell r="D545">
            <v>3</v>
          </cell>
          <cell r="E545">
            <v>2</v>
          </cell>
          <cell r="F545" t="str">
            <v>3월 2주</v>
          </cell>
        </row>
        <row r="546">
          <cell r="A546">
            <v>41992</v>
          </cell>
          <cell r="B546" t="str">
            <v>금</v>
          </cell>
          <cell r="C546">
            <v>51</v>
          </cell>
          <cell r="D546">
            <v>3</v>
          </cell>
          <cell r="E546">
            <v>2</v>
          </cell>
          <cell r="F546" t="str">
            <v>3월 2주</v>
          </cell>
        </row>
        <row r="547">
          <cell r="A547">
            <v>41993</v>
          </cell>
          <cell r="B547" t="str">
            <v>토</v>
          </cell>
          <cell r="C547">
            <v>51</v>
          </cell>
          <cell r="D547">
            <v>3</v>
          </cell>
          <cell r="E547">
            <v>2</v>
          </cell>
          <cell r="F547" t="str">
            <v>3월 2주</v>
          </cell>
        </row>
        <row r="548">
          <cell r="A548">
            <v>41994</v>
          </cell>
          <cell r="B548" t="str">
            <v>일</v>
          </cell>
          <cell r="C548">
            <v>52</v>
          </cell>
          <cell r="D548">
            <v>3</v>
          </cell>
          <cell r="E548">
            <v>2</v>
          </cell>
          <cell r="F548" t="str">
            <v>3월 2주</v>
          </cell>
        </row>
        <row r="549">
          <cell r="A549">
            <v>41995</v>
          </cell>
          <cell r="B549" t="str">
            <v>월</v>
          </cell>
          <cell r="C549">
            <v>52</v>
          </cell>
          <cell r="D549">
            <v>3</v>
          </cell>
          <cell r="E549">
            <v>2</v>
          </cell>
          <cell r="F549" t="str">
            <v>3월 2주</v>
          </cell>
        </row>
        <row r="550">
          <cell r="A550">
            <v>41996</v>
          </cell>
          <cell r="B550" t="str">
            <v>화</v>
          </cell>
          <cell r="C550">
            <v>52</v>
          </cell>
          <cell r="D550">
            <v>3</v>
          </cell>
          <cell r="E550">
            <v>2</v>
          </cell>
          <cell r="F550" t="str">
            <v>3월 2주</v>
          </cell>
        </row>
        <row r="551">
          <cell r="A551">
            <v>41997</v>
          </cell>
          <cell r="B551" t="str">
            <v>수</v>
          </cell>
          <cell r="C551">
            <v>52</v>
          </cell>
          <cell r="D551">
            <v>3</v>
          </cell>
          <cell r="E551">
            <v>2</v>
          </cell>
          <cell r="F551" t="str">
            <v>3월 2주</v>
          </cell>
        </row>
        <row r="552">
          <cell r="A552">
            <v>41998</v>
          </cell>
          <cell r="B552" t="str">
            <v>목</v>
          </cell>
          <cell r="C552">
            <v>52</v>
          </cell>
          <cell r="D552">
            <v>3</v>
          </cell>
          <cell r="E552">
            <v>2</v>
          </cell>
          <cell r="F552" t="str">
            <v>3월 2주</v>
          </cell>
        </row>
        <row r="553">
          <cell r="A553">
            <v>41999</v>
          </cell>
          <cell r="B553" t="str">
            <v>금</v>
          </cell>
          <cell r="C553">
            <v>52</v>
          </cell>
          <cell r="D553">
            <v>3</v>
          </cell>
          <cell r="E553">
            <v>2</v>
          </cell>
          <cell r="F553" t="str">
            <v>3월 2주</v>
          </cell>
        </row>
        <row r="554">
          <cell r="A554">
            <v>42000</v>
          </cell>
          <cell r="B554" t="str">
            <v>토</v>
          </cell>
          <cell r="C554">
            <v>52</v>
          </cell>
          <cell r="D554">
            <v>3</v>
          </cell>
          <cell r="E554">
            <v>2</v>
          </cell>
          <cell r="F554" t="str">
            <v>3월 2주</v>
          </cell>
        </row>
        <row r="555">
          <cell r="A555">
            <v>42001</v>
          </cell>
          <cell r="B555" t="str">
            <v>일</v>
          </cell>
          <cell r="C555">
            <v>53</v>
          </cell>
          <cell r="D555">
            <v>3</v>
          </cell>
          <cell r="E555">
            <v>2</v>
          </cell>
          <cell r="F555" t="str">
            <v>3월 2주</v>
          </cell>
        </row>
        <row r="556">
          <cell r="A556">
            <v>42002</v>
          </cell>
          <cell r="B556" t="str">
            <v>월</v>
          </cell>
          <cell r="C556">
            <v>53</v>
          </cell>
          <cell r="D556">
            <v>3</v>
          </cell>
          <cell r="E556">
            <v>2</v>
          </cell>
          <cell r="F556" t="str">
            <v>3월 2주</v>
          </cell>
        </row>
        <row r="557">
          <cell r="A557">
            <v>42003</v>
          </cell>
          <cell r="B557" t="str">
            <v>화</v>
          </cell>
          <cell r="C557">
            <v>53</v>
          </cell>
          <cell r="D557">
            <v>3</v>
          </cell>
          <cell r="E557">
            <v>2</v>
          </cell>
          <cell r="F557" t="str">
            <v>3월 2주</v>
          </cell>
        </row>
        <row r="558">
          <cell r="A558">
            <v>42004</v>
          </cell>
          <cell r="B558" t="str">
            <v>수</v>
          </cell>
          <cell r="C558">
            <v>53</v>
          </cell>
          <cell r="D558">
            <v>3</v>
          </cell>
          <cell r="E558">
            <v>2</v>
          </cell>
          <cell r="F558" t="str">
            <v>3월 2주</v>
          </cell>
        </row>
        <row r="559">
          <cell r="A559">
            <v>42005</v>
          </cell>
          <cell r="B559" t="str">
            <v>목</v>
          </cell>
          <cell r="C559">
            <v>1</v>
          </cell>
          <cell r="D559">
            <v>3</v>
          </cell>
          <cell r="E559">
            <v>2</v>
          </cell>
          <cell r="F559" t="str">
            <v>3월 2주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xk-130118" refreshedDate="41780.671535185182" createdVersion="3" refreshedVersion="3" minRefreshableVersion="3" recordCount="859">
  <cacheSource type="worksheet">
    <worksheetSource ref="A1:AJ1048576" sheet="샘플현황취합"/>
  </cacheSource>
  <cacheFields count="38">
    <cacheField name="실발주샘플수" numFmtId="176">
      <sharedItems containsString="0" containsBlank="1" containsNumber="1" minValue="0" maxValue="1"/>
    </cacheField>
    <cacheField name="실발주샘플번호" numFmtId="176">
      <sharedItems containsBlank="1"/>
    </cacheField>
    <cacheField name="총발주샘플건수" numFmtId="176">
      <sharedItems containsString="0" containsBlank="1" containsNumber="1" minValue="0" maxValue="1"/>
    </cacheField>
    <cacheField name="총발주샘플업체/번호" numFmtId="176">
      <sharedItems containsBlank="1"/>
    </cacheField>
    <cacheField name="실발주월" numFmtId="176">
      <sharedItems containsBlank="1" count="17">
        <s v="201401"/>
        <s v="201402"/>
        <s v="201403"/>
        <s v="190001"/>
        <s v="201405"/>
        <s v="201404"/>
        <m/>
        <s v="201304" u="1"/>
        <s v="201305" u="1"/>
        <s v="201306" u="1"/>
        <s v="201307" u="1"/>
        <s v="201308" u="1"/>
        <s v="201309" u="1"/>
        <e v="#VALUE!" u="1"/>
        <s v="201310" u="1"/>
        <s v="201302" u="1"/>
        <s v="201303" u="1"/>
      </sharedItems>
    </cacheField>
    <cacheField name="발주주" numFmtId="187">
      <sharedItems containsBlank="1" containsMixedTypes="1" containsNumber="1" containsInteger="1" minValue="26" maxValue="36" count="23">
        <s v="1월 4주"/>
        <s v="2월 1주"/>
        <s v="2월 3주"/>
        <s v="3월 1주"/>
        <s v="3월 2주"/>
        <e v="#N/A"/>
        <s v="1월 3주"/>
        <s v="2월 4주"/>
        <s v="1월 5주"/>
        <s v="2월 2주"/>
        <s v="1월 1주"/>
        <m/>
        <n v="34" u="1"/>
        <n v="36" u="1"/>
        <n v="33" u="1"/>
        <n v="35" u="1"/>
        <n v="26" u="1"/>
        <n v="27" u="1"/>
        <n v="28" u="1"/>
        <n v="29" u="1"/>
        <n v="30" u="1"/>
        <n v="31" u="1"/>
        <n v="32" u="1"/>
      </sharedItems>
    </cacheField>
    <cacheField name="실입고샘플수" numFmtId="176">
      <sharedItems containsString="0" containsBlank="1" containsNumber="1" minValue="0" maxValue="1"/>
    </cacheField>
    <cacheField name="실입고샘플번호" numFmtId="176">
      <sharedItems containsBlank="1"/>
    </cacheField>
    <cacheField name="총입고샘플건수" numFmtId="176">
      <sharedItems containsString="0" containsBlank="1" containsNumber="1" minValue="0" maxValue="1" count="5">
        <n v="1"/>
        <n v="0"/>
        <n v="0.5"/>
        <m/>
        <n v="0.25" u="1"/>
      </sharedItems>
    </cacheField>
    <cacheField name="총입고샘플업체/번호" numFmtId="176">
      <sharedItems containsBlank="1"/>
    </cacheField>
    <cacheField name="입고일" numFmtId="186">
      <sharedItems containsDate="1" containsBlank="1" containsMixedTypes="1" minDate="1899-12-30T00:00:00" maxDate="2014-06-19T00:00:00" count="277">
        <d v="2014-03-13T00:00:00"/>
        <d v="2014-03-18T00:00:00"/>
        <d v="2014-03-19T00:00:00"/>
        <d v="2014-03-11T00:00:00"/>
        <d v="2014-03-28T00:00:00"/>
        <d v="2014-03-21T00:00:00"/>
        <d v="2014-03-04T00:00:00"/>
        <d v="2014-02-28T00:00:00"/>
        <s v="캔슬"/>
        <d v="2014-03-24T00:00:00"/>
        <d v="2014-03-27T00:00:00"/>
        <d v="2014-02-10T00:00:00"/>
        <d v="2014-03-05T00:00:00"/>
        <d v="2014-03-07T00:00:00"/>
        <d v="2014-04-04T00:00:00"/>
        <d v="2014-04-07T00:00:00"/>
        <d v="1899-12-30T13:42:51"/>
        <d v="2014-04-16T00:00:00"/>
        <d v="2014-05-07T00:00:00"/>
        <d v="2014-04-09T00:00:00"/>
        <d v="2014-04-14T00:00:00"/>
        <d v="2014-04-01T00:00:00"/>
        <d v="2014-04-02T00:00:00"/>
        <d v="2014-05-02T00:00:00"/>
        <d v="2014-04-29T00:00:00"/>
        <d v="2014-04-22T00:00:00"/>
        <d v="2014-04-17T00:00:00"/>
        <d v="2014-04-24T00:00:00"/>
        <d v="2014-04-25T00:00:00"/>
        <d v="2014-04-21T00:00:00"/>
        <d v="1899-12-30T00:00:00"/>
        <d v="2014-03-31T00:00:00"/>
        <d v="2014-03-06T00:00:00"/>
        <d v="2014-03-10T00:00:00"/>
        <d v="2014-05-15T00:00:00"/>
        <d v="2014-06-15T00:00:00"/>
        <d v="2014-06-16T00:00:00"/>
        <d v="2014-06-17T00:00:00"/>
        <d v="2014-06-18T00:00:00"/>
        <d v="2014-03-14T00:00:00"/>
        <d v="2014-01-31T00:00:00"/>
        <d v="2014-03-12T00:00:00"/>
        <d v="2014-04-08T00:00:00"/>
        <d v="2014-04-03T00:00:00"/>
        <d v="2014-04-11T00:00:00"/>
        <d v="2014-03-03T00:00:00"/>
        <d v="2014-04-23T00:00:00"/>
        <d v="2014-03-26T00:00:00"/>
        <d v="2014-04-28T00:00:00"/>
        <d v="2014-05-09T00:00:00"/>
        <d v="2014-05-12T00:00:00"/>
        <d v="2014-04-10T00:00:00"/>
        <d v="2014-04-30T00:00:00"/>
        <d v="2014-05-08T00:00:00"/>
        <d v="2014-05-27T00:00:00"/>
        <d v="2014-05-16T00:00:00"/>
        <d v="2014-06-09T00:00:00"/>
        <d v="2014-02-11T00:00:00"/>
        <d v="2014-03-17T00:00:00"/>
        <d v="2014-03-29T00:00:00"/>
        <d v="2014-04-20T00:00:00"/>
        <d v="2014-05-05T00:00:00"/>
        <d v="2014-05-06T00:00:00"/>
        <d v="2014-05-10T00:00:00"/>
        <d v="2014-05-11T00:00:00"/>
        <d v="2014-05-13T00:00:00"/>
        <d v="2014-05-14T00:00:00"/>
        <d v="2014-05-17T00:00:00"/>
        <d v="2014-05-18T00:00:00"/>
        <d v="2014-04-15T00:00:00"/>
        <d v="2014-05-20T00:00:00"/>
        <d v="2004-05-30T00:00:00"/>
        <s v="X"/>
        <d v="2014-05-30T00:00:00"/>
        <d v="2014-05-21T00:00:00"/>
        <d v="2014-06-13T00:00:00"/>
        <d v="2014-02-27T00:00:00"/>
        <d v="2014-02-21T00:00:00"/>
        <d v="2014-03-20T00:00:00"/>
        <d v="2014-03-25T00:00:00"/>
        <d v="2014-04-18T00:00:00"/>
        <d v="2014-06-04T00:00:00"/>
        <d v="2014-05-19T00:00:00"/>
        <d v="2014-02-19T00:00:00"/>
        <d v="2014-03-02T00:00:00"/>
        <m/>
        <d v="2013-05-24T00:00:00" u="1"/>
        <d v="2013-09-06T00:00:00" u="1"/>
        <d v="2013-08-20T00:00:00" u="1"/>
        <d v="2013-10-11T00:00:00" u="1"/>
        <d v="2013-04-12T00:00:00" u="1"/>
        <d v="2013-06-03T00:00:00" u="1"/>
        <d v="2013-09-25T00:00:00" u="1"/>
        <d v="2013-03-26T00:00:00" u="1"/>
        <d v="2013-05-17T00:00:00" u="1"/>
        <d v="2013-07-08T00:00:00" u="1"/>
        <d v="2013-10-30T00:00:00" u="1"/>
        <d v="2013-08-13T00:00:00" u="1"/>
        <d v="2013-10-04T00:00:00" u="1"/>
        <d v="2013-04-05T00:00:00" u="1"/>
        <d v="2013-09-18T00:00:00" u="1"/>
        <d v="1899-12-31T00:00:00" u="1"/>
        <d v="2013-03-19T00:00:00" u="1"/>
        <d v="2013-05-10T00:00:00" u="1"/>
        <d v="2013-10-23T00:00:00" u="1"/>
        <d v="2014-02-14T00:00:00" u="1"/>
        <d v="2014-04-05T00:00:00" u="1"/>
        <d v="2013-04-24T00:00:00" u="1"/>
        <d v="2013-05-29T00:00:00" u="1"/>
        <d v="2013-09-11T00:00:00" u="1"/>
        <d v="2012-06-08T00:00:00" u="1"/>
        <d v="2013-05-03T00:00:00" u="1"/>
        <d v="2013-08-25T00:00:00" u="1"/>
        <d v="2013-10-16T00:00:00" u="1"/>
        <d v="2013-04-17T00:00:00" u="1"/>
        <d v="2013-06-08T00:00:00" u="1"/>
        <d v="2013-09-30T00:00:00" u="1"/>
        <d v="2013-05-22T00:00:00" u="1"/>
        <d v="2013-09-04T00:00:00" u="1"/>
        <d v="2013-06-27T00:00:00" u="1"/>
        <d v="2013-10-09T00:00:00" u="1"/>
        <d v="2013-04-10T00:00:00" u="1"/>
        <d v="2013-09-23T00:00:00" u="1"/>
        <d v="2013-11-14T00:00:00" u="1"/>
        <d v="2013-05-15T00:00:00" u="1"/>
        <d v="2013-10-28T00:00:00" u="1"/>
        <d v="2013-04-29T00:00:00" u="1"/>
        <d v="2013-06-20T00:00:00" u="1"/>
        <d v="2013-10-02T00:00:00" u="1"/>
        <d v="2013-07-25T00:00:00" u="1"/>
        <d v="2013-09-16T00:00:00" u="1"/>
        <d v="2013-05-08T00:00:00" u="1"/>
        <d v="2013-08-30T00:00:00" u="1"/>
        <d v="2013-10-21T00:00:00" u="1"/>
        <d v="2013-04-22T00:00:00" u="1"/>
        <d v="2013-06-13T00:00:00" u="1"/>
        <d v="2013-05-27T00:00:00" u="1"/>
        <d v="2013-07-18T00:00:00" u="1"/>
        <d v="2013-09-09T00:00:00" u="1"/>
        <d v="2013-05-01T00:00:00" u="1"/>
        <d v="2013-08-23T00:00:00" u="1"/>
        <d v="2013-10-14T00:00:00" u="1"/>
        <d v="2013-04-15T00:00:00" u="1"/>
        <d v="2013-06-06T00:00:00" u="1"/>
        <d v="2013-03-29T00:00:00" u="1"/>
        <d v="2013-05-20T00:00:00" u="1"/>
        <d v="2013-07-11T00:00:00" u="1"/>
        <d v="2013-09-02T00:00:00" u="1"/>
        <d v="2014-02-24T00:00:00" u="1"/>
        <d v="2013-08-16T00:00:00" u="1"/>
        <d v="2013-10-07T00:00:00" u="1"/>
        <d v="2013-04-08T00:00:00" u="1"/>
        <d v="2013-03-22T00:00:00" u="1"/>
        <d v="2013-05-13T00:00:00" u="1"/>
        <d v="2013-07-04T00:00:00" u="1"/>
        <d v="2013-10-26T00:00:00" u="1"/>
        <d v="2013-08-09T00:00:00" u="1"/>
        <d v="2014-03-22T00:00:00" u="1"/>
        <s v="cancel" u="1"/>
        <d v="2013-04-01T00:00:00" u="1"/>
        <d v="2013-07-23T00:00:00" u="1"/>
        <d v="2013-11-05T00:00:00" u="1"/>
        <d v="2013-03-15T00:00:00" u="1"/>
        <d v="2013-05-06T00:00:00" u="1"/>
        <d v="2013-08-28T00:00:00" u="1"/>
        <d v="2013-12-10T00:00:00" u="1"/>
        <d v="2013-06-11T00:00:00" u="1"/>
        <d v="2013-08-02T00:00:00" u="1"/>
        <d v="2014-03-15T00:00:00" u="1"/>
        <d v="2013-07-16T00:00:00" u="1"/>
        <d v="2013-08-21T00:00:00" u="1"/>
        <d v="2013-06-04T00:00:00" u="1"/>
        <d v="2013-09-26T00:00:00" u="1"/>
        <d v="2014-03-08T00:00:00" u="1"/>
        <d v="2013-03-27T00:00:00" u="1"/>
        <d v="2013-07-09T00:00:00" u="1"/>
        <d v="2013-10-31T00:00:00" u="1"/>
        <d v="2014-02-22T00:00:00" u="1"/>
        <d v="2013-08-14T00:00:00" u="1"/>
        <d v="2013-10-05T00:00:00" u="1"/>
        <d v="1900-01-27T00:00:00" u="1"/>
        <d v="2013-09-19T00:00:00" u="1"/>
        <d v="2013-07-02T00:00:00" u="1"/>
        <d v="2013-10-24T00:00:00" u="1"/>
        <d v="2014-04-06T00:00:00" u="1"/>
        <d v="2013-04-25T00:00:00" u="1"/>
        <d v="2013-05-30T00:00:00" u="1"/>
        <d v="2013-09-12T00:00:00" u="1"/>
        <d v="2013-08-26T00:00:00" u="1"/>
        <d v="2013-10-17T00:00:00" u="1"/>
        <d v="2013-04-18T00:00:00" u="1"/>
        <d v="2013-06-09T00:00:00" u="1"/>
        <d v="2013-11-22T00:00:00" u="1"/>
        <d v="2013-05-23T00:00:00" u="1"/>
        <d v="2013-09-05T00:00:00" u="1"/>
        <d v="2013-03-06T00:00:00" u="1"/>
        <d v="2013-06-28T00:00:00" u="1"/>
        <d v="2013-08-19T00:00:00" u="1"/>
        <d v="2013-10-10T00:00:00" u="1"/>
        <d v="2013-04-11T00:00:00" u="1"/>
        <d v="2013-09-24T00:00:00" u="1"/>
        <d v="2013-11-15T00:00:00" u="1"/>
        <d v="2013-03-25T00:00:00" u="1"/>
        <d v="2013-05-16T00:00:00" u="1"/>
        <d v="2013-10-29T00:00:00" u="1"/>
        <d v="2014-02-20T00:00:00" u="1"/>
        <d v="2013-04-30T00:00:00" u="1"/>
        <d v="2013-06-21T00:00:00" u="1"/>
        <d v="2013-08-12T00:00:00" u="1"/>
        <d v="2013-10-03T00:00:00" u="1"/>
        <d v="2013-09-17T00:00:00" u="1"/>
        <d v="2013-11-08T00:00:00" u="1"/>
        <d v="2013-03-18T00:00:00" u="1"/>
        <d v="2013-05-09T00:00:00" u="1"/>
        <d v="2013-10-22T00:00:00" u="1"/>
        <d v="2014-02-13T00:00:00" u="1"/>
        <d v="2013-04-23T00:00:00" u="1"/>
        <d v="2013-06-14T00:00:00" u="1"/>
        <d v="2014-01-27T00:00:00" u="1"/>
        <d v="2013-05-28T00:00:00" u="1"/>
        <d v="2013-09-10T00:00:00" u="1"/>
        <d v="2013-11-01T00:00:00" u="1"/>
        <d v="2013-03-11T00:00:00" u="1"/>
        <d v="2013-05-02T00:00:00" u="1"/>
        <d v="2013-10-15T00:00:00" u="1"/>
        <d v="2013-02-25T00:00:00" u="1"/>
        <d v="2013-06-07T00:00:00" u="1"/>
        <d v="2013-05-21T00:00:00" u="1"/>
        <d v="2013-07-12T00:00:00" u="1"/>
        <d v="2013-09-03T00:00:00" u="1"/>
        <d v="2014-02-25T00:00:00" u="1"/>
        <d v="2013-06-26T00:00:00" u="1"/>
        <d v="2013-10-08T00:00:00" u="1"/>
        <d v="2013-04-09T00:00:00" u="1"/>
        <d v="2013-07-31T00:00:00" u="1"/>
        <d v="2013-05-14T00:00:00" u="1"/>
        <d v="2013-07-05T00:00:00" u="1"/>
        <d v="2013-10-27T00:00:00" u="1"/>
        <d v="2013-04-28T00:00:00" u="1"/>
        <d v="2013-06-19T00:00:00" u="1"/>
        <d v="2013-10-01T00:00:00" u="1"/>
        <d v="2014-03-23T00:00:00" u="1"/>
        <d v="2013-04-02T00:00:00" u="1"/>
        <d v="2013-07-24T00:00:00" u="1"/>
        <d v="2013-09-15T00:00:00" u="1"/>
        <d v="2013-05-07T00:00:00" u="1"/>
        <d v="2013-08-29T00:00:00" u="1"/>
        <d v="2013-10-20T00:00:00" u="1"/>
        <d v="2013-06-12T00:00:00" u="1"/>
        <d v="2014-03-16T00:00:00" u="1"/>
        <d v="2004-05-05T00:00:00" u="1"/>
        <d v="2012-06-05T00:00:00" u="1"/>
        <d v="2013-08-22T00:00:00" u="1"/>
        <d v="2013-06-05T00:00:00" u="1"/>
        <d v="2013-09-27T00:00:00" u="1"/>
        <d v="2014-03-09T00:00:00" u="1"/>
        <d v="2013-03-28T00:00:00" u="1"/>
        <d v="2014-02-23T00:00:00" u="1"/>
        <d v="2013-06-24T00:00:00" u="1"/>
        <d v="2013-08-15T00:00:00" u="1"/>
        <d v="2013-07-29T00:00:00" u="1"/>
        <d v="2013-09-20T00:00:00" u="1"/>
        <d v="2013-11-11T00:00:00" u="1"/>
        <d v="2013-03-21T00:00:00" u="1"/>
        <d v="2013-10-25T00:00:00" u="1"/>
        <d v="2013-04-26T00:00:00" u="1"/>
        <d v="2013-06-17T00:00:00" u="1"/>
        <d v="2013-08-08T00:00:00" u="1"/>
        <d v="2013-05-31T00:00:00" u="1"/>
        <d v="2013-07-22T00:00:00" u="1"/>
        <d v="2013-09-13T00:00:00" u="1"/>
        <d v="2013-11-04T00:00:00" u="1"/>
        <d v="2013-05-05T00:00:00" u="1"/>
        <d v="2013-08-27T00:00:00" u="1"/>
        <d v="2013-10-18T00:00:00" u="1"/>
        <d v="2013-04-19T00:00:00" u="1"/>
        <d v="2013-06-10T00:00:00" u="1"/>
      </sharedItems>
    </cacheField>
    <cacheField name="입고월" numFmtId="0">
      <sharedItems containsBlank="1" count="28">
        <s v="201403"/>
        <s v="201402"/>
        <e v="#VALUE!"/>
        <s v="201404"/>
        <s v="190001"/>
        <s v="201405"/>
        <s v="201406"/>
        <s v="201401"/>
        <s v="200405"/>
        <m/>
        <s v="201304" u="1"/>
        <s v="201305" u="1"/>
        <s v="201306" u="1"/>
        <s v="201307" u="1"/>
        <s v="02" u="1"/>
        <s v="201308" u="1"/>
        <s v="201206" u="1"/>
        <s v="04" u="1"/>
        <s v="201309" u="1"/>
        <s v="06" u="1"/>
        <s v="01" u="1"/>
        <s v="201310" u="1"/>
        <s v="03" u="1"/>
        <s v="201311" u="1"/>
        <s v="05" u="1"/>
        <s v="201312" u="1"/>
        <s v="201302" u="1"/>
        <s v="201303" u="1"/>
      </sharedItems>
    </cacheField>
    <cacheField name="입고주" numFmtId="187">
      <sharedItems containsBlank="1" containsMixedTypes="1" containsNumber="1" containsInteger="1" minValue="29" maxValue="42" count="21">
        <s v="3월 2주"/>
        <s v="3월 1주"/>
        <s v="2월 4주"/>
        <e v="#N/A"/>
        <s v="2월 2주"/>
        <s v="1월 5주"/>
        <s v="2월 3주"/>
        <m/>
        <n v="34" u="1"/>
        <n v="36" u="1"/>
        <n v="38" u="1"/>
        <n v="40" u="1"/>
        <n v="42" u="1"/>
        <n v="33" u="1"/>
        <n v="35" u="1"/>
        <n v="37" u="1"/>
        <n v="39" u="1"/>
        <n v="41" u="1"/>
        <n v="29" u="1"/>
        <n v="31" u="1"/>
        <n v="32" u="1"/>
      </sharedItems>
    </cacheField>
    <cacheField name="해외/국내" numFmtId="187">
      <sharedItems containsBlank="1" count="4">
        <s v="해외"/>
        <s v="국내"/>
        <e v="#N/A"/>
        <m/>
      </sharedItems>
    </cacheField>
    <cacheField name="브랜드/품목2" numFmtId="176">
      <sharedItems containsBlank="1" count="53">
        <s v="SMB"/>
        <s v="WTR"/>
        <s v="JAY.PARK"/>
        <s v="KONGHYOJIN"/>
        <s v="PLA"/>
        <s v="JIL"/>
        <s v="JIL-ACC"/>
        <s v="DPS"/>
        <s v="DPS-의류"/>
        <s v="BMD"/>
        <s v="JOI"/>
        <s v="BRO"/>
        <s v="JOI-ACC"/>
        <s v="NOV"/>
        <s v="POL"/>
        <s v="NOV-ACC"/>
        <s v="JOI-가방"/>
        <s v="DPS-가방"/>
        <s v="MR.REAL GOODMAN"/>
        <s v="VBL"/>
        <s v="URB"/>
        <s v="YGF"/>
        <s v="URB-가방"/>
        <s v="NAA"/>
        <s v="ELS"/>
        <s v="ELS-ACC"/>
        <s v="ELS-가방"/>
        <s v="HCU"/>
        <s v="ELS-의류"/>
        <s v="VBL-의류"/>
        <s v="PLA-의류"/>
        <s v="URB-의류"/>
        <m/>
        <s v="HCU-모자" u="1"/>
        <s v="BRO-모자" u="1"/>
        <s v="WTR-모자" u="1"/>
        <s v="VBL-모자" u="1"/>
        <s v="BMD-모자" u="1"/>
        <s v="SMB-의류" u="1"/>
        <s v="SMB-모자" u="1"/>
        <s v="ELS-모자" u="1"/>
        <s v="PLA-가방" u="1"/>
        <s v="PLA-모자" u="1"/>
        <e v="#N/A" u="1"/>
        <s v="JIT" u="1"/>
        <s v="JIL-모자" u="1"/>
        <s v="JOI-모자" u="1"/>
        <s v="YGC-모자" u="1"/>
        <s v="URB-모자" u="1"/>
        <s v="NOV-모자" u="1"/>
        <s v="B1A-모자" u="1"/>
        <s v="JST" u="1"/>
        <s v="NAA-모자" u="1"/>
      </sharedItems>
    </cacheField>
    <cacheField name="브랜드/품목" numFmtId="0">
      <sharedItems containsBlank="1" count="37">
        <s v="SMB"/>
        <s v="WTR"/>
        <s v="JAY.PARK"/>
        <s v="KONGHYOJIN"/>
        <s v="PLA"/>
        <s v="JIL"/>
        <s v="JIL-ACC"/>
        <s v="DPS"/>
        <s v="DPS-의류"/>
        <m/>
        <s v="BMD"/>
        <s v="JOI"/>
        <s v="BRO"/>
        <s v="JOI-ACC"/>
        <s v="NOV"/>
        <s v="POL"/>
        <s v="NOV-ACC"/>
        <s v="JOI-가방"/>
        <s v="DPS-가방"/>
        <s v="MR.REAL GOODMAN"/>
        <s v="VBL"/>
        <s v="URB"/>
        <s v="YGF"/>
        <s v="URB-가방"/>
        <s v="NAA"/>
        <s v="ELS"/>
        <s v="ELS-ACC"/>
        <s v="ELS-가방"/>
        <s v="HCU"/>
        <s v="ELS-의류"/>
        <s v="VBL-의류"/>
        <s v="PLA-의류"/>
        <s v="URB-의류"/>
        <s v="SMB-의류" u="1"/>
        <s v="PLA-가방" u="1"/>
        <e v="#N/A" u="1"/>
        <s v="JIT" u="1"/>
      </sharedItems>
    </cacheField>
    <cacheField name="공란" numFmtId="176">
      <sharedItems containsNonDate="0" containsString="0" containsBlank="1"/>
    </cacheField>
    <cacheField name="순번" numFmtId="176">
      <sharedItems containsString="0" containsBlank="1" containsNumber="1" containsInteger="1" minValue="1" maxValue="222"/>
    </cacheField>
    <cacheField name="이미지" numFmtId="176">
      <sharedItems containsNonDate="0" containsString="0" containsBlank="1"/>
    </cacheField>
    <cacheField name="브랜드" numFmtId="0">
      <sharedItems containsBlank="1" count="26">
        <s v="SMB"/>
        <s v="WTR"/>
        <s v="JAY.PARK"/>
        <s v="KONGHYOJIN"/>
        <s v="PLA"/>
        <s v="JIL"/>
        <s v="DPS"/>
        <s v="BMD"/>
        <s v="JOI"/>
        <s v="BRO"/>
        <s v="NOV"/>
        <s v="POL"/>
        <s v="MR.REAL GOODMAN"/>
        <s v="VBL"/>
        <s v="URB"/>
        <s v="YGF"/>
        <s v="NAA"/>
        <s v="ELS"/>
        <s v="HCU"/>
        <m/>
        <s v="YGC" u="1"/>
        <s v="B1A" u="1"/>
        <s v="ELS 가방" u="1"/>
        <s v="ELS 의류" u="1"/>
        <s v="JIT" u="1"/>
        <s v="JST" u="1"/>
      </sharedItems>
    </cacheField>
    <cacheField name="품목" numFmtId="0">
      <sharedItems containsBlank="1" count="41">
        <s v="FI"/>
        <s v="BA"/>
        <s v="ER"/>
        <s v="TP"/>
        <s v="BE"/>
        <s v="MI"/>
        <s v="HU"/>
        <s v="ED"/>
        <s v="FE"/>
        <s v="FA"/>
        <s v="SP"/>
        <s v="WA"/>
        <s v="AC"/>
        <s v="PE"/>
        <s v="MU"/>
        <s v="BP"/>
        <s v="SN"/>
        <s v="SB"/>
        <s v="JP"/>
        <s v="TL"/>
        <s v="TH"/>
        <s v="HP"/>
        <s v="PT"/>
        <s v="OP"/>
        <s v="VE"/>
        <m/>
        <s v="BK" u="1"/>
        <s v="CR" u="1"/>
        <s v="UM" u="1"/>
        <s v="FL" u="1"/>
        <s v="TR" u="1"/>
        <s v="TT" u="1"/>
        <s v="BB" u="1"/>
        <s v="MT" u="1"/>
        <s v="AA" u="1"/>
        <s v="JS" u="1"/>
        <s v="EB" u="1"/>
        <s v="RC" u="1"/>
        <s v="SL" u="1"/>
        <s v="VB" u="1"/>
        <s v="TS" u="1"/>
      </sharedItems>
    </cacheField>
    <cacheField name="러닝(R)/신규(N)" numFmtId="0">
      <sharedItems containsBlank="1" count="4">
        <s v="N"/>
        <m/>
        <s v="R" u="1"/>
        <s v="신규" u="1"/>
      </sharedItems>
    </cacheField>
    <cacheField name="샘플번호" numFmtId="0">
      <sharedItems containsBlank="1" containsMixedTypes="1" containsNumber="1" containsInteger="1" minValue="1" maxValue="5" count="783">
        <s v="14FW SMB_01_FLAT_GR_N"/>
        <s v="14FW SMB_01_FLAT_NY_N"/>
        <s v="14FW SMB_02_FLAT_BL_N"/>
        <s v="14FW SMB_03_FLAT_BK_N"/>
        <s v="14FW SMB_05_FLAT_KH_N"/>
        <s v="14FW SMB_05_FLAT_PP_N"/>
        <s v="14FW SMB_05_FLAT_RE_N"/>
        <s v="14FW SMB_06_FLAT_BK_N"/>
        <s v="14FW SMB_01_CURVED_BK_N"/>
        <s v="14FW SMB_02_CURVED_NV_N"/>
        <s v="14FW SMB_03_CURVED_BK_N"/>
        <s v="14FW SMB_03_CURVED_RD_N"/>
        <s v="14FW SMB_04_CURVED_YL_N"/>
        <s v="14FW SMB_05_CURVED_BD_N"/>
        <s v="14FW SMB_05_CURVED_BL_N"/>
        <s v="14FW SMB_06_CURVED_BK_N"/>
        <s v="14FW SMB_06_CURVED_NY_N"/>
        <s v="14FW SMB_07_CURVED_BK_N"/>
        <s v="14FW SMB_07_CURVED_GR_N"/>
        <s v="14FW SMB_07_CURVED_OR"/>
        <s v="14FW SMB_08_CURVED_NY_N"/>
        <s v="14FW SMB_09_CURVED_PK_N"/>
        <s v="14FW SMB_01_CURVED_NY_N"/>
        <s v="14FW WITAILOR CAP-01-WN"/>
        <s v="14FW WITAILOR CAP-02-BK"/>
        <s v="14FW WITAILOR CAP-03-NY"/>
        <s v="14FW WITAILOR CAP-04-GY"/>
        <s v="14FW WITAILOR CAP-05-RE"/>
        <s v="14FW WITAILOR CAP-06-BR"/>
        <s v="14FW WITAILOR CAP-07-KH"/>
        <s v="14FW WITAILOR CAP-08-BL"/>
        <s v="14FW WITAILOR CAP-09-BK"/>
        <s v="14FW WITAILOR CAP-10-KH"/>
        <s v="14FW WITAILOR CAP-11-GY"/>
        <s v="14SS JAYPARK_01_BK"/>
        <s v="14SS JAYPARK_02_WH"/>
        <s v="14SS JAYPARK_03_GY"/>
        <s v="14SS JAYPARK_04_BK"/>
        <s v="14SS JAYPARK_05_RD"/>
        <s v="14SS KONGHYOJIN_01_RD"/>
        <s v="14SS KONGHYOJIN_02_BL"/>
        <s v="14SS KONGHYOJIN_03_BK"/>
        <s v="14SS KONGHYOJIN_04_BK"/>
        <s v="14SS KONGHYOJIN_05_BK"/>
        <s v="14SS KONGHYOJIN_06_WH"/>
        <s v="14FW SMB_10_CURVED_OR_N"/>
        <s v="14FW SMB_11_CURVED_PK_F"/>
        <s v="14FW SMB_12_CURVED_NV_N"/>
        <s v="14FW SMB_13_CURVED_BK_F"/>
        <s v="14FW SMB_10_FLAT_OR_F"/>
        <s v="14FW SMB_11_FLAT_BK_F"/>
        <s v="14FW SMB_12_FLAT_PP_N"/>
        <s v="14FW SMB_16_FLAT_GR_N_KIDS"/>
        <s v="14FW SMB_17_FLAT_PK_F_KIDS"/>
        <s v="14FW SMB_18_FLAT_NY_F_KIDS"/>
        <s v="14FW SMB_29_FLAT_GY_N"/>
        <s v="14FW SMB_30_FLAT_D.GY_N"/>
        <s v="14FW SMB_31_FLAT_NY_F_KIDS"/>
        <s v="14FW SMB_07_FLAT_BK_N"/>
        <s v="14FW SMB_08_FLAT_BK_N"/>
        <s v="14FW SMB_09_FLAT_RE_N"/>
        <s v="14FW SMB_14_FLAT_BK_N"/>
        <s v="14FW SMB_19_FLAT_BK_N"/>
        <s v="14FW SMB_21_FLAT_NV_N"/>
        <s v="14FW SMB_22_FLAT_RD_N"/>
        <s v="14FW SMB_23_FLAT_NV_N"/>
        <s v="14FW SMB_24_FLAT_BK_N"/>
        <s v="14FW SMB_26_FLAT_RD_N"/>
        <s v="14FW SMB_27_FLAT_BL_N"/>
        <s v="14FW SMB_28_FLAT_BG_N"/>
        <s v="14FW SMB_09_FLAT_BK_N"/>
        <s v="14FW SMB_13_FLAT_GR_N"/>
        <s v="14FW SMB_15_FLAT_BK_N"/>
        <s v="14FW SMB_20_FLAT_BW_F"/>
        <s v="14FW SMB_25_FLAT_NV_N"/>
        <s v="14FW SMB_05_KNIT_BR_F_KIDS(FKT)"/>
        <s v="14FW SMB_06_KNIT_OR_F_KIDS"/>
        <s v="14FW SMB_01_KNIT_PK_F"/>
        <s v="14FW SMB_02_KNIT_BK_N"/>
        <s v="14FW SMB_03_KNIT_PK_N_KIDS"/>
        <s v="14FW SMB_04_KNIT_PP_N_KIDS"/>
        <s v="14FW SMB_05_KNIT_BR_F_KIDS"/>
        <s v="14FW SMB_07_KNIT_NY_F_KIDS"/>
        <s v="14FW SMB_08_KNIT_BK_N"/>
        <s v="14FW SMB_09_KNIT_RD_N"/>
        <s v="14FW SMB_10_KNIT_BL_F_KIDS"/>
        <s v="14FW SMB_11_KNIT_PK_F_KIDS"/>
        <s v="14FW SMB_12_KNIT_D.GY_N"/>
        <s v="14FW SMB_12_KNIT_PK_N"/>
        <s v="14FW SMB_12_KNIT_PP_N"/>
        <s v="14FW SMB_13_KNIT_PP_F_KIDS"/>
        <s v="14FW WITAILOR CAP-13-BK"/>
        <s v="14FW WITAILOR CAP-14-BG"/>
        <s v="14FW WITAILOR CAP-15-PK"/>
        <s v="14FW WITAILER CAP-12-BW"/>
        <s v="14FW SMB_35_FLAT_PK_F_KIDS"/>
        <s v="14FW SMB_34_FLAT_OG_F_KIDS"/>
        <s v="14FW SMB_32_FLAT_BK_N.pdf-JPG"/>
        <s v="14FW SMB_33_FLAT_BK_N.pdf-JPG"/>
        <s v="14FW SMB_39_FLAT_BK_F.pdf-JPG"/>
        <s v="14FW SMB_40_FLAT_PK_F.pdf-JPG"/>
        <s v="14FW SMB_41_FLAT_BK_N.pdf-JPG"/>
        <s v="14FW SMB_42_FLAT_GR_N.pdf-JPG"/>
        <s v="14FW SMB_36_FLAT_PK_F_KIDS.pdf-JPG"/>
        <s v="14FW SMB_14_KNIT_BK_N.pdf-JPG"/>
        <s v="14FW SMB_15_KNIT_RE_N.pdf-JPG"/>
        <s v="14FW SMB_14_CURVED_GY_N"/>
        <s v="14FW SMB_15_CURVED_PK_F_KIDS.pdf-JPG"/>
        <s v="14FW SMB_16_CURVED_NY_F_KIDS"/>
        <s v="14FW SMB_17_CURVED_PK_F_KIDS"/>
        <s v="14FW SMB_18_CURVED_PP_F_KIDS"/>
        <s v="14FW SMB_19_CURVED_BW_F"/>
        <s v="14FW SMB_20_CURVED_GY_N"/>
        <s v="14FW SMB_21_CURVED_GY_N"/>
        <s v="14FW SMB_23_CURVED_BK_N."/>
        <s v="14FW SMB_22_CURVED_BK_N"/>
        <s v="14FW SMB_23_CURVED_BK_N"/>
        <s v="14FW SMB_37_FLAT_BK_N"/>
        <s v="14FW SMB_38_FLAT_BL_N"/>
        <s v="14FW SMB_04_FLAT_BK_N"/>
        <s v="14FWPB 01_FLAT_GY"/>
        <s v="14FWPB 02_FLAT_NY"/>
        <s v="14FWPB 02_FLAT_RE"/>
        <s v="14FWPB 03_FLAT_BK"/>
        <s v="14FWPB 04_FLAT_GR"/>
        <s v="14FWPB 04_FLAT_OR"/>
        <s v="14FWPB 05_FLAT_BK"/>
        <s v="14FWPB 05_FLAT_NY"/>
        <s v="14FWPB 06_FLAT_RE"/>
        <s v="14FWPB 07_FLAT_GY"/>
        <s v="14FWPB 08_FLAT_MT"/>
        <s v="14FWPB 08_FLAT_PK"/>
        <s v="14FW PB 09_FLAT_BK"/>
        <s v="14FW PB 10_FLAT_BK"/>
        <s v="14FW PB 11_FLAT_BK"/>
        <s v="14FW PB 12_FLAT_BW"/>
        <s v="14FW-JILL-BY_01_NV"/>
        <s v="14FW-JILL-BY_02_GY"/>
        <s v="14FW-JILL-BY_03_BG"/>
        <s v="14FW-JILL-BY_04_GY"/>
        <s v="14FW-JILL-BY_05_MT"/>
        <s v="14FW-JILL-BY_06_IV"/>
        <s v="14FW-JILL-BY_07_NV"/>
        <s v="14FW-JILLBY-08-BK"/>
        <s v="14FW-JILLBY-09-KH"/>
        <s v="14FW-JILLBY-10-GY"/>
        <s v="14FW-JILLBY-11-GY"/>
        <s v="14FW-JILLBY-12-BG"/>
        <s v="14FW-JILLBY-13-PK"/>
        <s v="14FW-JILLBY-14-GY"/>
        <s v="14FW-JILLBY-15-BK"/>
        <s v="14FW JILL BY_16_NV"/>
        <s v="14FW-JILLBY-17-BG"/>
        <s v="14FW-JILLBY-18-BK"/>
        <s v="14FW-JILLBY-19-NV"/>
        <s v="14FW-JILLBY-20-KH"/>
        <s v="14FW-JILLBY-21-GR"/>
        <s v="14FW-JILLBY-22-GY"/>
        <s v="14FW-JILLBY-23-KH"/>
        <s v="14FW-JILLBY-24-PK"/>
        <s v="14FW-JILLBY-25-GY"/>
        <s v="14FW-JILLBY-26-BK"/>
        <s v="14FW-JILLBY-27-BW"/>
        <s v="14FW-JILLBY-28-BL"/>
        <s v="14FW-JILLBY-29-BG"/>
        <s v="14FW-JILLBY-30-BG"/>
        <s v="14FW-JILL-BY_SP_31_BK"/>
        <s v="14FW-JILL-BY_32_GR"/>
        <s v="14FW-JILL-BY_33_PK"/>
        <s v="14FW-JILL-BY_34_KH"/>
        <s v="14FW-JILL-BY_35_CH"/>
        <s v="14FW-JILLBY-KNIT_01-GR"/>
        <s v="14FW-JILLBY-KNIT_01-RE"/>
        <s v="14FW-JILLBY-KNIT_01-BL"/>
        <s v="14FW-JILLBY-KNIT_01-YE"/>
        <s v="14FW-JILLBY-KNIT_01-GY"/>
        <s v="14FW-JILLBY-KNIT_02_IV"/>
        <s v="14FW-JILLBY-KNIT_02_Bg"/>
        <s v="14FW-JILLBY-KNIT_02_GY"/>
        <s v="14FW-JILLBY-KNIT_03_NY"/>
        <s v="14FW-JILLBY-KNIT_03_GY"/>
        <s v="14FW-JILLBY-KNIT_04_WN"/>
        <s v="14FW-JILLBY-KNIT_04_GY"/>
        <s v="14FW-JILLBY-KNIT_04_BK"/>
        <s v="14FW-JILLBY-KNIT-12-GY"/>
        <s v="14FW-JILLBY-KNIT-12-KH"/>
        <s v="14FW-JILLBY-KNIT-12-PP"/>
        <s v="14FW-JILLBY-KNIT-12-BK"/>
        <s v="14FW-JILLBY-KNIT-12-BL"/>
        <s v="14FW-JILLBY-KNIT-13-BG"/>
        <s v="14FW-JILLBY-KNIT-13-GY"/>
        <s v="14FW-JILLBY-KNIT-14-BK"/>
        <s v="14FW-JILLBY-KNIT-14-NV"/>
        <s v="14FW-JILLBY-KNIT-15-BK"/>
        <s v="14FW-JILLBY-KNIT-15-GY"/>
        <s v="14FW-JILLBY-KNIT-05-WH"/>
        <s v="14FW-JILLBY-KNIT-06-GY"/>
        <s v="14FW-JILLBY-KNIT-07-BG"/>
        <s v="14FW-JILLBY-KNIT-08-BK"/>
        <s v="14FW-JILLBY-KNIT-09-PP"/>
        <s v="14FW-JILLBY-KNIT-10-RD"/>
        <s v="14FW-JILLBY-KNIT-11-MT"/>
        <s v="14FW-JILLBY-KNIT-16-BL"/>
        <s v="14FW-JILLBY-KNIT-16-D.GY"/>
        <s v="14FW-JILLBY-KNIT-17-NV"/>
        <s v="14FW-JILLBY-KNIT-18-BK"/>
        <s v="14FW-JILLBY-KNIT-18-GR"/>
        <s v="14FW-JILLBY-KNIT-18-YL"/>
        <s v="14FW-JILLBY-KNIT-19-BW"/>
        <s v="14FW-JILLBY-KNIT-20-NV"/>
        <s v="14FW-JILLBY-KNIT-21-IV"/>
        <s v="14FW-JILLBY-KNIT-22-BG"/>
        <s v="14FW-JILLBY-KNIT-22-GY"/>
        <s v="14FW-JILLBY-KNIT-23-BG"/>
        <s v="14FW-JILLBY-KNIT-24-BG"/>
        <s v="14FW-JILLBY-KNIT-24-GY"/>
        <s v="14FW-JILLBY-KNIT-25-PP"/>
        <s v="14FW-JILLBY-KNIT-26-NV"/>
        <s v="14FW-JILLBY-KNIT-26-PP"/>
        <s v="14FW-JILLBY-KNIT-27-BK"/>
        <s v="14FW-JILLBY-KNIT-28-BK"/>
        <s v="14FW-JILLBY-KNIT-28-RD"/>
        <s v="14FW-JILLBY-KNIT-28-WH"/>
        <s v="14FW-JILLBY-KNIT-29-GY"/>
        <s v="14FW-JILLBY-KNIT-29-WH"/>
        <s v="14FW-JILLBY-KNIT-30-BG"/>
        <s v="14FW-JILLBY-KNIT-30-PK"/>
        <s v="14FW-JILLBY-KNIT-31-GY"/>
        <s v="14FW-JILLBY-KNIT_35"/>
        <s v="14FW-JILLBY-KNIT_36_BK"/>
        <s v="14FW-JILLBY-KNIT_36_RD"/>
        <s v="14FW-JILLBY-KNIT_37"/>
        <s v="14FW-JILLBY-KNIT-38-BK"/>
        <s v="14FW-JILLBY-KNIT-39-BG"/>
        <s v="14FW-JILLBY-KNIT-40-BG"/>
        <s v="14FW-JILLBY-KNIT-41-MT"/>
        <s v="14FW-JILLBY-KNIT-41-PK"/>
        <s v="14FW-JILLBY-KNIT-42-IV"/>
        <s v="14FW-JILLBY-KNIT-42-NV"/>
        <s v="14FW-JILLBY-KNIT-43-BW"/>
        <s v="14FW-JILLBY-KNIT-43-NV"/>
        <s v="14FW-JILLBY-KNIT-44-KH-KIDS"/>
        <s v="14FW-JILLBY-KNIT-45-NV"/>
        <s v="14FW-JILLBY-KNIT-46-GY"/>
        <s v="14FW-JILLBY-KNIT-46-IV"/>
        <s v="14FW-JILLBY-KNIT-47-GR"/>
        <s v="14FW-JILLBY-KNIT-48-BL"/>
        <s v="14FW-JILLBY-KNIT-49-GY"/>
        <s v="14FW-JILLBY-KNIT-50-GY"/>
        <s v="14FW-JILLBY-KNIT-51-OR"/>
        <s v="14FW-JILLBY-KNIT-52-GR"/>
        <s v="14FW-JILLBY-KNIT-52-RD"/>
        <s v="14FW-JILLBY-KNIT-53-BK"/>
        <s v="14FW-JILLBY-KNIT-53-GY"/>
        <s v="14FW-JILLBY-KNIT-54-PP"/>
        <s v="14FW-JILLBY-KNIT-55-BG"/>
        <s v="14FW-JILLBY-KNIT-55-BK"/>
        <s v="14FW-JILLBY-KNIT-55-PP"/>
        <s v="14FW-JILLBY-KNIT-56-BG"/>
        <s v="14FW-JILLBY-KNIT-56-BK"/>
        <s v="14FW-JILLBY-KNIT-57-BK"/>
        <s v="14FW-JILLBY-KNIT-57-KH"/>
        <s v="14FW-JILLBY-KNIT-58-BG"/>
        <s v="14FW-JILLBY-KNIT-58-GY"/>
        <s v="14FW-JILLBY-KNIT-59-MT"/>
        <s v="14FW-JILLBY-KNIT-59-PK"/>
        <s v="14FW-JILLBY-KNIT-60-GY"/>
        <s v="14FW-JILLBY-KNIT-60-PK-KIDS"/>
        <s v="14FW-JILLBY-KNIT-33-RD"/>
        <s v="14FW-JILLBY-KNIT-43-IV"/>
        <s v="14FW-JILLBY-KNIT-61-BK"/>
        <s v="14FW-JILLBY-KNIT-62-BG"/>
        <s v="14FW-JILLBY-KNIT-62-BL"/>
        <s v="14FW-JILLBY-KNIT-62-GY"/>
        <s v="14FW-JILLBY-KNIT-63-PK-KIDS"/>
        <s v="14FW-JILLBY-KNIT-63-YL-KIDS"/>
        <s v="14FW-JILLBY-KNIT-64-BK-GY"/>
        <s v="14FW-JILLBY-KNIT-65-BK-GY"/>
        <s v="14FW-JILLBY-KNIT-66"/>
        <s v="14FW-JILLBY-KNIT-67-BK"/>
        <s v="14FW-JILLBY-KNIT-67-GY"/>
        <s v="14FW-JILL-BY_36_GY"/>
        <s v="14FW-JILL-BY_36_BK"/>
        <s v="14FW-JILLBY-42-BK"/>
        <s v="14FW-JILLBY-37-BK"/>
        <s v="14FW-JILLBY-38-BK"/>
        <s v="14FW-JILLBY-39-GY"/>
        <s v="14FW-JILLBY-40-BK"/>
        <s v="14FW-JILLBY-41-BK"/>
        <s v="14FW-JILLBY-INFANT-01-BL"/>
        <s v="14FW-JILLBY-INFANT-01-PK"/>
        <s v="14FW-JILLBY-INFANT-02-BG"/>
        <s v="14FW-JILLBY-INFANT-03-PK"/>
        <s v="14FW-JILLBY-INFANT-03-WH"/>
        <s v="14FW DISNEY 01_SNAP_BK"/>
        <s v="14FW DISNEY 01_SNAP_PK_KIDS"/>
        <s v="14FW DISNEY 02_SNAP_BL"/>
        <s v="14FW DISNEY 02_SNAP_BL_KIDS"/>
        <s v="14FW DISNEY 03_SNAP_BL_KIDS"/>
        <s v="14FW DISNEY 03_SNAP_PP"/>
        <s v="14FW DISNEY 04_SNAP_PK_KIDS"/>
        <s v="14FW DISNEY 05_SNAP_RD_KIDS(수정)"/>
        <s v="14FW DISNEY 06_SNAP_PP_KIDS"/>
        <s v="14FW DISNEY 07_SNAP_PK_KIDS"/>
        <s v="14FW DISNEY 05_SNAP_BK"/>
        <s v="14FW DISNEY 04_SNAP_RD"/>
        <s v="14FW DISNEY 06_SNAP_BK"/>
        <s v="14FW DISNEY 07_SNAP_BK"/>
        <s v="14FW DISNEY 08_SNAP_BL_KIDS"/>
        <s v="14FW DISNEY 08_SNAP_PP"/>
        <s v="14FW DISNEY 09_SNAP_BK"/>
        <s v="14FW DISNEY 09_SNAP_RD_KIDS"/>
        <s v="14FW DISNEY 10_SNAP_BL_KIDS"/>
        <s v="14FW DISNEY 11_SNAP_PK_KIDS"/>
        <s v="14FW JILLBY_01_CURVED_GY"/>
        <s v="14FW JILLBY_02_CURVED_BG"/>
        <s v="14FW JILLBY_04_CURVED_NV"/>
        <s v="14FW JILLBY_06_CURVED_BK"/>
        <s v="14FW JILLBY_03_CURVED_BK"/>
        <s v="14FW JILLBY_05_CURVED_BK"/>
        <s v="14FW JILLBY_43_KH"/>
        <s v="14FW JILLBY_44_BK"/>
        <s v="14FW JILLBY_45_BK"/>
        <s v="14FW JILLBY_45_KH"/>
        <s v="14FW JILLBY_46_BK"/>
        <s v="14FW JILLBY_47_BK"/>
        <s v="14FW JILLBY_48_NV"/>
        <s v="14FW-JILLBY-KNIT-44-PK-KIDS"/>
        <s v="14FW-SMITH BRIDGE-KNIT-68-BL-KIDS"/>
        <s v="14FW-SMITH BRIDGE-KNIT-68-RD-KIDS"/>
        <s v="14FW-SMITH-BRIDGE-KNIT-69-MT-KIDS"/>
        <s v="14FW-SMITH-BRIDGE-KNIT-70-RD-KIDS"/>
        <s v="14FW-SMITH-BRIDGE-KNIT-71-PK"/>
        <s v="14FW-SMITH-BRIDGE-KNIT-72-IV"/>
        <s v="14FW-SMITH-BRIDGE-KNIT-73-GY"/>
        <s v="14FW DISNEY 04_SNAP_RD(수정)"/>
        <s v="14FW DISNEY 10_SNAP_NY"/>
        <s v="14FW DISNEY 11_SNAP_GY"/>
        <s v="14FW DISNEY 13_SNAP_NY"/>
        <s v="14FW DISNEY 14_SNAP_GY"/>
        <s v="14FW DISNEY 15_SNAP_BL"/>
        <s v="14FW BLACK MOOD_01_FLAT_GY"/>
        <s v="14FW BLACK MOOD_02_CURVED_BK"/>
        <s v="14FW BLACK MOOD_01_CURVED_BK"/>
        <s v="14FW JOIE BETE_01_IV_KIDS"/>
        <s v="14FW JOIE BETE_02_PK_KIDS"/>
        <s v="14FW JOIE BETE_03_BL_KIDS"/>
        <s v="14FW BROWN_SQUARE_CAP_01_GY"/>
        <s v="14FW BROWN_SQUARE_CAP_02_BK"/>
        <s v="14FW BROWN_SQUARE_CAP_03_BG"/>
        <s v="14FW BROWN_SQUARE_CAP_04_NV"/>
        <s v="14FW BROWN_SQUARE_CAP_05_BR"/>
        <s v="14FW BROWN_SQUARE_CAP_06_WH"/>
        <s v="14FW BROWN_SQUARE_CAP_07-RD"/>
        <s v="14FW BROWN_SQUARE_CAP_08-RD"/>
        <s v="14FW JOIE BETE_04_RD"/>
        <s v="14FW JOIE BETE_05_RD"/>
        <s v="14FW JOIE BETE_06_RD"/>
        <s v="14FW JOIE BETE_07_BR"/>
        <s v="14FW JOIE BETE_08_GY"/>
        <s v="14FW JOIE BETE_09_GY"/>
        <s v="14FW JOIE BETE_12_GY"/>
        <s v="14FW JOIE BETE_11_PK_KIDS"/>
        <s v="14FW JOIE BETE_13_PP_KIDS"/>
        <s v="14FW JOIE BETE_14_PK_KIDS"/>
        <s v="14FW JOIE BETE_15_PK_KIDS"/>
        <s v="14FW JOIE BETE_16_PK_KIDS"/>
        <s v="14FW JOIE BETE_17_PK_KIDS"/>
        <s v="14FW JOIE BETE_18_BL_KIDS"/>
        <s v="14FW JOIE BETE_19_BL_KIDS"/>
        <s v="14FW JOIE BETE_20_BL_KIDS"/>
        <s v="14FW JOIE BETE_21_PK_KIDS"/>
        <s v="14FW NV 01_WIRE_PK"/>
        <s v="14FW NV 02_WIRE_MU"/>
        <s v="14FW NV 03_CAMP_NY"/>
        <s v="14FW NV 04_CAMP_BK"/>
        <s v="14FW NV 05_CAMP_GY"/>
        <s v="14FW NV 06_HAT_BR"/>
        <s v="14FW NV 07_TROOPER_BK"/>
        <s v="14FW BLACK MOOD_02_FLAT_BK"/>
        <s v="14FW NV 08_TROOPER_NY"/>
        <s v="14FW NV 09_TROOPER_BK"/>
        <s v="14FW NV 09_TROOPER_RE"/>
        <s v="14FW NV 10_TROOPER_BK"/>
        <s v="14SS RP 21_SUNCAP_PK_KIDS"/>
        <s v="14SS RP 22_SUNCAP_PK_KIDS"/>
        <s v="14SS RP 23_SUNCAP_BL_KIDS"/>
        <s v="14SS RP 24_SUNCAP_BL_KIDS"/>
        <s v="14FW BROWN_SQUARE_CAP_09_BK"/>
        <s v="14FW BROWN_SQUARE_CAP_10_RD"/>
        <s v="14FW BROWN_SQUARE_CAP_11_KH"/>
        <s v="14SS POLI 01_SNAP_PK_KIDS"/>
        <s v="14SS POLI 02_SNAP_BL_KIDS"/>
        <s v="14SS POLI 03_SNAP_BL_KIDS"/>
        <s v="14SS POLI 04_SNAP_PK_KIDS"/>
        <s v="14FW BLACK MOOD_03_FLAT_BK"/>
        <s v="14FW BLACK MOOD_04_FLAT_BK"/>
        <s v="14FW NV 01_SOCKS_GY"/>
        <s v="14FW NV 02_SOCKS_NY"/>
        <s v="14FW NV 03_SOCKS_GY"/>
        <s v="14FW NV 04_SOCKS_NY"/>
        <s v="14SS POLI 05_SNAP_PK_KIDS"/>
        <s v="14SS POLI 06_SNAP_PK_KIDS"/>
        <s v="14FW JOIEBETE_SOCKS_02_BL"/>
        <s v="14FW JOIEBETE_SOCKS_01_PK"/>
        <s v="14FW JOIEBETE_SOCKS_03_GY"/>
        <s v="14FW JOIE BETE_22_BL_KIDS"/>
        <s v="14FW JOIE BETE_22_PK_KIDS"/>
        <s v="14FW JOIE BETE_23_PK_KIDS"/>
        <s v="14FW JOIE BETE_24_YL_KIDS"/>
        <s v="14FW JOIE BETE_25_GR_KIDS"/>
        <s v="14FW JOIE BETE_26_IV_KIDS"/>
        <s v="14FW JOIE BETE_27_GY_KIDS"/>
        <s v="14FW JOIE BETE_28_GY_KIDS"/>
        <s v="14FW JOIE BETE_29_BL_KIDS"/>
        <s v="14FW JOIE BETE_30_GY_KIDS"/>
        <s v="14FW JOIE BETE_31_PK_KIDS"/>
        <s v="14FW JOIE BETE_32_IV_KIDS"/>
        <s v="14FW POLI-01_PK_KNIT-KIDS"/>
        <s v="14FW POLI-02_BL_KNIT-KIDS"/>
        <s v="14FW POLI-03_PK_KNIT-KIDS"/>
        <s v="14FW POLI-04_BL_KNIT-KIDS"/>
        <s v="14FW POLI 01_SNAP_WH_KIDS"/>
        <s v="14FW POLI 02_SNAP_PK_KIDS"/>
        <s v="14FW JOIE BETE_33_BL_KIDS"/>
        <s v="14FW JOIE BETE_34_YL_KIDS"/>
        <s v="14FW JOIE BETE_35_GY_KIDS"/>
        <s v="14FW JOIE BETE_36_PP_KIDS"/>
        <s v="14FW JOIEBETE_KNIT_01_YL"/>
        <s v="14FW JOIEBETE_KNIT_02_MT"/>
        <s v="14FW JOIEBETE_KNIT_03_BL"/>
        <s v="14FW JOIEBETE_KNIT_04_IV"/>
        <s v="14FW JOIEBETE_KNIT_04_BL"/>
        <s v="14FW JOIEBETE_KNIT_05_GY"/>
        <s v="14FW JOIEBETE_KNIT_05_RD"/>
        <s v="14FW DISNEY_BP_01_WH"/>
        <s v="14FW DISNEY_BP_02_BK"/>
        <s v="14FW DISNEY_BP_03_KH"/>
        <s v="14FW DISNEY_BP_04_BK"/>
        <s v="14FW DISNEY_BP_05_BK"/>
        <s v="14FW DISNEY_BP_06_PP_KIDS"/>
        <s v="14FW DISNEY_BP_07_PK_KIDS"/>
        <s v="14FW DISNEY_BP_08_PK_KIDS"/>
        <s v="14FW DISNEY_BP_09_NV_KIDS"/>
        <s v="14FW BLACK MOOD_04_CURVED_BK"/>
        <s v="14FW BLACK MOOD_05_BK"/>
        <s v="14FW BLACK MOOD_06_BK"/>
        <s v="14FW BLACK MOOD_07_BK"/>
        <s v="14SS MRGM_01_BK"/>
        <s v="14SS MRGM_02_GY"/>
        <s v="14SS MRGM_06_BG"/>
        <s v="14SS MRGM_07_GY"/>
        <s v="14SS MRGM_10_BK"/>
        <s v="14SS MRGM_11_CHA"/>
        <s v="14SS MRGM_12_WH"/>
        <s v="14SS MRGM_18_GY"/>
        <s v="14SS MRGM_05_D.GR"/>
        <s v="14SS MRGM_08_D.GY"/>
        <s v="14SS MRGM_09_KH"/>
        <s v="14SS MRGM_13_BL"/>
        <s v="14SS MRGM_14_GY"/>
        <s v="14SS MRGM_16_GR"/>
        <s v="14SS MRGM_17_GY"/>
        <s v="14SS MRGM_03_NV"/>
        <s v="14SS MRGM_04_D.GR"/>
        <s v="14SS MRGM_15_BK"/>
        <s v="14FW VB 01_CAMP_BK"/>
        <s v="14FW VB 02_WIRE_BK"/>
        <s v="14FW VB 03_WIRE_BK"/>
        <s v="14FW VB 04_WIRE_GY"/>
        <s v="14FW VB 05_CAMP_GY"/>
        <s v="14FW VB 06_CAMP_BK"/>
        <s v="14FW VB 07_CAMP_GR"/>
        <s v="14FW VB 07_CAMP_YE"/>
        <s v="14FW VB 08_CAMP_BK"/>
        <s v="14FW VB 09_CAMP_BL"/>
        <s v="14FW VB 10_CAMP_WN"/>
        <s v="14FW VB 11_CAMP_GY"/>
        <s v="14FW VB 12_CAMP_BK"/>
        <s v="14FW_URBAN SWAGGER_01_FLAT_BK"/>
        <s v="14FW_URBAN SWAGGER_02_FLAT_GY"/>
        <s v="14FW_URBAN SWAGGER_03_FLAT_BK"/>
        <s v="14FW_URBAN SWAGGER_04_EAR FLAT_DN"/>
        <s v="14FW_URBAN SWAGGER_05_EAR FLAT_BK"/>
        <s v="14FW_URBAN SWAGGER_06_FLAT_NV"/>
        <s v="14FW_URBAN SWAGGER_07_FLAT_RD"/>
        <s v="14FW_URBAN SWAGGER_08_FLAT_GY"/>
        <s v="14FW_URBAN SWAGGER_09_FLAT_BK"/>
        <s v="14FW_URBAN SWAGGER_10_FLAT_BK"/>
        <s v="14FW_URBAN SWAGGER_11_FLAT_BK"/>
        <s v="14FW_URBAN SWAGGER_15_FLAT_RD"/>
        <s v="14FW_URBAN SWAGGER_16_FLAT_BK"/>
        <s v="14FW_URBAN SWAGGER_17_FLAT_BK"/>
        <s v="14FW_URBAN SWAGGER_20_EAR FLAT_BK"/>
        <s v="14FW_URBAN SWAGGER_21_EAR FLAT_GY"/>
        <s v="14FW_URBAN SWAGGER_12_FLAT_DN"/>
        <s v="14FW_URBAN SWAGGER_13_FLAT_BK"/>
        <s v="14FW_URBAN SWAGGER_14_FLAT_BK"/>
        <s v="14FW_URBAN SWAGGER_22_FLAT_BK"/>
        <s v="14FW_URBAN SWAGGER_23_FLAT_GY"/>
        <s v="14FW_URBAN SWAGGER_24_FLAT_BK"/>
        <s v="14SS YG 2NE1_01_FLAT_OR"/>
        <s v="14SS YG 2NE1_02_FLAT_BK"/>
        <s v="14SS YG 2NE1_03_FLAT_PK"/>
        <s v="14SS YG 2NE1_04_FLAT_PP"/>
        <s v="14SS YG 2NE1_05_FLAT_BK"/>
        <s v="14SS YG BIGBANG_01_BK"/>
        <s v="14SS YG BIGBANG_02_BK"/>
        <s v="14SS YG BIGBANG_03_BK"/>
        <s v="14SS YG BIGBANG_04_WH"/>
        <s v="14SS YG BIGBANG_05_BK"/>
        <s v="14SS YG BIGBANG_06_BK"/>
        <s v="14SS YG PSY_01_FLAT_BK"/>
        <s v="14SS YG PSY_02_FLAT_GY"/>
        <s v="14SS YG PSY_03_FLAT_BK"/>
        <s v="14SS YG PSY_04_FLAT_OR"/>
        <s v="14SS YG PSY_05_FLAT_NV"/>
        <s v="14SS YG PSY_06_FLAT_BK"/>
        <s v="14FW_URBAN SWAGGER_25_FLAT_GN"/>
        <s v="14FW_URBAN SWAGGER_26_FLAT_BK"/>
        <s v="14FW_URBAN SWAGGER_27_FLAT_BK"/>
        <s v="14FW_URBAN SWAGGER_28_FLAT_BK"/>
        <s v="14FW_URBAN SWAGGER_29_FLAT_KH"/>
        <s v="14FW_URBAN SWAGGER_30_FLAT_BK"/>
        <s v="14FW_URBAN SWAGGER_31_FLAT_BK"/>
        <s v="14FW_URBAN SWAGGER_34_FLAT_BK"/>
        <s v="14FW_URBAN SWAGGER_35_FLAT_RD"/>
        <s v="14FW_URBAN SWAGGER_36_FLAT_BL"/>
        <s v="14FW_URBAN SWAGGER_37_FLAT_YE"/>
        <s v="14FW_URBAN SWAGGER_38_FLAT_BK"/>
        <s v="14FW_URBAN SWAGGER_39_FLAT_GY"/>
        <s v="14FW_URBAN SWAGGER_40_FLAT_MT"/>
        <s v="14FW_URBAN SWAGGER_40_FLAT_WH"/>
        <s v="14FW_URBAN SWAGGER_29_FLAT_NY"/>
        <s v="14FW_URBAN SWAGGER_32_KNIT_BK"/>
        <s v="14FW_URBAN SWAGGER_33_KNIT_BK"/>
        <s v="14FW_URBAN SWAGGER_41_FLAT_WH"/>
        <s v="14FW_URBAN SWAGGER_42_FLAT_BK"/>
        <s v="14SS YG 2EN1_01_BK"/>
        <s v="14SS YG 2EN1_02_PK"/>
        <s v="14FW_URBAN SWAGGER_01_BACKPACK_BK"/>
        <s v="14FW_URBAN SWAGGER_02_BACKPACK_BK"/>
        <s v="14FW_URBAN SWAGGER_03_BACKPACK_BK"/>
        <s v="14FW_URBAN SWAGGER_04_BACKPACK_BK"/>
        <s v="14FW NCAA 5950_01_GR"/>
        <s v="14FW NCAA 5950_01_GY"/>
        <s v="14FW NCAA 5950_02_NV"/>
        <s v="14FW NCAA 5950_03_GY"/>
        <s v="14FW NCAA 5950_04_GY"/>
        <s v="14FW NCAA 5950_06_BK"/>
        <s v="14FW NCAA 5950_07_BK"/>
        <s v="14FW NCAA 5950_08_GY"/>
        <s v="14FW NCAA 5950_10_BL"/>
        <s v="14FW NCAA 5950_05_RD"/>
        <s v="14FW NCAA 5950_09_NV"/>
        <s v="14FW NCAA 5950_11_BK"/>
        <s v="14FW NCAA 5950_12_GR.CAMO"/>
        <s v="14FW NCAA 5950_13_CAMO"/>
        <s v="14FW NCAA 5950_14_BK"/>
        <s v="14FW ELS_01_SNAP_RD"/>
        <s v="14FW ELS_02_SNAP_GR"/>
        <s v="14FW ELS_03_TROOPER_BK"/>
        <s v="14FW ELS_04_SNAP_BK"/>
        <s v="14FW ELS_05_SNAP_PK"/>
        <s v="14FW ELS_06_SNAP_RD"/>
        <s v="14FW ELS_07_SNAP_BK"/>
        <s v="14FW ELS_08_CURVED_BL"/>
        <s v="14FW ELS_09_SNAP_NV"/>
        <s v="14FW ELS_10_SNAP_GR"/>
        <s v="14FW ELS_11_SNAP_GY"/>
        <s v="14FW ELS 12_SNAP_BK"/>
        <s v="14FW ELS 13_SNAP_BK"/>
        <s v="14FW ELS 14_SNAP_GR"/>
        <s v="14FW ELS 15_SNAP_GY"/>
        <s v="14FW ELS 16_SNAP_RD"/>
        <s v="14FW ELS 17_SNAP_GR"/>
        <s v="14FW ELS 18_SNAP_GY"/>
        <s v="14FW ELS 19_SNAP_YE"/>
        <s v="14FW ELS 20_SNAP_NV"/>
        <s v="14FW ELS 21_SNAP_BK"/>
        <s v="14FW ELS 22_SNAP_YE"/>
        <s v="14FW ELS 23_SNAP_D.GY"/>
        <s v="14FW ELS 24_SNAP_YE"/>
        <s v="14FW ELS_25_KNIT_BK"/>
        <s v="14FW ELS_26_KNIT_RD"/>
        <s v="14FW ELS_27_KNIT_PK"/>
        <s v="14FW ELS_28_KNIT_BK"/>
        <s v="14FW ELS_29_KNIT_GY"/>
        <s v="14FW ELS_30_KNIT GLOBE_D.GY"/>
        <s v="14FW ELS_31_KNIT GLOBE_GY"/>
        <s v="14FW ELS_32_KNIT GLOBE_YE"/>
        <s v="14FW ELS_33_KNIT GLOBE_BK"/>
        <s v="14FW ELS 34_KNIT_BK"/>
        <s v="14FW ELS 34_KNIT_NV"/>
        <s v="14FW ELS 35_KNIT_BL"/>
        <s v="14FW ELS 36_KNIT_GR"/>
        <s v="14FW ELS 37_TROOPER_BL_KIDS"/>
        <s v="14FW ELS 37_TROOPER_MT_KIDS"/>
        <s v="14FW ELS 37_TROOPER_OR_KIDS"/>
        <s v="14FW ELS 38_TROOPER_NV"/>
        <s v="14FW ELS 38_TROOPER_NV_KIDS"/>
        <s v="14FW ELS 39_WIRE_OR"/>
        <s v="14FW ELS 40_TROOPER_RD"/>
        <s v="14FW ELS 41_SNAP_BL"/>
        <s v="14FW ELS 41_SNAP_BL_KIDS"/>
        <s v="14FW ELS 42_SNAP_GY"/>
        <s v="14FW ELS_44_SNAP_BK"/>
        <s v="14FW ELS_45_SNAP_RD"/>
        <s v="14FW ELS_46_SNAP_GR"/>
        <s v="14FW ELS_46_SNAP_RD"/>
        <s v="14FW ELS_47_SNAP_PP"/>
        <s v="14FW ELS_48_TROOPER_BK"/>
        <s v="14FW ELS_49_TROOPER_NV"/>
        <s v="14FW ELS_50_TROOPER_BK"/>
        <s v="14SS ELS SHOULDER BAG_01_BK"/>
        <s v="14SS ELS SHOULDER BAG_02_YE"/>
        <s v="14SS ELS BACKPACK_07_BK"/>
        <s v="14FW ELS BACKPACK_01_BK"/>
        <s v="14FW ELS BACKPACK_02_BK"/>
        <s v="14FW ELS BACKPACK_03_BK"/>
        <s v="14FW ELS BACKPACK_04_PP_KIDS"/>
        <s v="14FW ELS BACKPACK_05_BL_TOD"/>
        <s v="14FW ELS_14_SNAP_GR"/>
        <s v="14FW ELS_18_SNAP_GY"/>
        <s v="14FW ELS_56_SNAP_BK"/>
        <s v="14FW ELS_57_SNAP_BK"/>
        <s v="14FW ELS_58_SNAP_BK"/>
        <s v="14FW ELS_59_SNAP_BK"/>
        <s v="14FW ELS_60_SNAP_GY"/>
        <s v="14FW ELS_61_SNAP_GY"/>
        <s v="14FW ELS_62_CURVED PK"/>
        <s v="14FW ELS_63_SNAP_BK"/>
        <s v="14FW ELS_64_SNAP_GY"/>
        <s v="14FW ELS_65_SNAP_BK"/>
        <s v="14FW ELS_66_SNAP_BK"/>
        <s v="14FW ELS_67_FITTED_RD"/>
        <s v="14FW ELS_68_FITTED_BK"/>
        <s v="14FW ELS_69_FITTED_BK"/>
        <s v="14FW ELS_70_HAT_BK"/>
        <s v="14FW ELS_71_HAT_BK"/>
        <s v="14FW ELS BACKPACK_04_PP_KIDS (REVISED)"/>
        <s v="14FW ELS BACKPACK_05_PK_TOD"/>
        <s v="14FW ELS_72__EAR KNIT_GR_KIDS"/>
        <s v="14FW ELS_73_TROOPER_BK_KIDS"/>
        <s v="14FW ELS_74__EAR KNIT_BL_KIDS"/>
        <s v="14FW ELS_74__EAR KNIT_PK_KIDS"/>
        <s v="14FW ELS_75_TROOPER_NV_KIDS"/>
        <s v="14FW ELS_75_TROOPER_PK_KIDS"/>
        <s v="14FW ELS 76_KNIT_BK"/>
        <s v="14FW ELS 76_KNIT_NV"/>
        <s v="14FW ELS 77_KNIT_PK_KIDS"/>
        <s v="14FW ELS 77_KNIT_BL_KIDS"/>
        <s v="14FW ELS_78_KNIT_BK"/>
        <s v="14FW H.coustic CAP-01_BK"/>
        <s v="14FW H.coustic CAP-02_BK"/>
        <s v="14FW H.coustic CAP-03_BK"/>
        <s v="14FW H.coustic CAP-04_NY"/>
        <s v="14FW H.coustic CAP-05_GY"/>
        <s v="14FW H.coustic CAP-06_KH"/>
        <s v="14FW H.coustic CAP-07_KH"/>
        <s v="14FW_ELSTINKO_&#10;DOWN JUMPER_01_RD"/>
        <s v="14FW_ELSTINKO_&#10;DOWN JUMPER_02_BK"/>
        <s v="14FW_ELSTINKO_&#10;DOWN_JUMPER_03_NV"/>
        <s v="14FW_ELSTINKO_&#10;DOWN_JUMPER_04_BK"/>
        <s v="14FW_ELSTINKO_&#10;DOWN_JUMPER_03_OR_KIDS"/>
        <s v="14FW VB_MTM_01_BK"/>
        <s v="14FW VB_MTM_02_GY"/>
        <s v="14FW VB_MTM_03_NV"/>
        <s v="14FW_VB_DOWN JUMPER_01_GY"/>
        <s v="14FW ELSTINKO_HOOD_01_GR_KIDS"/>
        <s v="14FW ELSTINKO_HOOD_01_GY"/>
        <s v="14FW ELSTINKO_HOOD_02_GY"/>
        <s v="14FW ELSTINKO_HOOD_03_BK"/>
        <s v="14FW ELSTINKO_HOOD_03_YE_KIDS"/>
        <s v="14FW ELSTINKO_HOOD_04_PP_KIDS"/>
        <s v="14FW ELSTINKO_HOODZIP_01_MT_KIDS"/>
        <s v="14FW ELSTINKO_HOODZIP_02_GY_KIDS"/>
        <s v="14SS ELSTINKO_MTM_01_GY_KIDS"/>
        <s v="14SS ELSTINKO_MTM_01_NV"/>
        <s v="14SS ELSTINKO_MTM_02_BUR"/>
        <s v="14SS ELSTINKO_MTM_02_GY_KIDS"/>
        <s v="14SS ELSTINKO_MTM_03_GY"/>
        <s v="14SS ELSTINKO_MTM_03_YE_KIDS"/>
        <s v="14FW ELSTINKO_HOODZIP_03_BK"/>
        <s v="14FW_ELSTINKO_JUMPER_01_BK_KIDS"/>
        <s v="14FW_ELSTINKO_JUMPER_02_RD_KIDS"/>
        <s v="14FW ELSTINKO_MTM_07_BK"/>
        <s v="14FW ELSTINKO_MTM_08_BK"/>
        <s v="14FW ELSTINKO_MTM_06_BK"/>
        <s v="14FW ELSTINKO_MTM_06_GY"/>
        <s v="14FW ELSTINKO_HOOD_05_BK"/>
        <s v="14FW ELSTINKO_HOODZIP_08_BK"/>
        <s v="14FW ELSTINKO_HOODZIP_09_BK"/>
        <s v="14FW ELSTINKO_ RAGLAN HOOD_07_BK"/>
        <s v="14FW ELSTINKO_MTM_10_BK"/>
        <s v="14FW ELSTINKO_MTM_11_BK"/>
        <s v="14FW H.coustic CAP-08_BK"/>
        <s v="14FW H.coustic CAP-09_NV"/>
        <s v="14FW H.coustic CAP-10_KH"/>
        <s v="14FW H.coustic CAP-11_BK"/>
        <s v="14FW H.coustic CAP-12_GY"/>
        <s v="14FW H.coustic CAP-13_BK"/>
        <s v="14FW_ELSTINKO_DOWN_JUMPER_05_RD_KIDS"/>
        <s v="14FW ELSTINKO_MTM_12_PK_KIDS"/>
        <s v="14FW ELSTINKO_MTM_13_RE_KIDS"/>
        <s v="14FW ELSTINKO_MTM_14_NY_KIDS"/>
        <s v="14FW ELSTINKO_HOOD_15_PK_KIDS"/>
        <s v="14FW ELSTINKO_PANTS_01_BK"/>
        <s v="14FW ELSTINKO_PANTS_02_BK"/>
        <s v="14FW ELSTINKO_PANTS_03_BK"/>
        <s v="14FW ELSTINKO_LEGGINGS_01_RD"/>
        <s v="14FW_PLAYBOY_HOODZIP _01_BK"/>
        <s v="14FW_PLAYBOY_HOOD _01_BK"/>
        <s v="14FW_PLAYBOY_HOOD _01_WH"/>
        <s v="14SS_PLAYBOY_MTM_01_BK"/>
        <s v="14SS_PLAYBOY_MTM_02_WH"/>
        <s v="14FW_PLAYBOY_MTM_03_BK"/>
        <s v="14FW PLAYBOY_MUSTANG_01_BK"/>
        <s v="14FW PLAYBOY_MUSTANG_02_BK"/>
        <s v="14FW - ELSTINKO - HD16- MI - KIDS"/>
        <s v="14FW - ELSTINKO - HD17- Y6 - KIDS"/>
        <s v="14FW - ELSTINKO - HD18- GR - KIDS"/>
        <s v="14FW - ELSTINKO - HD19- Pi - KIDS"/>
        <s v="14FW - ELSTINKO - HD20- CA - KIDS"/>
        <s v="14FW - ELSTINKO - MTM15- BL - KIDS"/>
        <s v="14FW - ELSTINKO - MTM15- RE - KIDS"/>
        <s v="14FW - ELSTINKO - MTM16- GR - KIDS"/>
        <s v="14FW - ELSTINKO - MTM17- YO - KIDS"/>
        <s v="14FW - ELSTINKO - MTM18- PI - KIDS"/>
        <s v="14FW - ELSTINKO - MTM19- GR - KIDS"/>
        <s v="14FW - ELSTINKO - MTM20- BK - KIDS"/>
        <s v="14FW - ELSTINKO - MTM21-&#10;WH - KIDS"/>
        <s v="14FW - ELSTINKO - MTM21-&#10;OR - KIDS"/>
        <s v="14FW - ELSTINKO - MTM21-&#10;BL - KIDS"/>
        <s v="14FW - ELSTINKO - MTM22-WH"/>
        <s v="14FW - ELSTINKO - MTM22-OR"/>
        <s v="14FW - ELSTINKO - MTM22-BL"/>
        <s v="14FW - ELSTINKO -MTM23- BK - KIDS"/>
        <s v="14FW - ELSTINKO -MTM23- BK"/>
        <s v="14FW - ELSTINKO - MTM25- BK -KIDS"/>
        <s v="14FW - ELSTINKO -OP01- BK -KIDS"/>
        <s v="14FW PLAYBOY_HOOD_02_BK"/>
        <s v="14FW_PLAYBOY_HOOD _03_BK"/>
        <s v="14FW PLAYBOY_LEGGINGS_01_BK"/>
        <s v="14FW PLAYBOY_LEGGINGS_02_BK"/>
        <s v="14FW PLAYBOY_LEGGINGS_03_BK"/>
        <s v="14FW PLAYBOY_LEGGINGS_04_BK"/>
        <s v="14FW_PLAYBOY_MTM_04_NY"/>
        <s v="14FW_PLAYBOY_MTM_05_BK"/>
        <s v="14FW_PLAYBOY_MTM_05_GY"/>
        <s v="14FW_PLAYBOY_PANTS _01_BK"/>
        <s v="14FW_PLAYBOY_PANTS _01_GR"/>
        <s v="14FW_PLAYBOY_HOODZIP _02_BK"/>
        <s v="14FW_PLAYBOY_HOODZIP _03_BK"/>
        <s v="14FW_URBAN SWAGGER_HOOD_02_BK"/>
        <s v="14FW_URBAN SWAGGER_HOOD_01_GR"/>
        <s v="14FW_URBAN SWAGGER_HOOD ZIP_01_BK"/>
        <s v="14FW_URBAN SWAGGER_HOODZIP_02_BK"/>
        <s v="14FW_URBAN SWAGGER_MTM_01_RD"/>
        <s v="14FW_URBAN SWAGGER_MTM_02_BK"/>
        <s v="14FW_URBAN SWAGGER_JUMPER_01_BK"/>
        <s v="14FW_URBAN SWAGGER_JUMPER_02_BK"/>
        <s v="14FW_PLAYBOY_JUMPER _01_BK"/>
        <s v="14FW_PLAYBOY_JUMPER _02_BK"/>
        <s v="14FW_PLAYBOY_JUMPER_03_BK"/>
        <s v="14FW_ELSTINKO_VEST_RED_01_KIDS"/>
        <s v="14FW ELSTINKO_ &#10;ROMPER_01_GRAY_BABY"/>
        <s v="14FW_ELSTINKO_&#10;ROMPER_02_STAR_BABY"/>
        <s v="14FW_ELSTINKO_&#10;ROMPER_03_DOT_BABY"/>
        <s v="14FW_ELSTINKO_&#10;ROMPER_04_ZEBRA_BABY"/>
        <s v="14FW_ELSTINKO_ROMPER_05_EBONY_BABY"/>
        <s v="14FW - ELSTINKO - LG02- BK -KIDS"/>
        <s v="14FW - ELSTINKO - LG03- MI -KIDS"/>
        <s v="14FW - ELSTINKO - HZ04- WH -KIDS"/>
        <s v="14FW - ELSTINKO - HZ05- P4.N9 -KIDS"/>
        <s v="14FW_PLAYBOY_&#10;HOODZIP _04_BK"/>
        <s v="14FW_PLAYBOY_&#10;MTM_06_BK"/>
        <m/>
        <n v="1" u="1"/>
        <n v="5" u="1"/>
        <n v="4" u="1"/>
        <n v="3" u="1"/>
        <n v="2" u="1"/>
      </sharedItems>
    </cacheField>
    <cacheField name="연령구분" numFmtId="0">
      <sharedItems containsBlank="1" count="7">
        <s v="U"/>
        <s v="K"/>
        <m/>
        <s v="ADULT"/>
        <s v="KIDS"/>
        <s v="CHILD"/>
        <s v="INFANT"/>
      </sharedItems>
    </cacheField>
    <cacheField name="샘플수" numFmtId="177">
      <sharedItems containsString="0" containsBlank="1" containsNumber="1" minValue="0.33333333333333331" maxValue="1"/>
    </cacheField>
    <cacheField name="업체" numFmtId="0">
      <sharedItems containsBlank="1" containsMixedTypes="1" containsNumber="1" containsInteger="1" minValue="4" maxValue="4" count="22">
        <s v="QF"/>
        <s v="동일모자"/>
        <s v="캡보이2"/>
        <s v="성진"/>
        <s v="FOREMOST"/>
        <s v="캡보이"/>
        <s v="KIDS FIRST TOYS"/>
        <s v="Y&amp;Y"/>
        <s v="NT SENHONG"/>
        <s v="ORIENT"/>
        <s v="FILL 21"/>
        <s v="HADSOCK"/>
        <s v="EVERRICH TEXTILE "/>
        <s v="바이칼"/>
        <s v="J&amp;F"/>
        <s v="대경"/>
        <s v="아트인드림"/>
        <s v="EVERGREEN"/>
        <s v="piafield"/>
        <s v="유건"/>
        <m/>
        <n v="4" u="1"/>
      </sharedItems>
    </cacheField>
    <cacheField name="발주일" numFmtId="178">
      <sharedItems containsNonDate="0" containsDate="1" containsString="0" containsBlank="1" minDate="2013-02-19T00:00:00" maxDate="2014-05-20T00:00:00" count="172">
        <d v="2014-01-23T00:00:00"/>
        <d v="2014-01-24T00:00:00"/>
        <d v="2014-02-05T00:00:00"/>
        <d v="2014-02-03T00:00:00"/>
        <d v="2014-02-18T00:00:00"/>
        <d v="2014-03-05T00:00:00"/>
        <d v="2014-03-20T00:00:00"/>
        <d v="2014-03-27T00:00:00"/>
        <m/>
        <d v="2014-01-15T00:00:00"/>
        <d v="2014-03-10T00:00:00"/>
        <d v="2014-05-12T00:00:00"/>
        <d v="2014-01-16T00:00:00"/>
        <d v="2014-02-06T00:00:00"/>
        <d v="2014-02-19T00:00:00"/>
        <d v="2014-02-24T00:00:00"/>
        <d v="2014-02-26T00:00:00"/>
        <d v="2014-03-03T00:00:00"/>
        <d v="2014-03-07T00:00:00"/>
        <d v="2014-03-12T00:00:00"/>
        <d v="2014-03-14T00:00:00"/>
        <d v="2014-03-13T00:00:00"/>
        <d v="2014-03-18T00:00:00"/>
        <d v="2014-04-02T00:00:00"/>
        <d v="2014-04-10T00:00:00"/>
        <d v="2014-04-18T00:00:00"/>
        <d v="2014-04-29T00:00:00"/>
        <d v="2014-01-13T00:00:00"/>
        <d v="2014-01-14T00:00:00"/>
        <d v="2014-01-21T00:00:00"/>
        <d v="2014-01-27T00:00:00"/>
        <d v="2014-02-17T00:00:00"/>
        <d v="2014-02-25T00:00:00"/>
        <d v="2014-03-24T00:00:00"/>
        <d v="2014-03-26T00:00:00"/>
        <d v="2014-04-07T00:00:00"/>
        <d v="2014-04-19T00:00:00"/>
        <d v="2014-04-23T00:00:00"/>
        <d v="2014-04-30T00:00:00"/>
        <d v="2014-05-16T00:00:00"/>
        <d v="2014-01-17T00:00:00"/>
        <d v="2014-02-10T00:00:00"/>
        <d v="2014-03-04T00:00:00"/>
        <d v="2014-04-08T00:00:00"/>
        <d v="2014-04-14T00:00:00"/>
        <d v="2014-04-15T00:00:00"/>
        <d v="2014-05-07T00:00:00"/>
        <d v="2014-03-31T00:00:00"/>
        <d v="2014-03-17T00:00:00"/>
        <d v="2014-04-11T00:00:00"/>
        <d v="2014-04-16T00:00:00"/>
        <d v="2014-04-17T00:00:00"/>
        <d v="2014-05-02T00:00:00"/>
        <d v="2014-05-19T00:00:00"/>
        <d v="2014-01-04T00:00:00"/>
        <d v="2014-02-13T00:00:00"/>
        <d v="2014-02-27T00:00:00"/>
        <d v="2014-03-11T00:00:00"/>
        <d v="2014-03-19T00:00:00"/>
        <d v="2014-03-21T00:00:00"/>
        <d v="2014-04-01T00:00:00"/>
        <d v="2013-05-24T00:00:00" u="1"/>
        <d v="2013-07-15T00:00:00" u="1"/>
        <d v="2013-09-06T00:00:00" u="1"/>
        <d v="2013-03-07T00:00:00" u="1"/>
        <d v="2013-08-20T00:00:00" u="1"/>
        <d v="2013-09-25T00:00:00" u="1"/>
        <d v="2013-03-26T00:00:00" u="1"/>
        <d v="2013-08-13T00:00:00" u="1"/>
        <d v="2013-10-04T00:00:00" u="1"/>
        <d v="2013-04-05T00:00:00" u="1"/>
        <d v="2013-05-10T00:00:00" u="1"/>
        <d v="2013-07-01T00:00:00" u="1"/>
        <d v="2013-04-24T00:00:00" u="1"/>
        <d v="2013-08-06T00:00:00" u="1"/>
        <d v="2014-01-28T00:00:00" u="1"/>
        <d v="2013-09-11T00:00:00" u="1"/>
        <d v="2013-03-12T00:00:00" u="1"/>
        <d v="2013-09-30T00:00:00" u="1"/>
        <d v="2013-03-05T00:00:00" u="1"/>
        <d v="2013-02-19T00:00:00" u="1"/>
        <d v="2013-04-10T00:00:00" u="1"/>
        <d v="2013-04-03T00:00:00" u="1"/>
        <d v="2013-07-25T00:00:00" u="1"/>
        <d v="2013-09-16T00:00:00" u="1"/>
        <d v="2013-05-08T00:00:00" u="1"/>
        <d v="2013-08-30T00:00:00" u="1"/>
        <d v="2013-05-27T00:00:00" u="1"/>
        <d v="2013-07-18T00:00:00" u="1"/>
        <d v="2013-09-09T00:00:00" u="1"/>
        <d v="2013-08-23T00:00:00" u="1"/>
        <d v="2013-04-15T00:00:00" u="1"/>
        <d v="2013-09-02T00:00:00" u="1"/>
        <d v="2013-08-16T00:00:00" u="1"/>
        <d v="2013-10-07T00:00:00" u="1"/>
        <d v="2013-04-08T00:00:00" u="1"/>
        <d v="2013-07-30T00:00:00" u="1"/>
        <d v="2013-03-22T00:00:00" u="1"/>
        <d v="2013-08-09T00:00:00" u="1"/>
        <d v="2013-04-01T00:00:00" u="1"/>
        <d v="2013-07-23T00:00:00" u="1"/>
        <d v="2013-03-15T00:00:00" u="1"/>
        <d v="2013-05-06T00:00:00" u="1"/>
        <d v="2013-08-28T00:00:00" u="1"/>
        <d v="2013-06-11T00:00:00" u="1"/>
        <d v="2013-08-02T00:00:00" u="1"/>
        <d v="2013-07-16T00:00:00" u="1"/>
        <d v="2013-09-07T00:00:00" u="1"/>
        <d v="2013-03-08T00:00:00" u="1"/>
        <d v="2013-08-21T00:00:00" u="1"/>
        <d v="2013-02-22T00:00:00" u="1"/>
        <d v="2013-09-26T00:00:00" u="1"/>
        <d v="2013-03-27T00:00:00" u="1"/>
        <d v="2013-08-14T00:00:00" u="1"/>
        <d v="2013-07-28T00:00:00" u="1"/>
        <d v="2013-03-20T00:00:00" u="1"/>
        <d v="2013-07-02T00:00:00" u="1"/>
        <d v="2013-04-25T00:00:00" u="1"/>
        <d v="2013-08-07T00:00:00" u="1"/>
        <d v="2013-05-30T00:00:00" u="1"/>
        <d v="2013-09-12T00:00:00" u="1"/>
        <d v="2013-08-26T00:00:00" u="1"/>
        <d v="2013-10-17T00:00:00" u="1"/>
        <d v="2013-02-27T00:00:00" u="1"/>
        <d v="2013-04-18T00:00:00" u="1"/>
        <d v="2013-05-23T00:00:00" u="1"/>
        <d v="2013-03-06T00:00:00" u="1"/>
        <d v="2013-06-28T00:00:00" u="1"/>
        <d v="2013-04-11T00:00:00" u="1"/>
        <d v="2013-09-24T00:00:00" u="1"/>
        <d v="2013-03-25T00:00:00" u="1"/>
        <d v="2013-05-16T00:00:00" u="1"/>
        <d v="2013-08-12T00:00:00" u="1"/>
        <d v="2013-07-26T00:00:00" u="1"/>
        <d v="2013-03-18T00:00:00" u="1"/>
        <d v="2013-05-09T00:00:00" u="1"/>
        <d v="2013-04-23T00:00:00" u="1"/>
        <d v="2013-08-05T00:00:00" u="1"/>
        <d v="2013-03-11T00:00:00" u="1"/>
        <d v="2013-05-02T00:00:00" u="1"/>
        <d v="2013-10-15T00:00:00" u="1"/>
        <d v="2013-02-25T00:00:00" u="1"/>
        <d v="2013-06-07T00:00:00" u="1"/>
        <d v="2013-05-21T00:00:00" u="1"/>
        <d v="2013-07-12T00:00:00" u="1"/>
        <d v="2013-09-03T00:00:00" u="1"/>
        <d v="2013-03-04T00:00:00" u="1"/>
        <d v="2013-10-08T00:00:00" u="1"/>
        <d v="2013-04-09T00:00:00" u="1"/>
        <d v="2013-07-31T00:00:00" u="1"/>
        <d v="2013-05-14T00:00:00" u="1"/>
        <d v="2013-07-05T00:00:00" u="1"/>
        <d v="2013-10-01T00:00:00" u="1"/>
        <d v="2013-05-07T00:00:00" u="1"/>
        <d v="2013-06-12T00:00:00" u="1"/>
        <d v="2013-07-17T00:00:00" u="1"/>
        <d v="2013-08-22T00:00:00" u="1"/>
        <d v="2014-02-04T00:00:00" u="1"/>
        <d v="2013-03-28T00:00:00" u="1"/>
        <d v="2013-06-24T00:00:00" u="1"/>
        <d v="2013-07-29T00:00:00" u="1"/>
        <d v="2013-03-21T00:00:00" u="1"/>
        <d v="2013-05-12T00:00:00" u="1"/>
        <d v="2013-10-25T00:00:00" u="1"/>
        <d v="2013-04-26T00:00:00" u="1"/>
        <d v="2013-05-31T00:00:00" u="1"/>
        <d v="2013-09-13T00:00:00" u="1"/>
        <d v="2013-03-14T00:00:00" u="1"/>
        <d v="2013-08-27T00:00:00" u="1"/>
        <d v="2013-10-18T00:00:00" u="1"/>
        <d v="2013-04-19T00:00:00" u="1"/>
        <d v="2013-08-01T00:00:00" u="1"/>
      </sharedItems>
    </cacheField>
    <cacheField name="목표입고일" numFmtId="178">
      <sharedItems containsNonDate="0" containsDate="1" containsString="0" containsBlank="1" minDate="2014-02-01T00:00:00" maxDate="2014-06-17T00:00:00"/>
    </cacheField>
    <cacheField name="입고예정일" numFmtId="178">
      <sharedItems containsDate="1" containsBlank="1" containsMixedTypes="1" minDate="2004-05-05T00:00:00" maxDate="2014-06-19T00:00:00"/>
    </cacheField>
    <cacheField name="실입고일" numFmtId="178">
      <sharedItems containsDate="1" containsBlank="1" containsMixedTypes="1" minDate="1899-12-30T13:42:51" maxDate="2014-05-20T00:00:00"/>
    </cacheField>
    <cacheField name="해외&#10;(FOB, USD, JPY)" numFmtId="0">
      <sharedItems containsBlank="1" containsMixedTypes="1" containsNumber="1" minValue="0.77" maxValue="58.5"/>
    </cacheField>
    <cacheField name="국내&#10;(-V, KRW)" numFmtId="0">
      <sharedItems containsString="0" containsBlank="1" containsNumber="1" minValue="0" maxValue="57198.239999999998"/>
    </cacheField>
    <cacheField name="참조샘플 발송여부" numFmtId="0">
      <sharedItems containsBlank="1" containsMixedTypes="1" containsNumber="1" containsInteger="1" minValue="1" maxValue="41655"/>
    </cacheField>
    <cacheField name="원단총수" numFmtId="0">
      <sharedItems containsBlank="1" containsMixedTypes="1" containsNumber="1" containsInteger="1" minValue="1" maxValue="9"/>
    </cacheField>
    <cacheField name="중국원단사용수" numFmtId="0">
      <sharedItems containsBlank="1" containsMixedTypes="1" containsNumber="1" containsInteger="1" minValue="0" maxValue="9"/>
    </cacheField>
    <cacheField name="기타" numFmtId="0">
      <sharedItems containsBlank="1"/>
    </cacheField>
    <cacheField name="미입고샘플수" numFmtId="0" formula="실발주샘플수-실입고샘플수" databaseField="0"/>
    <cacheField name="총미입고샘플건수" numFmtId="0" formula="총발주샘플건수-총입고샘플건수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59">
  <r>
    <n v="1"/>
    <s v="14FW SMB_01_FLAT_GR_N"/>
    <n v="1"/>
    <s v="QF14FW SMB_01_FLAT_GR_N"/>
    <x v="0"/>
    <x v="0"/>
    <n v="1"/>
    <s v="14FW SMB_01_FLAT_GR_N"/>
    <x v="0"/>
    <s v="QF14FW SMB_01_FLAT_GR_N"/>
    <x v="0"/>
    <x v="0"/>
    <x v="0"/>
    <x v="0"/>
    <x v="0"/>
    <x v="0"/>
    <m/>
    <n v="1"/>
    <m/>
    <x v="0"/>
    <x v="0"/>
    <x v="0"/>
    <x v="0"/>
    <x v="0"/>
    <n v="1"/>
    <x v="0"/>
    <x v="0"/>
    <d v="2014-02-20T00:00:00"/>
    <d v="2014-03-21T00:00:00"/>
    <d v="2014-03-13T00:00:00"/>
    <n v="2.7"/>
    <m/>
    <m/>
    <n v="2"/>
    <n v="2"/>
    <m/>
  </r>
  <r>
    <n v="1"/>
    <s v="14FW SMB_01_FLAT_NY_N"/>
    <n v="1"/>
    <s v="동일모자14FW SMB_01_FLAT_NY_N"/>
    <x v="0"/>
    <x v="0"/>
    <n v="1"/>
    <s v="14FW SMB_01_FLAT_NY_N"/>
    <x v="0"/>
    <s v="동일모자14FW SMB_01_FLAT_NY_N"/>
    <x v="1"/>
    <x v="0"/>
    <x v="0"/>
    <x v="0"/>
    <x v="0"/>
    <x v="0"/>
    <m/>
    <n v="2"/>
    <m/>
    <x v="0"/>
    <x v="0"/>
    <x v="0"/>
    <x v="1"/>
    <x v="0"/>
    <n v="1"/>
    <x v="1"/>
    <x v="1"/>
    <d v="2014-02-21T00:00:00"/>
    <d v="2014-03-18T00:00:00"/>
    <d v="2014-03-18T00:00:00"/>
    <n v="3.85"/>
    <m/>
    <m/>
    <n v="3"/>
    <n v="3"/>
    <m/>
  </r>
  <r>
    <n v="1"/>
    <s v="14FW SMB_02_FLAT_BL_N"/>
    <n v="1"/>
    <s v="QF14FW SMB_02_FLAT_BL_N"/>
    <x v="0"/>
    <x v="0"/>
    <n v="1"/>
    <s v="14FW SMB_02_FLAT_BL_N"/>
    <x v="0"/>
    <s v="QF14FW SMB_02_FLAT_BL_N"/>
    <x v="2"/>
    <x v="0"/>
    <x v="0"/>
    <x v="0"/>
    <x v="0"/>
    <x v="0"/>
    <m/>
    <n v="3"/>
    <m/>
    <x v="0"/>
    <x v="0"/>
    <x v="0"/>
    <x v="2"/>
    <x v="0"/>
    <n v="1"/>
    <x v="0"/>
    <x v="0"/>
    <d v="2014-02-20T00:00:00"/>
    <d v="2014-03-21T00:00:00"/>
    <d v="2014-03-19T00:00:00"/>
    <n v="3.4"/>
    <m/>
    <m/>
    <n v="3"/>
    <n v="2"/>
    <s v="크라운 및 챙 원단 국내제공시 가격 "/>
  </r>
  <r>
    <n v="1"/>
    <s v="14FW SMB_03_FLAT_BK_N"/>
    <n v="1"/>
    <s v="QF14FW SMB_03_FLAT_BK_N"/>
    <x v="0"/>
    <x v="0"/>
    <n v="1"/>
    <s v="14FW SMB_03_FLAT_BK_N"/>
    <x v="0"/>
    <s v="QF14FW SMB_03_FLAT_BK_N"/>
    <x v="2"/>
    <x v="0"/>
    <x v="0"/>
    <x v="0"/>
    <x v="0"/>
    <x v="0"/>
    <m/>
    <n v="4"/>
    <m/>
    <x v="0"/>
    <x v="0"/>
    <x v="0"/>
    <x v="3"/>
    <x v="0"/>
    <n v="1"/>
    <x v="0"/>
    <x v="0"/>
    <d v="2014-02-20T00:00:00"/>
    <d v="2014-03-21T00:00:00"/>
    <d v="2014-03-19T00:00:00"/>
    <n v="3.4"/>
    <m/>
    <m/>
    <n v="3"/>
    <n v="2"/>
    <s v="크라운 및 챙 원단 국내제공시 가격 "/>
  </r>
  <r>
    <n v="1"/>
    <s v="14FW SMB_05_FLAT_KH_N"/>
    <n v="1"/>
    <s v="QF14FW SMB_05_FLAT_KH_N"/>
    <x v="0"/>
    <x v="0"/>
    <n v="1"/>
    <s v="14FW SMB_05_FLAT_KH_N"/>
    <x v="0"/>
    <s v="QF14FW SMB_05_FLAT_KH_N"/>
    <x v="3"/>
    <x v="0"/>
    <x v="0"/>
    <x v="0"/>
    <x v="0"/>
    <x v="0"/>
    <m/>
    <n v="5"/>
    <m/>
    <x v="0"/>
    <x v="0"/>
    <x v="0"/>
    <x v="4"/>
    <x v="0"/>
    <n v="1"/>
    <x v="0"/>
    <x v="0"/>
    <d v="2014-02-20T00:00:00"/>
    <d v="2014-03-21T00:00:00"/>
    <d v="2014-03-11T00:00:00"/>
    <n v="3.3"/>
    <m/>
    <m/>
    <n v="2"/>
    <n v="2"/>
    <m/>
  </r>
  <r>
    <n v="1"/>
    <s v="14FW SMB_05_FLAT_PP_N"/>
    <n v="1"/>
    <s v="QF14FW SMB_05_FLAT_PP_N"/>
    <x v="0"/>
    <x v="0"/>
    <n v="1"/>
    <s v="14FW SMB_05_FLAT_PP_N"/>
    <x v="0"/>
    <s v="QF14FW SMB_05_FLAT_PP_N"/>
    <x v="0"/>
    <x v="0"/>
    <x v="0"/>
    <x v="0"/>
    <x v="0"/>
    <x v="0"/>
    <m/>
    <n v="6"/>
    <m/>
    <x v="0"/>
    <x v="0"/>
    <x v="0"/>
    <x v="5"/>
    <x v="0"/>
    <n v="1"/>
    <x v="0"/>
    <x v="0"/>
    <d v="2014-02-20T00:00:00"/>
    <d v="2014-03-21T00:00:00"/>
    <d v="2014-03-13T00:00:00"/>
    <n v="3.2"/>
    <m/>
    <m/>
    <n v="2"/>
    <n v="2"/>
    <m/>
  </r>
  <r>
    <n v="1"/>
    <s v="14FW SMB_05_FLAT_RE_N"/>
    <n v="1"/>
    <s v="QF14FW SMB_05_FLAT_RE_N"/>
    <x v="0"/>
    <x v="0"/>
    <n v="1"/>
    <s v="14FW SMB_05_FLAT_RE_N"/>
    <x v="0"/>
    <s v="QF14FW SMB_05_FLAT_RE_N"/>
    <x v="3"/>
    <x v="0"/>
    <x v="0"/>
    <x v="0"/>
    <x v="0"/>
    <x v="0"/>
    <m/>
    <n v="7"/>
    <m/>
    <x v="0"/>
    <x v="0"/>
    <x v="0"/>
    <x v="6"/>
    <x v="0"/>
    <n v="1"/>
    <x v="0"/>
    <x v="0"/>
    <d v="2014-02-20T00:00:00"/>
    <d v="2014-03-21T00:00:00"/>
    <d v="2014-03-11T00:00:00"/>
    <n v="3.2"/>
    <m/>
    <m/>
    <n v="2"/>
    <n v="2"/>
    <m/>
  </r>
  <r>
    <n v="1"/>
    <s v="14FW SMB_06_FLAT_BK_N"/>
    <n v="1"/>
    <s v="QF14FW SMB_06_FLAT_BK_N"/>
    <x v="0"/>
    <x v="0"/>
    <n v="1"/>
    <s v="14FW SMB_06_FLAT_BK_N"/>
    <x v="0"/>
    <s v="QF14FW SMB_06_FLAT_BK_N"/>
    <x v="3"/>
    <x v="0"/>
    <x v="0"/>
    <x v="0"/>
    <x v="0"/>
    <x v="0"/>
    <m/>
    <n v="8"/>
    <m/>
    <x v="0"/>
    <x v="0"/>
    <x v="0"/>
    <x v="7"/>
    <x v="0"/>
    <n v="1"/>
    <x v="0"/>
    <x v="1"/>
    <d v="2014-02-21T00:00:00"/>
    <d v="2014-03-21T00:00:00"/>
    <d v="2014-03-11T00:00:00"/>
    <n v="4.5"/>
    <m/>
    <m/>
    <n v="3"/>
    <n v="3"/>
    <m/>
  </r>
  <r>
    <n v="1"/>
    <s v="14FW SMB_01_CURVED_BK_N"/>
    <n v="1"/>
    <s v="캡보이214FW SMB_01_CURVED_BK_N"/>
    <x v="0"/>
    <x v="0"/>
    <n v="1"/>
    <s v="14FW SMB_01_CURVED_BK_N"/>
    <x v="0"/>
    <s v="캡보이214FW SMB_01_CURVED_BK_N"/>
    <x v="4"/>
    <x v="0"/>
    <x v="0"/>
    <x v="0"/>
    <x v="0"/>
    <x v="0"/>
    <m/>
    <n v="9"/>
    <m/>
    <x v="0"/>
    <x v="1"/>
    <x v="0"/>
    <x v="8"/>
    <x v="0"/>
    <n v="1"/>
    <x v="2"/>
    <x v="1"/>
    <d v="2014-02-21T00:00:00"/>
    <d v="2014-03-19T00:00:00"/>
    <d v="2014-03-28T00:00:00"/>
    <m/>
    <m/>
    <m/>
    <n v="3"/>
    <n v="3"/>
    <m/>
  </r>
  <r>
    <n v="1"/>
    <s v="14FW SMB_02_CURVED_NV_N"/>
    <n v="1"/>
    <s v="성진14FW SMB_02_CURVED_NV_N"/>
    <x v="0"/>
    <x v="0"/>
    <n v="1"/>
    <s v="14FW SMB_02_CURVED_NV_N"/>
    <x v="0"/>
    <s v="성진14FW SMB_02_CURVED_NV_N"/>
    <x v="3"/>
    <x v="0"/>
    <x v="0"/>
    <x v="0"/>
    <x v="0"/>
    <x v="0"/>
    <m/>
    <n v="10"/>
    <m/>
    <x v="0"/>
    <x v="1"/>
    <x v="0"/>
    <x v="9"/>
    <x v="0"/>
    <n v="1"/>
    <x v="3"/>
    <x v="1"/>
    <d v="2014-02-21T00:00:00"/>
    <d v="2014-03-21T00:00:00"/>
    <d v="2014-03-11T00:00:00"/>
    <n v="5.4"/>
    <m/>
    <m/>
    <n v="2"/>
    <n v="2"/>
    <m/>
  </r>
  <r>
    <n v="1"/>
    <s v="14FW SMB_03_CURVED_BK_N"/>
    <n v="1"/>
    <s v="성진14FW SMB_03_CURVED_BK_N"/>
    <x v="0"/>
    <x v="0"/>
    <n v="1"/>
    <s v="14FW SMB_03_CURVED_BK_N"/>
    <x v="0"/>
    <s v="성진14FW SMB_03_CURVED_BK_N"/>
    <x v="3"/>
    <x v="0"/>
    <x v="0"/>
    <x v="0"/>
    <x v="0"/>
    <x v="0"/>
    <m/>
    <n v="11"/>
    <m/>
    <x v="0"/>
    <x v="1"/>
    <x v="0"/>
    <x v="10"/>
    <x v="0"/>
    <n v="1"/>
    <x v="3"/>
    <x v="1"/>
    <d v="2014-02-21T00:00:00"/>
    <d v="2014-03-21T00:00:00"/>
    <d v="2014-03-11T00:00:00"/>
    <n v="5.4"/>
    <m/>
    <m/>
    <n v="2"/>
    <n v="2"/>
    <m/>
  </r>
  <r>
    <n v="0.5"/>
    <s v="14FW SMB_03_CURVED_RD_N"/>
    <n v="1"/>
    <s v="성진14FW SMB_03_CURVED_RD_N"/>
    <x v="0"/>
    <x v="0"/>
    <n v="0.5"/>
    <s v="14FW SMB_03_CURVED_RD_N"/>
    <x v="0"/>
    <s v="성진14FW SMB_03_CURVED_RD_N"/>
    <x v="3"/>
    <x v="0"/>
    <x v="0"/>
    <x v="0"/>
    <x v="0"/>
    <x v="0"/>
    <m/>
    <n v="12"/>
    <m/>
    <x v="0"/>
    <x v="1"/>
    <x v="0"/>
    <x v="11"/>
    <x v="0"/>
    <n v="0.5"/>
    <x v="3"/>
    <x v="1"/>
    <d v="2014-02-21T00:00:00"/>
    <d v="2014-03-21T00:00:00"/>
    <d v="2014-03-11T00:00:00"/>
    <n v="5.95"/>
    <m/>
    <m/>
    <n v="3"/>
    <n v="3"/>
    <m/>
  </r>
  <r>
    <n v="1"/>
    <s v="14FW SMB_04_CURVED_YL_N"/>
    <n v="1"/>
    <s v="성진14FW SMB_04_CURVED_YL_N"/>
    <x v="0"/>
    <x v="0"/>
    <n v="1"/>
    <s v="14FW SMB_04_CURVED_YL_N"/>
    <x v="0"/>
    <s v="성진14FW SMB_04_CURVED_YL_N"/>
    <x v="5"/>
    <x v="0"/>
    <x v="0"/>
    <x v="0"/>
    <x v="0"/>
    <x v="0"/>
    <m/>
    <n v="13"/>
    <m/>
    <x v="0"/>
    <x v="1"/>
    <x v="0"/>
    <x v="12"/>
    <x v="0"/>
    <n v="1"/>
    <x v="3"/>
    <x v="1"/>
    <d v="2014-02-21T00:00:00"/>
    <d v="2014-03-21T00:00:00"/>
    <d v="2014-03-21T00:00:00"/>
    <n v="5.4"/>
    <m/>
    <m/>
    <n v="2"/>
    <n v="2"/>
    <m/>
  </r>
  <r>
    <n v="1"/>
    <s v="14FW SMB_05_CURVED_BD_N"/>
    <n v="1"/>
    <s v="동일모자14FW SMB_05_CURVED_BD_N"/>
    <x v="0"/>
    <x v="0"/>
    <n v="1"/>
    <s v="14FW SMB_05_CURVED_BD_N"/>
    <x v="0"/>
    <s v="동일모자14FW SMB_05_CURVED_BD_N"/>
    <x v="1"/>
    <x v="0"/>
    <x v="0"/>
    <x v="0"/>
    <x v="0"/>
    <x v="0"/>
    <m/>
    <n v="14"/>
    <m/>
    <x v="0"/>
    <x v="1"/>
    <x v="0"/>
    <x v="13"/>
    <x v="0"/>
    <n v="1"/>
    <x v="1"/>
    <x v="1"/>
    <d v="2014-02-21T00:00:00"/>
    <d v="2014-03-21T00:00:00"/>
    <d v="2014-03-18T00:00:00"/>
    <n v="4.2"/>
    <m/>
    <m/>
    <n v="3"/>
    <n v="3"/>
    <m/>
  </r>
  <r>
    <n v="1"/>
    <s v="14FW SMB_05_CURVED_BL_N"/>
    <n v="1"/>
    <s v="동일모자14FW SMB_05_CURVED_BL_N"/>
    <x v="0"/>
    <x v="0"/>
    <n v="1"/>
    <s v="14FW SMB_05_CURVED_BL_N"/>
    <x v="0"/>
    <s v="동일모자14FW SMB_05_CURVED_BL_N"/>
    <x v="5"/>
    <x v="0"/>
    <x v="0"/>
    <x v="0"/>
    <x v="0"/>
    <x v="0"/>
    <m/>
    <n v="15"/>
    <m/>
    <x v="0"/>
    <x v="1"/>
    <x v="0"/>
    <x v="14"/>
    <x v="0"/>
    <n v="1"/>
    <x v="1"/>
    <x v="1"/>
    <d v="2014-02-21T00:00:00"/>
    <d v="2014-03-21T00:00:00"/>
    <d v="2014-03-21T00:00:00"/>
    <n v="4.2"/>
    <m/>
    <m/>
    <n v="3"/>
    <n v="3"/>
    <s v="앞 노말자수 네이비컬러 (그라만 뺀 컬러로 진행)"/>
  </r>
  <r>
    <n v="1"/>
    <s v="14FW SMB_06_CURVED_BK_N"/>
    <n v="1"/>
    <s v="성진14FW SMB_06_CURVED_BK_N"/>
    <x v="0"/>
    <x v="0"/>
    <n v="1"/>
    <s v="14FW SMB_06_CURVED_BK_N"/>
    <x v="0"/>
    <s v="성진14FW SMB_06_CURVED_BK_N"/>
    <x v="6"/>
    <x v="0"/>
    <x v="1"/>
    <x v="0"/>
    <x v="0"/>
    <x v="0"/>
    <m/>
    <n v="16"/>
    <m/>
    <x v="0"/>
    <x v="1"/>
    <x v="0"/>
    <x v="15"/>
    <x v="0"/>
    <n v="1"/>
    <x v="3"/>
    <x v="1"/>
    <d v="2014-02-21T00:00:00"/>
    <d v="2014-03-21T00:00:00"/>
    <d v="2014-03-04T00:00:00"/>
    <n v="5.15"/>
    <m/>
    <m/>
    <n v="2"/>
    <n v="2"/>
    <m/>
  </r>
  <r>
    <n v="1"/>
    <s v="14FW SMB_06_CURVED_NY_N"/>
    <n v="1"/>
    <s v="성진14FW SMB_06_CURVED_NY_N"/>
    <x v="0"/>
    <x v="0"/>
    <n v="1"/>
    <s v="14FW SMB_06_CURVED_NY_N"/>
    <x v="0"/>
    <s v="성진14FW SMB_06_CURVED_NY_N"/>
    <x v="7"/>
    <x v="1"/>
    <x v="2"/>
    <x v="0"/>
    <x v="0"/>
    <x v="0"/>
    <m/>
    <n v="17"/>
    <m/>
    <x v="0"/>
    <x v="1"/>
    <x v="0"/>
    <x v="16"/>
    <x v="0"/>
    <n v="1"/>
    <x v="3"/>
    <x v="1"/>
    <d v="2014-02-21T00:00:00"/>
    <d v="2014-02-28T00:00:00"/>
    <d v="2014-02-28T00:00:00"/>
    <n v="5.0999999999999996"/>
    <m/>
    <m/>
    <n v="2"/>
    <n v="2"/>
    <m/>
  </r>
  <r>
    <n v="1"/>
    <s v="14FW SMB_07_CURVED_BK_N"/>
    <n v="1"/>
    <s v="동일모자14FW SMB_07_CURVED_BK_N"/>
    <x v="0"/>
    <x v="0"/>
    <n v="1"/>
    <s v="14FW SMB_07_CURVED_BK_N"/>
    <x v="0"/>
    <s v="동일모자14FW SMB_07_CURVED_BK_N"/>
    <x v="1"/>
    <x v="0"/>
    <x v="0"/>
    <x v="0"/>
    <x v="0"/>
    <x v="0"/>
    <m/>
    <n v="18"/>
    <m/>
    <x v="0"/>
    <x v="1"/>
    <x v="0"/>
    <x v="17"/>
    <x v="0"/>
    <n v="1"/>
    <x v="1"/>
    <x v="1"/>
    <d v="2014-02-21T00:00:00"/>
    <d v="2014-03-21T00:00:00"/>
    <d v="2014-03-18T00:00:00"/>
    <n v="4.45"/>
    <m/>
    <m/>
    <n v="3"/>
    <n v="3"/>
    <m/>
  </r>
  <r>
    <n v="1"/>
    <s v="14FW SMB_07_CURVED_GR_N"/>
    <n v="1"/>
    <s v="동일모자14FW SMB_07_CURVED_GR_N"/>
    <x v="0"/>
    <x v="0"/>
    <n v="1"/>
    <s v="14FW SMB_07_CURVED_GR_N"/>
    <x v="0"/>
    <s v="동일모자14FW SMB_07_CURVED_GR_N"/>
    <x v="1"/>
    <x v="0"/>
    <x v="0"/>
    <x v="0"/>
    <x v="0"/>
    <x v="0"/>
    <m/>
    <n v="19"/>
    <m/>
    <x v="0"/>
    <x v="1"/>
    <x v="0"/>
    <x v="18"/>
    <x v="0"/>
    <n v="1"/>
    <x v="1"/>
    <x v="1"/>
    <d v="2014-02-21T00:00:00"/>
    <d v="2014-03-21T00:00:00"/>
    <d v="2014-03-18T00:00:00"/>
    <n v="4.2"/>
    <m/>
    <m/>
    <n v="3"/>
    <n v="3"/>
    <m/>
  </r>
  <r>
    <n v="1"/>
    <s v="14FW SMB_07_CURVED_OR"/>
    <n v="1"/>
    <s v="동일모자14FW SMB_07_CURVED_OR"/>
    <x v="0"/>
    <x v="0"/>
    <n v="1"/>
    <s v="14FW SMB_07_CURVED_OR"/>
    <x v="0"/>
    <s v="동일모자14FW SMB_07_CURVED_OR"/>
    <x v="1"/>
    <x v="0"/>
    <x v="0"/>
    <x v="0"/>
    <x v="0"/>
    <x v="0"/>
    <m/>
    <n v="20"/>
    <m/>
    <x v="0"/>
    <x v="1"/>
    <x v="0"/>
    <x v="19"/>
    <x v="0"/>
    <n v="1"/>
    <x v="1"/>
    <x v="1"/>
    <d v="2014-02-21T00:00:00"/>
    <d v="2014-03-21T00:00:00"/>
    <d v="2014-03-18T00:00:00"/>
    <n v="4.45"/>
    <m/>
    <m/>
    <n v="3"/>
    <n v="3"/>
    <m/>
  </r>
  <r>
    <n v="0.5"/>
    <s v="14FW SMB_08_CURVED_NY_N"/>
    <n v="1"/>
    <s v="캡보이214FW SMB_08_CURVED_NY_N"/>
    <x v="0"/>
    <x v="0"/>
    <n v="0.5"/>
    <s v="14FW SMB_08_CURVED_NY_N"/>
    <x v="0"/>
    <s v="캡보이214FW SMB_08_CURVED_NY_N"/>
    <x v="8"/>
    <x v="2"/>
    <x v="3"/>
    <x v="0"/>
    <x v="0"/>
    <x v="0"/>
    <m/>
    <n v="21"/>
    <m/>
    <x v="0"/>
    <x v="2"/>
    <x v="0"/>
    <x v="20"/>
    <x v="0"/>
    <n v="0.5"/>
    <x v="2"/>
    <x v="1"/>
    <d v="2014-02-21T00:00:00"/>
    <s v="캔슬"/>
    <s v="캔슬"/>
    <m/>
    <m/>
    <m/>
    <n v="3"/>
    <n v="3"/>
    <m/>
  </r>
  <r>
    <n v="1"/>
    <s v="14FW SMB_09_CURVED_PK_N"/>
    <n v="1"/>
    <s v="캡보이214FW SMB_09_CURVED_PK_N"/>
    <x v="0"/>
    <x v="0"/>
    <n v="1"/>
    <s v="14FW SMB_09_CURVED_PK_N"/>
    <x v="0"/>
    <s v="캡보이214FW SMB_09_CURVED_PK_N"/>
    <x v="4"/>
    <x v="0"/>
    <x v="0"/>
    <x v="0"/>
    <x v="0"/>
    <x v="0"/>
    <m/>
    <n v="22"/>
    <m/>
    <x v="0"/>
    <x v="2"/>
    <x v="0"/>
    <x v="21"/>
    <x v="0"/>
    <n v="1"/>
    <x v="2"/>
    <x v="1"/>
    <d v="2014-02-21T00:00:00"/>
    <d v="2014-03-19T00:00:00"/>
    <d v="2014-03-28T00:00:00"/>
    <m/>
    <m/>
    <m/>
    <n v="3"/>
    <n v="3"/>
    <m/>
  </r>
  <r>
    <n v="1"/>
    <s v="14FW SMB_01_CURVED_NY_N"/>
    <n v="1"/>
    <s v="캡보이214FW SMB_01_CURVED_NY_N"/>
    <x v="0"/>
    <x v="0"/>
    <n v="1"/>
    <s v="14FW SMB_01_CURVED_NY_N"/>
    <x v="0"/>
    <s v="캡보이214FW SMB_01_CURVED_NY_N"/>
    <x v="9"/>
    <x v="0"/>
    <x v="0"/>
    <x v="0"/>
    <x v="0"/>
    <x v="0"/>
    <m/>
    <n v="23"/>
    <m/>
    <x v="0"/>
    <x v="2"/>
    <x v="0"/>
    <x v="22"/>
    <x v="0"/>
    <n v="1"/>
    <x v="2"/>
    <x v="1"/>
    <d v="2014-02-21T00:00:00"/>
    <d v="2014-03-19T00:00:00"/>
    <d v="2014-03-24T00:00:00"/>
    <m/>
    <m/>
    <m/>
    <n v="3"/>
    <n v="3"/>
    <m/>
  </r>
  <r>
    <n v="0.5"/>
    <s v="14FW SMB_03_CURVED_RD_N"/>
    <n v="1"/>
    <s v="캡보이214FW SMB_03_CURVED_RD_N"/>
    <x v="0"/>
    <x v="0"/>
    <n v="0.5"/>
    <s v="14FW SMB_03_CURVED_RD_N"/>
    <x v="0"/>
    <s v="캡보이214FW SMB_03_CURVED_RD_N"/>
    <x v="8"/>
    <x v="2"/>
    <x v="3"/>
    <x v="0"/>
    <x v="0"/>
    <x v="0"/>
    <m/>
    <n v="24"/>
    <m/>
    <x v="0"/>
    <x v="1"/>
    <x v="0"/>
    <x v="11"/>
    <x v="0"/>
    <n v="0.5"/>
    <x v="2"/>
    <x v="1"/>
    <d v="2014-02-21T00:00:00"/>
    <s v="캔슬"/>
    <s v="캔슬"/>
    <m/>
    <m/>
    <m/>
    <n v="2"/>
    <n v="2"/>
    <s v="캔슬"/>
  </r>
  <r>
    <n v="1"/>
    <s v="14FW WITAILOR CAP-01-WN"/>
    <n v="1"/>
    <s v="FOREMOST14FW WITAILOR CAP-01-WN"/>
    <x v="1"/>
    <x v="1"/>
    <n v="1"/>
    <s v="14FW WITAILOR CAP-01-WN"/>
    <x v="0"/>
    <s v="FOREMOST14FW WITAILOR CAP-01-WN"/>
    <x v="5"/>
    <x v="0"/>
    <x v="0"/>
    <x v="0"/>
    <x v="1"/>
    <x v="1"/>
    <m/>
    <n v="25"/>
    <m/>
    <x v="1"/>
    <x v="3"/>
    <x v="0"/>
    <x v="23"/>
    <x v="0"/>
    <n v="1"/>
    <x v="4"/>
    <x v="2"/>
    <d v="2014-03-05T00:00:00"/>
    <d v="2014-03-21T00:00:00"/>
    <d v="2014-03-21T00:00:00"/>
    <m/>
    <m/>
    <m/>
    <n v="7"/>
    <n v="5"/>
    <s v="13FW BROWN SQURE 1 샘플배송&#10;(20140210) -&gt; 받음 20140228"/>
  </r>
  <r>
    <n v="1"/>
    <s v="14FW WITAILOR CAP-02-BK"/>
    <n v="1"/>
    <s v="FOREMOST14FW WITAILOR CAP-02-BK"/>
    <x v="1"/>
    <x v="1"/>
    <n v="1"/>
    <s v="14FW WITAILOR CAP-02-BK"/>
    <x v="0"/>
    <s v="FOREMOST14FW WITAILOR CAP-02-BK"/>
    <x v="10"/>
    <x v="0"/>
    <x v="0"/>
    <x v="0"/>
    <x v="1"/>
    <x v="1"/>
    <m/>
    <n v="26"/>
    <m/>
    <x v="1"/>
    <x v="3"/>
    <x v="0"/>
    <x v="24"/>
    <x v="0"/>
    <n v="1"/>
    <x v="4"/>
    <x v="2"/>
    <d v="2014-03-05T00:00:00"/>
    <d v="2014-03-31T00:00:00"/>
    <d v="2014-03-27T00:00:00"/>
    <m/>
    <m/>
    <m/>
    <n v="5"/>
    <n v="4"/>
    <m/>
  </r>
  <r>
    <n v="1"/>
    <s v="14FW WITAILOR CAP-03-NY"/>
    <n v="1"/>
    <s v="동일모자14FW WITAILOR CAP-03-NY"/>
    <x v="1"/>
    <x v="1"/>
    <n v="1"/>
    <s v="14FW WITAILOR CAP-03-NY"/>
    <x v="0"/>
    <s v="동일모자14FW WITAILOR CAP-03-NY"/>
    <x v="3"/>
    <x v="0"/>
    <x v="0"/>
    <x v="0"/>
    <x v="1"/>
    <x v="1"/>
    <m/>
    <n v="27"/>
    <m/>
    <x v="1"/>
    <x v="1"/>
    <x v="0"/>
    <x v="25"/>
    <x v="0"/>
    <n v="1"/>
    <x v="1"/>
    <x v="2"/>
    <d v="2014-03-05T00:00:00"/>
    <d v="2014-03-21T00:00:00"/>
    <d v="2014-03-11T00:00:00"/>
    <n v="4.8499999999999996"/>
    <m/>
    <m/>
    <n v="5"/>
    <n v="3"/>
    <m/>
  </r>
  <r>
    <n v="1"/>
    <s v="14FW WITAILOR CAP-04-GY"/>
    <n v="1"/>
    <s v="동일모자14FW WITAILOR CAP-04-GY"/>
    <x v="1"/>
    <x v="1"/>
    <n v="1"/>
    <s v="14FW WITAILOR CAP-04-GY"/>
    <x v="0"/>
    <s v="동일모자14FW WITAILOR CAP-04-GY"/>
    <x v="5"/>
    <x v="0"/>
    <x v="0"/>
    <x v="0"/>
    <x v="1"/>
    <x v="1"/>
    <m/>
    <n v="28"/>
    <m/>
    <x v="1"/>
    <x v="1"/>
    <x v="0"/>
    <x v="26"/>
    <x v="0"/>
    <n v="1"/>
    <x v="1"/>
    <x v="2"/>
    <d v="2014-03-05T00:00:00"/>
    <d v="2014-03-21T00:00:00"/>
    <d v="2014-03-21T00:00:00"/>
    <n v="4.8499999999999996"/>
    <m/>
    <m/>
    <n v="5"/>
    <n v="3"/>
    <m/>
  </r>
  <r>
    <n v="1"/>
    <s v="14FW WITAILOR CAP-05-RE"/>
    <n v="1"/>
    <s v="FOREMOST14FW WITAILOR CAP-05-RE"/>
    <x v="1"/>
    <x v="1"/>
    <n v="1"/>
    <s v="14FW WITAILOR CAP-05-RE"/>
    <x v="0"/>
    <s v="FOREMOST14FW WITAILOR CAP-05-RE"/>
    <x v="9"/>
    <x v="0"/>
    <x v="0"/>
    <x v="0"/>
    <x v="1"/>
    <x v="1"/>
    <m/>
    <n v="29"/>
    <m/>
    <x v="1"/>
    <x v="1"/>
    <x v="0"/>
    <x v="27"/>
    <x v="0"/>
    <n v="1"/>
    <x v="4"/>
    <x v="2"/>
    <d v="2014-03-05T00:00:00"/>
    <d v="2014-03-31T00:00:00"/>
    <d v="2014-03-24T00:00:00"/>
    <m/>
    <m/>
    <m/>
    <n v="5"/>
    <n v="3"/>
    <m/>
  </r>
  <r>
    <n v="1"/>
    <s v="14FW WITAILOR CAP-06-BR"/>
    <n v="1"/>
    <s v="FOREMOST14FW WITAILOR CAP-06-BR"/>
    <x v="1"/>
    <x v="1"/>
    <n v="1"/>
    <s v="14FW WITAILOR CAP-06-BR"/>
    <x v="0"/>
    <s v="FOREMOST14FW WITAILOR CAP-06-BR"/>
    <x v="9"/>
    <x v="0"/>
    <x v="0"/>
    <x v="0"/>
    <x v="1"/>
    <x v="1"/>
    <m/>
    <n v="30"/>
    <m/>
    <x v="1"/>
    <x v="1"/>
    <x v="0"/>
    <x v="28"/>
    <x v="0"/>
    <n v="1"/>
    <x v="4"/>
    <x v="2"/>
    <d v="2014-03-05T00:00:00"/>
    <d v="2014-03-31T00:00:00"/>
    <d v="2014-03-24T00:00:00"/>
    <m/>
    <m/>
    <m/>
    <n v="5"/>
    <n v="2"/>
    <m/>
  </r>
  <r>
    <n v="1"/>
    <s v="14FW WITAILOR CAP-07-KH"/>
    <n v="1"/>
    <s v="동일모자14FW WITAILOR CAP-07-KH"/>
    <x v="1"/>
    <x v="1"/>
    <n v="1"/>
    <s v="14FW WITAILOR CAP-07-KH"/>
    <x v="0"/>
    <s v="동일모자14FW WITAILOR CAP-07-KH"/>
    <x v="3"/>
    <x v="0"/>
    <x v="0"/>
    <x v="0"/>
    <x v="1"/>
    <x v="1"/>
    <m/>
    <n v="31"/>
    <m/>
    <x v="1"/>
    <x v="2"/>
    <x v="0"/>
    <x v="29"/>
    <x v="0"/>
    <n v="1"/>
    <x v="1"/>
    <x v="2"/>
    <d v="2014-03-05T00:00:00"/>
    <d v="2014-03-21T00:00:00"/>
    <d v="2014-03-11T00:00:00"/>
    <n v="6.5"/>
    <m/>
    <m/>
    <n v="5"/>
    <n v="3"/>
    <m/>
  </r>
  <r>
    <n v="1"/>
    <s v="14FW WITAILOR CAP-08-BL"/>
    <n v="1"/>
    <s v="동일모자14FW WITAILOR CAP-08-BL"/>
    <x v="1"/>
    <x v="1"/>
    <n v="1"/>
    <s v="14FW WITAILOR CAP-08-BL"/>
    <x v="0"/>
    <s v="동일모자14FW WITAILOR CAP-08-BL"/>
    <x v="3"/>
    <x v="0"/>
    <x v="0"/>
    <x v="0"/>
    <x v="1"/>
    <x v="1"/>
    <m/>
    <n v="32"/>
    <m/>
    <x v="1"/>
    <x v="2"/>
    <x v="0"/>
    <x v="30"/>
    <x v="0"/>
    <n v="1"/>
    <x v="1"/>
    <x v="2"/>
    <d v="2014-03-05T00:00:00"/>
    <d v="2014-03-21T00:00:00"/>
    <d v="2014-03-11T00:00:00"/>
    <n v="6.35"/>
    <m/>
    <m/>
    <n v="5"/>
    <n v="2"/>
    <m/>
  </r>
  <r>
    <n v="0.5"/>
    <s v="14FW WITAILOR CAP-09-BK"/>
    <n v="1"/>
    <s v="동일모자14FW WITAILOR CAP-09-BK"/>
    <x v="1"/>
    <x v="1"/>
    <n v="0.5"/>
    <s v="14FW WITAILOR CAP-09-BK"/>
    <x v="0"/>
    <s v="동일모자14FW WITAILOR CAP-09-BK"/>
    <x v="3"/>
    <x v="0"/>
    <x v="0"/>
    <x v="0"/>
    <x v="1"/>
    <x v="1"/>
    <m/>
    <n v="33"/>
    <m/>
    <x v="1"/>
    <x v="2"/>
    <x v="0"/>
    <x v="31"/>
    <x v="0"/>
    <n v="0.5"/>
    <x v="1"/>
    <x v="2"/>
    <d v="2014-03-05T00:00:00"/>
    <d v="2014-03-21T00:00:00"/>
    <d v="2014-03-11T00:00:00"/>
    <n v="5.95"/>
    <m/>
    <m/>
    <n v="5"/>
    <n v="3"/>
    <m/>
  </r>
  <r>
    <n v="0.5"/>
    <s v="14FW WITAILOR CAP-10-KH"/>
    <n v="1"/>
    <s v="동일모자14FW WITAILOR CAP-10-KH"/>
    <x v="1"/>
    <x v="1"/>
    <n v="0.5"/>
    <s v="14FW WITAILOR CAP-10-KH"/>
    <x v="0"/>
    <s v="동일모자14FW WITAILOR CAP-10-KH"/>
    <x v="3"/>
    <x v="0"/>
    <x v="0"/>
    <x v="0"/>
    <x v="1"/>
    <x v="1"/>
    <m/>
    <n v="34"/>
    <m/>
    <x v="1"/>
    <x v="2"/>
    <x v="0"/>
    <x v="32"/>
    <x v="0"/>
    <n v="0.5"/>
    <x v="1"/>
    <x v="2"/>
    <d v="2014-03-05T00:00:00"/>
    <d v="2014-03-21T00:00:00"/>
    <d v="2014-03-11T00:00:00"/>
    <n v="5.7"/>
    <m/>
    <m/>
    <n v="6"/>
    <n v="4"/>
    <m/>
  </r>
  <r>
    <n v="0.5"/>
    <s v="14FW WITAILOR CAP-09-BK"/>
    <n v="1"/>
    <s v="FOREMOST14FW WITAILOR CAP-09-BK"/>
    <x v="1"/>
    <x v="1"/>
    <n v="0.5"/>
    <s v="14FW WITAILOR CAP-09-BK"/>
    <x v="0"/>
    <s v="FOREMOST14FW WITAILOR CAP-09-BK"/>
    <x v="5"/>
    <x v="0"/>
    <x v="0"/>
    <x v="0"/>
    <x v="1"/>
    <x v="1"/>
    <m/>
    <n v="35"/>
    <m/>
    <x v="1"/>
    <x v="2"/>
    <x v="0"/>
    <x v="31"/>
    <x v="0"/>
    <n v="0.5"/>
    <x v="4"/>
    <x v="2"/>
    <d v="2014-03-05T00:00:00"/>
    <d v="2014-03-31T00:00:00"/>
    <d v="2014-03-21T00:00:00"/>
    <m/>
    <m/>
    <m/>
    <n v="5"/>
    <n v="3"/>
    <m/>
  </r>
  <r>
    <n v="0.5"/>
    <s v="14FW WITAILOR CAP-10-KH"/>
    <n v="1"/>
    <s v="FOREMOST14FW WITAILOR CAP-10-KH"/>
    <x v="1"/>
    <x v="1"/>
    <n v="0.5"/>
    <s v="14FW WITAILOR CAP-10-KH"/>
    <x v="0"/>
    <s v="FOREMOST14FW WITAILOR CAP-10-KH"/>
    <x v="9"/>
    <x v="0"/>
    <x v="0"/>
    <x v="0"/>
    <x v="1"/>
    <x v="1"/>
    <m/>
    <n v="36"/>
    <m/>
    <x v="1"/>
    <x v="2"/>
    <x v="0"/>
    <x v="32"/>
    <x v="0"/>
    <n v="0.5"/>
    <x v="4"/>
    <x v="2"/>
    <d v="2014-03-05T00:00:00"/>
    <d v="2014-03-31T00:00:00"/>
    <d v="2014-03-24T00:00:00"/>
    <m/>
    <m/>
    <m/>
    <n v="6"/>
    <n v="4"/>
    <m/>
  </r>
  <r>
    <n v="1"/>
    <s v="14FW WITAILOR CAP-11-GY"/>
    <n v="1"/>
    <s v="동일모자14FW WITAILOR CAP-11-GY"/>
    <x v="1"/>
    <x v="1"/>
    <n v="1"/>
    <s v="14FW WITAILOR CAP-11-GY"/>
    <x v="0"/>
    <s v="동일모자14FW WITAILOR CAP-11-GY"/>
    <x v="3"/>
    <x v="0"/>
    <x v="0"/>
    <x v="0"/>
    <x v="1"/>
    <x v="1"/>
    <m/>
    <n v="37"/>
    <m/>
    <x v="1"/>
    <x v="2"/>
    <x v="0"/>
    <x v="33"/>
    <x v="0"/>
    <n v="1"/>
    <x v="1"/>
    <x v="2"/>
    <d v="2014-03-05T00:00:00"/>
    <d v="2014-03-21T00:00:00"/>
    <d v="2014-03-11T00:00:00"/>
    <n v="6.55"/>
    <m/>
    <m/>
    <n v="5"/>
    <n v="3"/>
    <m/>
  </r>
  <r>
    <n v="1"/>
    <s v="14SS JAYPARK_01_BK"/>
    <n v="1"/>
    <s v="캡보이14SS JAYPARK_01_BK"/>
    <x v="1"/>
    <x v="1"/>
    <n v="1"/>
    <s v="14SS JAYPARK_01_BK"/>
    <x v="0"/>
    <s v="캡보이14SS JAYPARK_01_BK"/>
    <x v="11"/>
    <x v="1"/>
    <x v="4"/>
    <x v="1"/>
    <x v="2"/>
    <x v="2"/>
    <m/>
    <n v="38"/>
    <m/>
    <x v="2"/>
    <x v="0"/>
    <x v="0"/>
    <x v="34"/>
    <x v="0"/>
    <n v="1"/>
    <x v="5"/>
    <x v="3"/>
    <d v="2014-02-24T00:00:00"/>
    <d v="2014-02-10T00:00:00"/>
    <d v="2014-02-10T00:00:00"/>
    <m/>
    <m/>
    <m/>
    <n v="2"/>
    <m/>
    <m/>
  </r>
  <r>
    <n v="1"/>
    <s v="14SS JAYPARK_02_WH"/>
    <n v="1"/>
    <s v="캡보이14SS JAYPARK_02_WH"/>
    <x v="1"/>
    <x v="1"/>
    <n v="1"/>
    <s v="14SS JAYPARK_02_WH"/>
    <x v="0"/>
    <s v="캡보이14SS JAYPARK_02_WH"/>
    <x v="11"/>
    <x v="1"/>
    <x v="4"/>
    <x v="1"/>
    <x v="2"/>
    <x v="2"/>
    <m/>
    <n v="39"/>
    <m/>
    <x v="2"/>
    <x v="0"/>
    <x v="0"/>
    <x v="35"/>
    <x v="0"/>
    <n v="1"/>
    <x v="5"/>
    <x v="3"/>
    <d v="2014-02-24T00:00:00"/>
    <d v="2014-02-10T00:00:00"/>
    <d v="2014-02-10T00:00:00"/>
    <m/>
    <m/>
    <m/>
    <n v="2"/>
    <m/>
    <m/>
  </r>
  <r>
    <n v="1"/>
    <s v="14SS JAYPARK_03_GY"/>
    <n v="1"/>
    <s v="캡보이14SS JAYPARK_03_GY"/>
    <x v="1"/>
    <x v="1"/>
    <n v="1"/>
    <s v="14SS JAYPARK_03_GY"/>
    <x v="0"/>
    <s v="캡보이14SS JAYPARK_03_GY"/>
    <x v="11"/>
    <x v="1"/>
    <x v="4"/>
    <x v="1"/>
    <x v="2"/>
    <x v="2"/>
    <m/>
    <n v="40"/>
    <m/>
    <x v="2"/>
    <x v="0"/>
    <x v="0"/>
    <x v="36"/>
    <x v="0"/>
    <n v="1"/>
    <x v="5"/>
    <x v="3"/>
    <d v="2014-02-24T00:00:00"/>
    <d v="2014-02-10T00:00:00"/>
    <d v="2014-02-10T00:00:00"/>
    <m/>
    <m/>
    <m/>
    <n v="2"/>
    <m/>
    <m/>
  </r>
  <r>
    <n v="1"/>
    <s v="14SS JAYPARK_04_BK"/>
    <n v="1"/>
    <s v="캡보이14SS JAYPARK_04_BK"/>
    <x v="1"/>
    <x v="1"/>
    <n v="1"/>
    <s v="14SS JAYPARK_04_BK"/>
    <x v="0"/>
    <s v="캡보이14SS JAYPARK_04_BK"/>
    <x v="11"/>
    <x v="1"/>
    <x v="4"/>
    <x v="1"/>
    <x v="2"/>
    <x v="2"/>
    <m/>
    <n v="41"/>
    <m/>
    <x v="2"/>
    <x v="0"/>
    <x v="0"/>
    <x v="37"/>
    <x v="0"/>
    <n v="1"/>
    <x v="5"/>
    <x v="3"/>
    <d v="2014-02-24T00:00:00"/>
    <d v="2014-02-10T00:00:00"/>
    <d v="2014-02-10T00:00:00"/>
    <m/>
    <m/>
    <m/>
    <n v="2"/>
    <m/>
    <m/>
  </r>
  <r>
    <n v="1"/>
    <s v="14SS JAYPARK_05_RD"/>
    <n v="1"/>
    <s v="캡보이14SS JAYPARK_05_RD"/>
    <x v="1"/>
    <x v="1"/>
    <n v="1"/>
    <s v="14SS JAYPARK_05_RD"/>
    <x v="0"/>
    <s v="캡보이14SS JAYPARK_05_RD"/>
    <x v="11"/>
    <x v="1"/>
    <x v="4"/>
    <x v="1"/>
    <x v="2"/>
    <x v="2"/>
    <m/>
    <n v="42"/>
    <m/>
    <x v="2"/>
    <x v="0"/>
    <x v="0"/>
    <x v="38"/>
    <x v="0"/>
    <n v="1"/>
    <x v="5"/>
    <x v="3"/>
    <d v="2014-02-24T00:00:00"/>
    <d v="2014-02-10T00:00:00"/>
    <d v="2014-02-10T00:00:00"/>
    <m/>
    <m/>
    <m/>
    <n v="2"/>
    <m/>
    <m/>
  </r>
  <r>
    <n v="1"/>
    <s v="14SS KONGHYOJIN_01_RD"/>
    <n v="1"/>
    <s v="캡보이14SS KONGHYOJIN_01_RD"/>
    <x v="1"/>
    <x v="2"/>
    <n v="1"/>
    <s v="14SS KONGHYOJIN_01_RD"/>
    <x v="0"/>
    <s v="캡보이14SS KONGHYOJIN_01_RD"/>
    <x v="12"/>
    <x v="0"/>
    <x v="1"/>
    <x v="1"/>
    <x v="3"/>
    <x v="3"/>
    <m/>
    <n v="43"/>
    <m/>
    <x v="3"/>
    <x v="0"/>
    <x v="0"/>
    <x v="39"/>
    <x v="0"/>
    <n v="1"/>
    <x v="5"/>
    <x v="4"/>
    <d v="2014-03-11T00:00:00"/>
    <d v="2014-03-11T00:00:00"/>
    <d v="2014-03-05T00:00:00"/>
    <m/>
    <m/>
    <m/>
    <n v="2"/>
    <m/>
    <m/>
  </r>
  <r>
    <n v="1"/>
    <s v="14SS KONGHYOJIN_02_BL"/>
    <n v="1"/>
    <s v="캡보이14SS KONGHYOJIN_02_BL"/>
    <x v="1"/>
    <x v="2"/>
    <n v="1"/>
    <s v="14SS KONGHYOJIN_02_BL"/>
    <x v="0"/>
    <s v="캡보이14SS KONGHYOJIN_02_BL"/>
    <x v="12"/>
    <x v="0"/>
    <x v="1"/>
    <x v="1"/>
    <x v="3"/>
    <x v="3"/>
    <m/>
    <n v="44"/>
    <m/>
    <x v="3"/>
    <x v="0"/>
    <x v="0"/>
    <x v="40"/>
    <x v="0"/>
    <n v="1"/>
    <x v="5"/>
    <x v="4"/>
    <d v="2014-03-11T00:00:00"/>
    <d v="2014-03-11T00:00:00"/>
    <d v="2014-03-05T00:00:00"/>
    <m/>
    <m/>
    <m/>
    <n v="1"/>
    <m/>
    <m/>
  </r>
  <r>
    <n v="1"/>
    <s v="14SS KONGHYOJIN_03_BK"/>
    <n v="1"/>
    <s v="캡보이14SS KONGHYOJIN_03_BK"/>
    <x v="1"/>
    <x v="2"/>
    <n v="1"/>
    <s v="14SS KONGHYOJIN_03_BK"/>
    <x v="0"/>
    <s v="캡보이14SS KONGHYOJIN_03_BK"/>
    <x v="13"/>
    <x v="0"/>
    <x v="1"/>
    <x v="1"/>
    <x v="3"/>
    <x v="3"/>
    <m/>
    <n v="45"/>
    <m/>
    <x v="3"/>
    <x v="0"/>
    <x v="0"/>
    <x v="41"/>
    <x v="0"/>
    <n v="1"/>
    <x v="5"/>
    <x v="4"/>
    <d v="2014-03-11T00:00:00"/>
    <d v="2014-03-11T00:00:00"/>
    <d v="2014-03-07T00:00:00"/>
    <m/>
    <m/>
    <m/>
    <n v="2"/>
    <m/>
    <m/>
  </r>
  <r>
    <n v="1"/>
    <s v="14SS KONGHYOJIN_04_BK"/>
    <n v="1"/>
    <s v="캡보이14SS KONGHYOJIN_04_BK"/>
    <x v="1"/>
    <x v="2"/>
    <n v="1"/>
    <s v="14SS KONGHYOJIN_04_BK"/>
    <x v="0"/>
    <s v="캡보이14SS KONGHYOJIN_04_BK"/>
    <x v="13"/>
    <x v="0"/>
    <x v="1"/>
    <x v="1"/>
    <x v="3"/>
    <x v="3"/>
    <m/>
    <n v="46"/>
    <m/>
    <x v="3"/>
    <x v="0"/>
    <x v="0"/>
    <x v="42"/>
    <x v="0"/>
    <n v="1"/>
    <x v="5"/>
    <x v="4"/>
    <d v="2014-03-11T00:00:00"/>
    <d v="2014-03-11T00:00:00"/>
    <d v="2014-03-07T00:00:00"/>
    <m/>
    <m/>
    <m/>
    <n v="2"/>
    <m/>
    <m/>
  </r>
  <r>
    <n v="1"/>
    <s v="14SS KONGHYOJIN_05_BK"/>
    <n v="1"/>
    <s v="캡보이14SS KONGHYOJIN_05_BK"/>
    <x v="1"/>
    <x v="2"/>
    <n v="1"/>
    <s v="14SS KONGHYOJIN_05_BK"/>
    <x v="0"/>
    <s v="캡보이14SS KONGHYOJIN_05_BK"/>
    <x v="13"/>
    <x v="0"/>
    <x v="1"/>
    <x v="1"/>
    <x v="3"/>
    <x v="3"/>
    <m/>
    <n v="47"/>
    <m/>
    <x v="3"/>
    <x v="0"/>
    <x v="0"/>
    <x v="43"/>
    <x v="0"/>
    <n v="1"/>
    <x v="5"/>
    <x v="4"/>
    <d v="2014-03-11T00:00:00"/>
    <d v="2014-03-11T00:00:00"/>
    <d v="2014-03-07T00:00:00"/>
    <m/>
    <m/>
    <m/>
    <n v="1"/>
    <m/>
    <m/>
  </r>
  <r>
    <n v="1"/>
    <s v="14SS KONGHYOJIN_06_WH"/>
    <n v="1"/>
    <s v="캡보이14SS KONGHYOJIN_06_WH"/>
    <x v="1"/>
    <x v="2"/>
    <n v="1"/>
    <s v="14SS KONGHYOJIN_06_WH"/>
    <x v="0"/>
    <s v="캡보이14SS KONGHYOJIN_06_WH"/>
    <x v="13"/>
    <x v="0"/>
    <x v="1"/>
    <x v="1"/>
    <x v="3"/>
    <x v="3"/>
    <m/>
    <n v="48"/>
    <m/>
    <x v="3"/>
    <x v="0"/>
    <x v="0"/>
    <x v="44"/>
    <x v="0"/>
    <n v="1"/>
    <x v="5"/>
    <x v="4"/>
    <d v="2014-03-11T00:00:00"/>
    <d v="2014-03-11T00:00:00"/>
    <d v="2014-03-07T00:00:00"/>
    <m/>
    <m/>
    <m/>
    <n v="2"/>
    <m/>
    <m/>
  </r>
  <r>
    <n v="1"/>
    <s v="14FW SMB_10_CURVED_OR_N"/>
    <n v="1"/>
    <s v="동일모자14FW SMB_10_CURVED_OR_N"/>
    <x v="2"/>
    <x v="3"/>
    <n v="1"/>
    <s v="14FW SMB_10_CURVED_OR_N"/>
    <x v="0"/>
    <s v="동일모자14FW SMB_10_CURVED_OR_N"/>
    <x v="14"/>
    <x v="3"/>
    <x v="0"/>
    <x v="0"/>
    <x v="0"/>
    <x v="0"/>
    <m/>
    <n v="49"/>
    <m/>
    <x v="0"/>
    <x v="2"/>
    <x v="0"/>
    <x v="45"/>
    <x v="0"/>
    <n v="1"/>
    <x v="1"/>
    <x v="5"/>
    <d v="2014-04-02T00:00:00"/>
    <d v="2014-04-10T00:00:00"/>
    <d v="2014-04-04T00:00:00"/>
    <m/>
    <m/>
    <m/>
    <m/>
    <m/>
    <m/>
  </r>
  <r>
    <n v="1"/>
    <s v="14FW SMB_11_CURVED_PK_F"/>
    <n v="1"/>
    <s v="동일모자14FW SMB_11_CURVED_PK_F"/>
    <x v="2"/>
    <x v="3"/>
    <n v="1"/>
    <s v="14FW SMB_11_CURVED_PK_F"/>
    <x v="0"/>
    <s v="동일모자14FW SMB_11_CURVED_PK_F"/>
    <x v="14"/>
    <x v="3"/>
    <x v="0"/>
    <x v="0"/>
    <x v="0"/>
    <x v="0"/>
    <m/>
    <n v="50"/>
    <m/>
    <x v="0"/>
    <x v="2"/>
    <x v="0"/>
    <x v="46"/>
    <x v="0"/>
    <n v="1"/>
    <x v="1"/>
    <x v="5"/>
    <d v="2014-04-02T00:00:00"/>
    <d v="2014-04-10T00:00:00"/>
    <d v="2014-04-04T00:00:00"/>
    <m/>
    <m/>
    <m/>
    <m/>
    <m/>
    <m/>
  </r>
  <r>
    <n v="1"/>
    <s v="14FW SMB_12_CURVED_NV_N"/>
    <n v="1"/>
    <s v="동일모자14FW SMB_12_CURVED_NV_N"/>
    <x v="2"/>
    <x v="3"/>
    <n v="1"/>
    <s v="14FW SMB_12_CURVED_NV_N"/>
    <x v="0"/>
    <s v="동일모자14FW SMB_12_CURVED_NV_N"/>
    <x v="14"/>
    <x v="3"/>
    <x v="0"/>
    <x v="0"/>
    <x v="0"/>
    <x v="0"/>
    <m/>
    <n v="51"/>
    <m/>
    <x v="0"/>
    <x v="2"/>
    <x v="0"/>
    <x v="47"/>
    <x v="0"/>
    <n v="1"/>
    <x v="1"/>
    <x v="5"/>
    <d v="2014-04-02T00:00:00"/>
    <d v="2014-04-10T00:00:00"/>
    <d v="2014-04-04T00:00:00"/>
    <m/>
    <m/>
    <m/>
    <m/>
    <m/>
    <m/>
  </r>
  <r>
    <n v="1"/>
    <s v="14FW SMB_13_CURVED_BK_F"/>
    <n v="1"/>
    <s v="동일모자14FW SMB_13_CURVED_BK_F"/>
    <x v="2"/>
    <x v="3"/>
    <n v="1"/>
    <s v="14FW SMB_13_CURVED_BK_F"/>
    <x v="0"/>
    <s v="동일모자14FW SMB_13_CURVED_BK_F"/>
    <x v="15"/>
    <x v="3"/>
    <x v="0"/>
    <x v="0"/>
    <x v="0"/>
    <x v="0"/>
    <m/>
    <n v="52"/>
    <m/>
    <x v="0"/>
    <x v="2"/>
    <x v="0"/>
    <x v="48"/>
    <x v="0"/>
    <n v="1"/>
    <x v="1"/>
    <x v="5"/>
    <d v="2014-04-02T00:00:00"/>
    <d v="2014-04-07T00:00:00"/>
    <d v="2014-04-07T00:00:00"/>
    <m/>
    <m/>
    <m/>
    <m/>
    <m/>
    <m/>
  </r>
  <r>
    <n v="1"/>
    <s v="14FW SMB_10_FLAT_OR_F"/>
    <n v="1"/>
    <s v="성진14FW SMB_10_FLAT_OR_F"/>
    <x v="2"/>
    <x v="3"/>
    <n v="1"/>
    <s v="14FW SMB_10_FLAT_OR_F"/>
    <x v="0"/>
    <s v="성진14FW SMB_10_FLAT_OR_F"/>
    <x v="16"/>
    <x v="4"/>
    <x v="3"/>
    <x v="0"/>
    <x v="0"/>
    <x v="0"/>
    <m/>
    <n v="53"/>
    <m/>
    <x v="0"/>
    <x v="0"/>
    <x v="0"/>
    <x v="49"/>
    <x v="0"/>
    <n v="1"/>
    <x v="3"/>
    <x v="5"/>
    <d v="2014-04-02T00:00:00"/>
    <d v="2014-04-10T00:00:00"/>
    <d v="1899-12-30T13:42:51"/>
    <n v="5.95"/>
    <m/>
    <m/>
    <m/>
    <m/>
    <m/>
  </r>
  <r>
    <n v="1"/>
    <s v="14FW SMB_11_FLAT_BK_F"/>
    <n v="1"/>
    <s v="성진14FW SMB_11_FLAT_BK_F"/>
    <x v="2"/>
    <x v="3"/>
    <n v="1"/>
    <s v="14FW SMB_11_FLAT_BK_F"/>
    <x v="0"/>
    <s v="성진14FW SMB_11_FLAT_BK_F"/>
    <x v="16"/>
    <x v="4"/>
    <x v="3"/>
    <x v="0"/>
    <x v="0"/>
    <x v="0"/>
    <m/>
    <n v="54"/>
    <m/>
    <x v="0"/>
    <x v="0"/>
    <x v="0"/>
    <x v="50"/>
    <x v="0"/>
    <n v="1"/>
    <x v="3"/>
    <x v="5"/>
    <d v="2014-04-02T00:00:00"/>
    <d v="2014-04-10T00:00:00"/>
    <d v="1899-12-30T13:42:51"/>
    <n v="5.45"/>
    <m/>
    <m/>
    <m/>
    <m/>
    <m/>
  </r>
  <r>
    <n v="1"/>
    <s v="14FW SMB_12_FLAT_PP_N"/>
    <n v="1"/>
    <s v="성진14FW SMB_12_FLAT_PP_N"/>
    <x v="2"/>
    <x v="3"/>
    <n v="1"/>
    <s v="14FW SMB_12_FLAT_PP_N"/>
    <x v="0"/>
    <s v="성진14FW SMB_12_FLAT_PP_N"/>
    <x v="17"/>
    <x v="3"/>
    <x v="0"/>
    <x v="0"/>
    <x v="0"/>
    <x v="0"/>
    <m/>
    <n v="55"/>
    <m/>
    <x v="0"/>
    <x v="2"/>
    <x v="0"/>
    <x v="51"/>
    <x v="0"/>
    <n v="1"/>
    <x v="3"/>
    <x v="5"/>
    <d v="2014-04-02T00:00:00"/>
    <d v="2014-04-10T00:00:00"/>
    <d v="2014-04-16T00:00:00"/>
    <n v="7"/>
    <m/>
    <m/>
    <m/>
    <m/>
    <m/>
  </r>
  <r>
    <n v="1"/>
    <s v="14FW SMB_16_FLAT_GR_N_KIDS"/>
    <n v="1"/>
    <s v="성진14FW SMB_16_FLAT_GR_N_KIDS"/>
    <x v="2"/>
    <x v="3"/>
    <n v="1"/>
    <s v="14FW SMB_16_FLAT_GR_N_KIDS"/>
    <x v="0"/>
    <s v="성진14FW SMB_16_FLAT_GR_N_KIDS"/>
    <x v="18"/>
    <x v="5"/>
    <x v="0"/>
    <x v="0"/>
    <x v="0"/>
    <x v="0"/>
    <m/>
    <n v="56"/>
    <m/>
    <x v="0"/>
    <x v="2"/>
    <x v="0"/>
    <x v="52"/>
    <x v="1"/>
    <n v="1"/>
    <x v="3"/>
    <x v="5"/>
    <d v="2014-04-02T00:00:00"/>
    <d v="2014-05-07T00:00:00"/>
    <d v="2014-05-07T00:00:00"/>
    <n v="7.3"/>
    <m/>
    <m/>
    <m/>
    <m/>
    <m/>
  </r>
  <r>
    <n v="1"/>
    <s v="14FW SMB_17_FLAT_PK_F_KIDS"/>
    <n v="1"/>
    <s v="성진14FW SMB_17_FLAT_PK_F_KIDS"/>
    <x v="2"/>
    <x v="3"/>
    <n v="1"/>
    <s v="14FW SMB_17_FLAT_PK_F_KIDS"/>
    <x v="0"/>
    <s v="성진14FW SMB_17_FLAT_PK_F_KIDS"/>
    <x v="17"/>
    <x v="3"/>
    <x v="0"/>
    <x v="0"/>
    <x v="0"/>
    <x v="0"/>
    <m/>
    <n v="57"/>
    <m/>
    <x v="0"/>
    <x v="2"/>
    <x v="0"/>
    <x v="53"/>
    <x v="1"/>
    <n v="1"/>
    <x v="3"/>
    <x v="5"/>
    <d v="2014-04-02T00:00:00"/>
    <d v="2014-04-10T00:00:00"/>
    <d v="2014-04-16T00:00:00"/>
    <n v="7.8"/>
    <m/>
    <m/>
    <m/>
    <m/>
    <m/>
  </r>
  <r>
    <n v="1"/>
    <s v="14FW SMB_18_FLAT_NY_F_KIDS"/>
    <n v="1"/>
    <s v="성진14FW SMB_18_FLAT_NY_F_KIDS"/>
    <x v="2"/>
    <x v="3"/>
    <n v="1"/>
    <s v="14FW SMB_18_FLAT_NY_F_KIDS"/>
    <x v="0"/>
    <s v="성진14FW SMB_18_FLAT_NY_F_KIDS"/>
    <x v="15"/>
    <x v="3"/>
    <x v="0"/>
    <x v="0"/>
    <x v="0"/>
    <x v="0"/>
    <m/>
    <n v="58"/>
    <m/>
    <x v="0"/>
    <x v="0"/>
    <x v="0"/>
    <x v="54"/>
    <x v="1"/>
    <n v="1"/>
    <x v="3"/>
    <x v="5"/>
    <d v="2014-04-02T00:00:00"/>
    <d v="2014-04-10T00:00:00"/>
    <d v="2014-04-07T00:00:00"/>
    <n v="6.3"/>
    <m/>
    <m/>
    <m/>
    <m/>
    <m/>
  </r>
  <r>
    <n v="1"/>
    <s v="14FW SMB_29_FLAT_GY_N"/>
    <n v="1"/>
    <s v="성진14FW SMB_29_FLAT_GY_N"/>
    <x v="2"/>
    <x v="3"/>
    <n v="1"/>
    <s v="14FW SMB_29_FLAT_GY_N"/>
    <x v="0"/>
    <s v="성진14FW SMB_29_FLAT_GY_N"/>
    <x v="17"/>
    <x v="3"/>
    <x v="0"/>
    <x v="0"/>
    <x v="0"/>
    <x v="0"/>
    <m/>
    <n v="59"/>
    <m/>
    <x v="0"/>
    <x v="2"/>
    <x v="0"/>
    <x v="55"/>
    <x v="0"/>
    <n v="1"/>
    <x v="3"/>
    <x v="5"/>
    <d v="2014-04-02T00:00:00"/>
    <d v="2014-04-10T00:00:00"/>
    <d v="2014-04-16T00:00:00"/>
    <n v="6.7"/>
    <m/>
    <m/>
    <m/>
    <m/>
    <m/>
  </r>
  <r>
    <n v="1"/>
    <s v="14FW SMB_30_FLAT_D.GY_N"/>
    <n v="1"/>
    <s v="성진14FW SMB_30_FLAT_D.GY_N"/>
    <x v="2"/>
    <x v="3"/>
    <n v="1"/>
    <s v="14FW SMB_30_FLAT_D.GY_N"/>
    <x v="0"/>
    <s v="성진14FW SMB_30_FLAT_D.GY_N"/>
    <x v="17"/>
    <x v="3"/>
    <x v="0"/>
    <x v="0"/>
    <x v="0"/>
    <x v="0"/>
    <m/>
    <n v="60"/>
    <m/>
    <x v="0"/>
    <x v="2"/>
    <x v="0"/>
    <x v="56"/>
    <x v="0"/>
    <n v="1"/>
    <x v="3"/>
    <x v="5"/>
    <d v="2014-04-02T00:00:00"/>
    <d v="2014-04-10T00:00:00"/>
    <d v="2014-04-16T00:00:00"/>
    <n v="7.8"/>
    <m/>
    <m/>
    <m/>
    <m/>
    <m/>
  </r>
  <r>
    <n v="1"/>
    <s v="14FW SMB_31_FLAT_NY_F_KIDS"/>
    <n v="1"/>
    <s v="성진14FW SMB_31_FLAT_NY_F_KIDS"/>
    <x v="2"/>
    <x v="3"/>
    <n v="1"/>
    <s v="14FW SMB_31_FLAT_NY_F_KIDS"/>
    <x v="0"/>
    <s v="성진14FW SMB_31_FLAT_NY_F_KIDS"/>
    <x v="15"/>
    <x v="3"/>
    <x v="0"/>
    <x v="0"/>
    <x v="0"/>
    <x v="0"/>
    <m/>
    <n v="61"/>
    <m/>
    <x v="0"/>
    <x v="0"/>
    <x v="0"/>
    <x v="57"/>
    <x v="1"/>
    <n v="1"/>
    <x v="3"/>
    <x v="5"/>
    <d v="2014-04-02T00:00:00"/>
    <d v="2014-04-10T00:00:00"/>
    <d v="2014-04-07T00:00:00"/>
    <n v="6.6"/>
    <m/>
    <m/>
    <m/>
    <m/>
    <m/>
  </r>
  <r>
    <n v="1"/>
    <s v="14FW SMB_07_FLAT_BK_N"/>
    <n v="1"/>
    <s v="QF14FW SMB_07_FLAT_BK_N"/>
    <x v="2"/>
    <x v="3"/>
    <n v="1"/>
    <s v="14FW SMB_07_FLAT_BK_N"/>
    <x v="0"/>
    <s v="QF14FW SMB_07_FLAT_BK_N"/>
    <x v="19"/>
    <x v="3"/>
    <x v="0"/>
    <x v="0"/>
    <x v="0"/>
    <x v="0"/>
    <m/>
    <n v="62"/>
    <m/>
    <x v="0"/>
    <x v="0"/>
    <x v="0"/>
    <x v="58"/>
    <x v="0"/>
    <n v="1"/>
    <x v="0"/>
    <x v="5"/>
    <d v="2014-04-02T00:00:00"/>
    <d v="2014-04-05T00:00:00"/>
    <d v="2014-04-09T00:00:00"/>
    <n v="2.9"/>
    <m/>
    <m/>
    <m/>
    <m/>
    <m/>
  </r>
  <r>
    <n v="1"/>
    <s v="14FW SMB_08_FLAT_BK_N"/>
    <n v="1"/>
    <s v="QF14FW SMB_08_FLAT_BK_N"/>
    <x v="2"/>
    <x v="3"/>
    <n v="1"/>
    <s v="14FW SMB_08_FLAT_BK_N"/>
    <x v="0"/>
    <s v="QF14FW SMB_08_FLAT_BK_N"/>
    <x v="19"/>
    <x v="3"/>
    <x v="0"/>
    <x v="0"/>
    <x v="0"/>
    <x v="0"/>
    <m/>
    <n v="63"/>
    <m/>
    <x v="0"/>
    <x v="0"/>
    <x v="0"/>
    <x v="59"/>
    <x v="0"/>
    <n v="1"/>
    <x v="0"/>
    <x v="5"/>
    <d v="2014-04-02T00:00:00"/>
    <d v="2014-04-05T00:00:00"/>
    <d v="2014-04-09T00:00:00"/>
    <n v="2.7"/>
    <m/>
    <m/>
    <m/>
    <m/>
    <s v="客供主料"/>
  </r>
  <r>
    <n v="1"/>
    <s v="14FW SMB_09_FLAT_RE_N"/>
    <n v="1"/>
    <s v="QF14FW SMB_09_FLAT_RE_N"/>
    <x v="2"/>
    <x v="3"/>
    <n v="1"/>
    <s v="14FW SMB_09_FLAT_RE_N"/>
    <x v="0"/>
    <s v="QF14FW SMB_09_FLAT_RE_N"/>
    <x v="20"/>
    <x v="3"/>
    <x v="0"/>
    <x v="0"/>
    <x v="0"/>
    <x v="0"/>
    <m/>
    <n v="64"/>
    <m/>
    <x v="0"/>
    <x v="0"/>
    <x v="0"/>
    <x v="60"/>
    <x v="0"/>
    <n v="1"/>
    <x v="0"/>
    <x v="5"/>
    <d v="2014-04-02T00:00:00"/>
    <d v="2014-04-05T00:00:00"/>
    <d v="2014-04-14T00:00:00"/>
    <n v="3.7"/>
    <m/>
    <m/>
    <m/>
    <m/>
    <m/>
  </r>
  <r>
    <n v="1"/>
    <s v="14FW SMB_14_FLAT_BK_N"/>
    <n v="1"/>
    <s v="QF14FW SMB_14_FLAT_BK_N"/>
    <x v="2"/>
    <x v="3"/>
    <n v="1"/>
    <s v="14FW SMB_14_FLAT_BK_N"/>
    <x v="0"/>
    <s v="QF14FW SMB_14_FLAT_BK_N"/>
    <x v="19"/>
    <x v="3"/>
    <x v="0"/>
    <x v="0"/>
    <x v="0"/>
    <x v="0"/>
    <m/>
    <n v="65"/>
    <m/>
    <x v="0"/>
    <x v="2"/>
    <x v="0"/>
    <x v="61"/>
    <x v="0"/>
    <n v="1"/>
    <x v="0"/>
    <x v="5"/>
    <d v="2014-04-02T00:00:00"/>
    <d v="2014-04-05T00:00:00"/>
    <d v="2014-04-09T00:00:00"/>
    <n v="3.7"/>
    <m/>
    <m/>
    <m/>
    <m/>
    <s v="客供主料"/>
  </r>
  <r>
    <n v="0.5"/>
    <s v="14FW SMB_19_FLAT_BK_N"/>
    <n v="1"/>
    <s v="QF14FW SMB_19_FLAT_BK_N"/>
    <x v="2"/>
    <x v="3"/>
    <n v="0.5"/>
    <s v="14FW SMB_19_FLAT_BK_N"/>
    <x v="0"/>
    <s v="QF14FW SMB_19_FLAT_BK_N"/>
    <x v="19"/>
    <x v="3"/>
    <x v="0"/>
    <x v="0"/>
    <x v="0"/>
    <x v="0"/>
    <m/>
    <n v="66"/>
    <m/>
    <x v="0"/>
    <x v="0"/>
    <x v="0"/>
    <x v="62"/>
    <x v="0"/>
    <n v="0.5"/>
    <x v="0"/>
    <x v="5"/>
    <d v="2014-04-02T00:00:00"/>
    <d v="2014-04-05T00:00:00"/>
    <d v="2014-04-09T00:00:00"/>
    <n v="3"/>
    <m/>
    <m/>
    <m/>
    <m/>
    <s v="帽眉料客供"/>
  </r>
  <r>
    <n v="1"/>
    <s v="14FW SMB_21_FLAT_NV_N"/>
    <n v="1"/>
    <s v="QF14FW SMB_21_FLAT_NV_N"/>
    <x v="2"/>
    <x v="3"/>
    <n v="1"/>
    <s v="14FW SMB_21_FLAT_NV_N"/>
    <x v="0"/>
    <s v="QF14FW SMB_21_FLAT_NV_N"/>
    <x v="19"/>
    <x v="3"/>
    <x v="0"/>
    <x v="0"/>
    <x v="0"/>
    <x v="0"/>
    <m/>
    <n v="67"/>
    <m/>
    <x v="0"/>
    <x v="0"/>
    <x v="0"/>
    <x v="63"/>
    <x v="0"/>
    <n v="1"/>
    <x v="0"/>
    <x v="5"/>
    <d v="2014-04-02T00:00:00"/>
    <d v="2014-04-05T00:00:00"/>
    <d v="2014-04-09T00:00:00"/>
    <n v="3.5"/>
    <m/>
    <m/>
    <m/>
    <m/>
    <m/>
  </r>
  <r>
    <n v="1"/>
    <s v="14FW SMB_22_FLAT_RD_N"/>
    <n v="1"/>
    <s v="QF14FW SMB_22_FLAT_RD_N"/>
    <x v="2"/>
    <x v="3"/>
    <n v="1"/>
    <s v="14FW SMB_22_FLAT_RD_N"/>
    <x v="0"/>
    <s v="QF14FW SMB_22_FLAT_RD_N"/>
    <x v="19"/>
    <x v="3"/>
    <x v="0"/>
    <x v="0"/>
    <x v="0"/>
    <x v="0"/>
    <m/>
    <n v="68"/>
    <m/>
    <x v="0"/>
    <x v="0"/>
    <x v="0"/>
    <x v="64"/>
    <x v="0"/>
    <n v="1"/>
    <x v="0"/>
    <x v="5"/>
    <d v="2014-04-02T00:00:00"/>
    <d v="2014-04-05T00:00:00"/>
    <d v="2014-04-09T00:00:00"/>
    <n v="3.5"/>
    <m/>
    <m/>
    <m/>
    <m/>
    <m/>
  </r>
  <r>
    <n v="1"/>
    <s v="14FW SMB_23_FLAT_NV_N"/>
    <n v="1"/>
    <s v="QF14FW SMB_23_FLAT_NV_N"/>
    <x v="2"/>
    <x v="3"/>
    <n v="1"/>
    <s v="14FW SMB_23_FLAT_NV_N"/>
    <x v="0"/>
    <s v="QF14FW SMB_23_FLAT_NV_N"/>
    <x v="20"/>
    <x v="3"/>
    <x v="0"/>
    <x v="0"/>
    <x v="0"/>
    <x v="0"/>
    <m/>
    <n v="69"/>
    <m/>
    <x v="0"/>
    <x v="0"/>
    <x v="0"/>
    <x v="65"/>
    <x v="0"/>
    <n v="1"/>
    <x v="0"/>
    <x v="5"/>
    <d v="2014-04-02T00:00:00"/>
    <d v="2014-04-05T00:00:00"/>
    <d v="2014-04-14T00:00:00"/>
    <n v="3.3"/>
    <m/>
    <m/>
    <m/>
    <m/>
    <s v="前页+帽眉料客供"/>
  </r>
  <r>
    <n v="1"/>
    <s v="14FW SMB_24_FLAT_BK_N"/>
    <n v="1"/>
    <s v="QF14FW SMB_24_FLAT_BK_N"/>
    <x v="2"/>
    <x v="3"/>
    <n v="1"/>
    <s v="14FW SMB_24_FLAT_BK_N"/>
    <x v="0"/>
    <s v="QF14FW SMB_24_FLAT_BK_N"/>
    <x v="19"/>
    <x v="3"/>
    <x v="0"/>
    <x v="0"/>
    <x v="0"/>
    <x v="0"/>
    <m/>
    <n v="70"/>
    <m/>
    <x v="0"/>
    <x v="0"/>
    <x v="0"/>
    <x v="66"/>
    <x v="0"/>
    <n v="1"/>
    <x v="0"/>
    <x v="5"/>
    <d v="2014-04-02T00:00:00"/>
    <d v="2014-04-05T00:00:00"/>
    <d v="2014-04-09T00:00:00"/>
    <n v="3.4"/>
    <m/>
    <m/>
    <m/>
    <m/>
    <s v="帽眉料客供"/>
  </r>
  <r>
    <n v="1"/>
    <s v="14FW SMB_26_FLAT_RD_N"/>
    <n v="1"/>
    <s v="QF14FW SMB_26_FLAT_RD_N"/>
    <x v="2"/>
    <x v="3"/>
    <n v="1"/>
    <s v="14FW SMB_26_FLAT_RD_N"/>
    <x v="0"/>
    <s v="QF14FW SMB_26_FLAT_RD_N"/>
    <x v="19"/>
    <x v="3"/>
    <x v="0"/>
    <x v="0"/>
    <x v="0"/>
    <x v="0"/>
    <m/>
    <n v="71"/>
    <m/>
    <x v="0"/>
    <x v="2"/>
    <x v="0"/>
    <x v="67"/>
    <x v="0"/>
    <n v="1"/>
    <x v="0"/>
    <x v="5"/>
    <d v="2014-04-02T00:00:00"/>
    <d v="2014-04-05T00:00:00"/>
    <d v="2014-04-09T00:00:00"/>
    <n v="5"/>
    <m/>
    <m/>
    <m/>
    <m/>
    <m/>
  </r>
  <r>
    <n v="1"/>
    <s v="14FW SMB_27_FLAT_BL_N"/>
    <n v="1"/>
    <s v="QF14FW SMB_27_FLAT_BL_N"/>
    <x v="2"/>
    <x v="3"/>
    <n v="1"/>
    <s v="14FW SMB_27_FLAT_BL_N"/>
    <x v="0"/>
    <s v="QF14FW SMB_27_FLAT_BL_N"/>
    <x v="19"/>
    <x v="3"/>
    <x v="0"/>
    <x v="0"/>
    <x v="0"/>
    <x v="0"/>
    <m/>
    <n v="72"/>
    <m/>
    <x v="0"/>
    <x v="2"/>
    <x v="0"/>
    <x v="68"/>
    <x v="0"/>
    <n v="1"/>
    <x v="0"/>
    <x v="5"/>
    <d v="2014-04-02T00:00:00"/>
    <d v="2014-04-05T00:00:00"/>
    <d v="2014-04-09T00:00:00"/>
    <n v="3.5"/>
    <m/>
    <m/>
    <m/>
    <m/>
    <s v="客供主料毛呢"/>
  </r>
  <r>
    <n v="1"/>
    <s v="14FW SMB_28_FLAT_BG_N"/>
    <n v="1"/>
    <s v="QF14FW SMB_28_FLAT_BG_N"/>
    <x v="2"/>
    <x v="3"/>
    <n v="1"/>
    <s v="14FW SMB_28_FLAT_BG_N"/>
    <x v="0"/>
    <s v="QF14FW SMB_28_FLAT_BG_N"/>
    <x v="20"/>
    <x v="3"/>
    <x v="0"/>
    <x v="0"/>
    <x v="0"/>
    <x v="0"/>
    <m/>
    <n v="73"/>
    <m/>
    <x v="0"/>
    <x v="2"/>
    <x v="0"/>
    <x v="69"/>
    <x v="0"/>
    <n v="1"/>
    <x v="0"/>
    <x v="5"/>
    <d v="2014-04-02T00:00:00"/>
    <d v="2014-04-05T00:00:00"/>
    <d v="2014-04-14T00:00:00"/>
    <n v="3.8"/>
    <m/>
    <m/>
    <m/>
    <m/>
    <s v="客供主料毛呢"/>
  </r>
  <r>
    <n v="1"/>
    <s v="14FW SMB_09_FLAT_BK_N"/>
    <n v="1"/>
    <s v="캡보이214FW SMB_09_FLAT_BK_N"/>
    <x v="2"/>
    <x v="3"/>
    <n v="1"/>
    <s v="14FW SMB_09_FLAT_BK_N"/>
    <x v="0"/>
    <s v="캡보이214FW SMB_09_FLAT_BK_N"/>
    <x v="20"/>
    <x v="3"/>
    <x v="0"/>
    <x v="0"/>
    <x v="0"/>
    <x v="0"/>
    <m/>
    <n v="74"/>
    <m/>
    <x v="0"/>
    <x v="0"/>
    <x v="0"/>
    <x v="70"/>
    <x v="0"/>
    <n v="1"/>
    <x v="2"/>
    <x v="5"/>
    <d v="2014-04-02T00:00:00"/>
    <d v="2014-03-19T00:00:00"/>
    <d v="2014-04-14T00:00:00"/>
    <m/>
    <m/>
    <m/>
    <m/>
    <m/>
    <m/>
  </r>
  <r>
    <n v="1"/>
    <s v="14FW SMB_13_FLAT_GR_N"/>
    <n v="1"/>
    <s v="동일모자14FW SMB_13_FLAT_GR_N"/>
    <x v="2"/>
    <x v="3"/>
    <n v="1"/>
    <s v="14FW SMB_13_FLAT_GR_N"/>
    <x v="0"/>
    <s v="동일모자14FW SMB_13_FLAT_GR_N"/>
    <x v="21"/>
    <x v="3"/>
    <x v="0"/>
    <x v="0"/>
    <x v="0"/>
    <x v="0"/>
    <m/>
    <n v="75"/>
    <m/>
    <x v="0"/>
    <x v="0"/>
    <x v="0"/>
    <x v="71"/>
    <x v="0"/>
    <n v="1"/>
    <x v="1"/>
    <x v="5"/>
    <d v="2014-04-02T00:00:00"/>
    <d v="2014-04-02T00:00:00"/>
    <d v="2014-04-01T00:00:00"/>
    <m/>
    <m/>
    <m/>
    <m/>
    <m/>
    <m/>
  </r>
  <r>
    <n v="1"/>
    <s v="14FW SMB_15_FLAT_BK_N"/>
    <n v="1"/>
    <s v="동일모자14FW SMB_15_FLAT_BK_N"/>
    <x v="2"/>
    <x v="3"/>
    <n v="1"/>
    <s v="14FW SMB_15_FLAT_BK_N"/>
    <x v="0"/>
    <s v="동일모자14FW SMB_15_FLAT_BK_N"/>
    <x v="14"/>
    <x v="3"/>
    <x v="0"/>
    <x v="0"/>
    <x v="0"/>
    <x v="0"/>
    <m/>
    <n v="76"/>
    <m/>
    <x v="0"/>
    <x v="0"/>
    <x v="0"/>
    <x v="72"/>
    <x v="0"/>
    <n v="1"/>
    <x v="1"/>
    <x v="5"/>
    <d v="2014-04-02T00:00:00"/>
    <d v="2014-04-10T00:00:00"/>
    <d v="2014-04-04T00:00:00"/>
    <m/>
    <m/>
    <m/>
    <m/>
    <m/>
    <m/>
  </r>
  <r>
    <n v="0.5"/>
    <s v="14FW SMB_19_FLAT_BK_N"/>
    <n v="1"/>
    <s v="동일모자14FW SMB_19_FLAT_BK_N"/>
    <x v="2"/>
    <x v="3"/>
    <n v="0.5"/>
    <s v="14FW SMB_19_FLAT_BK_N"/>
    <x v="0"/>
    <s v="동일모자14FW SMB_19_FLAT_BK_N"/>
    <x v="21"/>
    <x v="3"/>
    <x v="0"/>
    <x v="0"/>
    <x v="0"/>
    <x v="0"/>
    <m/>
    <n v="77"/>
    <m/>
    <x v="0"/>
    <x v="0"/>
    <x v="0"/>
    <x v="62"/>
    <x v="0"/>
    <n v="0.5"/>
    <x v="1"/>
    <x v="5"/>
    <d v="2014-04-02T00:00:00"/>
    <d v="2014-04-02T00:00:00"/>
    <d v="2014-04-01T00:00:00"/>
    <m/>
    <m/>
    <m/>
    <m/>
    <m/>
    <m/>
  </r>
  <r>
    <n v="1"/>
    <s v="14FW SMB_20_FLAT_BW_F"/>
    <n v="1"/>
    <s v="동일모자14FW SMB_20_FLAT_BW_F"/>
    <x v="2"/>
    <x v="3"/>
    <n v="1"/>
    <s v="14FW SMB_20_FLAT_BW_F"/>
    <x v="0"/>
    <s v="동일모자14FW SMB_20_FLAT_BW_F"/>
    <x v="14"/>
    <x v="3"/>
    <x v="0"/>
    <x v="0"/>
    <x v="0"/>
    <x v="0"/>
    <m/>
    <n v="78"/>
    <m/>
    <x v="0"/>
    <x v="0"/>
    <x v="0"/>
    <x v="73"/>
    <x v="0"/>
    <n v="1"/>
    <x v="1"/>
    <x v="5"/>
    <d v="2014-04-02T00:00:00"/>
    <d v="2014-04-10T00:00:00"/>
    <d v="2014-04-04T00:00:00"/>
    <m/>
    <m/>
    <m/>
    <m/>
    <m/>
    <m/>
  </r>
  <r>
    <n v="1"/>
    <s v="14FW SMB_25_FLAT_NV_N"/>
    <n v="1"/>
    <s v="동일모자14FW SMB_25_FLAT_NV_N"/>
    <x v="2"/>
    <x v="3"/>
    <n v="1"/>
    <s v="14FW SMB_25_FLAT_NV_N"/>
    <x v="0"/>
    <s v="동일모자14FW SMB_25_FLAT_NV_N"/>
    <x v="16"/>
    <x v="4"/>
    <x v="3"/>
    <x v="0"/>
    <x v="0"/>
    <x v="0"/>
    <m/>
    <n v="79"/>
    <m/>
    <x v="0"/>
    <x v="2"/>
    <x v="0"/>
    <x v="74"/>
    <x v="0"/>
    <n v="1"/>
    <x v="1"/>
    <x v="5"/>
    <d v="2014-04-02T00:00:00"/>
    <d v="2014-04-07T00:00:00"/>
    <d v="1899-12-30T13:42:51"/>
    <m/>
    <m/>
    <m/>
    <m/>
    <m/>
    <m/>
  </r>
  <r>
    <n v="1"/>
    <s v="14FW SMB_05_KNIT_BR_F_KIDS(FKT)"/>
    <n v="1"/>
    <s v="KIDS FIRST TOYS14FW SMB_05_KNIT_BR_F_KIDS(FKT)"/>
    <x v="2"/>
    <x v="3"/>
    <n v="1"/>
    <s v="14FW SMB_05_KNIT_BR_F_KIDS(FKT)"/>
    <x v="0"/>
    <s v="KIDS FIRST TOYS14FW SMB_05_KNIT_BR_F_KIDS(FKT)"/>
    <x v="22"/>
    <x v="3"/>
    <x v="0"/>
    <x v="0"/>
    <x v="0"/>
    <x v="0"/>
    <m/>
    <n v="80"/>
    <m/>
    <x v="0"/>
    <x v="4"/>
    <x v="0"/>
    <x v="75"/>
    <x v="1"/>
    <n v="1"/>
    <x v="6"/>
    <x v="5"/>
    <d v="2014-04-02T00:00:00"/>
    <d v="2014-04-02T00:00:00"/>
    <d v="2014-04-02T00:00:00"/>
    <m/>
    <m/>
    <m/>
    <m/>
    <m/>
    <m/>
  </r>
  <r>
    <n v="1"/>
    <s v="14FW SMB_06_KNIT_OR_F_KIDS"/>
    <n v="1"/>
    <s v="KIDS FIRST TOYS14FW SMB_06_KNIT_OR_F_KIDS"/>
    <x v="2"/>
    <x v="3"/>
    <n v="1"/>
    <s v="14FW SMB_06_KNIT_OR_F_KIDS"/>
    <x v="0"/>
    <s v="KIDS FIRST TOYS14FW SMB_06_KNIT_OR_F_KIDS"/>
    <x v="22"/>
    <x v="3"/>
    <x v="0"/>
    <x v="0"/>
    <x v="0"/>
    <x v="0"/>
    <m/>
    <n v="81"/>
    <m/>
    <x v="0"/>
    <x v="4"/>
    <x v="0"/>
    <x v="76"/>
    <x v="1"/>
    <n v="1"/>
    <x v="6"/>
    <x v="5"/>
    <d v="2014-04-02T00:00:00"/>
    <d v="2014-04-02T00:00:00"/>
    <d v="2014-04-02T00:00:00"/>
    <m/>
    <m/>
    <m/>
    <m/>
    <m/>
    <m/>
  </r>
  <r>
    <n v="1"/>
    <s v="14FW SMB_01_KNIT_PK_F"/>
    <n v="1"/>
    <s v="FOREMOST14FW SMB_01_KNIT_PK_F"/>
    <x v="2"/>
    <x v="3"/>
    <n v="1"/>
    <s v="14FW SMB_01_KNIT_PK_F"/>
    <x v="0"/>
    <s v="FOREMOST14FW SMB_01_KNIT_PK_F"/>
    <x v="15"/>
    <x v="3"/>
    <x v="0"/>
    <x v="0"/>
    <x v="0"/>
    <x v="0"/>
    <m/>
    <n v="82"/>
    <m/>
    <x v="0"/>
    <x v="4"/>
    <x v="0"/>
    <x v="77"/>
    <x v="0"/>
    <n v="1"/>
    <x v="4"/>
    <x v="5"/>
    <d v="2014-04-02T00:00:00"/>
    <d v="2014-04-10T00:00:00"/>
    <d v="2014-04-07T00:00:00"/>
    <m/>
    <m/>
    <m/>
    <m/>
    <m/>
    <m/>
  </r>
  <r>
    <n v="1"/>
    <s v="14FW SMB_02_KNIT_BK_N"/>
    <n v="1"/>
    <s v="FOREMOST14FW SMB_02_KNIT_BK_N"/>
    <x v="2"/>
    <x v="3"/>
    <n v="1"/>
    <s v="14FW SMB_02_KNIT_BK_N"/>
    <x v="0"/>
    <s v="FOREMOST14FW SMB_02_KNIT_BK_N"/>
    <x v="15"/>
    <x v="3"/>
    <x v="0"/>
    <x v="0"/>
    <x v="0"/>
    <x v="0"/>
    <m/>
    <n v="83"/>
    <m/>
    <x v="0"/>
    <x v="4"/>
    <x v="0"/>
    <x v="78"/>
    <x v="0"/>
    <n v="1"/>
    <x v="4"/>
    <x v="5"/>
    <d v="2014-04-02T00:00:00"/>
    <d v="2014-04-10T00:00:00"/>
    <d v="2014-04-07T00:00:00"/>
    <m/>
    <m/>
    <m/>
    <m/>
    <m/>
    <m/>
  </r>
  <r>
    <n v="1"/>
    <s v="14FW SMB_03_KNIT_PK_N_KIDS"/>
    <n v="1"/>
    <s v="FOREMOST14FW SMB_03_KNIT_PK_N_KIDS"/>
    <x v="2"/>
    <x v="3"/>
    <n v="1"/>
    <s v="14FW SMB_03_KNIT_PK_N_KIDS"/>
    <x v="0"/>
    <s v="FOREMOST14FW SMB_03_KNIT_PK_N_KIDS"/>
    <x v="22"/>
    <x v="3"/>
    <x v="0"/>
    <x v="0"/>
    <x v="0"/>
    <x v="0"/>
    <m/>
    <n v="84"/>
    <m/>
    <x v="0"/>
    <x v="4"/>
    <x v="0"/>
    <x v="79"/>
    <x v="1"/>
    <n v="1"/>
    <x v="4"/>
    <x v="5"/>
    <d v="2014-04-02T00:00:00"/>
    <d v="2014-04-02T00:00:00"/>
    <d v="2014-04-02T00:00:00"/>
    <m/>
    <m/>
    <m/>
    <m/>
    <m/>
    <m/>
  </r>
  <r>
    <n v="1"/>
    <s v="14FW SMB_04_KNIT_PP_N_KIDS"/>
    <n v="1"/>
    <s v="FOREMOST14FW SMB_04_KNIT_PP_N_KIDS"/>
    <x v="2"/>
    <x v="3"/>
    <n v="1"/>
    <s v="14FW SMB_04_KNIT_PP_N_KIDS"/>
    <x v="0"/>
    <s v="FOREMOST14FW SMB_04_KNIT_PP_N_KIDS"/>
    <x v="22"/>
    <x v="3"/>
    <x v="0"/>
    <x v="0"/>
    <x v="0"/>
    <x v="0"/>
    <m/>
    <n v="85"/>
    <m/>
    <x v="0"/>
    <x v="4"/>
    <x v="0"/>
    <x v="80"/>
    <x v="1"/>
    <n v="1"/>
    <x v="4"/>
    <x v="5"/>
    <d v="2014-04-02T00:00:00"/>
    <d v="2014-04-02T00:00:00"/>
    <d v="2014-04-02T00:00:00"/>
    <m/>
    <m/>
    <m/>
    <m/>
    <m/>
    <m/>
  </r>
  <r>
    <n v="1"/>
    <s v="14FW SMB_05_KNIT_BR_F_KIDS"/>
    <n v="1"/>
    <s v="FOREMOST14FW SMB_05_KNIT_BR_F_KIDS"/>
    <x v="2"/>
    <x v="3"/>
    <n v="1"/>
    <s v="14FW SMB_05_KNIT_BR_F_KIDS"/>
    <x v="0"/>
    <s v="FOREMOST14FW SMB_05_KNIT_BR_F_KIDS"/>
    <x v="20"/>
    <x v="3"/>
    <x v="0"/>
    <x v="0"/>
    <x v="0"/>
    <x v="0"/>
    <m/>
    <n v="86"/>
    <m/>
    <x v="0"/>
    <x v="4"/>
    <x v="0"/>
    <x v="81"/>
    <x v="1"/>
    <n v="1"/>
    <x v="4"/>
    <x v="5"/>
    <d v="2014-04-02T00:00:00"/>
    <d v="2014-04-10T00:00:00"/>
    <d v="2014-04-14T00:00:00"/>
    <m/>
    <m/>
    <m/>
    <m/>
    <m/>
    <m/>
  </r>
  <r>
    <n v="1"/>
    <s v="14FW SMB_07_KNIT_NY_F_KIDS"/>
    <n v="1"/>
    <s v="Y&amp;Y14FW SMB_07_KNIT_NY_F_KIDS"/>
    <x v="2"/>
    <x v="3"/>
    <n v="1"/>
    <s v="14FW SMB_07_KNIT_NY_F_KIDS"/>
    <x v="0"/>
    <s v="Y&amp;Y14FW SMB_07_KNIT_NY_F_KIDS"/>
    <x v="23"/>
    <x v="5"/>
    <x v="0"/>
    <x v="0"/>
    <x v="0"/>
    <x v="0"/>
    <m/>
    <n v="87"/>
    <m/>
    <x v="0"/>
    <x v="4"/>
    <x v="0"/>
    <x v="82"/>
    <x v="1"/>
    <n v="1"/>
    <x v="7"/>
    <x v="5"/>
    <d v="2014-04-02T00:00:00"/>
    <d v="2014-04-25T00:00:00"/>
    <d v="2014-05-02T00:00:00"/>
    <m/>
    <m/>
    <m/>
    <m/>
    <m/>
    <m/>
  </r>
  <r>
    <n v="1"/>
    <s v="14FW SMB_08_KNIT_BK_N"/>
    <n v="1"/>
    <s v="Y&amp;Y14FW SMB_08_KNIT_BK_N"/>
    <x v="2"/>
    <x v="3"/>
    <n v="1"/>
    <s v="14FW SMB_08_KNIT_BK_N"/>
    <x v="0"/>
    <s v="Y&amp;Y14FW SMB_08_KNIT_BK_N"/>
    <x v="24"/>
    <x v="3"/>
    <x v="0"/>
    <x v="0"/>
    <x v="0"/>
    <x v="0"/>
    <m/>
    <n v="88"/>
    <m/>
    <x v="0"/>
    <x v="4"/>
    <x v="0"/>
    <x v="83"/>
    <x v="0"/>
    <n v="1"/>
    <x v="7"/>
    <x v="5"/>
    <d v="2014-04-02T00:00:00"/>
    <d v="2014-04-25T00:00:00"/>
    <d v="2014-04-29T00:00:00"/>
    <m/>
    <m/>
    <m/>
    <m/>
    <m/>
    <m/>
  </r>
  <r>
    <n v="1"/>
    <s v="14FW SMB_09_KNIT_RD_N"/>
    <n v="1"/>
    <s v="Y&amp;Y14FW SMB_09_KNIT_RD_N"/>
    <x v="2"/>
    <x v="3"/>
    <n v="1"/>
    <s v="14FW SMB_09_KNIT_RD_N"/>
    <x v="0"/>
    <s v="Y&amp;Y14FW SMB_09_KNIT_RD_N"/>
    <x v="23"/>
    <x v="5"/>
    <x v="0"/>
    <x v="0"/>
    <x v="0"/>
    <x v="0"/>
    <m/>
    <n v="89"/>
    <m/>
    <x v="0"/>
    <x v="4"/>
    <x v="0"/>
    <x v="84"/>
    <x v="0"/>
    <n v="1"/>
    <x v="7"/>
    <x v="5"/>
    <d v="2014-04-02T00:00:00"/>
    <d v="2014-04-25T00:00:00"/>
    <d v="2014-05-02T00:00:00"/>
    <m/>
    <m/>
    <m/>
    <m/>
    <m/>
    <m/>
  </r>
  <r>
    <n v="1"/>
    <s v="14FW SMB_10_KNIT_BL_F_KIDS"/>
    <n v="1"/>
    <s v="Y&amp;Y14FW SMB_10_KNIT_BL_F_KIDS"/>
    <x v="2"/>
    <x v="3"/>
    <n v="1"/>
    <s v="14FW SMB_10_KNIT_BL_F_KIDS"/>
    <x v="0"/>
    <s v="Y&amp;Y14FW SMB_10_KNIT_BL_F_KIDS"/>
    <x v="24"/>
    <x v="3"/>
    <x v="0"/>
    <x v="0"/>
    <x v="0"/>
    <x v="0"/>
    <m/>
    <n v="90"/>
    <m/>
    <x v="0"/>
    <x v="4"/>
    <x v="0"/>
    <x v="85"/>
    <x v="1"/>
    <n v="1"/>
    <x v="7"/>
    <x v="5"/>
    <d v="2014-04-02T00:00:00"/>
    <d v="2014-04-25T00:00:00"/>
    <d v="2014-04-29T00:00:00"/>
    <m/>
    <m/>
    <m/>
    <m/>
    <m/>
    <m/>
  </r>
  <r>
    <n v="1"/>
    <s v="14FW SMB_11_KNIT_PK_F_KIDS"/>
    <n v="1"/>
    <s v="Y&amp;Y14FW SMB_11_KNIT_PK_F_KIDS"/>
    <x v="2"/>
    <x v="3"/>
    <n v="1"/>
    <s v="14FW SMB_11_KNIT_PK_F_KIDS"/>
    <x v="0"/>
    <s v="Y&amp;Y14FW SMB_11_KNIT_PK_F_KIDS"/>
    <x v="24"/>
    <x v="3"/>
    <x v="0"/>
    <x v="0"/>
    <x v="0"/>
    <x v="0"/>
    <m/>
    <n v="91"/>
    <m/>
    <x v="0"/>
    <x v="4"/>
    <x v="0"/>
    <x v="86"/>
    <x v="1"/>
    <n v="1"/>
    <x v="7"/>
    <x v="5"/>
    <d v="2014-04-02T00:00:00"/>
    <d v="2014-04-25T00:00:00"/>
    <d v="2014-04-29T00:00:00"/>
    <m/>
    <m/>
    <m/>
    <m/>
    <m/>
    <m/>
  </r>
  <r>
    <n v="1"/>
    <s v="14FW SMB_12_KNIT_D.GY_N"/>
    <n v="1"/>
    <s v="Y&amp;Y14FW SMB_12_KNIT_D.GY_N"/>
    <x v="2"/>
    <x v="3"/>
    <n v="1"/>
    <s v="14FW SMB_12_KNIT_D.GY_N"/>
    <x v="0"/>
    <s v="Y&amp;Y14FW SMB_12_KNIT_D.GY_N"/>
    <x v="17"/>
    <x v="3"/>
    <x v="0"/>
    <x v="0"/>
    <x v="0"/>
    <x v="0"/>
    <m/>
    <n v="92"/>
    <m/>
    <x v="0"/>
    <x v="4"/>
    <x v="0"/>
    <x v="87"/>
    <x v="0"/>
    <n v="1"/>
    <x v="7"/>
    <x v="5"/>
    <d v="2014-04-02T00:00:00"/>
    <d v="2014-04-16T00:00:00"/>
    <d v="2014-04-16T00:00:00"/>
    <n v="2.63"/>
    <m/>
    <m/>
    <m/>
    <m/>
    <s v="참고샘플 돌려받음 (140416)"/>
  </r>
  <r>
    <n v="1"/>
    <s v="14FW SMB_12_KNIT_PK_N"/>
    <n v="1"/>
    <s v="Y&amp;Y14FW SMB_12_KNIT_PK_N"/>
    <x v="2"/>
    <x v="3"/>
    <n v="1"/>
    <s v="14FW SMB_12_KNIT_PK_N"/>
    <x v="0"/>
    <s v="Y&amp;Y14FW SMB_12_KNIT_PK_N"/>
    <x v="17"/>
    <x v="3"/>
    <x v="0"/>
    <x v="0"/>
    <x v="0"/>
    <x v="0"/>
    <m/>
    <n v="93"/>
    <m/>
    <x v="0"/>
    <x v="4"/>
    <x v="0"/>
    <x v="88"/>
    <x v="0"/>
    <n v="1"/>
    <x v="7"/>
    <x v="5"/>
    <d v="2014-04-02T00:00:00"/>
    <d v="2014-04-18T00:00:00"/>
    <d v="2014-04-16T00:00:00"/>
    <n v="2.63"/>
    <m/>
    <m/>
    <m/>
    <m/>
    <m/>
  </r>
  <r>
    <n v="1"/>
    <s v="14FW SMB_12_KNIT_PP_N"/>
    <n v="1"/>
    <s v="Y&amp;Y14FW SMB_12_KNIT_PP_N"/>
    <x v="2"/>
    <x v="3"/>
    <n v="1"/>
    <s v="14FW SMB_12_KNIT_PP_N"/>
    <x v="0"/>
    <s v="Y&amp;Y14FW SMB_12_KNIT_PP_N"/>
    <x v="17"/>
    <x v="3"/>
    <x v="0"/>
    <x v="0"/>
    <x v="0"/>
    <x v="0"/>
    <m/>
    <n v="94"/>
    <m/>
    <x v="0"/>
    <x v="4"/>
    <x v="0"/>
    <x v="89"/>
    <x v="0"/>
    <n v="1"/>
    <x v="7"/>
    <x v="5"/>
    <d v="2014-04-02T00:00:00"/>
    <d v="2014-04-18T00:00:00"/>
    <d v="2014-04-16T00:00:00"/>
    <n v="2.63"/>
    <m/>
    <m/>
    <m/>
    <m/>
    <m/>
  </r>
  <r>
    <n v="1"/>
    <s v="14FW SMB_13_KNIT_PP_F_KIDS"/>
    <n v="1"/>
    <s v="Y&amp;Y14FW SMB_13_KNIT_PP_F_KIDS"/>
    <x v="2"/>
    <x v="3"/>
    <n v="1"/>
    <s v="14FW SMB_13_KNIT_PP_F_KIDS"/>
    <x v="0"/>
    <s v="Y&amp;Y14FW SMB_13_KNIT_PP_F_KIDS"/>
    <x v="25"/>
    <x v="3"/>
    <x v="0"/>
    <x v="0"/>
    <x v="0"/>
    <x v="0"/>
    <m/>
    <n v="95"/>
    <m/>
    <x v="0"/>
    <x v="4"/>
    <x v="0"/>
    <x v="90"/>
    <x v="0"/>
    <n v="1"/>
    <x v="7"/>
    <x v="5"/>
    <d v="2014-04-02T00:00:00"/>
    <d v="2014-04-22T00:00:00"/>
    <d v="2014-04-22T00:00:00"/>
    <n v="3.08"/>
    <m/>
    <m/>
    <m/>
    <m/>
    <m/>
  </r>
  <r>
    <n v="1"/>
    <s v="14FW WITAILOR CAP-13-BK"/>
    <n v="1"/>
    <s v="동일모자14FW WITAILOR CAP-13-BK"/>
    <x v="2"/>
    <x v="4"/>
    <n v="1"/>
    <s v="14FW WITAILOR CAP-13-BK"/>
    <x v="0"/>
    <s v="동일모자14FW WITAILOR CAP-13-BK"/>
    <x v="26"/>
    <x v="3"/>
    <x v="0"/>
    <x v="0"/>
    <x v="1"/>
    <x v="1"/>
    <m/>
    <n v="96"/>
    <m/>
    <x v="1"/>
    <x v="1"/>
    <x v="0"/>
    <x v="91"/>
    <x v="2"/>
    <n v="1"/>
    <x v="1"/>
    <x v="6"/>
    <d v="2014-04-17T00:00:00"/>
    <d v="2014-04-17T00:00:00"/>
    <d v="2014-04-17T00:00:00"/>
    <m/>
    <m/>
    <m/>
    <m/>
    <m/>
    <m/>
  </r>
  <r>
    <n v="1"/>
    <s v="14FW WITAILOR CAP-14-BG"/>
    <n v="1"/>
    <s v="동일모자14FW WITAILOR CAP-14-BG"/>
    <x v="2"/>
    <x v="4"/>
    <n v="1"/>
    <s v="14FW WITAILOR CAP-14-BG"/>
    <x v="0"/>
    <s v="동일모자14FW WITAILOR CAP-14-BG"/>
    <x v="26"/>
    <x v="3"/>
    <x v="0"/>
    <x v="0"/>
    <x v="1"/>
    <x v="1"/>
    <m/>
    <n v="97"/>
    <m/>
    <x v="1"/>
    <x v="2"/>
    <x v="0"/>
    <x v="92"/>
    <x v="2"/>
    <n v="1"/>
    <x v="1"/>
    <x v="6"/>
    <d v="2014-04-17T00:00:00"/>
    <d v="2014-04-17T00:00:00"/>
    <d v="2014-04-17T00:00:00"/>
    <m/>
    <m/>
    <m/>
    <m/>
    <m/>
    <m/>
  </r>
  <r>
    <n v="1"/>
    <s v="14FW WITAILOR CAP-15-PK"/>
    <n v="1"/>
    <s v="동일모자14FW WITAILOR CAP-15-PK"/>
    <x v="2"/>
    <x v="4"/>
    <n v="1"/>
    <s v="14FW WITAILOR CAP-15-PK"/>
    <x v="0"/>
    <s v="동일모자14FW WITAILOR CAP-15-PK"/>
    <x v="26"/>
    <x v="3"/>
    <x v="0"/>
    <x v="0"/>
    <x v="1"/>
    <x v="1"/>
    <m/>
    <n v="98"/>
    <m/>
    <x v="1"/>
    <x v="2"/>
    <x v="0"/>
    <x v="93"/>
    <x v="2"/>
    <n v="1"/>
    <x v="1"/>
    <x v="6"/>
    <d v="2014-04-17T00:00:00"/>
    <d v="2014-04-17T00:00:00"/>
    <d v="2014-04-17T00:00:00"/>
    <m/>
    <m/>
    <m/>
    <m/>
    <m/>
    <m/>
  </r>
  <r>
    <n v="1"/>
    <s v="14FW WITAILER CAP-12-BW"/>
    <n v="1"/>
    <s v="FOREMOST14FW WITAILER CAP-12-BW"/>
    <x v="1"/>
    <x v="1"/>
    <n v="1"/>
    <s v="14FW WITAILER CAP-12-BW"/>
    <x v="0"/>
    <s v="FOREMOST14FW WITAILER CAP-12-BW"/>
    <x v="9"/>
    <x v="0"/>
    <x v="0"/>
    <x v="0"/>
    <x v="1"/>
    <x v="1"/>
    <m/>
    <n v="99"/>
    <m/>
    <x v="1"/>
    <x v="2"/>
    <x v="0"/>
    <x v="94"/>
    <x v="0"/>
    <n v="1"/>
    <x v="4"/>
    <x v="2"/>
    <d v="2014-03-05T00:00:00"/>
    <d v="2014-03-31T00:00:00"/>
    <d v="2014-03-24T00:00:00"/>
    <m/>
    <m/>
    <m/>
    <m/>
    <m/>
    <s v="재샘플요청 3/24-&gt; 재샘플 입고 4/21"/>
  </r>
  <r>
    <n v="1"/>
    <s v="14FW SMB_35_FLAT_PK_F_KIDS"/>
    <n v="1"/>
    <s v="QF14FW SMB_35_FLAT_PK_F_KIDS"/>
    <x v="2"/>
    <x v="4"/>
    <n v="1"/>
    <s v="14FW SMB_35_FLAT_PK_F_KIDS"/>
    <x v="0"/>
    <s v="QF14FW SMB_35_FLAT_PK_F_KIDS"/>
    <x v="18"/>
    <x v="5"/>
    <x v="0"/>
    <x v="0"/>
    <x v="0"/>
    <x v="0"/>
    <m/>
    <n v="100"/>
    <m/>
    <x v="0"/>
    <x v="2"/>
    <x v="0"/>
    <x v="95"/>
    <x v="2"/>
    <n v="1"/>
    <x v="0"/>
    <x v="7"/>
    <d v="2014-04-24T00:00:00"/>
    <d v="2014-05-07T00:00:00"/>
    <d v="2014-05-07T00:00:00"/>
    <m/>
    <m/>
    <m/>
    <n v="4"/>
    <n v="4"/>
    <m/>
  </r>
  <r>
    <n v="1"/>
    <s v="14FW SMB_34_FLAT_OG_F_KIDS"/>
    <n v="1"/>
    <s v="QF14FW SMB_34_FLAT_OG_F_KIDS"/>
    <x v="2"/>
    <x v="4"/>
    <n v="1"/>
    <s v="14FW SMB_34_FLAT_OG_F_KIDS"/>
    <x v="0"/>
    <s v="QF14FW SMB_34_FLAT_OG_F_KIDS"/>
    <x v="18"/>
    <x v="5"/>
    <x v="0"/>
    <x v="0"/>
    <x v="0"/>
    <x v="0"/>
    <m/>
    <n v="101"/>
    <m/>
    <x v="0"/>
    <x v="2"/>
    <x v="0"/>
    <x v="96"/>
    <x v="2"/>
    <n v="1"/>
    <x v="0"/>
    <x v="7"/>
    <d v="2014-04-24T00:00:00"/>
    <d v="2014-05-07T00:00:00"/>
    <d v="2014-05-07T00:00:00"/>
    <m/>
    <m/>
    <m/>
    <n v="5"/>
    <n v="5"/>
    <m/>
  </r>
  <r>
    <n v="1"/>
    <s v="14FW SMB_32_FLAT_BK_N.pdf-JPG"/>
    <n v="1"/>
    <s v="QF14FW SMB_32_FLAT_BK_N.pdf-JPG"/>
    <x v="2"/>
    <x v="4"/>
    <n v="1"/>
    <s v="14FW SMB_32_FLAT_BK_N.pdf-JPG"/>
    <x v="0"/>
    <s v="QF14FW SMB_32_FLAT_BK_N.pdf-JPG"/>
    <x v="18"/>
    <x v="5"/>
    <x v="0"/>
    <x v="0"/>
    <x v="0"/>
    <x v="0"/>
    <m/>
    <n v="102"/>
    <m/>
    <x v="0"/>
    <x v="2"/>
    <x v="0"/>
    <x v="97"/>
    <x v="2"/>
    <n v="1"/>
    <x v="0"/>
    <x v="7"/>
    <d v="2014-04-24T00:00:00"/>
    <d v="2014-05-07T00:00:00"/>
    <d v="2014-05-07T00:00:00"/>
    <m/>
    <m/>
    <m/>
    <n v="3"/>
    <n v="3"/>
    <m/>
  </r>
  <r>
    <n v="1"/>
    <s v="14FW SMB_33_FLAT_BK_N.pdf-JPG"/>
    <n v="1"/>
    <s v="QF14FW SMB_33_FLAT_BK_N.pdf-JPG"/>
    <x v="2"/>
    <x v="4"/>
    <n v="1"/>
    <s v="14FW SMB_33_FLAT_BK_N.pdf-JPG"/>
    <x v="0"/>
    <s v="QF14FW SMB_33_FLAT_BK_N.pdf-JPG"/>
    <x v="27"/>
    <x v="3"/>
    <x v="0"/>
    <x v="0"/>
    <x v="0"/>
    <x v="0"/>
    <m/>
    <n v="103"/>
    <m/>
    <x v="0"/>
    <x v="2"/>
    <x v="0"/>
    <x v="98"/>
    <x v="2"/>
    <n v="1"/>
    <x v="0"/>
    <x v="7"/>
    <d v="2014-04-24T00:00:00"/>
    <d v="2014-04-24T00:00:00"/>
    <d v="2014-04-24T00:00:00"/>
    <m/>
    <m/>
    <m/>
    <n v="3"/>
    <n v="3"/>
    <m/>
  </r>
  <r>
    <n v="1"/>
    <s v="14FW SMB_39_FLAT_BK_F.pdf-JPG"/>
    <n v="1"/>
    <s v="QF14FW SMB_39_FLAT_BK_F.pdf-JPG"/>
    <x v="2"/>
    <x v="4"/>
    <n v="1"/>
    <s v="14FW SMB_39_FLAT_BK_F.pdf-JPG"/>
    <x v="0"/>
    <s v="QF14FW SMB_39_FLAT_BK_F.pdf-JPG"/>
    <x v="25"/>
    <x v="3"/>
    <x v="0"/>
    <x v="0"/>
    <x v="0"/>
    <x v="0"/>
    <m/>
    <n v="104"/>
    <m/>
    <x v="0"/>
    <x v="1"/>
    <x v="0"/>
    <x v="99"/>
    <x v="2"/>
    <n v="1"/>
    <x v="0"/>
    <x v="7"/>
    <d v="2014-04-24T00:00:00"/>
    <d v="2014-04-22T00:00:00"/>
    <d v="2014-04-22T00:00:00"/>
    <m/>
    <m/>
    <m/>
    <n v="2"/>
    <n v="2"/>
    <m/>
  </r>
  <r>
    <n v="1"/>
    <s v="14FW SMB_40_FLAT_PK_F.pdf-JPG"/>
    <n v="1"/>
    <s v="QF14FW SMB_40_FLAT_PK_F.pdf-JPG"/>
    <x v="2"/>
    <x v="4"/>
    <n v="1"/>
    <s v="14FW SMB_40_FLAT_PK_F.pdf-JPG"/>
    <x v="0"/>
    <s v="QF14FW SMB_40_FLAT_PK_F.pdf-JPG"/>
    <x v="18"/>
    <x v="5"/>
    <x v="0"/>
    <x v="0"/>
    <x v="0"/>
    <x v="0"/>
    <m/>
    <n v="105"/>
    <m/>
    <x v="0"/>
    <x v="2"/>
    <x v="0"/>
    <x v="100"/>
    <x v="2"/>
    <n v="1"/>
    <x v="0"/>
    <x v="7"/>
    <d v="2014-04-24T00:00:00"/>
    <d v="2014-05-07T00:00:00"/>
    <d v="2014-05-07T00:00:00"/>
    <m/>
    <m/>
    <m/>
    <n v="4"/>
    <n v="4"/>
    <m/>
  </r>
  <r>
    <n v="1"/>
    <s v="14FW SMB_41_FLAT_BK_N.pdf-JPG"/>
    <n v="1"/>
    <s v="QF14FW SMB_41_FLAT_BK_N.pdf-JPG"/>
    <x v="2"/>
    <x v="4"/>
    <n v="1"/>
    <s v="14FW SMB_41_FLAT_BK_N.pdf-JPG"/>
    <x v="0"/>
    <s v="QF14FW SMB_41_FLAT_BK_N.pdf-JPG"/>
    <x v="28"/>
    <x v="3"/>
    <x v="0"/>
    <x v="0"/>
    <x v="0"/>
    <x v="0"/>
    <m/>
    <n v="106"/>
    <m/>
    <x v="0"/>
    <x v="1"/>
    <x v="0"/>
    <x v="101"/>
    <x v="2"/>
    <n v="1"/>
    <x v="0"/>
    <x v="7"/>
    <d v="2014-04-24T00:00:00"/>
    <d v="2014-04-25T00:00:00"/>
    <d v="2014-04-25T00:00:00"/>
    <m/>
    <m/>
    <m/>
    <n v="1"/>
    <n v="1"/>
    <m/>
  </r>
  <r>
    <n v="1"/>
    <s v="14FW SMB_42_FLAT_GR_N.pdf-JPG"/>
    <n v="1"/>
    <s v="QF14FW SMB_42_FLAT_GR_N.pdf-JPG"/>
    <x v="2"/>
    <x v="4"/>
    <n v="1"/>
    <s v="14FW SMB_42_FLAT_GR_N.pdf-JPG"/>
    <x v="0"/>
    <s v="QF14FW SMB_42_FLAT_GR_N.pdf-JPG"/>
    <x v="18"/>
    <x v="5"/>
    <x v="0"/>
    <x v="0"/>
    <x v="0"/>
    <x v="0"/>
    <m/>
    <n v="107"/>
    <m/>
    <x v="0"/>
    <x v="1"/>
    <x v="0"/>
    <x v="102"/>
    <x v="2"/>
    <n v="1"/>
    <x v="0"/>
    <x v="7"/>
    <d v="2014-04-24T00:00:00"/>
    <d v="2014-05-07T00:00:00"/>
    <d v="2014-05-07T00:00:00"/>
    <m/>
    <m/>
    <m/>
    <n v="2"/>
    <n v="2"/>
    <m/>
  </r>
  <r>
    <n v="1"/>
    <s v="14FW SMB_36_FLAT_PK_F_KIDS.pdf-JPG"/>
    <n v="1"/>
    <s v="QF14FW SMB_36_FLAT_PK_F_KIDS.pdf-JPG"/>
    <x v="2"/>
    <x v="4"/>
    <n v="1"/>
    <s v="14FW SMB_36_FLAT_PK_F_KIDS.pdf-JPG"/>
    <x v="0"/>
    <s v="QF14FW SMB_36_FLAT_PK_F_KIDS.pdf-JPG"/>
    <x v="18"/>
    <x v="5"/>
    <x v="0"/>
    <x v="0"/>
    <x v="0"/>
    <x v="0"/>
    <m/>
    <n v="108"/>
    <m/>
    <x v="0"/>
    <x v="1"/>
    <x v="0"/>
    <x v="103"/>
    <x v="2"/>
    <n v="1"/>
    <x v="0"/>
    <x v="7"/>
    <d v="2014-04-24T00:00:00"/>
    <d v="2014-05-07T00:00:00"/>
    <d v="2014-05-07T00:00:00"/>
    <m/>
    <m/>
    <m/>
    <n v="2"/>
    <n v="2"/>
    <m/>
  </r>
  <r>
    <n v="1"/>
    <s v="14FW SMB_14_KNIT_BK_N.pdf-JPG"/>
    <n v="1"/>
    <s v="FOREMOST14FW SMB_14_KNIT_BK_N.pdf-JPG"/>
    <x v="2"/>
    <x v="4"/>
    <n v="1"/>
    <s v="14FW SMB_14_KNIT_BK_N.pdf-JPG"/>
    <x v="0"/>
    <s v="FOREMOST14FW SMB_14_KNIT_BK_N.pdf-JPG"/>
    <x v="27"/>
    <x v="3"/>
    <x v="0"/>
    <x v="0"/>
    <x v="0"/>
    <x v="0"/>
    <m/>
    <n v="109"/>
    <m/>
    <x v="0"/>
    <x v="2"/>
    <x v="0"/>
    <x v="104"/>
    <x v="0"/>
    <n v="1"/>
    <x v="4"/>
    <x v="7"/>
    <d v="2014-04-24T00:00:00"/>
    <d v="2014-04-24T00:00:00"/>
    <d v="2014-04-24T00:00:00"/>
    <n v="7.9"/>
    <m/>
    <m/>
    <n v="3"/>
    <n v="3"/>
    <m/>
  </r>
  <r>
    <n v="1"/>
    <s v="14FW SMB_15_KNIT_RE_N.pdf-JPG"/>
    <n v="1"/>
    <s v="FOREMOST14FW SMB_15_KNIT_RE_N.pdf-JPG"/>
    <x v="2"/>
    <x v="4"/>
    <n v="1"/>
    <s v="14FW SMB_15_KNIT_RE_N.pdf-JPG"/>
    <x v="0"/>
    <s v="FOREMOST14FW SMB_15_KNIT_RE_N.pdf-JPG"/>
    <x v="29"/>
    <x v="3"/>
    <x v="0"/>
    <x v="0"/>
    <x v="0"/>
    <x v="0"/>
    <m/>
    <n v="110"/>
    <m/>
    <x v="0"/>
    <x v="2"/>
    <x v="0"/>
    <x v="105"/>
    <x v="0"/>
    <n v="1"/>
    <x v="4"/>
    <x v="7"/>
    <d v="2014-04-24T00:00:00"/>
    <d v="2014-04-21T00:00:00"/>
    <d v="2014-04-21T00:00:00"/>
    <n v="7.9"/>
    <m/>
    <m/>
    <n v="3"/>
    <n v="3"/>
    <m/>
  </r>
  <r>
    <n v="1"/>
    <s v="14FW SMB_14_CURVED_GY_N"/>
    <n v="1"/>
    <s v="동일모자14FW SMB_14_CURVED_GY_N"/>
    <x v="2"/>
    <x v="4"/>
    <n v="1"/>
    <s v="14FW SMB_14_CURVED_GY_N"/>
    <x v="0"/>
    <s v="동일모자14FW SMB_14_CURVED_GY_N"/>
    <x v="29"/>
    <x v="3"/>
    <x v="0"/>
    <x v="0"/>
    <x v="0"/>
    <x v="0"/>
    <m/>
    <n v="111"/>
    <m/>
    <x v="0"/>
    <x v="2"/>
    <x v="0"/>
    <x v="106"/>
    <x v="2"/>
    <n v="1"/>
    <x v="1"/>
    <x v="7"/>
    <d v="2014-04-24T00:00:00"/>
    <d v="2014-04-21T00:00:00"/>
    <d v="2014-04-21T00:00:00"/>
    <n v="6.65"/>
    <m/>
    <m/>
    <n v="3"/>
    <n v="3"/>
    <m/>
  </r>
  <r>
    <n v="1"/>
    <s v="14FW SMB_15_CURVED_PK_F_KIDS.pdf-JPG"/>
    <n v="1"/>
    <s v="동일모자14FW SMB_15_CURVED_PK_F_KIDS.pdf-JPG"/>
    <x v="2"/>
    <x v="4"/>
    <n v="1"/>
    <s v="14FW SMB_15_CURVED_PK_F_KIDS.pdf-JPG"/>
    <x v="0"/>
    <s v="동일모자14FW SMB_15_CURVED_PK_F_KIDS.pdf-JPG"/>
    <x v="29"/>
    <x v="3"/>
    <x v="0"/>
    <x v="0"/>
    <x v="0"/>
    <x v="0"/>
    <m/>
    <n v="112"/>
    <m/>
    <x v="0"/>
    <x v="2"/>
    <x v="0"/>
    <x v="107"/>
    <x v="2"/>
    <n v="1"/>
    <x v="1"/>
    <x v="7"/>
    <d v="2014-04-24T00:00:00"/>
    <d v="2014-04-21T00:00:00"/>
    <d v="2014-04-21T00:00:00"/>
    <n v="6.6"/>
    <m/>
    <m/>
    <n v="6"/>
    <n v="6"/>
    <m/>
  </r>
  <r>
    <n v="1"/>
    <s v="14FW SMB_16_CURVED_NY_F_KIDS"/>
    <n v="1"/>
    <s v="동일모자14FW SMB_16_CURVED_NY_F_KIDS"/>
    <x v="2"/>
    <x v="4"/>
    <n v="1"/>
    <s v="14FW SMB_16_CURVED_NY_F_KIDS"/>
    <x v="0"/>
    <s v="동일모자14FW SMB_16_CURVED_NY_F_KIDS"/>
    <x v="29"/>
    <x v="3"/>
    <x v="0"/>
    <x v="0"/>
    <x v="0"/>
    <x v="0"/>
    <m/>
    <n v="113"/>
    <m/>
    <x v="0"/>
    <x v="2"/>
    <x v="0"/>
    <x v="108"/>
    <x v="2"/>
    <n v="1"/>
    <x v="1"/>
    <x v="7"/>
    <d v="2014-04-24T00:00:00"/>
    <d v="2014-04-21T00:00:00"/>
    <d v="2014-04-21T00:00:00"/>
    <n v="6.95"/>
    <m/>
    <m/>
    <n v="3"/>
    <n v="3"/>
    <m/>
  </r>
  <r>
    <n v="1"/>
    <s v="14FW SMB_17_CURVED_PK_F_KIDS"/>
    <n v="1"/>
    <s v="동일모자14FW SMB_17_CURVED_PK_F_KIDS"/>
    <x v="2"/>
    <x v="4"/>
    <n v="1"/>
    <s v="14FW SMB_17_CURVED_PK_F_KIDS"/>
    <x v="0"/>
    <s v="동일모자14FW SMB_17_CURVED_PK_F_KIDS"/>
    <x v="29"/>
    <x v="3"/>
    <x v="0"/>
    <x v="0"/>
    <x v="0"/>
    <x v="0"/>
    <m/>
    <n v="114"/>
    <m/>
    <x v="0"/>
    <x v="2"/>
    <x v="0"/>
    <x v="109"/>
    <x v="2"/>
    <n v="1"/>
    <x v="1"/>
    <x v="7"/>
    <d v="2014-04-24T00:00:00"/>
    <d v="2014-04-21T00:00:00"/>
    <d v="2014-04-21T00:00:00"/>
    <n v="6.4"/>
    <m/>
    <m/>
    <n v="4"/>
    <n v="4"/>
    <m/>
  </r>
  <r>
    <n v="1"/>
    <s v="14FW SMB_18_CURVED_PP_F_KIDS"/>
    <n v="1"/>
    <s v="동일모자14FW SMB_18_CURVED_PP_F_KIDS"/>
    <x v="2"/>
    <x v="4"/>
    <n v="1"/>
    <s v="14FW SMB_18_CURVED_PP_F_KIDS"/>
    <x v="0"/>
    <s v="동일모자14FW SMB_18_CURVED_PP_F_KIDS"/>
    <x v="29"/>
    <x v="3"/>
    <x v="0"/>
    <x v="0"/>
    <x v="0"/>
    <x v="0"/>
    <m/>
    <n v="115"/>
    <m/>
    <x v="0"/>
    <x v="2"/>
    <x v="0"/>
    <x v="110"/>
    <x v="2"/>
    <n v="1"/>
    <x v="1"/>
    <x v="7"/>
    <d v="2014-04-24T00:00:00"/>
    <d v="2014-04-21T00:00:00"/>
    <d v="2014-04-21T00:00:00"/>
    <n v="6.45"/>
    <m/>
    <m/>
    <n v="5"/>
    <n v="5"/>
    <m/>
  </r>
  <r>
    <n v="1"/>
    <s v="14FW SMB_19_CURVED_BW_F"/>
    <n v="1"/>
    <s v="동일모자14FW SMB_19_CURVED_BW_F"/>
    <x v="2"/>
    <x v="4"/>
    <n v="1"/>
    <s v="14FW SMB_19_CURVED_BW_F"/>
    <x v="0"/>
    <s v="동일모자14FW SMB_19_CURVED_BW_F"/>
    <x v="26"/>
    <x v="3"/>
    <x v="0"/>
    <x v="0"/>
    <x v="0"/>
    <x v="0"/>
    <m/>
    <n v="116"/>
    <m/>
    <x v="0"/>
    <x v="2"/>
    <x v="0"/>
    <x v="111"/>
    <x v="2"/>
    <n v="1"/>
    <x v="1"/>
    <x v="7"/>
    <d v="2014-04-24T00:00:00"/>
    <d v="2014-04-24T00:00:00"/>
    <d v="2014-04-17T00:00:00"/>
    <n v="4.8499999999999996"/>
    <m/>
    <m/>
    <n v="3"/>
    <n v="3"/>
    <m/>
  </r>
  <r>
    <n v="1"/>
    <s v="14FW SMB_20_CURVED_GY_N"/>
    <n v="1"/>
    <s v="동일모자14FW SMB_20_CURVED_GY_N"/>
    <x v="2"/>
    <x v="4"/>
    <n v="1"/>
    <s v="14FW SMB_20_CURVED_GY_N"/>
    <x v="0"/>
    <s v="동일모자14FW SMB_20_CURVED_GY_N"/>
    <x v="26"/>
    <x v="3"/>
    <x v="0"/>
    <x v="0"/>
    <x v="0"/>
    <x v="0"/>
    <m/>
    <n v="117"/>
    <m/>
    <x v="0"/>
    <x v="1"/>
    <x v="0"/>
    <x v="112"/>
    <x v="2"/>
    <n v="1"/>
    <x v="1"/>
    <x v="7"/>
    <d v="2014-04-24T00:00:00"/>
    <d v="2014-04-24T00:00:00"/>
    <d v="2014-04-17T00:00:00"/>
    <n v="5.2"/>
    <m/>
    <m/>
    <n v="4"/>
    <n v="4"/>
    <m/>
  </r>
  <r>
    <n v="1"/>
    <s v="14FW SMB_21_CURVED_GY_N"/>
    <n v="1"/>
    <s v="동일모자14FW SMB_21_CURVED_GY_N"/>
    <x v="2"/>
    <x v="4"/>
    <n v="1"/>
    <s v="14FW SMB_21_CURVED_GY_N"/>
    <x v="0"/>
    <s v="동일모자14FW SMB_21_CURVED_GY_N"/>
    <x v="29"/>
    <x v="3"/>
    <x v="0"/>
    <x v="0"/>
    <x v="0"/>
    <x v="0"/>
    <m/>
    <n v="118"/>
    <m/>
    <x v="0"/>
    <x v="2"/>
    <x v="0"/>
    <x v="113"/>
    <x v="2"/>
    <n v="1"/>
    <x v="1"/>
    <x v="7"/>
    <d v="2014-04-24T00:00:00"/>
    <d v="2014-04-21T00:00:00"/>
    <d v="2014-04-21T00:00:00"/>
    <n v="7.3"/>
    <m/>
    <m/>
    <n v="4"/>
    <n v="4"/>
    <m/>
  </r>
  <r>
    <n v="1"/>
    <s v="14FW SMB_23_CURVED_BK_N."/>
    <n v="1"/>
    <s v="동일모자14FW SMB_23_CURVED_BK_N."/>
    <x v="2"/>
    <x v="4"/>
    <n v="1"/>
    <s v="14FW SMB_23_CURVED_BK_N."/>
    <x v="0"/>
    <s v="동일모자14FW SMB_23_CURVED_BK_N."/>
    <x v="26"/>
    <x v="3"/>
    <x v="0"/>
    <x v="0"/>
    <x v="0"/>
    <x v="0"/>
    <m/>
    <n v="119"/>
    <m/>
    <x v="0"/>
    <x v="1"/>
    <x v="0"/>
    <x v="114"/>
    <x v="2"/>
    <n v="1"/>
    <x v="1"/>
    <x v="7"/>
    <d v="2014-04-24T00:00:00"/>
    <d v="2014-04-24T00:00:00"/>
    <d v="2014-04-17T00:00:00"/>
    <n v="4.75"/>
    <m/>
    <m/>
    <n v="1"/>
    <n v="1"/>
    <m/>
  </r>
  <r>
    <n v="1"/>
    <s v="14FW SMB_22_CURVED_BK_N"/>
    <n v="1"/>
    <s v="성진14FW SMB_22_CURVED_BK_N"/>
    <x v="2"/>
    <x v="4"/>
    <n v="1"/>
    <s v="14FW SMB_22_CURVED_BK_N"/>
    <x v="0"/>
    <s v="성진14FW SMB_22_CURVED_BK_N"/>
    <x v="28"/>
    <x v="3"/>
    <x v="0"/>
    <x v="0"/>
    <x v="0"/>
    <x v="0"/>
    <m/>
    <n v="120"/>
    <m/>
    <x v="0"/>
    <x v="1"/>
    <x v="0"/>
    <x v="115"/>
    <x v="2"/>
    <n v="1"/>
    <x v="3"/>
    <x v="7"/>
    <d v="2014-04-24T00:00:00"/>
    <d v="2014-04-24T00:00:00"/>
    <d v="2014-04-25T00:00:00"/>
    <s v="5.2&#10;（AA SPAN 4.8USD)"/>
    <m/>
    <m/>
    <n v="1"/>
    <m/>
    <m/>
  </r>
  <r>
    <n v="0"/>
    <s v=""/>
    <n v="0"/>
    <s v=""/>
    <x v="3"/>
    <x v="5"/>
    <n v="0"/>
    <s v=""/>
    <x v="1"/>
    <s v=""/>
    <x v="30"/>
    <x v="4"/>
    <x v="3"/>
    <x v="0"/>
    <x v="0"/>
    <x v="0"/>
    <m/>
    <n v="121"/>
    <m/>
    <x v="0"/>
    <x v="1"/>
    <x v="0"/>
    <x v="116"/>
    <x v="2"/>
    <n v="1"/>
    <x v="3"/>
    <x v="8"/>
    <m/>
    <m/>
    <m/>
    <m/>
    <m/>
    <m/>
    <n v="2"/>
    <m/>
    <m/>
  </r>
  <r>
    <n v="1"/>
    <s v="14FW SMB_37_FLAT_BK_N"/>
    <n v="1"/>
    <s v="성진14FW SMB_37_FLAT_BK_N"/>
    <x v="2"/>
    <x v="4"/>
    <n v="1"/>
    <s v="14FW SMB_37_FLAT_BK_N"/>
    <x v="0"/>
    <s v="성진14FW SMB_37_FLAT_BK_N"/>
    <x v="24"/>
    <x v="3"/>
    <x v="0"/>
    <x v="0"/>
    <x v="0"/>
    <x v="0"/>
    <m/>
    <n v="122"/>
    <m/>
    <x v="0"/>
    <x v="1"/>
    <x v="0"/>
    <x v="117"/>
    <x v="2"/>
    <n v="1"/>
    <x v="3"/>
    <x v="7"/>
    <d v="2014-04-24T00:00:00"/>
    <d v="2014-04-24T00:00:00"/>
    <d v="2014-04-29T00:00:00"/>
    <n v="6.05"/>
    <m/>
    <m/>
    <n v="2"/>
    <m/>
    <m/>
  </r>
  <r>
    <n v="1"/>
    <s v="14FW SMB_38_FLAT_BL_N"/>
    <n v="1"/>
    <s v="성진14FW SMB_38_FLAT_BL_N"/>
    <x v="2"/>
    <x v="4"/>
    <n v="1"/>
    <s v="14FW SMB_38_FLAT_BL_N"/>
    <x v="0"/>
    <s v="성진14FW SMB_38_FLAT_BL_N"/>
    <x v="28"/>
    <x v="3"/>
    <x v="0"/>
    <x v="0"/>
    <x v="0"/>
    <x v="0"/>
    <m/>
    <n v="123"/>
    <m/>
    <x v="0"/>
    <x v="1"/>
    <x v="0"/>
    <x v="118"/>
    <x v="2"/>
    <n v="1"/>
    <x v="3"/>
    <x v="7"/>
    <d v="2014-04-24T00:00:00"/>
    <d v="2014-04-25T00:00:00"/>
    <d v="2014-04-25T00:00:00"/>
    <n v="6.15"/>
    <m/>
    <m/>
    <n v="3"/>
    <m/>
    <m/>
  </r>
  <r>
    <n v="1"/>
    <s v="14FW SMB_04_FLAT_BK_N"/>
    <n v="1"/>
    <s v="QF14FW SMB_04_FLAT_BK_N"/>
    <x v="0"/>
    <x v="0"/>
    <n v="1"/>
    <s v="14FW SMB_04_FLAT_BK_N"/>
    <x v="0"/>
    <s v="QF14FW SMB_04_FLAT_BK_N"/>
    <x v="31"/>
    <x v="0"/>
    <x v="0"/>
    <x v="0"/>
    <x v="0"/>
    <x v="0"/>
    <m/>
    <n v="124"/>
    <m/>
    <x v="0"/>
    <x v="1"/>
    <x v="0"/>
    <x v="119"/>
    <x v="2"/>
    <n v="1"/>
    <x v="0"/>
    <x v="1"/>
    <d v="2014-02-21T00:00:00"/>
    <d v="2014-03-31T00:00:00"/>
    <d v="2014-03-31T00:00:00"/>
    <m/>
    <m/>
    <m/>
    <m/>
    <m/>
    <m/>
  </r>
  <r>
    <n v="0.5"/>
    <s v="14FW SMB_08_CURVED_NY_N"/>
    <n v="1"/>
    <s v="동일모자14FW SMB_08_CURVED_NY_N"/>
    <x v="2"/>
    <x v="3"/>
    <n v="0.5"/>
    <s v="14FW SMB_08_CURVED_NY_N"/>
    <x v="0"/>
    <s v="동일모자14FW SMB_08_CURVED_NY_N"/>
    <x v="22"/>
    <x v="3"/>
    <x v="0"/>
    <x v="0"/>
    <x v="0"/>
    <x v="0"/>
    <m/>
    <n v="125"/>
    <m/>
    <x v="0"/>
    <x v="2"/>
    <x v="0"/>
    <x v="20"/>
    <x v="0"/>
    <n v="1"/>
    <x v="1"/>
    <x v="5"/>
    <d v="2014-04-02T00:00:00"/>
    <d v="2014-04-02T00:00:00"/>
    <d v="2014-04-02T00:00:00"/>
    <m/>
    <m/>
    <m/>
    <m/>
    <m/>
    <m/>
  </r>
  <r>
    <n v="1"/>
    <s v="14FWPB 01_FLAT_GY"/>
    <n v="1"/>
    <s v="성진14FWPB 01_FLAT_GY"/>
    <x v="0"/>
    <x v="6"/>
    <n v="1"/>
    <s v="14FWPB 01_FLAT_GY"/>
    <x v="0"/>
    <s v="성진14FWPB 01_FLAT_GY"/>
    <x v="32"/>
    <x v="0"/>
    <x v="1"/>
    <x v="0"/>
    <x v="4"/>
    <x v="4"/>
    <m/>
    <n v="1"/>
    <m/>
    <x v="4"/>
    <x v="0"/>
    <x v="0"/>
    <x v="120"/>
    <x v="3"/>
    <n v="1"/>
    <x v="3"/>
    <x v="9"/>
    <d v="2014-02-12T00:00:00"/>
    <d v="2014-03-17T00:00:00"/>
    <d v="2014-03-06T00:00:00"/>
    <n v="5.8"/>
    <m/>
    <m/>
    <m/>
    <m/>
    <m/>
  </r>
  <r>
    <n v="1"/>
    <s v="14FWPB 02_FLAT_NY"/>
    <n v="1"/>
    <s v="성진14FWPB 02_FLAT_NY"/>
    <x v="0"/>
    <x v="6"/>
    <n v="1"/>
    <s v="14FWPB 02_FLAT_NY"/>
    <x v="0"/>
    <s v="성진14FWPB 02_FLAT_NY"/>
    <x v="32"/>
    <x v="0"/>
    <x v="1"/>
    <x v="0"/>
    <x v="4"/>
    <x v="4"/>
    <m/>
    <n v="2"/>
    <m/>
    <x v="4"/>
    <x v="0"/>
    <x v="0"/>
    <x v="121"/>
    <x v="3"/>
    <n v="1"/>
    <x v="3"/>
    <x v="9"/>
    <d v="2014-02-12T00:00:00"/>
    <d v="2014-03-17T00:00:00"/>
    <d v="2014-03-06T00:00:00"/>
    <n v="5.8"/>
    <m/>
    <m/>
    <m/>
    <m/>
    <m/>
  </r>
  <r>
    <n v="1"/>
    <s v="14FWPB 02_FLAT_RE"/>
    <n v="1"/>
    <s v="성진14FWPB 02_FLAT_RE"/>
    <x v="0"/>
    <x v="6"/>
    <n v="1"/>
    <s v="14FWPB 02_FLAT_RE"/>
    <x v="0"/>
    <s v="성진14FWPB 02_FLAT_RE"/>
    <x v="32"/>
    <x v="0"/>
    <x v="1"/>
    <x v="0"/>
    <x v="4"/>
    <x v="4"/>
    <m/>
    <n v="3"/>
    <m/>
    <x v="4"/>
    <x v="0"/>
    <x v="0"/>
    <x v="122"/>
    <x v="3"/>
    <n v="1"/>
    <x v="3"/>
    <x v="9"/>
    <d v="2014-02-12T00:00:00"/>
    <d v="2014-03-17T00:00:00"/>
    <d v="2014-03-06T00:00:00"/>
    <n v="5.8"/>
    <m/>
    <m/>
    <m/>
    <m/>
    <m/>
  </r>
  <r>
    <n v="1"/>
    <s v="14FWPB 03_FLAT_BK"/>
    <n v="1"/>
    <s v="성진14FWPB 03_FLAT_BK"/>
    <x v="0"/>
    <x v="6"/>
    <n v="1"/>
    <s v="14FWPB 03_FLAT_BK"/>
    <x v="0"/>
    <s v="성진14FWPB 03_FLAT_BK"/>
    <x v="33"/>
    <x v="0"/>
    <x v="0"/>
    <x v="0"/>
    <x v="4"/>
    <x v="4"/>
    <m/>
    <n v="4"/>
    <m/>
    <x v="4"/>
    <x v="0"/>
    <x v="0"/>
    <x v="123"/>
    <x v="3"/>
    <n v="1"/>
    <x v="3"/>
    <x v="9"/>
    <d v="2014-02-12T00:00:00"/>
    <d v="2014-03-17T00:00:00"/>
    <d v="2014-03-10T00:00:00"/>
    <n v="5.3"/>
    <m/>
    <m/>
    <m/>
    <m/>
    <m/>
  </r>
  <r>
    <n v="1"/>
    <s v="14FWPB 04_FLAT_GR"/>
    <n v="1"/>
    <s v="성진14FWPB 04_FLAT_GR"/>
    <x v="0"/>
    <x v="6"/>
    <n v="1"/>
    <s v="14FWPB 04_FLAT_GR"/>
    <x v="0"/>
    <s v="성진14FWPB 04_FLAT_GR"/>
    <x v="33"/>
    <x v="0"/>
    <x v="0"/>
    <x v="0"/>
    <x v="4"/>
    <x v="4"/>
    <m/>
    <n v="5"/>
    <m/>
    <x v="4"/>
    <x v="0"/>
    <x v="0"/>
    <x v="124"/>
    <x v="3"/>
    <n v="1"/>
    <x v="3"/>
    <x v="9"/>
    <d v="2014-02-12T00:00:00"/>
    <d v="2014-03-17T00:00:00"/>
    <d v="2014-03-10T00:00:00"/>
    <n v="5.5"/>
    <m/>
    <m/>
    <m/>
    <m/>
    <m/>
  </r>
  <r>
    <n v="1"/>
    <s v="14FWPB 04_FLAT_OR"/>
    <n v="1"/>
    <s v="성진14FWPB 04_FLAT_OR"/>
    <x v="0"/>
    <x v="6"/>
    <n v="1"/>
    <s v="14FWPB 04_FLAT_OR"/>
    <x v="0"/>
    <s v="성진14FWPB 04_FLAT_OR"/>
    <x v="33"/>
    <x v="0"/>
    <x v="0"/>
    <x v="0"/>
    <x v="4"/>
    <x v="4"/>
    <m/>
    <n v="6"/>
    <m/>
    <x v="4"/>
    <x v="0"/>
    <x v="0"/>
    <x v="125"/>
    <x v="3"/>
    <n v="1"/>
    <x v="3"/>
    <x v="9"/>
    <d v="2014-02-12T00:00:00"/>
    <d v="2014-03-17T00:00:00"/>
    <d v="2014-03-10T00:00:00"/>
    <n v="5.4"/>
    <m/>
    <m/>
    <m/>
    <m/>
    <m/>
  </r>
  <r>
    <n v="1"/>
    <s v="14FWPB 05_FLAT_BK"/>
    <n v="1"/>
    <s v="성진14FWPB 05_FLAT_BK"/>
    <x v="0"/>
    <x v="6"/>
    <n v="1"/>
    <s v="14FWPB 05_FLAT_BK"/>
    <x v="0"/>
    <s v="성진14FWPB 05_FLAT_BK"/>
    <x v="1"/>
    <x v="0"/>
    <x v="0"/>
    <x v="0"/>
    <x v="4"/>
    <x v="4"/>
    <m/>
    <n v="7"/>
    <m/>
    <x v="4"/>
    <x v="0"/>
    <x v="0"/>
    <x v="126"/>
    <x v="3"/>
    <n v="1"/>
    <x v="3"/>
    <x v="9"/>
    <d v="2014-02-12T00:00:00"/>
    <d v="2014-03-17T00:00:00"/>
    <d v="2014-03-18T00:00:00"/>
    <n v="6.1"/>
    <m/>
    <m/>
    <m/>
    <m/>
    <m/>
  </r>
  <r>
    <n v="1"/>
    <s v="14FWPB 05_FLAT_NY"/>
    <n v="1"/>
    <s v="성진14FWPB 05_FLAT_NY"/>
    <x v="0"/>
    <x v="6"/>
    <n v="1"/>
    <s v="14FWPB 05_FLAT_NY"/>
    <x v="0"/>
    <s v="성진14FWPB 05_FLAT_NY"/>
    <x v="1"/>
    <x v="0"/>
    <x v="0"/>
    <x v="0"/>
    <x v="4"/>
    <x v="4"/>
    <m/>
    <n v="8"/>
    <m/>
    <x v="4"/>
    <x v="0"/>
    <x v="0"/>
    <x v="127"/>
    <x v="3"/>
    <n v="1"/>
    <x v="3"/>
    <x v="9"/>
    <d v="2014-02-12T00:00:00"/>
    <d v="2014-03-17T00:00:00"/>
    <d v="2014-03-18T00:00:00"/>
    <n v="6.2"/>
    <m/>
    <m/>
    <m/>
    <m/>
    <m/>
  </r>
  <r>
    <n v="1"/>
    <s v="14FWPB 06_FLAT_RE"/>
    <n v="1"/>
    <s v="성진14FWPB 06_FLAT_RE"/>
    <x v="0"/>
    <x v="6"/>
    <n v="1"/>
    <s v="14FWPB 06_FLAT_RE"/>
    <x v="0"/>
    <s v="성진14FWPB 06_FLAT_RE"/>
    <x v="33"/>
    <x v="0"/>
    <x v="0"/>
    <x v="0"/>
    <x v="4"/>
    <x v="4"/>
    <m/>
    <n v="9"/>
    <m/>
    <x v="4"/>
    <x v="0"/>
    <x v="0"/>
    <x v="128"/>
    <x v="3"/>
    <n v="1"/>
    <x v="3"/>
    <x v="9"/>
    <d v="2014-02-12T00:00:00"/>
    <d v="2014-03-17T00:00:00"/>
    <d v="2014-03-10T00:00:00"/>
    <n v="5.6"/>
    <m/>
    <m/>
    <m/>
    <m/>
    <m/>
  </r>
  <r>
    <n v="1"/>
    <s v="14FWPB 07_FLAT_GY"/>
    <n v="1"/>
    <s v="성진14FWPB 07_FLAT_GY"/>
    <x v="0"/>
    <x v="6"/>
    <n v="1"/>
    <s v="14FWPB 07_FLAT_GY"/>
    <x v="0"/>
    <s v="성진14FWPB 07_FLAT_GY"/>
    <x v="32"/>
    <x v="0"/>
    <x v="1"/>
    <x v="0"/>
    <x v="4"/>
    <x v="4"/>
    <m/>
    <n v="10"/>
    <m/>
    <x v="4"/>
    <x v="0"/>
    <x v="0"/>
    <x v="129"/>
    <x v="3"/>
    <n v="1"/>
    <x v="3"/>
    <x v="9"/>
    <d v="2014-02-12T00:00:00"/>
    <d v="2014-03-17T00:00:00"/>
    <d v="2014-03-06T00:00:00"/>
    <n v="5.5"/>
    <m/>
    <m/>
    <m/>
    <m/>
    <m/>
  </r>
  <r>
    <n v="1"/>
    <s v="14FWPB 08_FLAT_MT"/>
    <n v="1"/>
    <s v="성진14FWPB 08_FLAT_MT"/>
    <x v="2"/>
    <x v="4"/>
    <n v="0"/>
    <s v=""/>
    <x v="1"/>
    <s v=""/>
    <x v="34"/>
    <x v="5"/>
    <x v="0"/>
    <x v="0"/>
    <x v="4"/>
    <x v="4"/>
    <m/>
    <n v="11"/>
    <m/>
    <x v="4"/>
    <x v="0"/>
    <x v="0"/>
    <x v="130"/>
    <x v="3"/>
    <n v="1"/>
    <x v="3"/>
    <x v="10"/>
    <d v="2014-04-07T00:00:00"/>
    <d v="2014-05-15T00:00:00"/>
    <m/>
    <m/>
    <m/>
    <m/>
    <m/>
    <m/>
    <m/>
  </r>
  <r>
    <n v="1"/>
    <s v="14FWPB 08_FLAT_PK"/>
    <n v="1"/>
    <s v="성진14FWPB 08_FLAT_PK"/>
    <x v="2"/>
    <x v="4"/>
    <n v="1"/>
    <s v="14FWPB 08_FLAT_PK"/>
    <x v="0"/>
    <s v="성진14FWPB 08_FLAT_PK"/>
    <x v="26"/>
    <x v="3"/>
    <x v="0"/>
    <x v="0"/>
    <x v="4"/>
    <x v="4"/>
    <m/>
    <n v="12"/>
    <m/>
    <x v="4"/>
    <x v="0"/>
    <x v="0"/>
    <x v="131"/>
    <x v="3"/>
    <n v="1"/>
    <x v="3"/>
    <x v="10"/>
    <d v="2014-04-07T00:00:00"/>
    <d v="2014-05-15T00:00:00"/>
    <d v="2014-04-17T00:00:00"/>
    <m/>
    <m/>
    <m/>
    <m/>
    <m/>
    <m/>
  </r>
  <r>
    <n v="1"/>
    <s v="14FW PB 09_FLAT_BK"/>
    <n v="1"/>
    <s v="성진14FW PB 09_FLAT_BK"/>
    <x v="4"/>
    <x v="4"/>
    <n v="0"/>
    <s v=""/>
    <x v="1"/>
    <s v=""/>
    <x v="35"/>
    <x v="6"/>
    <x v="0"/>
    <x v="0"/>
    <x v="4"/>
    <x v="4"/>
    <m/>
    <n v="13"/>
    <m/>
    <x v="4"/>
    <x v="0"/>
    <x v="0"/>
    <x v="132"/>
    <x v="3"/>
    <n v="1"/>
    <x v="3"/>
    <x v="11"/>
    <d v="2014-06-09T00:00:00"/>
    <d v="2014-06-15T00:00:00"/>
    <m/>
    <m/>
    <m/>
    <m/>
    <m/>
    <m/>
    <m/>
  </r>
  <r>
    <n v="1"/>
    <s v="14FW PB 10_FLAT_BK"/>
    <n v="1"/>
    <s v="성진14FW PB 10_FLAT_BK"/>
    <x v="4"/>
    <x v="4"/>
    <n v="0"/>
    <s v=""/>
    <x v="1"/>
    <s v=""/>
    <x v="36"/>
    <x v="6"/>
    <x v="0"/>
    <x v="0"/>
    <x v="4"/>
    <x v="4"/>
    <m/>
    <n v="14"/>
    <m/>
    <x v="4"/>
    <x v="0"/>
    <x v="0"/>
    <x v="133"/>
    <x v="3"/>
    <n v="1"/>
    <x v="3"/>
    <x v="11"/>
    <d v="2014-06-09T00:00:00"/>
    <d v="2014-06-16T00:00:00"/>
    <m/>
    <m/>
    <m/>
    <m/>
    <m/>
    <m/>
    <m/>
  </r>
  <r>
    <n v="1"/>
    <s v="14FW PB 11_FLAT_BK"/>
    <n v="1"/>
    <s v="성진14FW PB 11_FLAT_BK"/>
    <x v="4"/>
    <x v="4"/>
    <n v="0"/>
    <s v=""/>
    <x v="1"/>
    <s v=""/>
    <x v="37"/>
    <x v="6"/>
    <x v="0"/>
    <x v="0"/>
    <x v="4"/>
    <x v="4"/>
    <m/>
    <n v="15"/>
    <m/>
    <x v="4"/>
    <x v="0"/>
    <x v="0"/>
    <x v="134"/>
    <x v="3"/>
    <n v="1"/>
    <x v="3"/>
    <x v="11"/>
    <d v="2014-06-09T00:00:00"/>
    <d v="2014-06-17T00:00:00"/>
    <m/>
    <m/>
    <m/>
    <m/>
    <m/>
    <m/>
    <m/>
  </r>
  <r>
    <n v="1"/>
    <s v="14FW PB 12_FLAT_BW"/>
    <n v="1"/>
    <s v="성진14FW PB 12_FLAT_BW"/>
    <x v="4"/>
    <x v="4"/>
    <n v="0"/>
    <s v=""/>
    <x v="1"/>
    <s v=""/>
    <x v="38"/>
    <x v="6"/>
    <x v="0"/>
    <x v="0"/>
    <x v="4"/>
    <x v="4"/>
    <m/>
    <n v="16"/>
    <m/>
    <x v="4"/>
    <x v="0"/>
    <x v="0"/>
    <x v="135"/>
    <x v="3"/>
    <n v="1"/>
    <x v="3"/>
    <x v="11"/>
    <d v="2014-06-09T00:00:00"/>
    <d v="2014-06-18T00:00:00"/>
    <m/>
    <m/>
    <m/>
    <m/>
    <m/>
    <m/>
    <m/>
  </r>
  <r>
    <n v="0.5"/>
    <s v="14FW-JILL-BY_01_NV"/>
    <n v="1"/>
    <s v="FOREMOST14FW-JILL-BY_01_NV"/>
    <x v="0"/>
    <x v="6"/>
    <n v="0.5"/>
    <s v="14FW-JILL-BY_01_NV"/>
    <x v="0"/>
    <s v="FOREMOST14FW-JILL-BY_01_NV"/>
    <x v="39"/>
    <x v="0"/>
    <x v="0"/>
    <x v="0"/>
    <x v="5"/>
    <x v="5"/>
    <m/>
    <n v="1"/>
    <m/>
    <x v="5"/>
    <x v="5"/>
    <x v="0"/>
    <x v="136"/>
    <x v="3"/>
    <n v="0.5"/>
    <x v="4"/>
    <x v="12"/>
    <d v="2014-02-13T00:00:00"/>
    <d v="2014-02-13T00:00:00"/>
    <d v="2014-03-14T00:00:00"/>
    <n v="3.85"/>
    <m/>
    <m/>
    <n v="3"/>
    <n v="0"/>
    <m/>
  </r>
  <r>
    <n v="0.5"/>
    <s v="14FW-JILL-BY_01_NV"/>
    <n v="1"/>
    <s v="동일모자14FW-JILL-BY_01_NV"/>
    <x v="0"/>
    <x v="6"/>
    <n v="0.5"/>
    <s v="14FW-JILL-BY_01_NV"/>
    <x v="0"/>
    <s v="동일모자14FW-JILL-BY_01_NV"/>
    <x v="40"/>
    <x v="7"/>
    <x v="5"/>
    <x v="0"/>
    <x v="5"/>
    <x v="5"/>
    <m/>
    <n v="2"/>
    <m/>
    <x v="5"/>
    <x v="5"/>
    <x v="0"/>
    <x v="136"/>
    <x v="3"/>
    <n v="0.5"/>
    <x v="1"/>
    <x v="12"/>
    <d v="2014-02-13T00:00:00"/>
    <d v="2014-02-13T00:00:00"/>
    <d v="2014-01-31T00:00:00"/>
    <n v="4.7"/>
    <m/>
    <m/>
    <n v="3"/>
    <n v="0"/>
    <m/>
  </r>
  <r>
    <n v="1"/>
    <s v="14FW-JILL-BY_02_GY"/>
    <n v="1"/>
    <s v="FOREMOST14FW-JILL-BY_02_GY"/>
    <x v="0"/>
    <x v="6"/>
    <n v="1"/>
    <s v="14FW-JILL-BY_02_GY"/>
    <x v="0"/>
    <s v="FOREMOST14FW-JILL-BY_02_GY"/>
    <x v="41"/>
    <x v="0"/>
    <x v="0"/>
    <x v="0"/>
    <x v="5"/>
    <x v="5"/>
    <m/>
    <n v="3"/>
    <m/>
    <x v="5"/>
    <x v="5"/>
    <x v="0"/>
    <x v="137"/>
    <x v="3"/>
    <n v="1"/>
    <x v="4"/>
    <x v="12"/>
    <d v="2014-02-13T00:00:00"/>
    <d v="2014-02-13T00:00:00"/>
    <d v="2014-03-12T00:00:00"/>
    <m/>
    <m/>
    <m/>
    <n v="3"/>
    <n v="0"/>
    <m/>
  </r>
  <r>
    <n v="1"/>
    <s v="14FW-JILL-BY_03_BG"/>
    <n v="1"/>
    <s v="FOREMOST14FW-JILL-BY_03_BG"/>
    <x v="0"/>
    <x v="6"/>
    <n v="1"/>
    <s v="14FW-JILL-BY_03_BG"/>
    <x v="0"/>
    <s v="FOREMOST14FW-JILL-BY_03_BG"/>
    <x v="2"/>
    <x v="0"/>
    <x v="0"/>
    <x v="0"/>
    <x v="5"/>
    <x v="5"/>
    <m/>
    <n v="4"/>
    <m/>
    <x v="5"/>
    <x v="1"/>
    <x v="0"/>
    <x v="138"/>
    <x v="3"/>
    <n v="1"/>
    <x v="4"/>
    <x v="12"/>
    <d v="2014-02-13T00:00:00"/>
    <d v="2014-02-13T00:00:00"/>
    <d v="2014-03-19T00:00:00"/>
    <n v="4.4000000000000004"/>
    <m/>
    <s v="2&#10;뒷고리참조/위테일러크라운쉐입참조"/>
    <n v="3"/>
    <n v="2"/>
    <m/>
  </r>
  <r>
    <n v="1"/>
    <s v="14FW-JILL-BY_04_GY"/>
    <n v="1"/>
    <s v="FOREMOST14FW-JILL-BY_04_GY"/>
    <x v="0"/>
    <x v="6"/>
    <n v="1"/>
    <s v="14FW-JILL-BY_04_GY"/>
    <x v="0"/>
    <s v="FOREMOST14FW-JILL-BY_04_GY"/>
    <x v="9"/>
    <x v="0"/>
    <x v="0"/>
    <x v="0"/>
    <x v="5"/>
    <x v="5"/>
    <m/>
    <n v="5"/>
    <m/>
    <x v="5"/>
    <x v="2"/>
    <x v="0"/>
    <x v="139"/>
    <x v="3"/>
    <n v="1"/>
    <x v="4"/>
    <x v="12"/>
    <d v="2014-02-13T00:00:00"/>
    <d v="2014-02-13T00:00:00"/>
    <d v="2014-03-24T00:00:00"/>
    <n v="4.5999999999999996"/>
    <m/>
    <m/>
    <n v="5"/>
    <n v="3"/>
    <m/>
  </r>
  <r>
    <n v="1"/>
    <s v="14FW-JILL-BY_05_MT"/>
    <n v="1"/>
    <s v="FOREMOST14FW-JILL-BY_05_MT"/>
    <x v="0"/>
    <x v="6"/>
    <n v="1"/>
    <s v="14FW-JILL-BY_05_MT"/>
    <x v="0"/>
    <s v="FOREMOST14FW-JILL-BY_05_MT"/>
    <x v="9"/>
    <x v="0"/>
    <x v="0"/>
    <x v="0"/>
    <x v="5"/>
    <x v="5"/>
    <m/>
    <n v="6"/>
    <m/>
    <x v="5"/>
    <x v="2"/>
    <x v="0"/>
    <x v="140"/>
    <x v="3"/>
    <n v="1"/>
    <x v="4"/>
    <x v="12"/>
    <d v="2014-02-13T00:00:00"/>
    <d v="2014-02-13T00:00:00"/>
    <d v="2014-03-24T00:00:00"/>
    <n v="5.95"/>
    <m/>
    <m/>
    <n v="5"/>
    <n v="1"/>
    <m/>
  </r>
  <r>
    <n v="1"/>
    <s v="14FW-JILL-BY_06_IV"/>
    <n v="1"/>
    <s v="FOREMOST14FW-JILL-BY_06_IV"/>
    <x v="0"/>
    <x v="6"/>
    <n v="1"/>
    <s v="14FW-JILL-BY_06_IV"/>
    <x v="0"/>
    <s v="FOREMOST14FW-JILL-BY_06_IV"/>
    <x v="22"/>
    <x v="3"/>
    <x v="0"/>
    <x v="0"/>
    <x v="5"/>
    <x v="5"/>
    <m/>
    <n v="7"/>
    <m/>
    <x v="5"/>
    <x v="2"/>
    <x v="0"/>
    <x v="141"/>
    <x v="3"/>
    <n v="1"/>
    <x v="4"/>
    <x v="12"/>
    <d v="2014-02-13T00:00:00"/>
    <d v="2014-02-13T00:00:00"/>
    <d v="2014-04-02T00:00:00"/>
    <m/>
    <m/>
    <m/>
    <n v="6"/>
    <n v="2"/>
    <m/>
  </r>
  <r>
    <n v="1"/>
    <s v="14FW-JILL-BY_07_NV"/>
    <n v="1"/>
    <s v="FOREMOST14FW-JILL-BY_07_NV"/>
    <x v="0"/>
    <x v="6"/>
    <n v="1"/>
    <s v="14FW-JILL-BY_07_NV"/>
    <x v="0"/>
    <s v="FOREMOST14FW-JILL-BY_07_NV"/>
    <x v="42"/>
    <x v="3"/>
    <x v="0"/>
    <x v="0"/>
    <x v="5"/>
    <x v="5"/>
    <m/>
    <n v="8"/>
    <m/>
    <x v="5"/>
    <x v="6"/>
    <x v="0"/>
    <x v="142"/>
    <x v="3"/>
    <n v="1"/>
    <x v="4"/>
    <x v="12"/>
    <d v="2014-02-13T00:00:00"/>
    <d v="2014-02-13T00:00:00"/>
    <d v="2014-04-08T00:00:00"/>
    <m/>
    <m/>
    <m/>
    <n v="3"/>
    <n v="1"/>
    <m/>
  </r>
  <r>
    <n v="1"/>
    <s v="14FW-JILLBY-08-BK"/>
    <n v="1"/>
    <s v="FOREMOST14FW-JILLBY-08-BK"/>
    <x v="0"/>
    <x v="6"/>
    <n v="1"/>
    <s v="14FW-JILLBY-08-BK"/>
    <x v="0"/>
    <s v="FOREMOST14FW-JILLBY-08-BK"/>
    <x v="2"/>
    <x v="0"/>
    <x v="0"/>
    <x v="0"/>
    <x v="5"/>
    <x v="5"/>
    <m/>
    <n v="9"/>
    <m/>
    <x v="5"/>
    <x v="5"/>
    <x v="0"/>
    <x v="143"/>
    <x v="3"/>
    <n v="1"/>
    <x v="4"/>
    <x v="12"/>
    <d v="2014-02-13T00:00:00"/>
    <d v="2014-02-13T00:00:00"/>
    <d v="2014-03-19T00:00:00"/>
    <n v="5.05"/>
    <m/>
    <m/>
    <n v="4"/>
    <n v="3"/>
    <m/>
  </r>
  <r>
    <n v="1"/>
    <s v="14FW-JILLBY-09-KH"/>
    <n v="1"/>
    <s v="FOREMOST14FW-JILLBY-09-KH"/>
    <x v="0"/>
    <x v="6"/>
    <n v="1"/>
    <s v="14FW-JILLBY-09-KH"/>
    <x v="0"/>
    <s v="FOREMOST14FW-JILLBY-09-KH"/>
    <x v="41"/>
    <x v="0"/>
    <x v="0"/>
    <x v="0"/>
    <x v="5"/>
    <x v="5"/>
    <m/>
    <n v="10"/>
    <m/>
    <x v="5"/>
    <x v="5"/>
    <x v="0"/>
    <x v="144"/>
    <x v="3"/>
    <n v="1"/>
    <x v="4"/>
    <x v="12"/>
    <d v="2014-02-13T00:00:00"/>
    <d v="2014-02-13T00:00:00"/>
    <d v="2014-03-12T00:00:00"/>
    <n v="3.85"/>
    <m/>
    <m/>
    <n v="4"/>
    <n v="1"/>
    <m/>
  </r>
  <r>
    <n v="0.5"/>
    <s v="14FW-JILLBY-10-GY"/>
    <n v="1"/>
    <s v="FOREMOST14FW-JILLBY-10-GY"/>
    <x v="0"/>
    <x v="6"/>
    <n v="0.5"/>
    <s v="14FW-JILLBY-10-GY"/>
    <x v="0"/>
    <s v="FOREMOST14FW-JILLBY-10-GY"/>
    <x v="1"/>
    <x v="0"/>
    <x v="0"/>
    <x v="0"/>
    <x v="5"/>
    <x v="5"/>
    <m/>
    <n v="11"/>
    <m/>
    <x v="5"/>
    <x v="5"/>
    <x v="0"/>
    <x v="145"/>
    <x v="3"/>
    <n v="0.5"/>
    <x v="4"/>
    <x v="12"/>
    <d v="2014-02-13T00:00:00"/>
    <d v="2014-02-13T00:00:00"/>
    <d v="2014-03-18T00:00:00"/>
    <n v="4.75"/>
    <m/>
    <m/>
    <n v="3"/>
    <n v="1"/>
    <m/>
  </r>
  <r>
    <n v="0.5"/>
    <s v="14FW-JILLBY-10-GY"/>
    <n v="1"/>
    <s v="동일모자14FW-JILLBY-10-GY"/>
    <x v="0"/>
    <x v="6"/>
    <n v="0.5"/>
    <s v="14FW-JILLBY-10-GY"/>
    <x v="0"/>
    <s v="동일모자14FW-JILLBY-10-GY"/>
    <x v="40"/>
    <x v="7"/>
    <x v="5"/>
    <x v="0"/>
    <x v="5"/>
    <x v="5"/>
    <m/>
    <n v="12"/>
    <m/>
    <x v="5"/>
    <x v="5"/>
    <x v="0"/>
    <x v="145"/>
    <x v="3"/>
    <n v="0.5"/>
    <x v="1"/>
    <x v="12"/>
    <d v="2014-02-13T00:00:00"/>
    <d v="2014-02-13T00:00:00"/>
    <d v="2014-01-31T00:00:00"/>
    <n v="4.8"/>
    <m/>
    <m/>
    <n v="3"/>
    <n v="1"/>
    <m/>
  </r>
  <r>
    <n v="1"/>
    <s v="14FW-JILLBY-11-GY"/>
    <n v="1"/>
    <s v="FOREMOST14FW-JILLBY-11-GY"/>
    <x v="0"/>
    <x v="6"/>
    <n v="1"/>
    <s v="14FW-JILLBY-11-GY"/>
    <x v="0"/>
    <s v="FOREMOST14FW-JILLBY-11-GY"/>
    <x v="5"/>
    <x v="0"/>
    <x v="0"/>
    <x v="0"/>
    <x v="5"/>
    <x v="5"/>
    <m/>
    <n v="13"/>
    <m/>
    <x v="5"/>
    <x v="1"/>
    <x v="0"/>
    <x v="146"/>
    <x v="3"/>
    <n v="1"/>
    <x v="4"/>
    <x v="12"/>
    <d v="2014-02-13T00:00:00"/>
    <d v="2014-02-13T00:00:00"/>
    <d v="2014-03-21T00:00:00"/>
    <n v="4.3499999999999996"/>
    <m/>
    <m/>
    <n v="5"/>
    <n v="2"/>
    <m/>
  </r>
  <r>
    <n v="1"/>
    <s v="14FW-JILLBY-12-BG"/>
    <n v="1"/>
    <s v="FOREMOST14FW-JILLBY-12-BG"/>
    <x v="0"/>
    <x v="6"/>
    <n v="1"/>
    <s v="14FW-JILLBY-12-BG"/>
    <x v="0"/>
    <s v="FOREMOST14FW-JILLBY-12-BG"/>
    <x v="1"/>
    <x v="0"/>
    <x v="0"/>
    <x v="0"/>
    <x v="5"/>
    <x v="5"/>
    <m/>
    <n v="14"/>
    <m/>
    <x v="5"/>
    <x v="1"/>
    <x v="0"/>
    <x v="147"/>
    <x v="3"/>
    <n v="1"/>
    <x v="4"/>
    <x v="12"/>
    <d v="2014-02-13T00:00:00"/>
    <d v="2014-02-13T00:00:00"/>
    <d v="2014-03-18T00:00:00"/>
    <n v="5.05"/>
    <m/>
    <m/>
    <n v="5"/>
    <n v="2"/>
    <m/>
  </r>
  <r>
    <n v="1"/>
    <s v="14FW-JILLBY-13-PK"/>
    <n v="1"/>
    <s v="FOREMOST14FW-JILLBY-13-PK"/>
    <x v="0"/>
    <x v="6"/>
    <n v="1"/>
    <s v="14FW-JILLBY-13-PK"/>
    <x v="0"/>
    <s v="FOREMOST14FW-JILLBY-13-PK"/>
    <x v="10"/>
    <x v="0"/>
    <x v="0"/>
    <x v="0"/>
    <x v="5"/>
    <x v="5"/>
    <m/>
    <n v="15"/>
    <m/>
    <x v="5"/>
    <x v="1"/>
    <x v="0"/>
    <x v="148"/>
    <x v="3"/>
    <n v="1"/>
    <x v="4"/>
    <x v="12"/>
    <d v="2014-02-13T00:00:00"/>
    <d v="2014-02-13T00:00:00"/>
    <d v="2014-03-27T00:00:00"/>
    <n v="4.3"/>
    <m/>
    <m/>
    <n v="5"/>
    <n v="1"/>
    <m/>
  </r>
  <r>
    <n v="1"/>
    <s v="14FW-JILLBY-14-GY"/>
    <n v="1"/>
    <s v="FOREMOST14FW-JILLBY-14-GY"/>
    <x v="0"/>
    <x v="6"/>
    <n v="1"/>
    <s v="14FW-JILLBY-14-GY"/>
    <x v="0"/>
    <s v="FOREMOST14FW-JILLBY-14-GY"/>
    <x v="1"/>
    <x v="0"/>
    <x v="0"/>
    <x v="0"/>
    <x v="5"/>
    <x v="5"/>
    <m/>
    <n v="16"/>
    <m/>
    <x v="5"/>
    <x v="1"/>
    <x v="0"/>
    <x v="149"/>
    <x v="3"/>
    <n v="1"/>
    <x v="4"/>
    <x v="12"/>
    <d v="2014-02-13T00:00:00"/>
    <d v="2014-02-13T00:00:00"/>
    <d v="2014-03-18T00:00:00"/>
    <n v="9"/>
    <m/>
    <m/>
    <n v="4"/>
    <n v="2"/>
    <m/>
  </r>
  <r>
    <n v="1"/>
    <s v="14FW-JILLBY-15-BK"/>
    <n v="1"/>
    <s v="FOREMOST14FW-JILLBY-15-BK"/>
    <x v="0"/>
    <x v="6"/>
    <n v="1"/>
    <s v="14FW-JILLBY-15-BK"/>
    <x v="0"/>
    <s v="FOREMOST14FW-JILLBY-15-BK"/>
    <x v="1"/>
    <x v="0"/>
    <x v="0"/>
    <x v="0"/>
    <x v="5"/>
    <x v="5"/>
    <m/>
    <n v="17"/>
    <m/>
    <x v="5"/>
    <x v="1"/>
    <x v="0"/>
    <x v="150"/>
    <x v="3"/>
    <n v="1"/>
    <x v="4"/>
    <x v="12"/>
    <d v="2014-02-13T00:00:00"/>
    <d v="2014-02-13T00:00:00"/>
    <d v="2014-03-18T00:00:00"/>
    <n v="5.6"/>
    <m/>
    <n v="41655"/>
    <n v="4"/>
    <n v="2"/>
    <m/>
  </r>
  <r>
    <n v="1"/>
    <s v="14FW JILL BY_16_NV"/>
    <n v="1"/>
    <s v="FOREMOST14FW JILL BY_16_NV"/>
    <x v="1"/>
    <x v="1"/>
    <n v="1"/>
    <s v="14FW JILL BY_16_NV"/>
    <x v="0"/>
    <s v="FOREMOST14FW JILL BY_16_NV"/>
    <x v="41"/>
    <x v="0"/>
    <x v="0"/>
    <x v="0"/>
    <x v="5"/>
    <x v="5"/>
    <m/>
    <n v="18"/>
    <m/>
    <x v="5"/>
    <x v="6"/>
    <x v="0"/>
    <x v="151"/>
    <x v="3"/>
    <n v="1"/>
    <x v="4"/>
    <x v="13"/>
    <d v="2014-03-06T00:00:00"/>
    <d v="2014-03-06T00:00:00"/>
    <d v="2014-03-12T00:00:00"/>
    <n v="5.45"/>
    <m/>
    <m/>
    <n v="3"/>
    <n v="2"/>
    <m/>
  </r>
  <r>
    <n v="1"/>
    <s v="14FW-JILLBY-17-BG"/>
    <n v="1"/>
    <s v="FOREMOST14FW-JILLBY-17-BG"/>
    <x v="1"/>
    <x v="1"/>
    <n v="1"/>
    <s v="14FW-JILLBY-17-BG"/>
    <x v="0"/>
    <s v="FOREMOST14FW-JILLBY-17-BG"/>
    <x v="39"/>
    <x v="0"/>
    <x v="0"/>
    <x v="0"/>
    <x v="5"/>
    <x v="5"/>
    <m/>
    <n v="19"/>
    <m/>
    <x v="5"/>
    <x v="2"/>
    <x v="0"/>
    <x v="152"/>
    <x v="3"/>
    <n v="1"/>
    <x v="4"/>
    <x v="13"/>
    <d v="2014-03-06T00:00:00"/>
    <d v="2014-03-06T00:00:00"/>
    <d v="2014-03-14T00:00:00"/>
    <n v="3.85"/>
    <m/>
    <m/>
    <n v="6"/>
    <n v="2"/>
    <m/>
  </r>
  <r>
    <n v="1"/>
    <s v="14FW-JILLBY-18-BK"/>
    <n v="1"/>
    <s v="FOREMOST14FW-JILLBY-18-BK"/>
    <x v="1"/>
    <x v="1"/>
    <n v="1"/>
    <s v="14FW-JILLBY-18-BK"/>
    <x v="0"/>
    <s v="FOREMOST14FW-JILLBY-18-BK"/>
    <x v="1"/>
    <x v="0"/>
    <x v="0"/>
    <x v="0"/>
    <x v="5"/>
    <x v="5"/>
    <m/>
    <n v="20"/>
    <m/>
    <x v="5"/>
    <x v="5"/>
    <x v="0"/>
    <x v="153"/>
    <x v="3"/>
    <n v="1"/>
    <x v="4"/>
    <x v="13"/>
    <d v="2014-03-06T00:00:00"/>
    <d v="2014-03-06T00:00:00"/>
    <d v="2014-03-18T00:00:00"/>
    <n v="4.45"/>
    <m/>
    <m/>
    <n v="6"/>
    <n v="2"/>
    <m/>
  </r>
  <r>
    <n v="1"/>
    <s v="14FW-JILLBY-19-NV"/>
    <n v="1"/>
    <s v="FOREMOST14FW-JILLBY-19-NV"/>
    <x v="1"/>
    <x v="1"/>
    <n v="1"/>
    <s v="14FW-JILLBY-19-NV"/>
    <x v="0"/>
    <s v="FOREMOST14FW-JILLBY-19-NV"/>
    <x v="1"/>
    <x v="0"/>
    <x v="0"/>
    <x v="0"/>
    <x v="5"/>
    <x v="5"/>
    <m/>
    <n v="21"/>
    <m/>
    <x v="5"/>
    <x v="5"/>
    <x v="0"/>
    <x v="154"/>
    <x v="3"/>
    <n v="1"/>
    <x v="4"/>
    <x v="13"/>
    <d v="2014-03-06T00:00:00"/>
    <d v="2014-03-06T00:00:00"/>
    <d v="2014-03-18T00:00:00"/>
    <n v="4.8"/>
    <m/>
    <m/>
    <n v="6"/>
    <n v="2"/>
    <m/>
  </r>
  <r>
    <n v="1"/>
    <s v="14FW-JILLBY-20-KH"/>
    <n v="1"/>
    <s v="FOREMOST14FW-JILLBY-20-KH"/>
    <x v="1"/>
    <x v="1"/>
    <n v="1"/>
    <s v="14FW-JILLBY-20-KH"/>
    <x v="0"/>
    <s v="FOREMOST14FW-JILLBY-20-KH"/>
    <x v="39"/>
    <x v="0"/>
    <x v="0"/>
    <x v="0"/>
    <x v="5"/>
    <x v="5"/>
    <m/>
    <n v="22"/>
    <m/>
    <x v="5"/>
    <x v="3"/>
    <x v="0"/>
    <x v="155"/>
    <x v="3"/>
    <n v="1"/>
    <x v="4"/>
    <x v="13"/>
    <d v="2014-03-06T00:00:00"/>
    <d v="2014-03-06T00:00:00"/>
    <d v="2014-03-14T00:00:00"/>
    <n v="3.3"/>
    <m/>
    <m/>
    <n v="4"/>
    <n v="0"/>
    <m/>
  </r>
  <r>
    <n v="1"/>
    <s v="14FW-JILLBY-21-GR"/>
    <n v="1"/>
    <s v="FOREMOST14FW-JILLBY-21-GR"/>
    <x v="1"/>
    <x v="1"/>
    <n v="1"/>
    <s v="14FW-JILLBY-21-GR"/>
    <x v="0"/>
    <s v="FOREMOST14FW-JILLBY-21-GR"/>
    <x v="9"/>
    <x v="0"/>
    <x v="0"/>
    <x v="0"/>
    <x v="5"/>
    <x v="5"/>
    <m/>
    <n v="23"/>
    <m/>
    <x v="5"/>
    <x v="2"/>
    <x v="0"/>
    <x v="156"/>
    <x v="3"/>
    <n v="1"/>
    <x v="4"/>
    <x v="13"/>
    <d v="2014-03-06T00:00:00"/>
    <d v="2014-03-06T00:00:00"/>
    <d v="2014-03-24T00:00:00"/>
    <m/>
    <m/>
    <m/>
    <n v="3"/>
    <n v="2"/>
    <m/>
  </r>
  <r>
    <n v="1"/>
    <s v="14FW-JILLBY-22-GY"/>
    <n v="1"/>
    <s v="FOREMOST14FW-JILLBY-22-GY"/>
    <x v="1"/>
    <x v="1"/>
    <n v="1"/>
    <s v="14FW-JILLBY-22-GY"/>
    <x v="0"/>
    <s v="FOREMOST14FW-JILLBY-22-GY"/>
    <x v="10"/>
    <x v="0"/>
    <x v="0"/>
    <x v="0"/>
    <x v="5"/>
    <x v="5"/>
    <m/>
    <n v="24"/>
    <m/>
    <x v="5"/>
    <x v="3"/>
    <x v="0"/>
    <x v="157"/>
    <x v="3"/>
    <n v="1"/>
    <x v="4"/>
    <x v="13"/>
    <d v="2014-03-06T00:00:00"/>
    <d v="2014-03-06T00:00:00"/>
    <d v="2014-03-27T00:00:00"/>
    <n v="5.65"/>
    <m/>
    <m/>
    <n v="3"/>
    <n v="1"/>
    <m/>
  </r>
  <r>
    <n v="1"/>
    <s v="14FW-JILLBY-23-KH"/>
    <n v="1"/>
    <s v="FOREMOST14FW-JILLBY-23-KH"/>
    <x v="1"/>
    <x v="1"/>
    <n v="1"/>
    <s v="14FW-JILLBY-23-KH"/>
    <x v="0"/>
    <s v="FOREMOST14FW-JILLBY-23-KH"/>
    <x v="9"/>
    <x v="0"/>
    <x v="0"/>
    <x v="0"/>
    <x v="5"/>
    <x v="5"/>
    <m/>
    <n v="25"/>
    <m/>
    <x v="5"/>
    <x v="3"/>
    <x v="0"/>
    <x v="158"/>
    <x v="3"/>
    <n v="1"/>
    <x v="4"/>
    <x v="13"/>
    <d v="2014-03-06T00:00:00"/>
    <d v="2014-03-06T00:00:00"/>
    <d v="2014-03-24T00:00:00"/>
    <m/>
    <m/>
    <m/>
    <n v="5"/>
    <n v="2"/>
    <m/>
  </r>
  <r>
    <n v="1"/>
    <s v="14FW-JILLBY-24-PK"/>
    <n v="1"/>
    <s v="FOREMOST14FW-JILLBY-24-PK"/>
    <x v="1"/>
    <x v="1"/>
    <n v="1"/>
    <s v="14FW-JILLBY-24-PK"/>
    <x v="0"/>
    <s v="FOREMOST14FW-JILLBY-24-PK"/>
    <x v="43"/>
    <x v="3"/>
    <x v="0"/>
    <x v="0"/>
    <x v="5"/>
    <x v="5"/>
    <m/>
    <n v="26"/>
    <m/>
    <x v="5"/>
    <x v="3"/>
    <x v="0"/>
    <x v="159"/>
    <x v="3"/>
    <n v="1"/>
    <x v="4"/>
    <x v="13"/>
    <d v="2014-03-06T00:00:00"/>
    <d v="2014-03-06T00:00:00"/>
    <d v="2014-04-03T00:00:00"/>
    <m/>
    <m/>
    <m/>
    <m/>
    <m/>
    <s v="원단죽음 발주 X"/>
  </r>
  <r>
    <n v="1"/>
    <s v="14FW-JILLBY-25-GY"/>
    <n v="1"/>
    <s v="FOREMOST14FW-JILLBY-25-GY"/>
    <x v="1"/>
    <x v="1"/>
    <n v="1"/>
    <s v="14FW-JILLBY-25-GY"/>
    <x v="0"/>
    <s v="FOREMOST14FW-JILLBY-25-GY"/>
    <x v="10"/>
    <x v="0"/>
    <x v="0"/>
    <x v="0"/>
    <x v="5"/>
    <x v="5"/>
    <m/>
    <n v="27"/>
    <m/>
    <x v="5"/>
    <x v="3"/>
    <x v="0"/>
    <x v="160"/>
    <x v="3"/>
    <n v="1"/>
    <x v="4"/>
    <x v="13"/>
    <d v="2014-03-06T00:00:00"/>
    <d v="2014-03-06T00:00:00"/>
    <d v="2014-03-27T00:00:00"/>
    <n v="6.85"/>
    <m/>
    <m/>
    <n v="5"/>
    <n v="2"/>
    <m/>
  </r>
  <r>
    <n v="1"/>
    <s v="14FW-JILLBY-26-BK"/>
    <n v="1"/>
    <s v="FOREMOST14FW-JILLBY-26-BK"/>
    <x v="1"/>
    <x v="1"/>
    <n v="1"/>
    <s v="14FW-JILLBY-26-BK"/>
    <x v="0"/>
    <s v="FOREMOST14FW-JILLBY-26-BK"/>
    <x v="44"/>
    <x v="3"/>
    <x v="0"/>
    <x v="0"/>
    <x v="5"/>
    <x v="5"/>
    <m/>
    <n v="28"/>
    <m/>
    <x v="5"/>
    <x v="2"/>
    <x v="0"/>
    <x v="161"/>
    <x v="3"/>
    <n v="1"/>
    <x v="4"/>
    <x v="13"/>
    <d v="2014-03-06T00:00:00"/>
    <d v="2014-03-06T00:00:00"/>
    <d v="2014-04-11T00:00:00"/>
    <m/>
    <m/>
    <m/>
    <n v="5"/>
    <n v="5"/>
    <m/>
  </r>
  <r>
    <n v="1"/>
    <s v="14FW-JILLBY-27-BW"/>
    <n v="1"/>
    <s v="FOREMOST14FW-JILLBY-27-BW"/>
    <x v="1"/>
    <x v="1"/>
    <n v="1"/>
    <s v="14FW-JILLBY-27-BW"/>
    <x v="0"/>
    <s v="FOREMOST14FW-JILLBY-27-BW"/>
    <x v="44"/>
    <x v="3"/>
    <x v="0"/>
    <x v="0"/>
    <x v="5"/>
    <x v="5"/>
    <m/>
    <n v="29"/>
    <m/>
    <x v="5"/>
    <x v="2"/>
    <x v="0"/>
    <x v="162"/>
    <x v="3"/>
    <n v="1"/>
    <x v="4"/>
    <x v="13"/>
    <d v="2014-03-06T00:00:00"/>
    <d v="2014-03-06T00:00:00"/>
    <d v="2014-04-11T00:00:00"/>
    <m/>
    <m/>
    <m/>
    <n v="6"/>
    <n v="4"/>
    <m/>
  </r>
  <r>
    <n v="1"/>
    <s v="14FW-JILLBY-28-BL"/>
    <n v="1"/>
    <s v="FOREMOST14FW-JILLBY-28-BL"/>
    <x v="1"/>
    <x v="1"/>
    <n v="1"/>
    <s v="14FW-JILLBY-28-BL"/>
    <x v="0"/>
    <s v="FOREMOST14FW-JILLBY-28-BL"/>
    <x v="15"/>
    <x v="3"/>
    <x v="0"/>
    <x v="0"/>
    <x v="5"/>
    <x v="5"/>
    <m/>
    <n v="30"/>
    <m/>
    <x v="5"/>
    <x v="2"/>
    <x v="0"/>
    <x v="163"/>
    <x v="3"/>
    <n v="1"/>
    <x v="4"/>
    <x v="13"/>
    <d v="2014-03-06T00:00:00"/>
    <d v="2014-03-06T00:00:00"/>
    <d v="2014-04-07T00:00:00"/>
    <m/>
    <m/>
    <m/>
    <n v="5"/>
    <n v="3"/>
    <m/>
  </r>
  <r>
    <n v="1"/>
    <s v="14FW-JILLBY-29-BG"/>
    <n v="1"/>
    <s v="FOREMOST14FW-JILLBY-29-BG"/>
    <x v="1"/>
    <x v="1"/>
    <n v="1"/>
    <s v="14FW-JILLBY-29-BG"/>
    <x v="0"/>
    <s v="FOREMOST14FW-JILLBY-29-BG"/>
    <x v="9"/>
    <x v="0"/>
    <x v="0"/>
    <x v="0"/>
    <x v="5"/>
    <x v="5"/>
    <m/>
    <n v="31"/>
    <m/>
    <x v="5"/>
    <x v="2"/>
    <x v="0"/>
    <x v="164"/>
    <x v="3"/>
    <n v="1"/>
    <x v="4"/>
    <x v="13"/>
    <d v="2014-03-06T00:00:00"/>
    <d v="2014-03-06T00:00:00"/>
    <d v="2014-03-24T00:00:00"/>
    <n v="7.15"/>
    <m/>
    <m/>
    <n v="6"/>
    <n v="5"/>
    <m/>
  </r>
  <r>
    <n v="1"/>
    <s v="14FW-JILLBY-30-BG"/>
    <n v="1"/>
    <s v="FOREMOST14FW-JILLBY-30-BG"/>
    <x v="1"/>
    <x v="1"/>
    <n v="1"/>
    <s v="14FW-JILLBY-30-BG"/>
    <x v="0"/>
    <s v="FOREMOST14FW-JILLBY-30-BG"/>
    <x v="5"/>
    <x v="0"/>
    <x v="0"/>
    <x v="0"/>
    <x v="5"/>
    <x v="5"/>
    <m/>
    <n v="32"/>
    <m/>
    <x v="5"/>
    <x v="2"/>
    <x v="0"/>
    <x v="165"/>
    <x v="3"/>
    <n v="1"/>
    <x v="4"/>
    <x v="13"/>
    <d v="2014-03-06T00:00:00"/>
    <d v="2014-03-06T00:00:00"/>
    <d v="2014-03-21T00:00:00"/>
    <n v="4.95"/>
    <m/>
    <m/>
    <n v="5"/>
    <n v="2"/>
    <m/>
  </r>
  <r>
    <n v="1"/>
    <s v="14FW-JILL-BY_SP_31_BK"/>
    <n v="1"/>
    <s v="FOREMOST14FW-JILL-BY_SP_31_BK"/>
    <x v="1"/>
    <x v="1"/>
    <n v="1"/>
    <s v="14FW-JILL-BY_SP_31_BK"/>
    <x v="0"/>
    <s v="FOREMOST14FW-JILL-BY_SP_31_BK"/>
    <x v="9"/>
    <x v="0"/>
    <x v="0"/>
    <x v="0"/>
    <x v="5"/>
    <x v="5"/>
    <m/>
    <n v="33"/>
    <m/>
    <x v="5"/>
    <x v="2"/>
    <x v="0"/>
    <x v="166"/>
    <x v="3"/>
    <n v="1"/>
    <x v="4"/>
    <x v="13"/>
    <d v="2014-03-06T00:00:00"/>
    <d v="2014-03-06T00:00:00"/>
    <d v="2014-03-24T00:00:00"/>
    <n v="6.15"/>
    <m/>
    <m/>
    <n v="5"/>
    <n v="4"/>
    <m/>
  </r>
  <r>
    <n v="1"/>
    <s v="14FW-JILL-BY_32_GR"/>
    <n v="1"/>
    <s v="FOREMOST14FW-JILL-BY_32_GR"/>
    <x v="1"/>
    <x v="1"/>
    <n v="1"/>
    <s v="14FW-JILL-BY_32_GR"/>
    <x v="0"/>
    <s v="FOREMOST14FW-JILL-BY_32_GR"/>
    <x v="2"/>
    <x v="0"/>
    <x v="0"/>
    <x v="0"/>
    <x v="5"/>
    <x v="5"/>
    <m/>
    <n v="34"/>
    <m/>
    <x v="5"/>
    <x v="1"/>
    <x v="0"/>
    <x v="167"/>
    <x v="3"/>
    <n v="1"/>
    <x v="4"/>
    <x v="13"/>
    <d v="2014-03-06T00:00:00"/>
    <d v="2014-03-06T00:00:00"/>
    <d v="2014-03-19T00:00:00"/>
    <n v="5.05"/>
    <m/>
    <m/>
    <n v="3"/>
    <n v="3"/>
    <m/>
  </r>
  <r>
    <n v="1"/>
    <s v="14FW-JILL-BY_33_PK"/>
    <n v="1"/>
    <s v="FOREMOST14FW-JILL-BY_33_PK"/>
    <x v="1"/>
    <x v="1"/>
    <n v="1"/>
    <s v="14FW-JILL-BY_33_PK"/>
    <x v="0"/>
    <s v="FOREMOST14FW-JILL-BY_33_PK"/>
    <x v="9"/>
    <x v="0"/>
    <x v="0"/>
    <x v="0"/>
    <x v="5"/>
    <x v="5"/>
    <m/>
    <n v="35"/>
    <m/>
    <x v="5"/>
    <x v="1"/>
    <x v="0"/>
    <x v="168"/>
    <x v="3"/>
    <n v="1"/>
    <x v="4"/>
    <x v="13"/>
    <d v="2014-03-06T00:00:00"/>
    <d v="2014-03-06T00:00:00"/>
    <d v="2014-03-24T00:00:00"/>
    <n v="3.8"/>
    <m/>
    <m/>
    <n v="4"/>
    <n v="3"/>
    <m/>
  </r>
  <r>
    <n v="1"/>
    <s v="14FW-JILL-BY_34_KH"/>
    <n v="1"/>
    <s v="FOREMOST14FW-JILL-BY_34_KH"/>
    <x v="1"/>
    <x v="1"/>
    <n v="1"/>
    <s v="14FW-JILL-BY_34_KH"/>
    <x v="0"/>
    <s v="FOREMOST14FW-JILL-BY_34_KH"/>
    <x v="9"/>
    <x v="0"/>
    <x v="0"/>
    <x v="0"/>
    <x v="5"/>
    <x v="5"/>
    <m/>
    <n v="36"/>
    <m/>
    <x v="5"/>
    <x v="1"/>
    <x v="0"/>
    <x v="169"/>
    <x v="3"/>
    <n v="1"/>
    <x v="4"/>
    <x v="13"/>
    <d v="2014-03-06T00:00:00"/>
    <d v="2014-03-06T00:00:00"/>
    <d v="2014-03-24T00:00:00"/>
    <n v="2.95"/>
    <m/>
    <m/>
    <n v="4"/>
    <n v="3"/>
    <m/>
  </r>
  <r>
    <n v="1"/>
    <s v="14FW-JILL-BY_35_CH"/>
    <n v="1"/>
    <s v="FOREMOST14FW-JILL-BY_35_CH"/>
    <x v="1"/>
    <x v="1"/>
    <n v="1"/>
    <s v="14FW-JILL-BY_35_CH"/>
    <x v="0"/>
    <s v="FOREMOST14FW-JILL-BY_35_CH"/>
    <x v="10"/>
    <x v="0"/>
    <x v="0"/>
    <x v="0"/>
    <x v="5"/>
    <x v="5"/>
    <m/>
    <n v="37"/>
    <m/>
    <x v="5"/>
    <x v="3"/>
    <x v="0"/>
    <x v="170"/>
    <x v="3"/>
    <n v="1"/>
    <x v="4"/>
    <x v="13"/>
    <d v="2014-03-06T00:00:00"/>
    <d v="2014-03-06T00:00:00"/>
    <d v="2014-03-27T00:00:00"/>
    <n v="8.0500000000000007"/>
    <m/>
    <m/>
    <n v="4"/>
    <n v="3"/>
    <m/>
  </r>
  <r>
    <n v="1"/>
    <s v="14FW-JILLBY-KNIT_01-GR"/>
    <n v="1"/>
    <s v="Y&amp;Y14FW-JILLBY-KNIT_01-GR"/>
    <x v="1"/>
    <x v="1"/>
    <n v="1"/>
    <s v="14FW-JILLBY-KNIT_01-GR"/>
    <x v="0"/>
    <s v="Y&amp;Y14FW-JILLBY-KNIT_01-GR"/>
    <x v="9"/>
    <x v="0"/>
    <x v="0"/>
    <x v="0"/>
    <x v="5"/>
    <x v="5"/>
    <m/>
    <n v="38"/>
    <m/>
    <x v="5"/>
    <x v="4"/>
    <x v="0"/>
    <x v="171"/>
    <x v="3"/>
    <n v="1"/>
    <x v="7"/>
    <x v="13"/>
    <d v="2014-03-06T00:00:00"/>
    <d v="2014-03-06T00:00:00"/>
    <d v="2014-03-24T00:00:00"/>
    <n v="2.98"/>
    <m/>
    <m/>
    <n v="1"/>
    <n v="1"/>
    <s v="아크릴 100%(ICELAND HAIR)"/>
  </r>
  <r>
    <n v="1"/>
    <s v="14FW-JILLBY-KNIT_01-RE"/>
    <n v="1"/>
    <s v="Y&amp;Y14FW-JILLBY-KNIT_01-RE"/>
    <x v="1"/>
    <x v="1"/>
    <n v="1"/>
    <s v="14FW-JILLBY-KNIT_01-RE"/>
    <x v="0"/>
    <s v="Y&amp;Y14FW-JILLBY-KNIT_01-RE"/>
    <x v="9"/>
    <x v="0"/>
    <x v="0"/>
    <x v="0"/>
    <x v="5"/>
    <x v="5"/>
    <m/>
    <n v="39"/>
    <m/>
    <x v="5"/>
    <x v="4"/>
    <x v="0"/>
    <x v="172"/>
    <x v="3"/>
    <n v="1"/>
    <x v="7"/>
    <x v="13"/>
    <d v="2014-03-06T00:00:00"/>
    <d v="2014-03-06T00:00:00"/>
    <d v="2014-03-24T00:00:00"/>
    <n v="2.98"/>
    <m/>
    <m/>
    <n v="1"/>
    <n v="1"/>
    <s v="아크릴 100%(ICELAND HAIR)"/>
  </r>
  <r>
    <n v="1"/>
    <s v="14FW-JILLBY-KNIT_01-BL"/>
    <n v="1"/>
    <s v="Y&amp;Y14FW-JILLBY-KNIT_01-BL"/>
    <x v="1"/>
    <x v="1"/>
    <n v="1"/>
    <s v="14FW-JILLBY-KNIT_01-BL"/>
    <x v="0"/>
    <s v="Y&amp;Y14FW-JILLBY-KNIT_01-BL"/>
    <x v="9"/>
    <x v="0"/>
    <x v="0"/>
    <x v="0"/>
    <x v="5"/>
    <x v="5"/>
    <m/>
    <n v="40"/>
    <m/>
    <x v="5"/>
    <x v="4"/>
    <x v="0"/>
    <x v="173"/>
    <x v="3"/>
    <n v="1"/>
    <x v="7"/>
    <x v="13"/>
    <d v="2014-03-06T00:00:00"/>
    <d v="2014-03-06T00:00:00"/>
    <d v="2014-03-24T00:00:00"/>
    <n v="2.98"/>
    <m/>
    <m/>
    <n v="1"/>
    <n v="1"/>
    <s v="아크릴 100%(ICELAND HAIR)"/>
  </r>
  <r>
    <n v="1"/>
    <s v="14FW-JILLBY-KNIT_01-YE"/>
    <n v="1"/>
    <s v="Y&amp;Y14FW-JILLBY-KNIT_01-YE"/>
    <x v="1"/>
    <x v="1"/>
    <n v="1"/>
    <s v="14FW-JILLBY-KNIT_01-YE"/>
    <x v="0"/>
    <s v="Y&amp;Y14FW-JILLBY-KNIT_01-YE"/>
    <x v="9"/>
    <x v="0"/>
    <x v="0"/>
    <x v="0"/>
    <x v="5"/>
    <x v="5"/>
    <m/>
    <n v="41"/>
    <m/>
    <x v="5"/>
    <x v="4"/>
    <x v="0"/>
    <x v="174"/>
    <x v="3"/>
    <n v="1"/>
    <x v="7"/>
    <x v="13"/>
    <d v="2014-03-06T00:00:00"/>
    <d v="2014-03-06T00:00:00"/>
    <d v="2014-03-24T00:00:00"/>
    <n v="2.98"/>
    <m/>
    <m/>
    <n v="1"/>
    <n v="1"/>
    <s v="아크릴 100%(ICELAND HAIR)"/>
  </r>
  <r>
    <n v="1"/>
    <s v="14FW-JILLBY-KNIT_01-GY"/>
    <n v="1"/>
    <s v="Y&amp;Y14FW-JILLBY-KNIT_01-GY"/>
    <x v="1"/>
    <x v="1"/>
    <n v="1"/>
    <s v="14FW-JILLBY-KNIT_01-GY"/>
    <x v="0"/>
    <s v="Y&amp;Y14FW-JILLBY-KNIT_01-GY"/>
    <x v="9"/>
    <x v="0"/>
    <x v="0"/>
    <x v="0"/>
    <x v="5"/>
    <x v="5"/>
    <m/>
    <n v="42"/>
    <m/>
    <x v="5"/>
    <x v="4"/>
    <x v="0"/>
    <x v="175"/>
    <x v="3"/>
    <n v="1"/>
    <x v="7"/>
    <x v="13"/>
    <d v="2014-03-06T00:00:00"/>
    <d v="2014-03-06T00:00:00"/>
    <d v="2014-03-24T00:00:00"/>
    <n v="2.98"/>
    <m/>
    <m/>
    <n v="1"/>
    <n v="1"/>
    <s v="아크릴 100%(ICELAND HAIR)"/>
  </r>
  <r>
    <n v="1"/>
    <s v="14FW-JILLBY-KNIT_02_IV"/>
    <n v="1"/>
    <s v="FOREMOST14FW-JILLBY-KNIT_02_IV"/>
    <x v="1"/>
    <x v="1"/>
    <n v="1"/>
    <s v="14FW-JILLBY-KNIT_02_IV"/>
    <x v="0"/>
    <s v="FOREMOST14FW-JILLBY-KNIT_02_IV"/>
    <x v="21"/>
    <x v="3"/>
    <x v="0"/>
    <x v="0"/>
    <x v="5"/>
    <x v="5"/>
    <m/>
    <n v="43"/>
    <m/>
    <x v="5"/>
    <x v="4"/>
    <x v="0"/>
    <x v="176"/>
    <x v="3"/>
    <n v="1"/>
    <x v="4"/>
    <x v="13"/>
    <d v="2014-03-06T00:00:00"/>
    <d v="2014-03-06T00:00:00"/>
    <d v="2014-04-01T00:00:00"/>
    <n v="4"/>
    <m/>
    <m/>
    <n v="2"/>
    <n v="2"/>
    <m/>
  </r>
  <r>
    <n v="1"/>
    <s v="14FW-JILLBY-KNIT_02_Bg"/>
    <n v="1"/>
    <s v="FOREMOST14FW-JILLBY-KNIT_02_Bg"/>
    <x v="1"/>
    <x v="1"/>
    <n v="1"/>
    <s v="14FW-JILLBY-KNIT_02_Bg"/>
    <x v="0"/>
    <s v="FOREMOST14FW-JILLBY-KNIT_02_Bg"/>
    <x v="21"/>
    <x v="3"/>
    <x v="0"/>
    <x v="0"/>
    <x v="5"/>
    <x v="5"/>
    <m/>
    <n v="44"/>
    <m/>
    <x v="5"/>
    <x v="4"/>
    <x v="0"/>
    <x v="177"/>
    <x v="3"/>
    <n v="1"/>
    <x v="4"/>
    <x v="13"/>
    <d v="2014-03-06T00:00:00"/>
    <d v="2014-03-06T00:00:00"/>
    <d v="2014-04-01T00:00:00"/>
    <n v="4"/>
    <m/>
    <m/>
    <n v="2"/>
    <n v="2"/>
    <m/>
  </r>
  <r>
    <n v="1"/>
    <s v="14FW-JILLBY-KNIT_02_GY"/>
    <n v="1"/>
    <s v="FOREMOST14FW-JILLBY-KNIT_02_GY"/>
    <x v="1"/>
    <x v="1"/>
    <n v="1"/>
    <s v="14FW-JILLBY-KNIT_02_GY"/>
    <x v="0"/>
    <s v="FOREMOST14FW-JILLBY-KNIT_02_GY"/>
    <x v="21"/>
    <x v="3"/>
    <x v="0"/>
    <x v="0"/>
    <x v="5"/>
    <x v="5"/>
    <m/>
    <n v="45"/>
    <m/>
    <x v="5"/>
    <x v="4"/>
    <x v="0"/>
    <x v="178"/>
    <x v="3"/>
    <n v="1"/>
    <x v="4"/>
    <x v="13"/>
    <d v="2014-03-06T00:00:00"/>
    <d v="2014-03-06T00:00:00"/>
    <d v="2014-04-01T00:00:00"/>
    <n v="4"/>
    <m/>
    <m/>
    <n v="2"/>
    <n v="2"/>
    <m/>
  </r>
  <r>
    <n v="1"/>
    <s v="14FW-JILLBY-KNIT_03_NY"/>
    <n v="1"/>
    <s v="FOREMOST14FW-JILLBY-KNIT_03_NY"/>
    <x v="1"/>
    <x v="1"/>
    <n v="1"/>
    <s v="14FW-JILLBY-KNIT_03_NY"/>
    <x v="0"/>
    <s v="FOREMOST14FW-JILLBY-KNIT_03_NY"/>
    <x v="22"/>
    <x v="3"/>
    <x v="0"/>
    <x v="0"/>
    <x v="5"/>
    <x v="5"/>
    <m/>
    <n v="46"/>
    <m/>
    <x v="5"/>
    <x v="4"/>
    <x v="0"/>
    <x v="179"/>
    <x v="3"/>
    <n v="1"/>
    <x v="4"/>
    <x v="13"/>
    <d v="2014-03-06T00:00:00"/>
    <d v="2014-03-06T00:00:00"/>
    <d v="2014-04-02T00:00:00"/>
    <n v="3.85"/>
    <m/>
    <m/>
    <n v="2"/>
    <n v="2"/>
    <m/>
  </r>
  <r>
    <n v="1"/>
    <s v="14FW-JILLBY-KNIT_03_GY"/>
    <n v="1"/>
    <s v="FOREMOST14FW-JILLBY-KNIT_03_GY"/>
    <x v="1"/>
    <x v="1"/>
    <n v="1"/>
    <s v="14FW-JILLBY-KNIT_03_GY"/>
    <x v="0"/>
    <s v="FOREMOST14FW-JILLBY-KNIT_03_GY"/>
    <x v="22"/>
    <x v="3"/>
    <x v="0"/>
    <x v="0"/>
    <x v="5"/>
    <x v="5"/>
    <m/>
    <n v="47"/>
    <m/>
    <x v="5"/>
    <x v="4"/>
    <x v="0"/>
    <x v="180"/>
    <x v="3"/>
    <n v="1"/>
    <x v="4"/>
    <x v="13"/>
    <d v="2014-03-06T00:00:00"/>
    <d v="2014-03-06T00:00:00"/>
    <d v="2014-04-02T00:00:00"/>
    <n v="3.85"/>
    <m/>
    <m/>
    <n v="2"/>
    <n v="2"/>
    <m/>
  </r>
  <r>
    <n v="0.5"/>
    <s v="14FW-JILLBY-KNIT_04_WN"/>
    <n v="1"/>
    <s v="FOREMOST14FW-JILLBY-KNIT_04_WN"/>
    <x v="1"/>
    <x v="1"/>
    <n v="1"/>
    <s v="14FW-JILLBY-KNIT_04_WN"/>
    <x v="0"/>
    <s v="FOREMOST14FW-JILLBY-KNIT_04_WN"/>
    <x v="21"/>
    <x v="3"/>
    <x v="0"/>
    <x v="0"/>
    <x v="5"/>
    <x v="5"/>
    <m/>
    <n v="48"/>
    <m/>
    <x v="5"/>
    <x v="4"/>
    <x v="0"/>
    <x v="181"/>
    <x v="3"/>
    <n v="0.5"/>
    <x v="4"/>
    <x v="13"/>
    <d v="2014-03-06T00:00:00"/>
    <d v="2014-03-06T00:00:00"/>
    <d v="2014-04-01T00:00:00"/>
    <n v="9.6"/>
    <m/>
    <m/>
    <n v="2"/>
    <n v="2"/>
    <m/>
  </r>
  <r>
    <n v="0.5"/>
    <s v="14FW-JILLBY-KNIT_04_GY"/>
    <n v="1"/>
    <s v="FOREMOST14FW-JILLBY-KNIT_04_GY"/>
    <x v="1"/>
    <x v="1"/>
    <n v="1"/>
    <s v="14FW-JILLBY-KNIT_04_GY"/>
    <x v="0"/>
    <s v="FOREMOST14FW-JILLBY-KNIT_04_GY"/>
    <x v="21"/>
    <x v="3"/>
    <x v="0"/>
    <x v="0"/>
    <x v="5"/>
    <x v="5"/>
    <m/>
    <n v="49"/>
    <m/>
    <x v="5"/>
    <x v="4"/>
    <x v="0"/>
    <x v="182"/>
    <x v="3"/>
    <n v="0.5"/>
    <x v="4"/>
    <x v="13"/>
    <d v="2014-03-06T00:00:00"/>
    <d v="2014-03-06T00:00:00"/>
    <d v="2014-04-01T00:00:00"/>
    <n v="9.6"/>
    <m/>
    <m/>
    <n v="2"/>
    <n v="2"/>
    <m/>
  </r>
  <r>
    <n v="0.5"/>
    <s v="14FW-JILLBY-KNIT_04_BK"/>
    <n v="1"/>
    <s v="FOREMOST14FW-JILLBY-KNIT_04_BK"/>
    <x v="1"/>
    <x v="1"/>
    <n v="1"/>
    <s v="14FW-JILLBY-KNIT_04_BK"/>
    <x v="0"/>
    <s v="FOREMOST14FW-JILLBY-KNIT_04_BK"/>
    <x v="21"/>
    <x v="3"/>
    <x v="0"/>
    <x v="0"/>
    <x v="5"/>
    <x v="5"/>
    <m/>
    <n v="50"/>
    <m/>
    <x v="5"/>
    <x v="4"/>
    <x v="0"/>
    <x v="183"/>
    <x v="3"/>
    <n v="0.5"/>
    <x v="4"/>
    <x v="13"/>
    <d v="2014-03-06T00:00:00"/>
    <d v="2014-03-06T00:00:00"/>
    <d v="2014-04-01T00:00:00"/>
    <n v="9.6"/>
    <m/>
    <m/>
    <n v="1"/>
    <n v="1"/>
    <m/>
  </r>
  <r>
    <n v="1"/>
    <s v="14FW-JILLBY-KNIT-12-GY"/>
    <n v="1"/>
    <s v="Y&amp;Y14FW-JILLBY-KNIT-12-GY"/>
    <x v="1"/>
    <x v="1"/>
    <n v="1"/>
    <s v="14FW-JILLBY-KNIT-12-GY"/>
    <x v="0"/>
    <s v="Y&amp;Y14FW-JILLBY-KNIT-12-GY"/>
    <x v="23"/>
    <x v="5"/>
    <x v="0"/>
    <x v="0"/>
    <x v="5"/>
    <x v="5"/>
    <m/>
    <n v="51"/>
    <m/>
    <x v="5"/>
    <x v="4"/>
    <x v="0"/>
    <x v="184"/>
    <x v="3"/>
    <n v="1"/>
    <x v="7"/>
    <x v="13"/>
    <d v="2014-03-06T00:00:00"/>
    <d v="2014-03-06T00:00:00"/>
    <d v="2014-05-02T00:00:00"/>
    <m/>
    <m/>
    <n v="1"/>
    <n v="1"/>
    <n v="1"/>
    <m/>
  </r>
  <r>
    <n v="1"/>
    <s v="14FW-JILLBY-KNIT-12-KH"/>
    <n v="1"/>
    <s v="Y&amp;Y14FW-JILLBY-KNIT-12-KH"/>
    <x v="1"/>
    <x v="1"/>
    <n v="1"/>
    <s v="14FW-JILLBY-KNIT-12-KH"/>
    <x v="0"/>
    <s v="Y&amp;Y14FW-JILLBY-KNIT-12-KH"/>
    <x v="23"/>
    <x v="5"/>
    <x v="0"/>
    <x v="0"/>
    <x v="5"/>
    <x v="5"/>
    <m/>
    <n v="52"/>
    <m/>
    <x v="5"/>
    <x v="4"/>
    <x v="0"/>
    <x v="185"/>
    <x v="3"/>
    <n v="1"/>
    <x v="7"/>
    <x v="13"/>
    <d v="2014-03-06T00:00:00"/>
    <d v="2014-03-06T00:00:00"/>
    <d v="2014-05-02T00:00:00"/>
    <m/>
    <m/>
    <m/>
    <n v="1"/>
    <n v="1"/>
    <m/>
  </r>
  <r>
    <n v="0.5"/>
    <s v="14FW-JILLBY-KNIT-12-PP"/>
    <n v="1"/>
    <s v="Y&amp;Y14FW-JILLBY-KNIT-12-PP"/>
    <x v="1"/>
    <x v="1"/>
    <n v="0.5"/>
    <s v="14FW-JILLBY-KNIT-12-PP"/>
    <x v="0"/>
    <s v="Y&amp;Y14FW-JILLBY-KNIT-12-PP"/>
    <x v="23"/>
    <x v="5"/>
    <x v="0"/>
    <x v="0"/>
    <x v="5"/>
    <x v="5"/>
    <m/>
    <n v="53"/>
    <m/>
    <x v="5"/>
    <x v="4"/>
    <x v="0"/>
    <x v="186"/>
    <x v="3"/>
    <n v="0.5"/>
    <x v="7"/>
    <x v="13"/>
    <d v="2014-03-06T00:00:00"/>
    <d v="2014-03-06T00:00:00"/>
    <d v="2014-05-02T00:00:00"/>
    <m/>
    <m/>
    <m/>
    <n v="1"/>
    <n v="1"/>
    <m/>
  </r>
  <r>
    <n v="1"/>
    <s v="14FW-JILLBY-KNIT-12-BK"/>
    <n v="1"/>
    <s v="Y&amp;Y14FW-JILLBY-KNIT-12-BK"/>
    <x v="1"/>
    <x v="1"/>
    <n v="1"/>
    <s v="14FW-JILLBY-KNIT-12-BK"/>
    <x v="0"/>
    <s v="Y&amp;Y14FW-JILLBY-KNIT-12-BK"/>
    <x v="23"/>
    <x v="5"/>
    <x v="0"/>
    <x v="0"/>
    <x v="5"/>
    <x v="5"/>
    <m/>
    <n v="54"/>
    <m/>
    <x v="5"/>
    <x v="4"/>
    <x v="0"/>
    <x v="187"/>
    <x v="3"/>
    <n v="1"/>
    <x v="7"/>
    <x v="13"/>
    <d v="2014-03-06T00:00:00"/>
    <d v="2014-03-06T00:00:00"/>
    <d v="2014-05-02T00:00:00"/>
    <m/>
    <m/>
    <m/>
    <n v="1"/>
    <n v="1"/>
    <m/>
  </r>
  <r>
    <n v="0.5"/>
    <s v="14FW-JILLBY-KNIT-12-BL"/>
    <n v="1"/>
    <s v="Y&amp;Y14FW-JILLBY-KNIT-12-BL"/>
    <x v="1"/>
    <x v="1"/>
    <n v="0.5"/>
    <s v="14FW-JILLBY-KNIT-12-BL"/>
    <x v="0"/>
    <s v="Y&amp;Y14FW-JILLBY-KNIT-12-BL"/>
    <x v="23"/>
    <x v="5"/>
    <x v="0"/>
    <x v="0"/>
    <x v="5"/>
    <x v="5"/>
    <m/>
    <n v="55"/>
    <m/>
    <x v="5"/>
    <x v="4"/>
    <x v="0"/>
    <x v="188"/>
    <x v="3"/>
    <n v="0.5"/>
    <x v="7"/>
    <x v="13"/>
    <d v="2014-03-06T00:00:00"/>
    <d v="2014-03-06T00:00:00"/>
    <d v="2014-05-02T00:00:00"/>
    <m/>
    <m/>
    <m/>
    <n v="1"/>
    <n v="1"/>
    <m/>
  </r>
  <r>
    <n v="0.5"/>
    <s v="14FW-JILLBY-KNIT-12-PP"/>
    <n v="1"/>
    <s v="FOREMOST14FW-JILLBY-KNIT-12-PP"/>
    <x v="1"/>
    <x v="1"/>
    <n v="0.5"/>
    <s v="14FW-JILLBY-KNIT-12-PP"/>
    <x v="0"/>
    <s v="FOREMOST14FW-JILLBY-KNIT-12-PP"/>
    <x v="21"/>
    <x v="3"/>
    <x v="0"/>
    <x v="0"/>
    <x v="5"/>
    <x v="5"/>
    <m/>
    <n v="56"/>
    <m/>
    <x v="5"/>
    <x v="4"/>
    <x v="0"/>
    <x v="186"/>
    <x v="3"/>
    <n v="0.5"/>
    <x v="4"/>
    <x v="13"/>
    <d v="2014-03-06T00:00:00"/>
    <d v="2014-03-06T00:00:00"/>
    <d v="2014-04-01T00:00:00"/>
    <n v="4.6500000000000004"/>
    <m/>
    <m/>
    <n v="1"/>
    <n v="1"/>
    <m/>
  </r>
  <r>
    <n v="0.5"/>
    <s v="14FW-JILLBY-KNIT-12-BL"/>
    <n v="1"/>
    <s v="FOREMOST14FW-JILLBY-KNIT-12-BL"/>
    <x v="1"/>
    <x v="1"/>
    <n v="0.5"/>
    <s v="14FW-JILLBY-KNIT-12-BL"/>
    <x v="0"/>
    <s v="FOREMOST14FW-JILLBY-KNIT-12-BL"/>
    <x v="21"/>
    <x v="3"/>
    <x v="0"/>
    <x v="0"/>
    <x v="5"/>
    <x v="5"/>
    <m/>
    <n v="57"/>
    <m/>
    <x v="5"/>
    <x v="4"/>
    <x v="0"/>
    <x v="188"/>
    <x v="3"/>
    <n v="0.5"/>
    <x v="4"/>
    <x v="13"/>
    <d v="2014-03-06T00:00:00"/>
    <d v="2014-03-06T00:00:00"/>
    <d v="2014-04-01T00:00:00"/>
    <n v="4.6500000000000004"/>
    <m/>
    <m/>
    <n v="1"/>
    <n v="1"/>
    <m/>
  </r>
  <r>
    <n v="0.5"/>
    <s v="14FW-JILLBY-KNIT-13-BG"/>
    <n v="1"/>
    <s v="NT SENHONG14FW-JILLBY-KNIT-13-BG"/>
    <x v="1"/>
    <x v="1"/>
    <n v="0.5"/>
    <s v="14FW-JILLBY-KNIT-13-BG"/>
    <x v="0"/>
    <s v="NT SENHONG14FW-JILLBY-KNIT-13-BG"/>
    <x v="45"/>
    <x v="0"/>
    <x v="1"/>
    <x v="0"/>
    <x v="5"/>
    <x v="5"/>
    <m/>
    <n v="58"/>
    <m/>
    <x v="5"/>
    <x v="4"/>
    <x v="0"/>
    <x v="189"/>
    <x v="3"/>
    <n v="0.5"/>
    <x v="8"/>
    <x v="13"/>
    <d v="2014-03-06T00:00:00"/>
    <d v="2014-03-06T00:00:00"/>
    <d v="2014-03-03T00:00:00"/>
    <n v="1"/>
    <m/>
    <n v="1"/>
    <n v="1"/>
    <n v="1"/>
    <m/>
  </r>
  <r>
    <n v="0.5"/>
    <s v="14FW-JILLBY-KNIT-13-GY"/>
    <n v="1"/>
    <s v="NT SENHONG14FW-JILLBY-KNIT-13-GY"/>
    <x v="1"/>
    <x v="1"/>
    <n v="0.5"/>
    <s v="14FW-JILLBY-KNIT-13-GY"/>
    <x v="0"/>
    <s v="NT SENHONG14FW-JILLBY-KNIT-13-GY"/>
    <x v="45"/>
    <x v="0"/>
    <x v="1"/>
    <x v="0"/>
    <x v="5"/>
    <x v="5"/>
    <m/>
    <n v="59"/>
    <m/>
    <x v="5"/>
    <x v="4"/>
    <x v="0"/>
    <x v="190"/>
    <x v="3"/>
    <n v="0.5"/>
    <x v="8"/>
    <x v="13"/>
    <d v="2014-03-06T00:00:00"/>
    <d v="2014-03-06T00:00:00"/>
    <d v="2014-03-03T00:00:00"/>
    <n v="1"/>
    <m/>
    <m/>
    <n v="1"/>
    <n v="1"/>
    <m/>
  </r>
  <r>
    <n v="0.5"/>
    <s v="14FW-JILLBY-KNIT-13-BG"/>
    <n v="1"/>
    <s v="Y&amp;Y14FW-JILLBY-KNIT-13-BG"/>
    <x v="1"/>
    <x v="1"/>
    <n v="0.5"/>
    <s v="14FW-JILLBY-KNIT-13-BG"/>
    <x v="0"/>
    <s v="Y&amp;Y14FW-JILLBY-KNIT-13-BG"/>
    <x v="23"/>
    <x v="5"/>
    <x v="0"/>
    <x v="0"/>
    <x v="5"/>
    <x v="5"/>
    <m/>
    <n v="60"/>
    <m/>
    <x v="5"/>
    <x v="4"/>
    <x v="0"/>
    <x v="189"/>
    <x v="3"/>
    <n v="0.5"/>
    <x v="7"/>
    <x v="13"/>
    <d v="2014-03-06T00:00:00"/>
    <d v="2014-03-06T00:00:00"/>
    <d v="2014-05-02T00:00:00"/>
    <m/>
    <m/>
    <m/>
    <n v="1"/>
    <n v="1"/>
    <m/>
  </r>
  <r>
    <n v="0.5"/>
    <s v="14FW-JILLBY-KNIT-13-GY"/>
    <n v="1"/>
    <s v="Y&amp;Y14FW-JILLBY-KNIT-13-GY"/>
    <x v="1"/>
    <x v="1"/>
    <n v="0.5"/>
    <s v="14FW-JILLBY-KNIT-13-GY"/>
    <x v="0"/>
    <s v="Y&amp;Y14FW-JILLBY-KNIT-13-GY"/>
    <x v="25"/>
    <x v="3"/>
    <x v="0"/>
    <x v="0"/>
    <x v="5"/>
    <x v="5"/>
    <m/>
    <n v="61"/>
    <m/>
    <x v="5"/>
    <x v="4"/>
    <x v="0"/>
    <x v="190"/>
    <x v="3"/>
    <n v="0.5"/>
    <x v="7"/>
    <x v="13"/>
    <d v="2014-03-06T00:00:00"/>
    <d v="2014-03-06T00:00:00"/>
    <d v="2014-04-22T00:00:00"/>
    <n v="2.76"/>
    <m/>
    <m/>
    <n v="1"/>
    <n v="1"/>
    <m/>
  </r>
  <r>
    <n v="1"/>
    <s v="14FW-JILLBY-KNIT-14-BK"/>
    <n v="1"/>
    <s v="Y&amp;Y14FW-JILLBY-KNIT-14-BK"/>
    <x v="1"/>
    <x v="1"/>
    <n v="1"/>
    <s v="14FW-JILLBY-KNIT-14-BK"/>
    <x v="0"/>
    <s v="Y&amp;Y14FW-JILLBY-KNIT-14-BK"/>
    <x v="23"/>
    <x v="5"/>
    <x v="0"/>
    <x v="0"/>
    <x v="5"/>
    <x v="5"/>
    <m/>
    <n v="62"/>
    <m/>
    <x v="5"/>
    <x v="4"/>
    <x v="0"/>
    <x v="191"/>
    <x v="3"/>
    <n v="1"/>
    <x v="7"/>
    <x v="13"/>
    <d v="2014-03-06T00:00:00"/>
    <d v="2014-03-06T00:00:00"/>
    <d v="2014-05-02T00:00:00"/>
    <m/>
    <m/>
    <n v="1"/>
    <n v="1"/>
    <n v="1"/>
    <m/>
  </r>
  <r>
    <n v="1"/>
    <s v="14FW-JILLBY-KNIT-14-NV"/>
    <n v="1"/>
    <s v="Y&amp;Y14FW-JILLBY-KNIT-14-NV"/>
    <x v="1"/>
    <x v="1"/>
    <n v="1"/>
    <s v="14FW-JILLBY-KNIT-14-NV"/>
    <x v="0"/>
    <s v="Y&amp;Y14FW-JILLBY-KNIT-14-NV"/>
    <x v="23"/>
    <x v="5"/>
    <x v="0"/>
    <x v="0"/>
    <x v="5"/>
    <x v="5"/>
    <m/>
    <n v="63"/>
    <m/>
    <x v="5"/>
    <x v="4"/>
    <x v="0"/>
    <x v="192"/>
    <x v="3"/>
    <n v="1"/>
    <x v="7"/>
    <x v="13"/>
    <d v="2014-03-06T00:00:00"/>
    <d v="2014-03-06T00:00:00"/>
    <d v="2014-05-02T00:00:00"/>
    <m/>
    <m/>
    <m/>
    <n v="1"/>
    <n v="1"/>
    <m/>
  </r>
  <r>
    <n v="1"/>
    <s v="14FW-JILLBY-KNIT-15-BK"/>
    <n v="1"/>
    <s v="FOREMOST14FW-JILLBY-KNIT-15-BK"/>
    <x v="1"/>
    <x v="1"/>
    <n v="1"/>
    <s v="14FW-JILLBY-KNIT-15-BK"/>
    <x v="0"/>
    <s v="FOREMOST14FW-JILLBY-KNIT-15-BK"/>
    <x v="22"/>
    <x v="3"/>
    <x v="0"/>
    <x v="0"/>
    <x v="5"/>
    <x v="5"/>
    <m/>
    <n v="64"/>
    <m/>
    <x v="5"/>
    <x v="4"/>
    <x v="0"/>
    <x v="193"/>
    <x v="3"/>
    <n v="1"/>
    <x v="4"/>
    <x v="13"/>
    <d v="2014-03-06T00:00:00"/>
    <d v="2014-03-06T00:00:00"/>
    <d v="2014-04-02T00:00:00"/>
    <n v="4.95"/>
    <m/>
    <n v="1"/>
    <n v="1"/>
    <n v="1"/>
    <m/>
  </r>
  <r>
    <n v="1"/>
    <s v="14FW-JILLBY-KNIT-15-GY"/>
    <n v="1"/>
    <s v="FOREMOST14FW-JILLBY-KNIT-15-GY"/>
    <x v="1"/>
    <x v="1"/>
    <n v="1"/>
    <s v="14FW-JILLBY-KNIT-15-GY"/>
    <x v="0"/>
    <s v="FOREMOST14FW-JILLBY-KNIT-15-GY"/>
    <x v="22"/>
    <x v="3"/>
    <x v="0"/>
    <x v="0"/>
    <x v="5"/>
    <x v="5"/>
    <m/>
    <n v="65"/>
    <m/>
    <x v="5"/>
    <x v="4"/>
    <x v="0"/>
    <x v="194"/>
    <x v="3"/>
    <n v="1"/>
    <x v="4"/>
    <x v="13"/>
    <d v="2014-03-06T00:00:00"/>
    <d v="2014-03-06T00:00:00"/>
    <d v="2014-04-02T00:00:00"/>
    <n v="4.95"/>
    <m/>
    <m/>
    <n v="1"/>
    <n v="1"/>
    <m/>
  </r>
  <r>
    <n v="0.5"/>
    <s v="14FW-JILLBY-KNIT-05-WH"/>
    <n v="1"/>
    <s v="FOREMOST14FW-JILLBY-KNIT-05-WH"/>
    <x v="1"/>
    <x v="2"/>
    <n v="0.5"/>
    <s v="14FW-JILLBY-KNIT-05-WH"/>
    <x v="0"/>
    <s v="FOREMOST14FW-JILLBY-KNIT-05-WH"/>
    <x v="21"/>
    <x v="3"/>
    <x v="0"/>
    <x v="0"/>
    <x v="5"/>
    <x v="5"/>
    <m/>
    <n v="66"/>
    <m/>
    <x v="5"/>
    <x v="2"/>
    <x v="0"/>
    <x v="195"/>
    <x v="3"/>
    <n v="0.5"/>
    <x v="4"/>
    <x v="14"/>
    <d v="2014-03-19T00:00:00"/>
    <d v="2014-03-19T00:00:00"/>
    <d v="2014-04-01T00:00:00"/>
    <n v="5.3"/>
    <m/>
    <n v="1"/>
    <n v="1"/>
    <n v="1"/>
    <m/>
  </r>
  <r>
    <n v="0.5"/>
    <s v="14FW-JILLBY-KNIT-05-WH"/>
    <n v="1"/>
    <s v="ORIENT14FW-JILLBY-KNIT-05-WH"/>
    <x v="1"/>
    <x v="7"/>
    <n v="0.5"/>
    <s v="14FW-JILLBY-KNIT-05-WH"/>
    <x v="0"/>
    <s v="ORIENT14FW-JILLBY-KNIT-05-WH"/>
    <x v="46"/>
    <x v="3"/>
    <x v="0"/>
    <x v="0"/>
    <x v="5"/>
    <x v="5"/>
    <m/>
    <n v="67"/>
    <m/>
    <x v="5"/>
    <x v="2"/>
    <x v="0"/>
    <x v="195"/>
    <x v="3"/>
    <n v="0.5"/>
    <x v="9"/>
    <x v="15"/>
    <d v="2014-03-24T00:00:00"/>
    <d v="2014-03-24T00:00:00"/>
    <d v="2014-04-23T00:00:00"/>
    <m/>
    <m/>
    <m/>
    <n v="1"/>
    <n v="1"/>
    <m/>
  </r>
  <r>
    <n v="1"/>
    <s v="14FW-JILLBY-KNIT-06-GY"/>
    <n v="1"/>
    <s v="FOREMOST14FW-JILLBY-KNIT-06-GY"/>
    <x v="1"/>
    <x v="2"/>
    <n v="1"/>
    <s v="14FW-JILLBY-KNIT-06-GY"/>
    <x v="0"/>
    <s v="FOREMOST14FW-JILLBY-KNIT-06-GY"/>
    <x v="21"/>
    <x v="3"/>
    <x v="0"/>
    <x v="0"/>
    <x v="5"/>
    <x v="5"/>
    <m/>
    <n v="68"/>
    <m/>
    <x v="5"/>
    <x v="2"/>
    <x v="0"/>
    <x v="196"/>
    <x v="3"/>
    <n v="1"/>
    <x v="4"/>
    <x v="14"/>
    <d v="2014-03-19T00:00:00"/>
    <d v="2014-03-19T00:00:00"/>
    <d v="2014-04-01T00:00:00"/>
    <n v="5.3"/>
    <m/>
    <m/>
    <n v="1"/>
    <n v="1"/>
    <m/>
  </r>
  <r>
    <n v="1"/>
    <s v="14FW-JILLBY-KNIT-07-BG"/>
    <n v="1"/>
    <s v="FOREMOST14FW-JILLBY-KNIT-07-BG"/>
    <x v="1"/>
    <x v="2"/>
    <n v="1"/>
    <s v="14FW-JILLBY-KNIT-07-BG"/>
    <x v="0"/>
    <s v="FOREMOST14FW-JILLBY-KNIT-07-BG"/>
    <x v="24"/>
    <x v="3"/>
    <x v="0"/>
    <x v="0"/>
    <x v="5"/>
    <x v="5"/>
    <m/>
    <n v="69"/>
    <m/>
    <x v="5"/>
    <x v="4"/>
    <x v="0"/>
    <x v="197"/>
    <x v="3"/>
    <n v="1"/>
    <x v="4"/>
    <x v="14"/>
    <d v="2014-03-19T00:00:00"/>
    <d v="2014-03-19T00:00:00"/>
    <d v="2014-04-29T00:00:00"/>
    <n v="4.5"/>
    <m/>
    <n v="1"/>
    <n v="1"/>
    <n v="1"/>
    <m/>
  </r>
  <r>
    <n v="0.5"/>
    <s v="14FW-JILLBY-KNIT-08-BK"/>
    <n v="1"/>
    <s v="FOREMOST14FW-JILLBY-KNIT-08-BK"/>
    <x v="1"/>
    <x v="2"/>
    <n v="0.5"/>
    <s v="14FW-JILLBY-KNIT-08-BK"/>
    <x v="0"/>
    <s v="FOREMOST14FW-JILLBY-KNIT-08-BK"/>
    <x v="24"/>
    <x v="3"/>
    <x v="0"/>
    <x v="0"/>
    <x v="5"/>
    <x v="5"/>
    <m/>
    <n v="70"/>
    <m/>
    <x v="5"/>
    <x v="2"/>
    <x v="0"/>
    <x v="198"/>
    <x v="3"/>
    <n v="0.5"/>
    <x v="4"/>
    <x v="14"/>
    <d v="2014-03-19T00:00:00"/>
    <d v="2014-03-19T00:00:00"/>
    <d v="2014-04-29T00:00:00"/>
    <n v="5.15"/>
    <m/>
    <m/>
    <n v="1"/>
    <n v="1"/>
    <m/>
  </r>
  <r>
    <n v="0.5"/>
    <s v="14FW-JILLBY-KNIT-08-BK"/>
    <n v="1"/>
    <s v="ORIENT14FW-JILLBY-KNIT-08-BK"/>
    <x v="1"/>
    <x v="7"/>
    <n v="0.5"/>
    <s v="14FW-JILLBY-KNIT-08-BK"/>
    <x v="0"/>
    <s v="ORIENT14FW-JILLBY-KNIT-08-BK"/>
    <x v="46"/>
    <x v="3"/>
    <x v="0"/>
    <x v="0"/>
    <x v="5"/>
    <x v="5"/>
    <m/>
    <n v="71"/>
    <m/>
    <x v="5"/>
    <x v="2"/>
    <x v="0"/>
    <x v="198"/>
    <x v="3"/>
    <n v="0.5"/>
    <x v="9"/>
    <x v="15"/>
    <d v="2014-03-24T00:00:00"/>
    <d v="2014-03-24T00:00:00"/>
    <d v="2014-04-23T00:00:00"/>
    <m/>
    <m/>
    <m/>
    <n v="1"/>
    <n v="1"/>
    <m/>
  </r>
  <r>
    <n v="1"/>
    <s v="14FW-JILLBY-KNIT-09-PP"/>
    <n v="1"/>
    <s v="FOREMOST14FW-JILLBY-KNIT-09-PP"/>
    <x v="1"/>
    <x v="2"/>
    <n v="1"/>
    <s v="14FW-JILLBY-KNIT-09-PP"/>
    <x v="0"/>
    <s v="FOREMOST14FW-JILLBY-KNIT-09-PP"/>
    <x v="10"/>
    <x v="0"/>
    <x v="0"/>
    <x v="0"/>
    <x v="5"/>
    <x v="5"/>
    <m/>
    <n v="72"/>
    <m/>
    <x v="5"/>
    <x v="4"/>
    <x v="0"/>
    <x v="199"/>
    <x v="3"/>
    <n v="1"/>
    <x v="4"/>
    <x v="14"/>
    <d v="2014-03-19T00:00:00"/>
    <d v="2014-03-19T00:00:00"/>
    <d v="2014-03-27T00:00:00"/>
    <n v="3.95"/>
    <m/>
    <n v="1"/>
    <n v="1"/>
    <n v="1"/>
    <m/>
  </r>
  <r>
    <n v="1"/>
    <s v="14FW-JILLBY-KNIT-10-RD"/>
    <n v="1"/>
    <s v="FOREMOST14FW-JILLBY-KNIT-10-RD"/>
    <x v="1"/>
    <x v="2"/>
    <n v="1"/>
    <s v="14FW-JILLBY-KNIT-10-RD"/>
    <x v="0"/>
    <s v="FOREMOST14FW-JILLBY-KNIT-10-RD"/>
    <x v="10"/>
    <x v="0"/>
    <x v="0"/>
    <x v="0"/>
    <x v="5"/>
    <x v="5"/>
    <m/>
    <n v="73"/>
    <m/>
    <x v="5"/>
    <x v="4"/>
    <x v="0"/>
    <x v="200"/>
    <x v="3"/>
    <n v="1"/>
    <x v="4"/>
    <x v="14"/>
    <d v="2014-03-19T00:00:00"/>
    <d v="2014-03-19T00:00:00"/>
    <d v="2014-03-27T00:00:00"/>
    <n v="3.95"/>
    <m/>
    <m/>
    <n v="1"/>
    <n v="1"/>
    <m/>
  </r>
  <r>
    <n v="1"/>
    <s v="14FW-JILLBY-KNIT-11-MT"/>
    <n v="1"/>
    <s v="FOREMOST14FW-JILLBY-KNIT-11-MT"/>
    <x v="1"/>
    <x v="2"/>
    <n v="1"/>
    <s v="14FW-JILLBY-KNIT-11-MT"/>
    <x v="0"/>
    <s v="FOREMOST14FW-JILLBY-KNIT-11-MT"/>
    <x v="15"/>
    <x v="3"/>
    <x v="0"/>
    <x v="0"/>
    <x v="5"/>
    <x v="5"/>
    <m/>
    <n v="74"/>
    <m/>
    <x v="5"/>
    <x v="2"/>
    <x v="0"/>
    <x v="201"/>
    <x v="3"/>
    <n v="1"/>
    <x v="4"/>
    <x v="14"/>
    <d v="2014-03-19T00:00:00"/>
    <d v="2014-03-19T00:00:00"/>
    <d v="2014-04-07T00:00:00"/>
    <n v="4.6500000000000004"/>
    <m/>
    <m/>
    <n v="1"/>
    <n v="1"/>
    <m/>
  </r>
  <r>
    <n v="1"/>
    <s v="14FW-JILLBY-KNIT-16-BL"/>
    <n v="1"/>
    <s v="FOREMOST14FW-JILLBY-KNIT-16-BL"/>
    <x v="1"/>
    <x v="2"/>
    <n v="1"/>
    <s v="14FW-JILLBY-KNIT-16-BL"/>
    <x v="0"/>
    <s v="FOREMOST14FW-JILLBY-KNIT-16-BL"/>
    <x v="44"/>
    <x v="3"/>
    <x v="0"/>
    <x v="0"/>
    <x v="5"/>
    <x v="5"/>
    <m/>
    <n v="75"/>
    <m/>
    <x v="5"/>
    <x v="4"/>
    <x v="0"/>
    <x v="202"/>
    <x v="3"/>
    <n v="1"/>
    <x v="4"/>
    <x v="14"/>
    <d v="2014-03-19T00:00:00"/>
    <d v="2014-03-19T00:00:00"/>
    <d v="2014-04-11T00:00:00"/>
    <n v="5.95"/>
    <m/>
    <m/>
    <n v="1"/>
    <n v="1"/>
    <m/>
  </r>
  <r>
    <n v="1"/>
    <s v="14FW-JILLBY-KNIT-16-D.GY"/>
    <n v="1"/>
    <s v="Y&amp;Y14FW-JILLBY-KNIT-16-D.GY"/>
    <x v="1"/>
    <x v="2"/>
    <n v="1"/>
    <s v="14FW-JILLBY-KNIT-16-D.GY"/>
    <x v="0"/>
    <s v="Y&amp;Y14FW-JILLBY-KNIT-16-D.GY"/>
    <x v="23"/>
    <x v="5"/>
    <x v="0"/>
    <x v="0"/>
    <x v="5"/>
    <x v="5"/>
    <m/>
    <n v="76"/>
    <m/>
    <x v="5"/>
    <x v="4"/>
    <x v="0"/>
    <x v="203"/>
    <x v="3"/>
    <n v="1"/>
    <x v="7"/>
    <x v="14"/>
    <d v="2014-03-19T00:00:00"/>
    <d v="2014-03-19T00:00:00"/>
    <d v="2014-05-02T00:00:00"/>
    <m/>
    <m/>
    <m/>
    <n v="1"/>
    <n v="1"/>
    <m/>
  </r>
  <r>
    <n v="1"/>
    <s v="14FW-JILLBY-KNIT-17-NV"/>
    <n v="1"/>
    <s v="Y&amp;Y14FW-JILLBY-KNIT-17-NV"/>
    <x v="1"/>
    <x v="7"/>
    <n v="1"/>
    <s v="14FW-JILLBY-KNIT-17-NV"/>
    <x v="0"/>
    <s v="Y&amp;Y14FW-JILLBY-KNIT-17-NV"/>
    <x v="47"/>
    <x v="0"/>
    <x v="0"/>
    <x v="0"/>
    <x v="5"/>
    <x v="5"/>
    <m/>
    <n v="77"/>
    <m/>
    <x v="5"/>
    <x v="4"/>
    <x v="0"/>
    <x v="204"/>
    <x v="3"/>
    <n v="1"/>
    <x v="7"/>
    <x v="16"/>
    <d v="2014-03-26T00:00:00"/>
    <d v="2014-03-26T00:00:00"/>
    <d v="2014-03-26T00:00:00"/>
    <n v="2.87"/>
    <m/>
    <m/>
    <n v="1"/>
    <n v="1"/>
    <s v="34-장갑세트&#10;100% CASHMERE"/>
  </r>
  <r>
    <n v="1"/>
    <s v="14FW-JILLBY-KNIT-18-BK"/>
    <n v="1"/>
    <s v="Y&amp;Y14FW-JILLBY-KNIT-18-BK"/>
    <x v="1"/>
    <x v="7"/>
    <n v="1"/>
    <s v="14FW-JILLBY-KNIT-18-BK"/>
    <x v="0"/>
    <s v="Y&amp;Y14FW-JILLBY-KNIT-18-BK"/>
    <x v="4"/>
    <x v="0"/>
    <x v="0"/>
    <x v="0"/>
    <x v="5"/>
    <x v="5"/>
    <m/>
    <n v="78"/>
    <m/>
    <x v="5"/>
    <x v="4"/>
    <x v="0"/>
    <x v="205"/>
    <x v="3"/>
    <n v="1"/>
    <x v="7"/>
    <x v="16"/>
    <d v="2014-03-26T00:00:00"/>
    <d v="2014-03-26T00:00:00"/>
    <d v="2014-03-28T00:00:00"/>
    <m/>
    <m/>
    <m/>
    <n v="1"/>
    <n v="1"/>
    <m/>
  </r>
  <r>
    <n v="1"/>
    <s v="14FW-JILLBY-KNIT-18-GR"/>
    <n v="1"/>
    <s v="Y&amp;Y14FW-JILLBY-KNIT-18-GR"/>
    <x v="1"/>
    <x v="7"/>
    <n v="1"/>
    <s v="14FW-JILLBY-KNIT-18-GR"/>
    <x v="0"/>
    <s v="Y&amp;Y14FW-JILLBY-KNIT-18-GR"/>
    <x v="4"/>
    <x v="0"/>
    <x v="0"/>
    <x v="0"/>
    <x v="5"/>
    <x v="5"/>
    <m/>
    <n v="79"/>
    <m/>
    <x v="5"/>
    <x v="4"/>
    <x v="0"/>
    <x v="206"/>
    <x v="3"/>
    <n v="1"/>
    <x v="7"/>
    <x v="16"/>
    <d v="2014-03-26T00:00:00"/>
    <d v="2014-03-26T00:00:00"/>
    <d v="2014-03-28T00:00:00"/>
    <m/>
    <m/>
    <m/>
    <n v="1"/>
    <n v="1"/>
    <m/>
  </r>
  <r>
    <n v="1"/>
    <s v="14FW-JILLBY-KNIT-18-YL"/>
    <n v="1"/>
    <s v="Y&amp;Y14FW-JILLBY-KNIT-18-YL"/>
    <x v="1"/>
    <x v="7"/>
    <n v="1"/>
    <s v="14FW-JILLBY-KNIT-18-YL"/>
    <x v="0"/>
    <s v="Y&amp;Y14FW-JILLBY-KNIT-18-YL"/>
    <x v="43"/>
    <x v="3"/>
    <x v="0"/>
    <x v="0"/>
    <x v="5"/>
    <x v="5"/>
    <m/>
    <n v="80"/>
    <m/>
    <x v="5"/>
    <x v="4"/>
    <x v="0"/>
    <x v="207"/>
    <x v="3"/>
    <n v="1"/>
    <x v="7"/>
    <x v="16"/>
    <d v="2014-03-26T00:00:00"/>
    <d v="2014-03-26T00:00:00"/>
    <d v="2014-04-03T00:00:00"/>
    <m/>
    <m/>
    <m/>
    <n v="1"/>
    <n v="1"/>
    <m/>
  </r>
  <r>
    <n v="1"/>
    <s v="14FW-JILLBY-KNIT-19-BW"/>
    <n v="1"/>
    <s v="FOREMOST14FW-JILLBY-KNIT-19-BW"/>
    <x v="1"/>
    <x v="2"/>
    <n v="1"/>
    <s v="14FW-JILLBY-KNIT-19-BW"/>
    <x v="0"/>
    <s v="FOREMOST14FW-JILLBY-KNIT-19-BW"/>
    <x v="48"/>
    <x v="3"/>
    <x v="0"/>
    <x v="0"/>
    <x v="5"/>
    <x v="5"/>
    <m/>
    <n v="81"/>
    <m/>
    <x v="5"/>
    <x v="4"/>
    <x v="0"/>
    <x v="208"/>
    <x v="3"/>
    <n v="1"/>
    <x v="4"/>
    <x v="14"/>
    <d v="2014-03-19T00:00:00"/>
    <d v="2014-03-19T00:00:00"/>
    <d v="2014-04-28T00:00:00"/>
    <n v="5.45"/>
    <m/>
    <m/>
    <n v="1"/>
    <n v="1"/>
    <s v="33장갑세트"/>
  </r>
  <r>
    <n v="1"/>
    <s v="14FW-JILLBY-KNIT-20-NV"/>
    <n v="1"/>
    <s v="FOREMOST14FW-JILLBY-KNIT-20-NV"/>
    <x v="1"/>
    <x v="2"/>
    <n v="1"/>
    <s v="14FW-JILLBY-KNIT-20-NV"/>
    <x v="0"/>
    <s v="FOREMOST14FW-JILLBY-KNIT-20-NV"/>
    <x v="49"/>
    <x v="5"/>
    <x v="0"/>
    <x v="0"/>
    <x v="5"/>
    <x v="5"/>
    <m/>
    <n v="82"/>
    <m/>
    <x v="5"/>
    <x v="2"/>
    <x v="0"/>
    <x v="209"/>
    <x v="3"/>
    <n v="1"/>
    <x v="4"/>
    <x v="14"/>
    <d v="2014-03-19T00:00:00"/>
    <d v="2014-03-19T00:00:00"/>
    <d v="2014-05-09T00:00:00"/>
    <n v="4.9000000000000004"/>
    <m/>
    <m/>
    <n v="1"/>
    <n v="1"/>
    <s v="33장갑세트&#10;2014-05-02"/>
  </r>
  <r>
    <n v="0.5"/>
    <s v="14FW-JILLBY-KNIT-21-IV"/>
    <n v="1"/>
    <s v="FOREMOST14FW-JILLBY-KNIT-21-IV"/>
    <x v="1"/>
    <x v="2"/>
    <n v="0.5"/>
    <s v="14FW-JILLBY-KNIT-21-IV"/>
    <x v="0"/>
    <s v="FOREMOST14FW-JILLBY-KNIT-21-IV"/>
    <x v="27"/>
    <x v="3"/>
    <x v="0"/>
    <x v="0"/>
    <x v="5"/>
    <x v="5"/>
    <m/>
    <n v="83"/>
    <m/>
    <x v="5"/>
    <x v="2"/>
    <x v="0"/>
    <x v="210"/>
    <x v="3"/>
    <n v="0.5"/>
    <x v="4"/>
    <x v="14"/>
    <d v="2014-03-19T00:00:00"/>
    <d v="2014-03-19T00:00:00"/>
    <d v="2014-04-24T00:00:00"/>
    <n v="5.45"/>
    <m/>
    <m/>
    <n v="1"/>
    <n v="1"/>
    <m/>
  </r>
  <r>
    <n v="0.5"/>
    <s v="14FW-JILLBY-KNIT-21-IV"/>
    <n v="1"/>
    <s v="ORIENT14FW-JILLBY-KNIT-21-IV"/>
    <x v="1"/>
    <x v="7"/>
    <n v="0.5"/>
    <s v="14FW-JILLBY-KNIT-21-IV"/>
    <x v="0"/>
    <s v="ORIENT14FW-JILLBY-KNIT-21-IV"/>
    <x v="46"/>
    <x v="3"/>
    <x v="0"/>
    <x v="0"/>
    <x v="5"/>
    <x v="5"/>
    <m/>
    <n v="84"/>
    <m/>
    <x v="5"/>
    <x v="2"/>
    <x v="0"/>
    <x v="210"/>
    <x v="3"/>
    <n v="0.5"/>
    <x v="9"/>
    <x v="15"/>
    <d v="2014-03-24T00:00:00"/>
    <d v="2014-03-24T00:00:00"/>
    <d v="2014-04-23T00:00:00"/>
    <m/>
    <m/>
    <m/>
    <n v="1"/>
    <n v="1"/>
    <m/>
  </r>
  <r>
    <n v="0.5"/>
    <s v="14FW-JILLBY-KNIT-22-BG"/>
    <n v="1"/>
    <s v="FOREMOST14FW-JILLBY-KNIT-22-BG"/>
    <x v="1"/>
    <x v="2"/>
    <n v="0.5"/>
    <s v="14FW-JILLBY-KNIT-22-BG"/>
    <x v="0"/>
    <s v="FOREMOST14FW-JILLBY-KNIT-22-BG"/>
    <x v="50"/>
    <x v="5"/>
    <x v="0"/>
    <x v="0"/>
    <x v="5"/>
    <x v="5"/>
    <m/>
    <n v="85"/>
    <m/>
    <x v="5"/>
    <x v="2"/>
    <x v="0"/>
    <x v="211"/>
    <x v="3"/>
    <n v="0.5"/>
    <x v="4"/>
    <x v="14"/>
    <d v="2014-03-19T00:00:00"/>
    <d v="2014-03-19T00:00:00"/>
    <d v="2014-05-12T00:00:00"/>
    <n v="4.9000000000000004"/>
    <m/>
    <m/>
    <n v="1"/>
    <n v="1"/>
    <m/>
  </r>
  <r>
    <n v="0.5"/>
    <s v="14FW-JILLBY-KNIT-22-BG"/>
    <n v="1"/>
    <s v="ORIENT14FW-JILLBY-KNIT-22-BG"/>
    <x v="1"/>
    <x v="7"/>
    <n v="0.5"/>
    <s v="14FW-JILLBY-KNIT-22-BG"/>
    <x v="0"/>
    <s v="ORIENT14FW-JILLBY-KNIT-22-BG"/>
    <x v="46"/>
    <x v="3"/>
    <x v="0"/>
    <x v="0"/>
    <x v="5"/>
    <x v="5"/>
    <m/>
    <n v="86"/>
    <m/>
    <x v="5"/>
    <x v="2"/>
    <x v="0"/>
    <x v="211"/>
    <x v="3"/>
    <n v="0.5"/>
    <x v="9"/>
    <x v="15"/>
    <d v="2014-03-24T00:00:00"/>
    <d v="2014-03-24T00:00:00"/>
    <d v="2014-04-23T00:00:00"/>
    <m/>
    <m/>
    <m/>
    <n v="1"/>
    <n v="1"/>
    <m/>
  </r>
  <r>
    <n v="0.5"/>
    <s v="14FW-JILLBY-KNIT-22-GY"/>
    <n v="1"/>
    <s v="FOREMOST14FW-JILLBY-KNIT-22-GY"/>
    <x v="1"/>
    <x v="2"/>
    <n v="0.5"/>
    <s v="14FW-JILLBY-KNIT-22-GY"/>
    <x v="0"/>
    <s v="FOREMOST14FW-JILLBY-KNIT-22-GY"/>
    <x v="50"/>
    <x v="5"/>
    <x v="0"/>
    <x v="0"/>
    <x v="5"/>
    <x v="5"/>
    <m/>
    <n v="87"/>
    <m/>
    <x v="5"/>
    <x v="2"/>
    <x v="0"/>
    <x v="212"/>
    <x v="3"/>
    <n v="0.5"/>
    <x v="4"/>
    <x v="14"/>
    <d v="2014-03-19T00:00:00"/>
    <d v="2014-03-19T00:00:00"/>
    <d v="2014-05-12T00:00:00"/>
    <n v="4.9000000000000004"/>
    <m/>
    <m/>
    <n v="1"/>
    <n v="1"/>
    <m/>
  </r>
  <r>
    <n v="0.5"/>
    <s v="14FW-JILLBY-KNIT-22-GY"/>
    <n v="1"/>
    <s v="ORIENT14FW-JILLBY-KNIT-22-GY"/>
    <x v="1"/>
    <x v="7"/>
    <n v="0.5"/>
    <s v="14FW-JILLBY-KNIT-22-GY"/>
    <x v="0"/>
    <s v="ORIENT14FW-JILLBY-KNIT-22-GY"/>
    <x v="46"/>
    <x v="3"/>
    <x v="0"/>
    <x v="0"/>
    <x v="5"/>
    <x v="5"/>
    <m/>
    <n v="88"/>
    <m/>
    <x v="5"/>
    <x v="2"/>
    <x v="0"/>
    <x v="212"/>
    <x v="3"/>
    <n v="0.5"/>
    <x v="9"/>
    <x v="15"/>
    <d v="2014-03-24T00:00:00"/>
    <d v="2014-03-24T00:00:00"/>
    <d v="2014-04-23T00:00:00"/>
    <m/>
    <m/>
    <m/>
    <n v="1"/>
    <n v="1"/>
    <m/>
  </r>
  <r>
    <n v="1"/>
    <s v="14FW-JILLBY-KNIT-23-BG"/>
    <n v="1"/>
    <s v="FOREMOST14FW-JILLBY-KNIT-23-BG"/>
    <x v="1"/>
    <x v="2"/>
    <n v="1"/>
    <s v="14FW-JILLBY-KNIT-23-BG"/>
    <x v="0"/>
    <s v="FOREMOST14FW-JILLBY-KNIT-23-BG"/>
    <x v="44"/>
    <x v="3"/>
    <x v="0"/>
    <x v="0"/>
    <x v="5"/>
    <x v="5"/>
    <m/>
    <n v="89"/>
    <m/>
    <x v="5"/>
    <x v="2"/>
    <x v="0"/>
    <x v="213"/>
    <x v="3"/>
    <n v="1"/>
    <x v="4"/>
    <x v="14"/>
    <d v="2014-03-19T00:00:00"/>
    <d v="2014-03-19T00:00:00"/>
    <d v="2014-04-11T00:00:00"/>
    <n v="10.9"/>
    <m/>
    <m/>
    <n v="1"/>
    <n v="1"/>
    <m/>
  </r>
  <r>
    <n v="1"/>
    <s v="14FW-JILLBY-KNIT-24-BG"/>
    <n v="1"/>
    <s v="FOREMOST14FW-JILLBY-KNIT-24-BG"/>
    <x v="1"/>
    <x v="2"/>
    <n v="1"/>
    <s v="14FW-JILLBY-KNIT-24-BG"/>
    <x v="0"/>
    <s v="FOREMOST14FW-JILLBY-KNIT-24-BG"/>
    <x v="20"/>
    <x v="3"/>
    <x v="0"/>
    <x v="0"/>
    <x v="5"/>
    <x v="5"/>
    <m/>
    <n v="90"/>
    <m/>
    <x v="5"/>
    <x v="4"/>
    <x v="0"/>
    <x v="214"/>
    <x v="3"/>
    <n v="1"/>
    <x v="4"/>
    <x v="14"/>
    <d v="2014-03-19T00:00:00"/>
    <d v="2014-03-19T00:00:00"/>
    <d v="2014-04-14T00:00:00"/>
    <m/>
    <m/>
    <m/>
    <n v="1"/>
    <n v="1"/>
    <m/>
  </r>
  <r>
    <n v="1"/>
    <s v="14FW-JILLBY-KNIT-24-GY"/>
    <n v="1"/>
    <s v="FOREMOST14FW-JILLBY-KNIT-24-GY"/>
    <x v="1"/>
    <x v="2"/>
    <n v="1"/>
    <s v="14FW-JILLBY-KNIT-24-GY"/>
    <x v="0"/>
    <s v="FOREMOST14FW-JILLBY-KNIT-24-GY"/>
    <x v="20"/>
    <x v="3"/>
    <x v="0"/>
    <x v="0"/>
    <x v="5"/>
    <x v="5"/>
    <m/>
    <n v="91"/>
    <m/>
    <x v="5"/>
    <x v="4"/>
    <x v="0"/>
    <x v="215"/>
    <x v="3"/>
    <n v="1"/>
    <x v="4"/>
    <x v="14"/>
    <d v="2014-03-19T00:00:00"/>
    <d v="2014-03-19T00:00:00"/>
    <d v="2014-04-14T00:00:00"/>
    <m/>
    <m/>
    <m/>
    <n v="1"/>
    <n v="1"/>
    <m/>
  </r>
  <r>
    <n v="1"/>
    <s v="14FW-JILLBY-KNIT-25-PP"/>
    <n v="1"/>
    <s v="NT SENHONG14FW-JILLBY-KNIT-25-PP"/>
    <x v="1"/>
    <x v="2"/>
    <n v="1"/>
    <s v="14FW-JILLBY-KNIT-25-PP"/>
    <x v="0"/>
    <s v="NT SENHONG14FW-JILLBY-KNIT-25-PP"/>
    <x v="45"/>
    <x v="0"/>
    <x v="1"/>
    <x v="0"/>
    <x v="5"/>
    <x v="5"/>
    <m/>
    <n v="92"/>
    <m/>
    <x v="5"/>
    <x v="4"/>
    <x v="0"/>
    <x v="216"/>
    <x v="3"/>
    <n v="1"/>
    <x v="8"/>
    <x v="14"/>
    <d v="2014-03-19T00:00:00"/>
    <d v="2014-03-19T00:00:00"/>
    <d v="2014-03-03T00:00:00"/>
    <n v="2.5"/>
    <m/>
    <m/>
    <n v="1"/>
    <n v="1"/>
    <m/>
  </r>
  <r>
    <n v="1"/>
    <s v="14FW-JILLBY-KNIT-26-NV"/>
    <n v="1"/>
    <s v="Y&amp;Y14FW-JILLBY-KNIT-26-NV"/>
    <x v="1"/>
    <x v="2"/>
    <n v="1"/>
    <s v="14FW-JILLBY-KNIT-26-NV"/>
    <x v="0"/>
    <s v="Y&amp;Y14FW-JILLBY-KNIT-26-NV"/>
    <x v="47"/>
    <x v="0"/>
    <x v="0"/>
    <x v="0"/>
    <x v="5"/>
    <x v="5"/>
    <m/>
    <n v="93"/>
    <m/>
    <x v="5"/>
    <x v="4"/>
    <x v="0"/>
    <x v="217"/>
    <x v="3"/>
    <n v="1"/>
    <x v="7"/>
    <x v="14"/>
    <d v="2014-03-19T00:00:00"/>
    <d v="2014-03-19T00:00:00"/>
    <d v="2014-03-26T00:00:00"/>
    <n v="2.98"/>
    <m/>
    <m/>
    <n v="1"/>
    <n v="1"/>
    <s v="아크릴 100%(ICELAND HAIR)"/>
  </r>
  <r>
    <n v="1"/>
    <s v="14FW-JILLBY-KNIT-26-PP"/>
    <n v="1"/>
    <s v="FOREMOST14FW-JILLBY-KNIT-26-PP"/>
    <x v="1"/>
    <x v="2"/>
    <n v="0"/>
    <s v=""/>
    <x v="1"/>
    <s v=""/>
    <x v="2"/>
    <x v="0"/>
    <x v="0"/>
    <x v="0"/>
    <x v="5"/>
    <x v="5"/>
    <m/>
    <n v="94"/>
    <m/>
    <x v="5"/>
    <x v="4"/>
    <x v="0"/>
    <x v="218"/>
    <x v="3"/>
    <n v="1"/>
    <x v="4"/>
    <x v="14"/>
    <d v="2014-03-19T00:00:00"/>
    <d v="2014-03-19T00:00:00"/>
    <m/>
    <n v="3.3"/>
    <m/>
    <m/>
    <n v="1"/>
    <n v="1"/>
    <m/>
  </r>
  <r>
    <n v="0.5"/>
    <s v="14FW-JILLBY-KNIT-27-BK"/>
    <n v="1"/>
    <s v="FOREMOST14FW-JILLBY-KNIT-27-BK"/>
    <x v="1"/>
    <x v="2"/>
    <n v="0.5"/>
    <s v="14FW-JILLBY-KNIT-27-BK"/>
    <x v="0"/>
    <s v="FOREMOST14FW-JILLBY-KNIT-27-BK"/>
    <x v="10"/>
    <x v="0"/>
    <x v="0"/>
    <x v="0"/>
    <x v="5"/>
    <x v="5"/>
    <m/>
    <n v="95"/>
    <m/>
    <x v="5"/>
    <x v="4"/>
    <x v="0"/>
    <x v="219"/>
    <x v="3"/>
    <n v="0.5"/>
    <x v="4"/>
    <x v="14"/>
    <d v="2014-03-19T00:00:00"/>
    <d v="2014-03-19T00:00:00"/>
    <d v="2014-03-27T00:00:00"/>
    <n v="4.25"/>
    <m/>
    <m/>
    <n v="1"/>
    <n v="1"/>
    <m/>
  </r>
  <r>
    <n v="0.5"/>
    <s v="14FW-JILLBY-KNIT-27-BK"/>
    <n v="1"/>
    <s v="ORIENT14FW-JILLBY-KNIT-27-BK"/>
    <x v="1"/>
    <x v="7"/>
    <n v="0.5"/>
    <s v="14FW-JILLBY-KNIT-27-BK"/>
    <x v="0"/>
    <s v="ORIENT14FW-JILLBY-KNIT-27-BK"/>
    <x v="46"/>
    <x v="3"/>
    <x v="0"/>
    <x v="0"/>
    <x v="5"/>
    <x v="5"/>
    <m/>
    <n v="96"/>
    <m/>
    <x v="5"/>
    <x v="4"/>
    <x v="0"/>
    <x v="219"/>
    <x v="3"/>
    <n v="0.5"/>
    <x v="9"/>
    <x v="15"/>
    <d v="2014-03-24T00:00:00"/>
    <d v="2014-03-24T00:00:00"/>
    <d v="2014-04-23T00:00:00"/>
    <m/>
    <m/>
    <m/>
    <n v="1"/>
    <n v="1"/>
    <m/>
  </r>
  <r>
    <n v="1"/>
    <s v="14FW-JILLBY-KNIT-28-BK"/>
    <n v="1"/>
    <s v="Y&amp;Y14FW-JILLBY-KNIT-28-BK"/>
    <x v="1"/>
    <x v="2"/>
    <n v="1"/>
    <s v="14FW-JILLBY-KNIT-28-BK"/>
    <x v="0"/>
    <s v="Y&amp;Y14FW-JILLBY-KNIT-28-BK"/>
    <x v="25"/>
    <x v="3"/>
    <x v="0"/>
    <x v="0"/>
    <x v="5"/>
    <x v="5"/>
    <m/>
    <n v="97"/>
    <m/>
    <x v="5"/>
    <x v="2"/>
    <x v="0"/>
    <x v="220"/>
    <x v="3"/>
    <n v="1"/>
    <x v="7"/>
    <x v="14"/>
    <d v="2014-03-19T00:00:00"/>
    <d v="2014-03-19T00:00:00"/>
    <d v="2014-04-22T00:00:00"/>
    <n v="3.98"/>
    <m/>
    <m/>
    <n v="1"/>
    <n v="1"/>
    <m/>
  </r>
  <r>
    <n v="1"/>
    <s v="14FW-JILLBY-KNIT-28-RD"/>
    <n v="1"/>
    <s v="Y&amp;Y14FW-JILLBY-KNIT-28-RD"/>
    <x v="1"/>
    <x v="2"/>
    <n v="1"/>
    <s v="14FW-JILLBY-KNIT-28-RD"/>
    <x v="0"/>
    <s v="Y&amp;Y14FW-JILLBY-KNIT-28-RD"/>
    <x v="25"/>
    <x v="3"/>
    <x v="0"/>
    <x v="0"/>
    <x v="5"/>
    <x v="5"/>
    <m/>
    <n v="98"/>
    <m/>
    <x v="5"/>
    <x v="2"/>
    <x v="0"/>
    <x v="221"/>
    <x v="3"/>
    <n v="1"/>
    <x v="7"/>
    <x v="14"/>
    <d v="2014-03-19T00:00:00"/>
    <d v="2014-03-19T00:00:00"/>
    <d v="2014-04-22T00:00:00"/>
    <n v="3.98"/>
    <m/>
    <m/>
    <n v="1"/>
    <n v="1"/>
    <m/>
  </r>
  <r>
    <n v="1"/>
    <s v="14FW-JILLBY-KNIT-28-WH"/>
    <n v="1"/>
    <s v="Y&amp;Y14FW-JILLBY-KNIT-28-WH"/>
    <x v="1"/>
    <x v="2"/>
    <n v="1"/>
    <s v="14FW-JILLBY-KNIT-28-WH"/>
    <x v="0"/>
    <s v="Y&amp;Y14FW-JILLBY-KNIT-28-WH"/>
    <x v="25"/>
    <x v="3"/>
    <x v="0"/>
    <x v="0"/>
    <x v="5"/>
    <x v="5"/>
    <m/>
    <n v="99"/>
    <m/>
    <x v="5"/>
    <x v="2"/>
    <x v="0"/>
    <x v="222"/>
    <x v="3"/>
    <n v="1"/>
    <x v="7"/>
    <x v="14"/>
    <d v="2014-03-19T00:00:00"/>
    <d v="2014-03-19T00:00:00"/>
    <d v="2014-04-22T00:00:00"/>
    <n v="3.98"/>
    <m/>
    <m/>
    <n v="1"/>
    <n v="1"/>
    <m/>
  </r>
  <r>
    <n v="1"/>
    <s v="14FW-JILLBY-KNIT-29-GY"/>
    <n v="1"/>
    <s v="Y&amp;Y14FW-JILLBY-KNIT-29-GY"/>
    <x v="1"/>
    <x v="2"/>
    <n v="1"/>
    <s v="14FW-JILLBY-KNIT-29-GY"/>
    <x v="0"/>
    <s v="Y&amp;Y14FW-JILLBY-KNIT-29-GY"/>
    <x v="24"/>
    <x v="3"/>
    <x v="0"/>
    <x v="0"/>
    <x v="5"/>
    <x v="5"/>
    <m/>
    <n v="100"/>
    <m/>
    <x v="5"/>
    <x v="2"/>
    <x v="0"/>
    <x v="223"/>
    <x v="3"/>
    <n v="1"/>
    <x v="7"/>
    <x v="14"/>
    <d v="2014-03-19T00:00:00"/>
    <d v="2014-03-19T00:00:00"/>
    <d v="2014-04-29T00:00:00"/>
    <m/>
    <m/>
    <m/>
    <n v="1"/>
    <n v="1"/>
    <m/>
  </r>
  <r>
    <n v="1"/>
    <s v="14FW-JILLBY-KNIT-29-WH"/>
    <n v="1"/>
    <s v="Y&amp;Y14FW-JILLBY-KNIT-29-WH"/>
    <x v="1"/>
    <x v="2"/>
    <n v="1"/>
    <s v="14FW-JILLBY-KNIT-29-WH"/>
    <x v="0"/>
    <s v="Y&amp;Y14FW-JILLBY-KNIT-29-WH"/>
    <x v="23"/>
    <x v="5"/>
    <x v="0"/>
    <x v="0"/>
    <x v="5"/>
    <x v="5"/>
    <m/>
    <n v="101"/>
    <m/>
    <x v="5"/>
    <x v="2"/>
    <x v="0"/>
    <x v="224"/>
    <x v="3"/>
    <n v="1"/>
    <x v="7"/>
    <x v="14"/>
    <d v="2014-03-19T00:00:00"/>
    <d v="2014-03-19T00:00:00"/>
    <d v="2014-05-02T00:00:00"/>
    <m/>
    <m/>
    <m/>
    <n v="1"/>
    <n v="1"/>
    <m/>
  </r>
  <r>
    <n v="1"/>
    <s v="14FW-JILLBY-KNIT-30-BG"/>
    <n v="1"/>
    <s v="FOREMOST14FW-JILLBY-KNIT-30-BG"/>
    <x v="1"/>
    <x v="2"/>
    <n v="1"/>
    <s v="14FW-JILLBY-KNIT-30-BG"/>
    <x v="0"/>
    <s v="FOREMOST14FW-JILLBY-KNIT-30-BG"/>
    <x v="44"/>
    <x v="3"/>
    <x v="0"/>
    <x v="0"/>
    <x v="5"/>
    <x v="5"/>
    <m/>
    <n v="102"/>
    <m/>
    <x v="5"/>
    <x v="2"/>
    <x v="0"/>
    <x v="225"/>
    <x v="3"/>
    <n v="1"/>
    <x v="4"/>
    <x v="14"/>
    <d v="2014-03-19T00:00:00"/>
    <d v="2014-03-19T00:00:00"/>
    <d v="2014-04-11T00:00:00"/>
    <n v="6.35"/>
    <m/>
    <m/>
    <n v="1"/>
    <n v="1"/>
    <m/>
  </r>
  <r>
    <n v="1"/>
    <s v="14FW-JILLBY-KNIT-30-PK"/>
    <n v="1"/>
    <s v="FOREMOST14FW-JILLBY-KNIT-30-PK"/>
    <x v="1"/>
    <x v="2"/>
    <n v="1"/>
    <s v="14FW-JILLBY-KNIT-30-PK"/>
    <x v="0"/>
    <s v="FOREMOST14FW-JILLBY-KNIT-30-PK"/>
    <x v="44"/>
    <x v="3"/>
    <x v="0"/>
    <x v="0"/>
    <x v="5"/>
    <x v="5"/>
    <m/>
    <n v="103"/>
    <m/>
    <x v="5"/>
    <x v="2"/>
    <x v="0"/>
    <x v="226"/>
    <x v="3"/>
    <n v="1"/>
    <x v="4"/>
    <x v="14"/>
    <d v="2014-03-19T00:00:00"/>
    <d v="2014-03-19T00:00:00"/>
    <d v="2014-04-11T00:00:00"/>
    <n v="6.35"/>
    <m/>
    <m/>
    <n v="1"/>
    <n v="1"/>
    <m/>
  </r>
  <r>
    <n v="1"/>
    <s v="14FW-JILLBY-KNIT-31-GY"/>
    <n v="1"/>
    <s v="FOREMOST14FW-JILLBY-KNIT-31-GY"/>
    <x v="1"/>
    <x v="2"/>
    <n v="1"/>
    <s v="14FW-JILLBY-KNIT-31-GY"/>
    <x v="0"/>
    <s v="FOREMOST14FW-JILLBY-KNIT-31-GY"/>
    <x v="48"/>
    <x v="3"/>
    <x v="0"/>
    <x v="0"/>
    <x v="5"/>
    <x v="5"/>
    <m/>
    <n v="104"/>
    <m/>
    <x v="5"/>
    <x v="2"/>
    <x v="0"/>
    <x v="227"/>
    <x v="3"/>
    <n v="1"/>
    <x v="4"/>
    <x v="14"/>
    <d v="2014-03-19T00:00:00"/>
    <d v="2014-03-19T00:00:00"/>
    <d v="2014-04-28T00:00:00"/>
    <n v="5.85"/>
    <m/>
    <m/>
    <n v="1"/>
    <n v="1"/>
    <m/>
  </r>
  <r>
    <n v="1"/>
    <s v="14FW-JILLBY-KNIT_35"/>
    <n v="1"/>
    <s v="Y&amp;Y14FW-JILLBY-KNIT_35"/>
    <x v="1"/>
    <x v="2"/>
    <n v="1"/>
    <s v="14FW-JILLBY-KNIT_35"/>
    <x v="0"/>
    <s v="Y&amp;Y14FW-JILLBY-KNIT_35"/>
    <x v="51"/>
    <x v="3"/>
    <x v="0"/>
    <x v="0"/>
    <x v="5"/>
    <x v="5"/>
    <m/>
    <n v="105"/>
    <m/>
    <x v="5"/>
    <x v="2"/>
    <x v="0"/>
    <x v="228"/>
    <x v="3"/>
    <n v="1"/>
    <x v="7"/>
    <x v="14"/>
    <d v="2014-03-19T00:00:00"/>
    <d v="2014-03-19T00:00:00"/>
    <d v="2014-04-10T00:00:00"/>
    <m/>
    <m/>
    <n v="1"/>
    <n v="1"/>
    <n v="1"/>
    <m/>
  </r>
  <r>
    <n v="1"/>
    <s v="14FW-JILLBY-KNIT_36_BK"/>
    <n v="1"/>
    <s v="FOREMOST14FW-JILLBY-KNIT_36_BK"/>
    <x v="1"/>
    <x v="2"/>
    <n v="1"/>
    <s v="14FW-JILLBY-KNIT_36_BK"/>
    <x v="0"/>
    <s v="FOREMOST14FW-JILLBY-KNIT_36_BK"/>
    <x v="29"/>
    <x v="3"/>
    <x v="0"/>
    <x v="0"/>
    <x v="5"/>
    <x v="5"/>
    <m/>
    <n v="106"/>
    <m/>
    <x v="5"/>
    <x v="2"/>
    <x v="0"/>
    <x v="229"/>
    <x v="3"/>
    <n v="1"/>
    <x v="4"/>
    <x v="14"/>
    <d v="2014-03-19T00:00:00"/>
    <d v="2014-03-19T00:00:00"/>
    <d v="2014-04-21T00:00:00"/>
    <n v="6.35"/>
    <m/>
    <n v="1"/>
    <n v="1"/>
    <n v="1"/>
    <m/>
  </r>
  <r>
    <n v="1"/>
    <s v="14FW-JILLBY-KNIT_36_RD"/>
    <n v="1"/>
    <s v="FOREMOST14FW-JILLBY-KNIT_36_RD"/>
    <x v="1"/>
    <x v="2"/>
    <n v="1"/>
    <s v="14FW-JILLBY-KNIT_36_RD"/>
    <x v="0"/>
    <s v="FOREMOST14FW-JILLBY-KNIT_36_RD"/>
    <x v="29"/>
    <x v="3"/>
    <x v="0"/>
    <x v="0"/>
    <x v="5"/>
    <x v="5"/>
    <m/>
    <n v="107"/>
    <m/>
    <x v="5"/>
    <x v="2"/>
    <x v="0"/>
    <x v="230"/>
    <x v="3"/>
    <n v="1"/>
    <x v="4"/>
    <x v="14"/>
    <d v="2014-03-19T00:00:00"/>
    <d v="2014-03-19T00:00:00"/>
    <d v="2014-04-21T00:00:00"/>
    <n v="6.35"/>
    <m/>
    <m/>
    <n v="1"/>
    <n v="1"/>
    <m/>
  </r>
  <r>
    <n v="1"/>
    <s v="14FW-JILLBY-KNIT_37"/>
    <n v="1"/>
    <s v="FOREMOST14FW-JILLBY-KNIT_37"/>
    <x v="1"/>
    <x v="2"/>
    <n v="1"/>
    <s v="14FW-JILLBY-KNIT_37"/>
    <x v="0"/>
    <s v="FOREMOST14FW-JILLBY-KNIT_37"/>
    <x v="43"/>
    <x v="3"/>
    <x v="0"/>
    <x v="0"/>
    <x v="5"/>
    <x v="5"/>
    <m/>
    <n v="108"/>
    <m/>
    <x v="5"/>
    <x v="4"/>
    <x v="0"/>
    <x v="231"/>
    <x v="3"/>
    <n v="1"/>
    <x v="4"/>
    <x v="14"/>
    <d v="2014-03-19T00:00:00"/>
    <d v="2014-03-19T00:00:00"/>
    <d v="2014-04-03T00:00:00"/>
    <m/>
    <m/>
    <n v="1"/>
    <n v="1"/>
    <n v="1"/>
    <m/>
  </r>
  <r>
    <n v="1"/>
    <s v="14FW-JILLBY-KNIT-38-BK"/>
    <n v="1"/>
    <s v="FOREMOST14FW-JILLBY-KNIT-38-BK"/>
    <x v="1"/>
    <x v="7"/>
    <n v="1"/>
    <s v="14FW-JILLBY-KNIT-38-BK"/>
    <x v="0"/>
    <s v="FOREMOST14FW-JILLBY-KNIT-38-BK"/>
    <x v="1"/>
    <x v="0"/>
    <x v="0"/>
    <x v="0"/>
    <x v="5"/>
    <x v="5"/>
    <m/>
    <n v="109"/>
    <m/>
    <x v="5"/>
    <x v="4"/>
    <x v="0"/>
    <x v="232"/>
    <x v="3"/>
    <n v="1"/>
    <x v="4"/>
    <x v="16"/>
    <d v="2014-03-26T00:00:00"/>
    <d v="2014-03-26T00:00:00"/>
    <d v="2014-03-18T00:00:00"/>
    <n v="4.4000000000000004"/>
    <m/>
    <m/>
    <n v="1"/>
    <n v="1"/>
    <m/>
  </r>
  <r>
    <n v="1"/>
    <s v="14FW-JILLBY-KNIT-39-BG"/>
    <n v="1"/>
    <s v="FOREMOST14FW-JILLBY-KNIT-39-BG"/>
    <x v="1"/>
    <x v="7"/>
    <n v="1"/>
    <s v="14FW-JILLBY-KNIT-39-BG"/>
    <x v="0"/>
    <s v="FOREMOST14FW-JILLBY-KNIT-39-BG"/>
    <x v="20"/>
    <x v="3"/>
    <x v="0"/>
    <x v="0"/>
    <x v="5"/>
    <x v="5"/>
    <m/>
    <n v="110"/>
    <m/>
    <x v="5"/>
    <x v="4"/>
    <x v="0"/>
    <x v="233"/>
    <x v="3"/>
    <n v="1"/>
    <x v="4"/>
    <x v="16"/>
    <d v="2014-03-26T00:00:00"/>
    <d v="2014-03-26T00:00:00"/>
    <d v="2014-04-14T00:00:00"/>
    <n v="5.65"/>
    <m/>
    <m/>
    <n v="1"/>
    <n v="1"/>
    <m/>
  </r>
  <r>
    <n v="1"/>
    <s v="14FW-JILLBY-KNIT-40-BG"/>
    <n v="1"/>
    <s v="Y&amp;Y14FW-JILLBY-KNIT-40-BG"/>
    <x v="1"/>
    <x v="7"/>
    <n v="1"/>
    <s v="14FW-JILLBY-KNIT-40-BG"/>
    <x v="0"/>
    <s v="Y&amp;Y14FW-JILLBY-KNIT-40-BG"/>
    <x v="51"/>
    <x v="3"/>
    <x v="0"/>
    <x v="0"/>
    <x v="5"/>
    <x v="5"/>
    <m/>
    <n v="111"/>
    <m/>
    <x v="5"/>
    <x v="4"/>
    <x v="0"/>
    <x v="234"/>
    <x v="3"/>
    <n v="1"/>
    <x v="7"/>
    <x v="16"/>
    <d v="2014-03-26T00:00:00"/>
    <d v="2014-03-26T00:00:00"/>
    <d v="2014-04-10T00:00:00"/>
    <m/>
    <m/>
    <n v="1"/>
    <n v="1"/>
    <n v="1"/>
    <m/>
  </r>
  <r>
    <n v="1"/>
    <s v="14FW-JILLBY-KNIT-41-MT"/>
    <n v="1"/>
    <s v="Y&amp;Y14FW-JILLBY-KNIT-41-MT"/>
    <x v="1"/>
    <x v="7"/>
    <n v="1"/>
    <s v="14FW-JILLBY-KNIT-41-MT"/>
    <x v="0"/>
    <s v="Y&amp;Y14FW-JILLBY-KNIT-41-MT"/>
    <x v="51"/>
    <x v="3"/>
    <x v="0"/>
    <x v="0"/>
    <x v="5"/>
    <x v="5"/>
    <m/>
    <n v="112"/>
    <m/>
    <x v="5"/>
    <x v="4"/>
    <x v="0"/>
    <x v="235"/>
    <x v="3"/>
    <n v="1"/>
    <x v="7"/>
    <x v="16"/>
    <d v="2014-03-26T00:00:00"/>
    <d v="2014-03-26T00:00:00"/>
    <d v="2014-04-10T00:00:00"/>
    <m/>
    <m/>
    <m/>
    <n v="1"/>
    <n v="1"/>
    <m/>
  </r>
  <r>
    <n v="1"/>
    <s v="14FW-JILLBY-KNIT-41-PK"/>
    <n v="1"/>
    <s v="Y&amp;Y14FW-JILLBY-KNIT-41-PK"/>
    <x v="1"/>
    <x v="7"/>
    <n v="1"/>
    <s v="14FW-JILLBY-KNIT-41-PK"/>
    <x v="0"/>
    <s v="Y&amp;Y14FW-JILLBY-KNIT-41-PK"/>
    <x v="51"/>
    <x v="3"/>
    <x v="0"/>
    <x v="0"/>
    <x v="5"/>
    <x v="5"/>
    <m/>
    <n v="113"/>
    <m/>
    <x v="5"/>
    <x v="4"/>
    <x v="0"/>
    <x v="236"/>
    <x v="3"/>
    <n v="1"/>
    <x v="7"/>
    <x v="16"/>
    <d v="2014-03-26T00:00:00"/>
    <d v="2014-03-26T00:00:00"/>
    <d v="2014-04-10T00:00:00"/>
    <m/>
    <m/>
    <n v="1"/>
    <n v="1"/>
    <n v="1"/>
    <m/>
  </r>
  <r>
    <n v="1"/>
    <s v="14FW-JILLBY-KNIT-42-IV"/>
    <n v="1"/>
    <s v="Y&amp;Y14FW-JILLBY-KNIT-42-IV"/>
    <x v="1"/>
    <x v="7"/>
    <n v="1"/>
    <s v="14FW-JILLBY-KNIT-42-IV"/>
    <x v="0"/>
    <s v="Y&amp;Y14FW-JILLBY-KNIT-42-IV"/>
    <x v="24"/>
    <x v="3"/>
    <x v="0"/>
    <x v="0"/>
    <x v="5"/>
    <x v="5"/>
    <m/>
    <n v="114"/>
    <m/>
    <x v="5"/>
    <x v="4"/>
    <x v="0"/>
    <x v="237"/>
    <x v="3"/>
    <n v="1"/>
    <x v="7"/>
    <x v="16"/>
    <d v="2014-03-26T00:00:00"/>
    <d v="2014-03-26T00:00:00"/>
    <d v="2014-04-29T00:00:00"/>
    <m/>
    <m/>
    <m/>
    <n v="1"/>
    <n v="1"/>
    <m/>
  </r>
  <r>
    <n v="1"/>
    <s v="14FW-JILLBY-KNIT-42-NV"/>
    <n v="1"/>
    <s v="Y&amp;Y14FW-JILLBY-KNIT-42-NV"/>
    <x v="1"/>
    <x v="7"/>
    <n v="1"/>
    <s v="14FW-JILLBY-KNIT-42-NV"/>
    <x v="0"/>
    <s v="Y&amp;Y14FW-JILLBY-KNIT-42-NV"/>
    <x v="51"/>
    <x v="3"/>
    <x v="0"/>
    <x v="0"/>
    <x v="5"/>
    <x v="5"/>
    <m/>
    <n v="115"/>
    <m/>
    <x v="5"/>
    <x v="4"/>
    <x v="0"/>
    <x v="238"/>
    <x v="3"/>
    <n v="1"/>
    <x v="7"/>
    <x v="16"/>
    <d v="2014-03-26T00:00:00"/>
    <d v="2014-03-26T00:00:00"/>
    <d v="2014-04-10T00:00:00"/>
    <m/>
    <m/>
    <m/>
    <n v="1"/>
    <n v="1"/>
    <m/>
  </r>
  <r>
    <n v="1"/>
    <s v="14FW-JILLBY-KNIT-43-BW"/>
    <n v="1"/>
    <s v="Y&amp;Y14FW-JILLBY-KNIT-43-BW"/>
    <x v="1"/>
    <x v="7"/>
    <n v="1"/>
    <s v="14FW-JILLBY-KNIT-43-BW"/>
    <x v="0"/>
    <s v="Y&amp;Y14FW-JILLBY-KNIT-43-BW"/>
    <x v="24"/>
    <x v="3"/>
    <x v="0"/>
    <x v="0"/>
    <x v="5"/>
    <x v="5"/>
    <m/>
    <n v="116"/>
    <m/>
    <x v="5"/>
    <x v="4"/>
    <x v="0"/>
    <x v="239"/>
    <x v="3"/>
    <n v="1"/>
    <x v="7"/>
    <x v="16"/>
    <d v="2014-03-26T00:00:00"/>
    <d v="2014-03-26T00:00:00"/>
    <d v="2014-04-29T00:00:00"/>
    <m/>
    <m/>
    <m/>
    <n v="1"/>
    <n v="1"/>
    <m/>
  </r>
  <r>
    <n v="1"/>
    <s v="14FW-JILLBY-KNIT-43-NV"/>
    <n v="1"/>
    <s v="Y&amp;Y14FW-JILLBY-KNIT-43-NV"/>
    <x v="1"/>
    <x v="7"/>
    <n v="1"/>
    <s v="14FW-JILLBY-KNIT-43-NV"/>
    <x v="0"/>
    <s v="Y&amp;Y14FW-JILLBY-KNIT-43-NV"/>
    <x v="24"/>
    <x v="3"/>
    <x v="0"/>
    <x v="0"/>
    <x v="5"/>
    <x v="5"/>
    <m/>
    <n v="117"/>
    <m/>
    <x v="5"/>
    <x v="4"/>
    <x v="0"/>
    <x v="240"/>
    <x v="3"/>
    <n v="1"/>
    <x v="7"/>
    <x v="16"/>
    <d v="2014-03-26T00:00:00"/>
    <d v="2014-03-26T00:00:00"/>
    <d v="2014-04-29T00:00:00"/>
    <m/>
    <m/>
    <n v="1"/>
    <n v="1"/>
    <n v="1"/>
    <m/>
  </r>
  <r>
    <n v="1"/>
    <s v="14FW-JILLBY-KNIT-44-KH-KIDS"/>
    <n v="1"/>
    <s v="FOREMOST14FW-JILLBY-KNIT-44-KH-KIDS"/>
    <x v="1"/>
    <x v="7"/>
    <n v="1"/>
    <s v="14FW-JILLBY-KNIT-44-KH-KIDS"/>
    <x v="0"/>
    <s v="FOREMOST14FW-JILLBY-KNIT-44-KH-KIDS"/>
    <x v="15"/>
    <x v="3"/>
    <x v="0"/>
    <x v="0"/>
    <x v="5"/>
    <x v="5"/>
    <m/>
    <n v="118"/>
    <m/>
    <x v="5"/>
    <x v="2"/>
    <x v="0"/>
    <x v="241"/>
    <x v="4"/>
    <n v="1"/>
    <x v="4"/>
    <x v="16"/>
    <d v="2014-03-26T00:00:00"/>
    <d v="2014-03-26T00:00:00"/>
    <d v="2014-04-07T00:00:00"/>
    <n v="6.25"/>
    <m/>
    <n v="1"/>
    <n v="1"/>
    <n v="1"/>
    <m/>
  </r>
  <r>
    <n v="1"/>
    <s v="14FW-JILLBY-KNIT-45-NV"/>
    <n v="1"/>
    <s v="FOREMOST14FW-JILLBY-KNIT-45-NV"/>
    <x v="1"/>
    <x v="7"/>
    <n v="1"/>
    <s v="14FW-JILLBY-KNIT-45-NV"/>
    <x v="0"/>
    <s v="FOREMOST14FW-JILLBY-KNIT-45-NV"/>
    <x v="10"/>
    <x v="0"/>
    <x v="0"/>
    <x v="0"/>
    <x v="5"/>
    <x v="5"/>
    <m/>
    <n v="119"/>
    <m/>
    <x v="5"/>
    <x v="2"/>
    <x v="0"/>
    <x v="242"/>
    <x v="3"/>
    <n v="1"/>
    <x v="4"/>
    <x v="16"/>
    <d v="2014-03-26T00:00:00"/>
    <d v="2014-03-26T00:00:00"/>
    <d v="2014-03-27T00:00:00"/>
    <n v="4.05"/>
    <m/>
    <n v="1"/>
    <n v="1"/>
    <n v="1"/>
    <m/>
  </r>
  <r>
    <n v="1"/>
    <s v="14FW-JILLBY-KNIT-46-GY"/>
    <n v="1"/>
    <s v="FOREMOST14FW-JILLBY-KNIT-46-GY"/>
    <x v="1"/>
    <x v="7"/>
    <n v="1"/>
    <s v="14FW-JILLBY-KNIT-46-GY"/>
    <x v="0"/>
    <s v="FOREMOST14FW-JILLBY-KNIT-46-GY"/>
    <x v="22"/>
    <x v="3"/>
    <x v="0"/>
    <x v="0"/>
    <x v="5"/>
    <x v="5"/>
    <m/>
    <n v="120"/>
    <m/>
    <x v="5"/>
    <x v="2"/>
    <x v="0"/>
    <x v="243"/>
    <x v="3"/>
    <n v="1"/>
    <x v="4"/>
    <x v="16"/>
    <d v="2014-03-26T00:00:00"/>
    <d v="2014-03-26T00:00:00"/>
    <d v="2014-04-02T00:00:00"/>
    <n v="5.35"/>
    <m/>
    <m/>
    <n v="1"/>
    <n v="1"/>
    <m/>
  </r>
  <r>
    <n v="1"/>
    <s v="14FW-JILLBY-KNIT-46-IV"/>
    <n v="1"/>
    <s v="FOREMOST14FW-JILLBY-KNIT-46-IV"/>
    <x v="1"/>
    <x v="7"/>
    <n v="1"/>
    <s v="14FW-JILLBY-KNIT-46-IV"/>
    <x v="0"/>
    <s v="FOREMOST14FW-JILLBY-KNIT-46-IV"/>
    <x v="22"/>
    <x v="3"/>
    <x v="0"/>
    <x v="0"/>
    <x v="5"/>
    <x v="5"/>
    <m/>
    <n v="121"/>
    <m/>
    <x v="5"/>
    <x v="2"/>
    <x v="0"/>
    <x v="244"/>
    <x v="3"/>
    <n v="1"/>
    <x v="4"/>
    <x v="16"/>
    <d v="2014-03-26T00:00:00"/>
    <d v="2014-03-26T00:00:00"/>
    <d v="2014-04-02T00:00:00"/>
    <n v="5.35"/>
    <m/>
    <m/>
    <n v="1"/>
    <n v="1"/>
    <m/>
  </r>
  <r>
    <n v="1"/>
    <s v="14FW-JILLBY-KNIT-47-GR"/>
    <n v="1"/>
    <s v="FOREMOST14FW-JILLBY-KNIT-47-GR"/>
    <x v="1"/>
    <x v="7"/>
    <n v="1"/>
    <s v="14FW-JILLBY-KNIT-47-GR"/>
    <x v="0"/>
    <s v="FOREMOST14FW-JILLBY-KNIT-47-GR"/>
    <x v="10"/>
    <x v="0"/>
    <x v="0"/>
    <x v="0"/>
    <x v="5"/>
    <x v="5"/>
    <m/>
    <n v="122"/>
    <m/>
    <x v="5"/>
    <x v="2"/>
    <x v="0"/>
    <x v="245"/>
    <x v="3"/>
    <n v="1"/>
    <x v="4"/>
    <x v="16"/>
    <d v="2014-03-26T00:00:00"/>
    <d v="2014-03-26T00:00:00"/>
    <d v="2014-03-27T00:00:00"/>
    <n v="4.95"/>
    <m/>
    <m/>
    <n v="1"/>
    <n v="1"/>
    <m/>
  </r>
  <r>
    <n v="1"/>
    <s v="14FW-JILLBY-KNIT-48-BL"/>
    <n v="1"/>
    <s v="Y&amp;Y14FW-JILLBY-KNIT-48-BL"/>
    <x v="1"/>
    <x v="7"/>
    <n v="1"/>
    <s v="14FW-JILLBY-KNIT-48-BL"/>
    <x v="0"/>
    <s v="Y&amp;Y14FW-JILLBY-KNIT-48-BL"/>
    <x v="4"/>
    <x v="0"/>
    <x v="0"/>
    <x v="0"/>
    <x v="5"/>
    <x v="5"/>
    <m/>
    <n v="123"/>
    <m/>
    <x v="5"/>
    <x v="2"/>
    <x v="0"/>
    <x v="246"/>
    <x v="3"/>
    <n v="1"/>
    <x v="7"/>
    <x v="16"/>
    <d v="2014-03-26T00:00:00"/>
    <d v="2014-03-26T00:00:00"/>
    <d v="2014-03-28T00:00:00"/>
    <m/>
    <m/>
    <n v="1"/>
    <n v="1"/>
    <n v="1"/>
    <m/>
  </r>
  <r>
    <n v="1"/>
    <s v="14FW-JILLBY-KNIT-49-GY"/>
    <n v="1"/>
    <s v="FOREMOST14FW-JILLBY-KNIT-49-GY"/>
    <x v="1"/>
    <x v="7"/>
    <n v="1"/>
    <s v="14FW-JILLBY-KNIT-49-GY"/>
    <x v="0"/>
    <s v="FOREMOST14FW-JILLBY-KNIT-49-GY"/>
    <x v="48"/>
    <x v="3"/>
    <x v="0"/>
    <x v="0"/>
    <x v="5"/>
    <x v="5"/>
    <m/>
    <n v="124"/>
    <m/>
    <x v="5"/>
    <x v="2"/>
    <x v="0"/>
    <x v="247"/>
    <x v="3"/>
    <n v="1"/>
    <x v="4"/>
    <x v="16"/>
    <d v="2014-03-26T00:00:00"/>
    <d v="2014-03-26T00:00:00"/>
    <d v="2014-04-28T00:00:00"/>
    <n v="6.05"/>
    <m/>
    <m/>
    <n v="1"/>
    <n v="1"/>
    <m/>
  </r>
  <r>
    <n v="1"/>
    <s v="14FW-JILLBY-KNIT-50-GY"/>
    <n v="1"/>
    <s v="FOREMOST14FW-JILLBY-KNIT-50-GY"/>
    <x v="1"/>
    <x v="7"/>
    <n v="1"/>
    <s v="14FW-JILLBY-KNIT-50-GY"/>
    <x v="0"/>
    <s v="FOREMOST14FW-JILLBY-KNIT-50-GY"/>
    <x v="22"/>
    <x v="3"/>
    <x v="0"/>
    <x v="0"/>
    <x v="5"/>
    <x v="5"/>
    <m/>
    <n v="125"/>
    <m/>
    <x v="5"/>
    <x v="2"/>
    <x v="0"/>
    <x v="248"/>
    <x v="3"/>
    <n v="1"/>
    <x v="4"/>
    <x v="16"/>
    <d v="2014-03-26T00:00:00"/>
    <d v="2014-03-26T00:00:00"/>
    <d v="2014-04-02T00:00:00"/>
    <n v="5.95"/>
    <m/>
    <n v="1"/>
    <n v="1"/>
    <n v="1"/>
    <m/>
  </r>
  <r>
    <n v="1"/>
    <s v="14FW-JILLBY-KNIT-51-OR"/>
    <n v="1"/>
    <s v="Y&amp;Y14FW-JILLBY-KNIT-51-OR"/>
    <x v="1"/>
    <x v="7"/>
    <n v="0"/>
    <s v=""/>
    <x v="1"/>
    <s v=""/>
    <x v="47"/>
    <x v="0"/>
    <x v="0"/>
    <x v="0"/>
    <x v="5"/>
    <x v="5"/>
    <m/>
    <n v="126"/>
    <m/>
    <x v="5"/>
    <x v="2"/>
    <x v="0"/>
    <x v="249"/>
    <x v="3"/>
    <n v="1"/>
    <x v="7"/>
    <x v="16"/>
    <d v="2014-03-26T00:00:00"/>
    <d v="2014-03-26T00:00:00"/>
    <m/>
    <m/>
    <m/>
    <n v="1"/>
    <n v="1"/>
    <n v="1"/>
    <m/>
  </r>
  <r>
    <n v="1"/>
    <s v="14FW-JILLBY-KNIT-52-GR"/>
    <n v="1"/>
    <s v="Y&amp;Y14FW-JILLBY-KNIT-52-GR"/>
    <x v="1"/>
    <x v="7"/>
    <n v="1"/>
    <s v="14FW-JILLBY-KNIT-52-GR"/>
    <x v="0"/>
    <s v="Y&amp;Y14FW-JILLBY-KNIT-52-GR"/>
    <x v="24"/>
    <x v="3"/>
    <x v="0"/>
    <x v="0"/>
    <x v="5"/>
    <x v="5"/>
    <m/>
    <n v="127"/>
    <m/>
    <x v="5"/>
    <x v="2"/>
    <x v="0"/>
    <x v="250"/>
    <x v="3"/>
    <n v="1"/>
    <x v="7"/>
    <x v="16"/>
    <d v="2014-03-26T00:00:00"/>
    <d v="2014-03-26T00:00:00"/>
    <d v="2014-04-29T00:00:00"/>
    <m/>
    <m/>
    <n v="1"/>
    <n v="1"/>
    <n v="1"/>
    <m/>
  </r>
  <r>
    <n v="1"/>
    <s v="14FW-JILLBY-KNIT-52-RD"/>
    <n v="1"/>
    <s v="Y&amp;Y14FW-JILLBY-KNIT-52-RD"/>
    <x v="1"/>
    <x v="7"/>
    <n v="1"/>
    <s v="14FW-JILLBY-KNIT-52-RD"/>
    <x v="0"/>
    <s v="Y&amp;Y14FW-JILLBY-KNIT-52-RD"/>
    <x v="24"/>
    <x v="3"/>
    <x v="0"/>
    <x v="0"/>
    <x v="5"/>
    <x v="5"/>
    <m/>
    <n v="128"/>
    <m/>
    <x v="5"/>
    <x v="2"/>
    <x v="0"/>
    <x v="251"/>
    <x v="3"/>
    <n v="1"/>
    <x v="7"/>
    <x v="16"/>
    <d v="2014-03-26T00:00:00"/>
    <d v="2014-03-26T00:00:00"/>
    <d v="2014-04-29T00:00:00"/>
    <m/>
    <m/>
    <m/>
    <n v="1"/>
    <n v="1"/>
    <m/>
  </r>
  <r>
    <n v="1"/>
    <s v="14FW-JILLBY-KNIT-53-BK"/>
    <n v="1"/>
    <s v="FOREMOST14FW-JILLBY-KNIT-53-BK"/>
    <x v="1"/>
    <x v="7"/>
    <n v="1"/>
    <s v="14FW-JILLBY-KNIT-53-BK"/>
    <x v="0"/>
    <s v="FOREMOST14FW-JILLBY-KNIT-53-BK"/>
    <x v="20"/>
    <x v="3"/>
    <x v="0"/>
    <x v="0"/>
    <x v="5"/>
    <x v="5"/>
    <m/>
    <n v="129"/>
    <m/>
    <x v="5"/>
    <x v="2"/>
    <x v="0"/>
    <x v="252"/>
    <x v="3"/>
    <n v="1"/>
    <x v="4"/>
    <x v="16"/>
    <d v="2014-03-26T00:00:00"/>
    <d v="2014-03-26T00:00:00"/>
    <d v="2014-04-14T00:00:00"/>
    <n v="5.8"/>
    <m/>
    <n v="1"/>
    <n v="1"/>
    <n v="1"/>
    <m/>
  </r>
  <r>
    <n v="1"/>
    <s v="14FW-JILLBY-KNIT-53-GY"/>
    <n v="1"/>
    <s v="FOREMOST14FW-JILLBY-KNIT-53-GY"/>
    <x v="1"/>
    <x v="7"/>
    <n v="1"/>
    <s v="14FW-JILLBY-KNIT-53-GY"/>
    <x v="0"/>
    <s v="FOREMOST14FW-JILLBY-KNIT-53-GY"/>
    <x v="20"/>
    <x v="3"/>
    <x v="0"/>
    <x v="0"/>
    <x v="5"/>
    <x v="5"/>
    <m/>
    <n v="130"/>
    <m/>
    <x v="5"/>
    <x v="2"/>
    <x v="0"/>
    <x v="253"/>
    <x v="3"/>
    <n v="1"/>
    <x v="4"/>
    <x v="16"/>
    <d v="2014-03-26T00:00:00"/>
    <d v="2014-03-26T00:00:00"/>
    <d v="2014-04-14T00:00:00"/>
    <n v="10.5"/>
    <m/>
    <m/>
    <n v="1"/>
    <n v="1"/>
    <m/>
  </r>
  <r>
    <n v="1"/>
    <s v="14FW-JILLBY-KNIT-54-PP"/>
    <n v="1"/>
    <s v="FOREMOST14FW-JILLBY-KNIT-54-PP"/>
    <x v="1"/>
    <x v="7"/>
    <n v="1"/>
    <s v="14FW-JILLBY-KNIT-54-PP"/>
    <x v="0"/>
    <s v="FOREMOST14FW-JILLBY-KNIT-54-PP"/>
    <x v="15"/>
    <x v="3"/>
    <x v="0"/>
    <x v="0"/>
    <x v="5"/>
    <x v="5"/>
    <m/>
    <n v="131"/>
    <m/>
    <x v="5"/>
    <x v="2"/>
    <x v="0"/>
    <x v="254"/>
    <x v="3"/>
    <n v="1"/>
    <x v="4"/>
    <x v="16"/>
    <d v="2014-03-26T00:00:00"/>
    <d v="2014-03-26T00:00:00"/>
    <d v="2014-04-07T00:00:00"/>
    <n v="5.65"/>
    <m/>
    <m/>
    <n v="1"/>
    <n v="1"/>
    <m/>
  </r>
  <r>
    <n v="1"/>
    <s v="14FW-JILLBY-KNIT-55-BG"/>
    <n v="1"/>
    <s v="Y&amp;Y14FW-JILLBY-KNIT-55-BG"/>
    <x v="1"/>
    <x v="7"/>
    <n v="1"/>
    <s v="14FW-JILLBY-KNIT-55-BG"/>
    <x v="0"/>
    <s v="Y&amp;Y14FW-JILLBY-KNIT-55-BG"/>
    <x v="51"/>
    <x v="3"/>
    <x v="0"/>
    <x v="0"/>
    <x v="5"/>
    <x v="5"/>
    <m/>
    <n v="132"/>
    <m/>
    <x v="5"/>
    <x v="2"/>
    <x v="0"/>
    <x v="255"/>
    <x v="3"/>
    <n v="1"/>
    <x v="7"/>
    <x v="16"/>
    <d v="2014-03-26T00:00:00"/>
    <d v="2014-03-26T00:00:00"/>
    <d v="2014-04-10T00:00:00"/>
    <m/>
    <m/>
    <m/>
    <n v="1"/>
    <n v="1"/>
    <m/>
  </r>
  <r>
    <n v="1"/>
    <s v="14FW-JILLBY-KNIT-55-BK"/>
    <n v="1"/>
    <s v="Y&amp;Y14FW-JILLBY-KNIT-55-BK"/>
    <x v="1"/>
    <x v="7"/>
    <n v="1"/>
    <s v="14FW-JILLBY-KNIT-55-BK"/>
    <x v="0"/>
    <s v="Y&amp;Y14FW-JILLBY-KNIT-55-BK"/>
    <x v="51"/>
    <x v="3"/>
    <x v="0"/>
    <x v="0"/>
    <x v="5"/>
    <x v="5"/>
    <m/>
    <n v="133"/>
    <m/>
    <x v="5"/>
    <x v="2"/>
    <x v="0"/>
    <x v="256"/>
    <x v="3"/>
    <n v="1"/>
    <x v="7"/>
    <x v="16"/>
    <d v="2014-03-26T00:00:00"/>
    <d v="2014-03-26T00:00:00"/>
    <d v="2014-04-10T00:00:00"/>
    <m/>
    <m/>
    <m/>
    <n v="1"/>
    <n v="1"/>
    <m/>
  </r>
  <r>
    <n v="1"/>
    <s v="14FW-JILLBY-KNIT-55-PP"/>
    <n v="1"/>
    <s v="Y&amp;Y14FW-JILLBY-KNIT-55-PP"/>
    <x v="1"/>
    <x v="7"/>
    <n v="1"/>
    <s v="14FW-JILLBY-KNIT-55-PP"/>
    <x v="0"/>
    <s v="Y&amp;Y14FW-JILLBY-KNIT-55-PP"/>
    <x v="51"/>
    <x v="3"/>
    <x v="0"/>
    <x v="0"/>
    <x v="5"/>
    <x v="5"/>
    <m/>
    <n v="134"/>
    <m/>
    <x v="5"/>
    <x v="2"/>
    <x v="0"/>
    <x v="257"/>
    <x v="3"/>
    <n v="1"/>
    <x v="7"/>
    <x v="16"/>
    <d v="2014-03-26T00:00:00"/>
    <d v="2014-03-26T00:00:00"/>
    <d v="2014-04-10T00:00:00"/>
    <m/>
    <m/>
    <m/>
    <n v="1"/>
    <n v="1"/>
    <m/>
  </r>
  <r>
    <n v="1"/>
    <s v="14FW-JILLBY-KNIT-56-BG"/>
    <n v="1"/>
    <s v="FOREMOST14FW-JILLBY-KNIT-56-BG"/>
    <x v="1"/>
    <x v="7"/>
    <n v="1"/>
    <s v="14FW-JILLBY-KNIT-56-BG"/>
    <x v="0"/>
    <s v="FOREMOST14FW-JILLBY-KNIT-56-BG"/>
    <x v="43"/>
    <x v="3"/>
    <x v="0"/>
    <x v="0"/>
    <x v="5"/>
    <x v="5"/>
    <m/>
    <n v="135"/>
    <m/>
    <x v="5"/>
    <x v="2"/>
    <x v="0"/>
    <x v="258"/>
    <x v="3"/>
    <n v="1"/>
    <x v="4"/>
    <x v="16"/>
    <d v="2014-03-26T00:00:00"/>
    <d v="2014-03-26T00:00:00"/>
    <d v="2014-04-03T00:00:00"/>
    <n v="5.5"/>
    <m/>
    <m/>
    <n v="1"/>
    <n v="1"/>
    <m/>
  </r>
  <r>
    <n v="1"/>
    <s v="14FW-JILLBY-KNIT-56-BK"/>
    <n v="1"/>
    <s v="FOREMOST14FW-JILLBY-KNIT-56-BK"/>
    <x v="1"/>
    <x v="7"/>
    <n v="1"/>
    <s v="14FW-JILLBY-KNIT-56-BK"/>
    <x v="0"/>
    <s v="FOREMOST14FW-JILLBY-KNIT-56-BK"/>
    <x v="43"/>
    <x v="3"/>
    <x v="0"/>
    <x v="0"/>
    <x v="5"/>
    <x v="5"/>
    <m/>
    <n v="136"/>
    <m/>
    <x v="5"/>
    <x v="2"/>
    <x v="0"/>
    <x v="259"/>
    <x v="3"/>
    <n v="1"/>
    <x v="4"/>
    <x v="16"/>
    <d v="2014-03-26T00:00:00"/>
    <d v="2014-03-26T00:00:00"/>
    <d v="2014-04-03T00:00:00"/>
    <n v="5.5"/>
    <m/>
    <m/>
    <n v="1"/>
    <n v="1"/>
    <m/>
  </r>
  <r>
    <n v="1"/>
    <s v="14FW-JILLBY-KNIT-57-BK"/>
    <n v="1"/>
    <s v="FOREMOST14FW-JILLBY-KNIT-57-BK"/>
    <x v="1"/>
    <x v="7"/>
    <n v="1"/>
    <s v="14FW-JILLBY-KNIT-57-BK"/>
    <x v="0"/>
    <s v="FOREMOST14FW-JILLBY-KNIT-57-BK"/>
    <x v="21"/>
    <x v="3"/>
    <x v="0"/>
    <x v="0"/>
    <x v="5"/>
    <x v="5"/>
    <m/>
    <n v="137"/>
    <m/>
    <x v="5"/>
    <x v="2"/>
    <x v="0"/>
    <x v="260"/>
    <x v="3"/>
    <n v="1"/>
    <x v="4"/>
    <x v="16"/>
    <d v="2014-03-26T00:00:00"/>
    <d v="2014-03-26T00:00:00"/>
    <d v="2014-04-01T00:00:00"/>
    <n v="4.6500000000000004"/>
    <m/>
    <m/>
    <n v="1"/>
    <n v="1"/>
    <m/>
  </r>
  <r>
    <n v="1"/>
    <s v="14FW-JILLBY-KNIT-57-KH"/>
    <n v="1"/>
    <s v="FOREMOST14FW-JILLBY-KNIT-57-KH"/>
    <x v="1"/>
    <x v="7"/>
    <n v="1"/>
    <s v="14FW-JILLBY-KNIT-57-KH"/>
    <x v="0"/>
    <s v="FOREMOST14FW-JILLBY-KNIT-57-KH"/>
    <x v="21"/>
    <x v="3"/>
    <x v="0"/>
    <x v="0"/>
    <x v="5"/>
    <x v="5"/>
    <m/>
    <n v="138"/>
    <m/>
    <x v="5"/>
    <x v="2"/>
    <x v="0"/>
    <x v="261"/>
    <x v="3"/>
    <n v="1"/>
    <x v="4"/>
    <x v="16"/>
    <d v="2014-03-26T00:00:00"/>
    <d v="2014-03-26T00:00:00"/>
    <d v="2014-04-01T00:00:00"/>
    <n v="4.6500000000000004"/>
    <m/>
    <m/>
    <n v="1"/>
    <n v="1"/>
    <m/>
  </r>
  <r>
    <n v="1"/>
    <s v="14FW-JILLBY-KNIT-58-BG"/>
    <n v="1"/>
    <s v="FOREMOST14FW-JILLBY-KNIT-58-BG"/>
    <x v="1"/>
    <x v="7"/>
    <n v="1"/>
    <s v="14FW-JILLBY-KNIT-58-BG"/>
    <x v="0"/>
    <s v="FOREMOST14FW-JILLBY-KNIT-58-BG"/>
    <x v="27"/>
    <x v="3"/>
    <x v="0"/>
    <x v="0"/>
    <x v="5"/>
    <x v="5"/>
    <m/>
    <n v="139"/>
    <m/>
    <x v="5"/>
    <x v="2"/>
    <x v="0"/>
    <x v="262"/>
    <x v="3"/>
    <n v="1"/>
    <x v="4"/>
    <x v="16"/>
    <d v="2014-03-26T00:00:00"/>
    <d v="2014-03-26T00:00:00"/>
    <d v="2014-04-24T00:00:00"/>
    <n v="6.65"/>
    <m/>
    <m/>
    <n v="1"/>
    <n v="1"/>
    <m/>
  </r>
  <r>
    <n v="1"/>
    <s v="14FW-JILLBY-KNIT-58-GY"/>
    <n v="1"/>
    <s v="FOREMOST14FW-JILLBY-KNIT-58-GY"/>
    <x v="1"/>
    <x v="7"/>
    <n v="1"/>
    <s v="14FW-JILLBY-KNIT-58-GY"/>
    <x v="0"/>
    <s v="FOREMOST14FW-JILLBY-KNIT-58-GY"/>
    <x v="27"/>
    <x v="3"/>
    <x v="0"/>
    <x v="0"/>
    <x v="5"/>
    <x v="5"/>
    <m/>
    <n v="140"/>
    <m/>
    <x v="5"/>
    <x v="2"/>
    <x v="0"/>
    <x v="263"/>
    <x v="3"/>
    <n v="1"/>
    <x v="4"/>
    <x v="16"/>
    <d v="2014-03-26T00:00:00"/>
    <d v="2014-03-26T00:00:00"/>
    <d v="2014-04-24T00:00:00"/>
    <n v="6.65"/>
    <m/>
    <m/>
    <n v="1"/>
    <n v="1"/>
    <m/>
  </r>
  <r>
    <n v="1"/>
    <s v="14FW-JILLBY-KNIT-59-MT"/>
    <n v="1"/>
    <s v="FOREMOST14FW-JILLBY-KNIT-59-MT"/>
    <x v="1"/>
    <x v="7"/>
    <n v="1"/>
    <s v="14FW-JILLBY-KNIT-59-MT"/>
    <x v="0"/>
    <s v="FOREMOST14FW-JILLBY-KNIT-59-MT"/>
    <x v="20"/>
    <x v="3"/>
    <x v="0"/>
    <x v="0"/>
    <x v="5"/>
    <x v="5"/>
    <m/>
    <n v="141"/>
    <m/>
    <x v="5"/>
    <x v="2"/>
    <x v="0"/>
    <x v="264"/>
    <x v="3"/>
    <n v="1"/>
    <x v="4"/>
    <x v="16"/>
    <d v="2014-03-26T00:00:00"/>
    <d v="2014-03-26T00:00:00"/>
    <d v="2014-04-14T00:00:00"/>
    <n v="7.9"/>
    <m/>
    <m/>
    <n v="1"/>
    <n v="1"/>
    <m/>
  </r>
  <r>
    <n v="1"/>
    <s v="14FW-JILLBY-KNIT-59-PK"/>
    <n v="1"/>
    <s v="FOREMOST14FW-JILLBY-KNIT-59-PK"/>
    <x v="1"/>
    <x v="7"/>
    <n v="1"/>
    <s v="14FW-JILLBY-KNIT-59-PK"/>
    <x v="0"/>
    <s v="FOREMOST14FW-JILLBY-KNIT-59-PK"/>
    <x v="20"/>
    <x v="3"/>
    <x v="0"/>
    <x v="0"/>
    <x v="5"/>
    <x v="5"/>
    <m/>
    <n v="142"/>
    <m/>
    <x v="5"/>
    <x v="2"/>
    <x v="0"/>
    <x v="265"/>
    <x v="3"/>
    <n v="1"/>
    <x v="4"/>
    <x v="16"/>
    <d v="2014-03-26T00:00:00"/>
    <d v="2014-03-26T00:00:00"/>
    <d v="2014-04-14T00:00:00"/>
    <n v="7.9"/>
    <m/>
    <m/>
    <n v="1"/>
    <n v="1"/>
    <m/>
  </r>
  <r>
    <n v="1"/>
    <s v="14FW-JILLBY-KNIT-60-GY"/>
    <n v="1"/>
    <s v="FOREMOST14FW-JILLBY-KNIT-60-GY"/>
    <x v="1"/>
    <x v="7"/>
    <n v="1"/>
    <s v="14FW-JILLBY-KNIT-60-GY"/>
    <x v="0"/>
    <s v="FOREMOST14FW-JILLBY-KNIT-60-GY"/>
    <x v="44"/>
    <x v="3"/>
    <x v="0"/>
    <x v="0"/>
    <x v="5"/>
    <x v="5"/>
    <m/>
    <n v="143"/>
    <m/>
    <x v="5"/>
    <x v="2"/>
    <x v="0"/>
    <x v="266"/>
    <x v="4"/>
    <n v="1"/>
    <x v="4"/>
    <x v="16"/>
    <d v="2014-03-26T00:00:00"/>
    <d v="2014-03-26T00:00:00"/>
    <d v="2014-04-11T00:00:00"/>
    <m/>
    <m/>
    <m/>
    <n v="1"/>
    <n v="1"/>
    <m/>
  </r>
  <r>
    <n v="1"/>
    <s v="14FW-JILLBY-KNIT-60-PK-KIDS"/>
    <n v="1"/>
    <s v="FOREMOST14FW-JILLBY-KNIT-60-PK-KIDS"/>
    <x v="1"/>
    <x v="7"/>
    <n v="1"/>
    <s v="14FW-JILLBY-KNIT-60-PK-KIDS"/>
    <x v="0"/>
    <s v="FOREMOST14FW-JILLBY-KNIT-60-PK-KIDS"/>
    <x v="44"/>
    <x v="3"/>
    <x v="0"/>
    <x v="0"/>
    <x v="5"/>
    <x v="5"/>
    <m/>
    <n v="144"/>
    <m/>
    <x v="5"/>
    <x v="2"/>
    <x v="0"/>
    <x v="267"/>
    <x v="4"/>
    <n v="1"/>
    <x v="4"/>
    <x v="16"/>
    <d v="2014-03-26T00:00:00"/>
    <d v="2014-03-26T00:00:00"/>
    <d v="2014-04-11T00:00:00"/>
    <m/>
    <m/>
    <m/>
    <n v="1"/>
    <n v="1"/>
    <m/>
  </r>
  <r>
    <n v="1"/>
    <s v="14FW-JILLBY-KNIT-33-RD"/>
    <n v="1"/>
    <s v="FOREMOST14FW-JILLBY-KNIT-33-RD"/>
    <x v="2"/>
    <x v="3"/>
    <n v="1"/>
    <s v="14FW-JILLBY-KNIT-33-RD"/>
    <x v="0"/>
    <s v="FOREMOST14FW-JILLBY-KNIT-33-RD"/>
    <x v="48"/>
    <x v="3"/>
    <x v="0"/>
    <x v="0"/>
    <x v="6"/>
    <x v="6"/>
    <m/>
    <n v="145"/>
    <m/>
    <x v="5"/>
    <x v="7"/>
    <x v="0"/>
    <x v="268"/>
    <x v="3"/>
    <n v="1"/>
    <x v="4"/>
    <x v="17"/>
    <d v="2014-03-31T00:00:00"/>
    <d v="2014-03-31T00:00:00"/>
    <d v="2014-04-28T00:00:00"/>
    <n v="5.4"/>
    <m/>
    <m/>
    <n v="1"/>
    <n v="1"/>
    <m/>
  </r>
  <r>
    <n v="1"/>
    <s v="14FW-JILLBY-KNIT-43-IV"/>
    <n v="1"/>
    <s v="FOREMOST14FW-JILLBY-KNIT-43-IV"/>
    <x v="2"/>
    <x v="3"/>
    <n v="0"/>
    <s v=""/>
    <x v="1"/>
    <s v=""/>
    <x v="31"/>
    <x v="0"/>
    <x v="0"/>
    <x v="0"/>
    <x v="5"/>
    <x v="5"/>
    <m/>
    <n v="146"/>
    <m/>
    <x v="5"/>
    <x v="2"/>
    <x v="0"/>
    <x v="269"/>
    <x v="3"/>
    <n v="1"/>
    <x v="4"/>
    <x v="17"/>
    <d v="2014-03-31T00:00:00"/>
    <d v="2014-03-31T00:00:00"/>
    <m/>
    <m/>
    <m/>
    <m/>
    <n v="1"/>
    <n v="1"/>
    <m/>
  </r>
  <r>
    <n v="1"/>
    <s v="14FW-JILLBY-KNIT-61-BK"/>
    <n v="1"/>
    <s v="FOREMOST14FW-JILLBY-KNIT-61-BK"/>
    <x v="2"/>
    <x v="3"/>
    <n v="1"/>
    <s v="14FW-JILLBY-KNIT-61-BK"/>
    <x v="0"/>
    <s v="FOREMOST14FW-JILLBY-KNIT-61-BK"/>
    <x v="21"/>
    <x v="3"/>
    <x v="0"/>
    <x v="0"/>
    <x v="5"/>
    <x v="5"/>
    <m/>
    <n v="147"/>
    <m/>
    <x v="5"/>
    <x v="2"/>
    <x v="0"/>
    <x v="270"/>
    <x v="3"/>
    <n v="1"/>
    <x v="4"/>
    <x v="17"/>
    <d v="2014-03-31T00:00:00"/>
    <d v="2014-03-31T00:00:00"/>
    <d v="2014-04-01T00:00:00"/>
    <m/>
    <m/>
    <n v="1"/>
    <n v="1"/>
    <n v="1"/>
    <m/>
  </r>
  <r>
    <n v="1"/>
    <s v="14FW-JILLBY-KNIT-62-BG"/>
    <n v="1"/>
    <s v="FOREMOST14FW-JILLBY-KNIT-62-BG"/>
    <x v="2"/>
    <x v="3"/>
    <n v="1"/>
    <s v="14FW-JILLBY-KNIT-62-BG"/>
    <x v="0"/>
    <s v="FOREMOST14FW-JILLBY-KNIT-62-BG"/>
    <x v="15"/>
    <x v="3"/>
    <x v="0"/>
    <x v="0"/>
    <x v="5"/>
    <x v="5"/>
    <m/>
    <n v="148"/>
    <m/>
    <x v="5"/>
    <x v="2"/>
    <x v="0"/>
    <x v="271"/>
    <x v="3"/>
    <n v="1"/>
    <x v="4"/>
    <x v="17"/>
    <d v="2014-03-31T00:00:00"/>
    <d v="2014-03-31T00:00:00"/>
    <d v="2014-04-07T00:00:00"/>
    <n v="5.2"/>
    <m/>
    <m/>
    <n v="1"/>
    <n v="1"/>
    <m/>
  </r>
  <r>
    <n v="1"/>
    <s v="14FW-JILLBY-KNIT-62-BL"/>
    <n v="1"/>
    <s v="FOREMOST14FW-JILLBY-KNIT-62-BL"/>
    <x v="2"/>
    <x v="3"/>
    <n v="1"/>
    <s v="14FW-JILLBY-KNIT-62-BL"/>
    <x v="0"/>
    <s v="FOREMOST14FW-JILLBY-KNIT-62-BL"/>
    <x v="15"/>
    <x v="3"/>
    <x v="0"/>
    <x v="0"/>
    <x v="5"/>
    <x v="5"/>
    <m/>
    <n v="149"/>
    <m/>
    <x v="5"/>
    <x v="2"/>
    <x v="0"/>
    <x v="272"/>
    <x v="3"/>
    <n v="1"/>
    <x v="4"/>
    <x v="17"/>
    <d v="2014-03-31T00:00:00"/>
    <d v="2014-03-31T00:00:00"/>
    <d v="2014-04-07T00:00:00"/>
    <n v="5.2"/>
    <m/>
    <m/>
    <n v="1"/>
    <n v="1"/>
    <m/>
  </r>
  <r>
    <n v="1"/>
    <s v="14FW-JILLBY-KNIT-62-GY"/>
    <n v="1"/>
    <s v="FOREMOST14FW-JILLBY-KNIT-62-GY"/>
    <x v="2"/>
    <x v="3"/>
    <n v="1"/>
    <s v="14FW-JILLBY-KNIT-62-GY"/>
    <x v="0"/>
    <s v="FOREMOST14FW-JILLBY-KNIT-62-GY"/>
    <x v="15"/>
    <x v="3"/>
    <x v="0"/>
    <x v="0"/>
    <x v="5"/>
    <x v="5"/>
    <m/>
    <n v="150"/>
    <m/>
    <x v="5"/>
    <x v="2"/>
    <x v="0"/>
    <x v="273"/>
    <x v="3"/>
    <n v="1"/>
    <x v="4"/>
    <x v="17"/>
    <d v="2014-03-31T00:00:00"/>
    <d v="2014-03-31T00:00:00"/>
    <d v="2014-04-07T00:00:00"/>
    <n v="5.2"/>
    <m/>
    <m/>
    <n v="1"/>
    <n v="1"/>
    <m/>
  </r>
  <r>
    <n v="1"/>
    <s v="14FW-JILLBY-KNIT-63-PK-KIDS"/>
    <n v="1"/>
    <s v="FOREMOST14FW-JILLBY-KNIT-63-PK-KIDS"/>
    <x v="2"/>
    <x v="3"/>
    <n v="1"/>
    <s v="14FW-JILLBY-KNIT-63-PK-KIDS"/>
    <x v="0"/>
    <s v="FOREMOST14FW-JILLBY-KNIT-63-PK-KIDS"/>
    <x v="21"/>
    <x v="3"/>
    <x v="0"/>
    <x v="0"/>
    <x v="5"/>
    <x v="5"/>
    <m/>
    <n v="151"/>
    <m/>
    <x v="5"/>
    <x v="2"/>
    <x v="0"/>
    <x v="274"/>
    <x v="4"/>
    <n v="1"/>
    <x v="4"/>
    <x v="17"/>
    <d v="2014-03-31T00:00:00"/>
    <d v="2014-03-31T00:00:00"/>
    <d v="2014-04-01T00:00:00"/>
    <n v="6.4"/>
    <m/>
    <m/>
    <n v="1"/>
    <n v="1"/>
    <m/>
  </r>
  <r>
    <n v="1"/>
    <s v="14FW-JILLBY-KNIT-63-YL-KIDS"/>
    <n v="1"/>
    <s v="KIDS FIRST TOYS14FW-JILLBY-KNIT-63-YL-KIDS"/>
    <x v="2"/>
    <x v="3"/>
    <n v="1"/>
    <s v="14FW-JILLBY-KNIT-63-YL-KIDS"/>
    <x v="0"/>
    <s v="KIDS FIRST TOYS14FW-JILLBY-KNIT-63-YL-KIDS"/>
    <x v="22"/>
    <x v="3"/>
    <x v="0"/>
    <x v="0"/>
    <x v="5"/>
    <x v="5"/>
    <m/>
    <n v="152"/>
    <m/>
    <x v="5"/>
    <x v="2"/>
    <x v="0"/>
    <x v="275"/>
    <x v="4"/>
    <n v="1"/>
    <x v="6"/>
    <x v="17"/>
    <d v="2014-03-31T00:00:00"/>
    <d v="2014-03-31T00:00:00"/>
    <d v="2014-04-02T00:00:00"/>
    <m/>
    <m/>
    <m/>
    <n v="1"/>
    <n v="1"/>
    <m/>
  </r>
  <r>
    <n v="1"/>
    <s v="14FW-JILLBY-KNIT-64-BK-GY"/>
    <n v="1"/>
    <s v="Y&amp;Y14FW-JILLBY-KNIT-64-BK-GY"/>
    <x v="2"/>
    <x v="3"/>
    <n v="1"/>
    <s v="14FW-JILLBY-KNIT-64-BK-GY"/>
    <x v="0"/>
    <s v="Y&amp;Y14FW-JILLBY-KNIT-64-BK-GY"/>
    <x v="24"/>
    <x v="3"/>
    <x v="0"/>
    <x v="0"/>
    <x v="5"/>
    <x v="5"/>
    <m/>
    <n v="153"/>
    <m/>
    <x v="5"/>
    <x v="2"/>
    <x v="0"/>
    <x v="276"/>
    <x v="3"/>
    <n v="1"/>
    <x v="7"/>
    <x v="17"/>
    <d v="2014-03-31T00:00:00"/>
    <d v="2014-03-31T00:00:00"/>
    <d v="2014-04-29T00:00:00"/>
    <m/>
    <m/>
    <n v="1"/>
    <n v="1"/>
    <n v="1"/>
    <m/>
  </r>
  <r>
    <n v="1"/>
    <s v="14FW-JILLBY-KNIT-65-BK-GY"/>
    <n v="1"/>
    <s v="Y&amp;Y14FW-JILLBY-KNIT-65-BK-GY"/>
    <x v="2"/>
    <x v="3"/>
    <n v="1"/>
    <s v="14FW-JILLBY-KNIT-65-BK-GY"/>
    <x v="0"/>
    <s v="Y&amp;Y14FW-JILLBY-KNIT-65-BK-GY"/>
    <x v="24"/>
    <x v="3"/>
    <x v="0"/>
    <x v="0"/>
    <x v="5"/>
    <x v="5"/>
    <m/>
    <n v="154"/>
    <m/>
    <x v="5"/>
    <x v="2"/>
    <x v="0"/>
    <x v="277"/>
    <x v="3"/>
    <n v="1"/>
    <x v="7"/>
    <x v="17"/>
    <d v="2014-03-31T00:00:00"/>
    <d v="2014-03-31T00:00:00"/>
    <d v="2014-04-29T00:00:00"/>
    <m/>
    <m/>
    <m/>
    <n v="1"/>
    <n v="1"/>
    <m/>
  </r>
  <r>
    <n v="1"/>
    <s v="14FW-JILLBY-KNIT-66"/>
    <n v="1"/>
    <s v="FOREMOST14FW-JILLBY-KNIT-66"/>
    <x v="2"/>
    <x v="3"/>
    <n v="1"/>
    <s v="14FW-JILLBY-KNIT-66"/>
    <x v="0"/>
    <s v="FOREMOST14FW-JILLBY-KNIT-66"/>
    <x v="15"/>
    <x v="3"/>
    <x v="0"/>
    <x v="0"/>
    <x v="5"/>
    <x v="5"/>
    <m/>
    <n v="155"/>
    <m/>
    <x v="5"/>
    <x v="2"/>
    <x v="0"/>
    <x v="278"/>
    <x v="3"/>
    <n v="1"/>
    <x v="4"/>
    <x v="17"/>
    <d v="2014-03-31T00:00:00"/>
    <d v="2014-03-31T00:00:00"/>
    <d v="2014-04-07T00:00:00"/>
    <n v="8.35"/>
    <m/>
    <m/>
    <n v="1"/>
    <n v="1"/>
    <m/>
  </r>
  <r>
    <n v="0.5"/>
    <s v="14FW-JILLBY-KNIT-67-BK"/>
    <n v="1"/>
    <s v="FOREMOST14FW-JILLBY-KNIT-67-BK"/>
    <x v="2"/>
    <x v="3"/>
    <n v="0.5"/>
    <s v="14FW-JILLBY-KNIT-67-BK"/>
    <x v="0"/>
    <s v="FOREMOST14FW-JILLBY-KNIT-67-BK"/>
    <x v="21"/>
    <x v="3"/>
    <x v="0"/>
    <x v="0"/>
    <x v="5"/>
    <x v="5"/>
    <m/>
    <n v="156"/>
    <m/>
    <x v="5"/>
    <x v="4"/>
    <x v="0"/>
    <x v="279"/>
    <x v="3"/>
    <n v="0.5"/>
    <x v="4"/>
    <x v="5"/>
    <d v="2014-04-02T00:00:00"/>
    <d v="2014-04-02T00:00:00"/>
    <d v="2014-04-01T00:00:00"/>
    <n v="4.55"/>
    <m/>
    <m/>
    <n v="1"/>
    <n v="1"/>
    <m/>
  </r>
  <r>
    <n v="0.5"/>
    <s v="14FW-JILLBY-KNIT-67-BK"/>
    <n v="1"/>
    <s v="Y&amp;Y14FW-JILLBY-KNIT-67-BK"/>
    <x v="2"/>
    <x v="3"/>
    <n v="0.5"/>
    <s v="14FW-JILLBY-KNIT-67-BK"/>
    <x v="0"/>
    <s v="Y&amp;Y14FW-JILLBY-KNIT-67-BK"/>
    <x v="51"/>
    <x v="3"/>
    <x v="0"/>
    <x v="0"/>
    <x v="5"/>
    <x v="5"/>
    <m/>
    <n v="157"/>
    <m/>
    <x v="5"/>
    <x v="4"/>
    <x v="0"/>
    <x v="279"/>
    <x v="3"/>
    <n v="0.5"/>
    <x v="7"/>
    <x v="5"/>
    <d v="2014-04-02T00:00:00"/>
    <d v="2014-04-02T00:00:00"/>
    <d v="2014-04-10T00:00:00"/>
    <m/>
    <m/>
    <m/>
    <n v="1"/>
    <n v="1"/>
    <m/>
  </r>
  <r>
    <n v="0.5"/>
    <s v="14FW-JILLBY-KNIT-67-GY"/>
    <n v="1"/>
    <s v="FOREMOST14FW-JILLBY-KNIT-67-GY"/>
    <x v="2"/>
    <x v="3"/>
    <n v="0.5"/>
    <s v="14FW-JILLBY-KNIT-67-GY"/>
    <x v="0"/>
    <s v="FOREMOST14FW-JILLBY-KNIT-67-GY"/>
    <x v="21"/>
    <x v="3"/>
    <x v="0"/>
    <x v="0"/>
    <x v="5"/>
    <x v="5"/>
    <m/>
    <n v="158"/>
    <m/>
    <x v="5"/>
    <x v="4"/>
    <x v="0"/>
    <x v="280"/>
    <x v="3"/>
    <n v="0.5"/>
    <x v="4"/>
    <x v="5"/>
    <d v="2014-04-02T00:00:00"/>
    <d v="2014-04-02T00:00:00"/>
    <d v="2014-04-01T00:00:00"/>
    <n v="4.55"/>
    <m/>
    <m/>
    <n v="1"/>
    <n v="1"/>
    <m/>
  </r>
  <r>
    <n v="0.5"/>
    <s v="14FW-JILLBY-KNIT-67-GY"/>
    <n v="1"/>
    <s v="Y&amp;Y14FW-JILLBY-KNIT-67-GY"/>
    <x v="2"/>
    <x v="3"/>
    <n v="0.5"/>
    <s v="14FW-JILLBY-KNIT-67-GY"/>
    <x v="0"/>
    <s v="Y&amp;Y14FW-JILLBY-KNIT-67-GY"/>
    <x v="51"/>
    <x v="3"/>
    <x v="0"/>
    <x v="0"/>
    <x v="5"/>
    <x v="5"/>
    <m/>
    <n v="159"/>
    <m/>
    <x v="5"/>
    <x v="4"/>
    <x v="0"/>
    <x v="280"/>
    <x v="3"/>
    <n v="0.5"/>
    <x v="7"/>
    <x v="5"/>
    <d v="2014-04-02T00:00:00"/>
    <d v="2014-04-02T00:00:00"/>
    <d v="2014-04-10T00:00:00"/>
    <m/>
    <m/>
    <m/>
    <n v="1"/>
    <n v="1"/>
    <m/>
  </r>
  <r>
    <n v="1"/>
    <s v="14FW-JILL-BY_36_GY"/>
    <n v="1"/>
    <s v="FOREMOST14FW-JILL-BY_36_GY"/>
    <x v="2"/>
    <x v="4"/>
    <n v="1"/>
    <s v="14FW-JILL-BY_36_GY"/>
    <x v="0"/>
    <s v="FOREMOST14FW-JILL-BY_36_GY"/>
    <x v="43"/>
    <x v="3"/>
    <x v="0"/>
    <x v="0"/>
    <x v="5"/>
    <x v="5"/>
    <m/>
    <n v="160"/>
    <m/>
    <x v="5"/>
    <x v="5"/>
    <x v="0"/>
    <x v="281"/>
    <x v="3"/>
    <n v="1"/>
    <x v="4"/>
    <x v="10"/>
    <d v="2014-04-07T00:00:00"/>
    <d v="2014-04-07T00:00:00"/>
    <d v="2014-04-03T00:00:00"/>
    <n v="6.35"/>
    <m/>
    <m/>
    <n v="1"/>
    <n v="0"/>
    <m/>
  </r>
  <r>
    <n v="1"/>
    <s v="14FW-JILL-BY_36_BK"/>
    <n v="1"/>
    <s v="FOREMOST14FW-JILL-BY_36_BK"/>
    <x v="2"/>
    <x v="4"/>
    <n v="1"/>
    <s v="14FW-JILL-BY_36_BK"/>
    <x v="0"/>
    <s v="FOREMOST14FW-JILL-BY_36_BK"/>
    <x v="43"/>
    <x v="3"/>
    <x v="0"/>
    <x v="0"/>
    <x v="5"/>
    <x v="5"/>
    <m/>
    <n v="161"/>
    <m/>
    <x v="5"/>
    <x v="5"/>
    <x v="0"/>
    <x v="282"/>
    <x v="3"/>
    <n v="1"/>
    <x v="4"/>
    <x v="10"/>
    <d v="2014-04-07T00:00:00"/>
    <d v="2014-04-07T00:00:00"/>
    <d v="2014-04-03T00:00:00"/>
    <n v="6.35"/>
    <m/>
    <m/>
    <n v="1"/>
    <n v="0"/>
    <m/>
  </r>
  <r>
    <n v="1"/>
    <s v="14FW-JILLBY-42-BK"/>
    <n v="1"/>
    <s v="FOREMOST14FW-JILLBY-42-BK"/>
    <x v="2"/>
    <x v="4"/>
    <n v="1"/>
    <s v="14FW-JILLBY-42-BK"/>
    <x v="0"/>
    <s v="FOREMOST14FW-JILLBY-42-BK"/>
    <x v="27"/>
    <x v="3"/>
    <x v="0"/>
    <x v="0"/>
    <x v="5"/>
    <x v="5"/>
    <m/>
    <n v="162"/>
    <m/>
    <x v="5"/>
    <x v="8"/>
    <x v="0"/>
    <x v="283"/>
    <x v="3"/>
    <n v="1"/>
    <x v="4"/>
    <x v="10"/>
    <d v="2014-04-07T00:00:00"/>
    <d v="2014-04-07T00:00:00"/>
    <d v="2014-04-24T00:00:00"/>
    <m/>
    <m/>
    <m/>
    <n v="2"/>
    <n v="2"/>
    <m/>
  </r>
  <r>
    <n v="1"/>
    <s v="14FW-JILLBY-37-BK"/>
    <n v="1"/>
    <s v="FOREMOST14FW-JILLBY-37-BK"/>
    <x v="2"/>
    <x v="3"/>
    <n v="1"/>
    <s v="14FW-JILLBY-37-BK"/>
    <x v="0"/>
    <s v="FOREMOST14FW-JILLBY-37-BK"/>
    <x v="21"/>
    <x v="3"/>
    <x v="0"/>
    <x v="0"/>
    <x v="5"/>
    <x v="5"/>
    <m/>
    <n v="163"/>
    <m/>
    <x v="5"/>
    <x v="3"/>
    <x v="0"/>
    <x v="284"/>
    <x v="3"/>
    <n v="1"/>
    <x v="4"/>
    <x v="18"/>
    <d v="2014-04-04T00:00:00"/>
    <d v="2014-04-04T00:00:00"/>
    <d v="2014-04-01T00:00:00"/>
    <m/>
    <m/>
    <m/>
    <n v="3"/>
    <n v="2"/>
    <m/>
  </r>
  <r>
    <n v="1"/>
    <s v="14FW-JILLBY-38-BK"/>
    <n v="1"/>
    <s v="FOREMOST14FW-JILLBY-38-BK"/>
    <x v="2"/>
    <x v="3"/>
    <n v="1"/>
    <s v="14FW-JILLBY-38-BK"/>
    <x v="0"/>
    <s v="FOREMOST14FW-JILLBY-38-BK"/>
    <x v="21"/>
    <x v="3"/>
    <x v="0"/>
    <x v="0"/>
    <x v="5"/>
    <x v="5"/>
    <m/>
    <n v="164"/>
    <m/>
    <x v="5"/>
    <x v="3"/>
    <x v="0"/>
    <x v="285"/>
    <x v="3"/>
    <n v="1"/>
    <x v="4"/>
    <x v="18"/>
    <d v="2014-04-04T00:00:00"/>
    <d v="2014-04-04T00:00:00"/>
    <d v="2014-04-01T00:00:00"/>
    <m/>
    <m/>
    <m/>
    <n v="2"/>
    <n v="2"/>
    <m/>
  </r>
  <r>
    <n v="1"/>
    <s v="14FW-JILLBY-39-GY"/>
    <n v="1"/>
    <s v="FOREMOST14FW-JILLBY-39-GY"/>
    <x v="2"/>
    <x v="3"/>
    <n v="1"/>
    <s v="14FW-JILLBY-39-GY"/>
    <x v="0"/>
    <s v="FOREMOST14FW-JILLBY-39-GY"/>
    <x v="42"/>
    <x v="3"/>
    <x v="0"/>
    <x v="0"/>
    <x v="5"/>
    <x v="5"/>
    <m/>
    <n v="165"/>
    <m/>
    <x v="5"/>
    <x v="3"/>
    <x v="0"/>
    <x v="286"/>
    <x v="3"/>
    <n v="1"/>
    <x v="4"/>
    <x v="18"/>
    <d v="2014-04-04T00:00:00"/>
    <d v="2014-04-04T00:00:00"/>
    <d v="2014-04-08T00:00:00"/>
    <n v="6.25"/>
    <m/>
    <m/>
    <n v="3"/>
    <n v="1"/>
    <m/>
  </r>
  <r>
    <n v="1"/>
    <s v="14FW-JILLBY-40-BK"/>
    <n v="1"/>
    <s v="FOREMOST14FW-JILLBY-40-BK"/>
    <x v="2"/>
    <x v="3"/>
    <n v="0"/>
    <s v=""/>
    <x v="1"/>
    <s v=""/>
    <x v="14"/>
    <x v="3"/>
    <x v="0"/>
    <x v="0"/>
    <x v="5"/>
    <x v="5"/>
    <m/>
    <n v="166"/>
    <m/>
    <x v="5"/>
    <x v="3"/>
    <x v="0"/>
    <x v="287"/>
    <x v="3"/>
    <n v="1"/>
    <x v="4"/>
    <x v="18"/>
    <d v="2014-04-04T00:00:00"/>
    <d v="2014-04-04T00:00:00"/>
    <m/>
    <m/>
    <m/>
    <m/>
    <n v="4"/>
    <n v="4"/>
    <m/>
  </r>
  <r>
    <n v="1"/>
    <s v="14FW-JILLBY-41-BK"/>
    <n v="1"/>
    <s v="FOREMOST14FW-JILLBY-41-BK"/>
    <x v="2"/>
    <x v="3"/>
    <n v="1"/>
    <s v="14FW-JILLBY-41-BK"/>
    <x v="0"/>
    <s v="FOREMOST14FW-JILLBY-41-BK"/>
    <x v="10"/>
    <x v="0"/>
    <x v="0"/>
    <x v="0"/>
    <x v="5"/>
    <x v="5"/>
    <m/>
    <n v="167"/>
    <m/>
    <x v="5"/>
    <x v="1"/>
    <x v="0"/>
    <x v="288"/>
    <x v="3"/>
    <n v="1"/>
    <x v="4"/>
    <x v="18"/>
    <d v="2014-04-04T00:00:00"/>
    <d v="2014-04-04T00:00:00"/>
    <d v="2014-03-27T00:00:00"/>
    <m/>
    <m/>
    <m/>
    <n v="2"/>
    <n v="2"/>
    <m/>
  </r>
  <r>
    <n v="1"/>
    <s v="14FW-JILLBY-INFANT-01-BL"/>
    <n v="1"/>
    <s v="FOREMOST14FW-JILLBY-INFANT-01-BL"/>
    <x v="2"/>
    <x v="4"/>
    <n v="1"/>
    <s v="14FW-JILLBY-INFANT-01-BL"/>
    <x v="0"/>
    <s v="FOREMOST14FW-JILLBY-INFANT-01-BL"/>
    <x v="22"/>
    <x v="3"/>
    <x v="0"/>
    <x v="0"/>
    <x v="5"/>
    <x v="5"/>
    <m/>
    <n v="168"/>
    <m/>
    <x v="5"/>
    <x v="9"/>
    <x v="0"/>
    <x v="289"/>
    <x v="4"/>
    <n v="1"/>
    <x v="4"/>
    <x v="19"/>
    <d v="2014-04-09T00:00:00"/>
    <d v="2014-04-09T00:00:00"/>
    <d v="2014-04-02T00:00:00"/>
    <m/>
    <m/>
    <m/>
    <n v="2"/>
    <n v="1"/>
    <m/>
  </r>
  <r>
    <n v="1"/>
    <s v="14FW-JILLBY-INFANT-01-PK"/>
    <n v="1"/>
    <s v="FOREMOST14FW-JILLBY-INFANT-01-PK"/>
    <x v="2"/>
    <x v="4"/>
    <n v="1"/>
    <s v="14FW-JILLBY-INFANT-01-PK"/>
    <x v="0"/>
    <s v="FOREMOST14FW-JILLBY-INFANT-01-PK"/>
    <x v="22"/>
    <x v="3"/>
    <x v="0"/>
    <x v="0"/>
    <x v="5"/>
    <x v="5"/>
    <m/>
    <n v="169"/>
    <m/>
    <x v="5"/>
    <x v="9"/>
    <x v="0"/>
    <x v="290"/>
    <x v="4"/>
    <n v="1"/>
    <x v="4"/>
    <x v="19"/>
    <d v="2014-04-09T00:00:00"/>
    <d v="2014-04-09T00:00:00"/>
    <d v="2014-04-02T00:00:00"/>
    <m/>
    <m/>
    <m/>
    <n v="2"/>
    <n v="1"/>
    <m/>
  </r>
  <r>
    <n v="1"/>
    <s v="14FW-JILLBY-INFANT-02-BG"/>
    <n v="1"/>
    <s v="FOREMOST14FW-JILLBY-INFANT-02-BG"/>
    <x v="2"/>
    <x v="4"/>
    <n v="1"/>
    <s v="14FW-JILLBY-INFANT-02-BG"/>
    <x v="0"/>
    <s v="FOREMOST14FW-JILLBY-INFANT-02-BG"/>
    <x v="22"/>
    <x v="3"/>
    <x v="0"/>
    <x v="0"/>
    <x v="5"/>
    <x v="5"/>
    <m/>
    <n v="170"/>
    <m/>
    <x v="5"/>
    <x v="9"/>
    <x v="0"/>
    <x v="291"/>
    <x v="4"/>
    <n v="1"/>
    <x v="4"/>
    <x v="19"/>
    <d v="2014-04-09T00:00:00"/>
    <d v="2014-04-09T00:00:00"/>
    <d v="2014-04-02T00:00:00"/>
    <m/>
    <m/>
    <m/>
    <n v="2"/>
    <n v="1"/>
    <m/>
  </r>
  <r>
    <n v="1"/>
    <s v="14FW-JILLBY-INFANT-03-PK"/>
    <n v="1"/>
    <s v="FOREMOST14FW-JILLBY-INFANT-03-PK"/>
    <x v="2"/>
    <x v="4"/>
    <n v="1"/>
    <s v="14FW-JILLBY-INFANT-03-PK"/>
    <x v="0"/>
    <s v="FOREMOST14FW-JILLBY-INFANT-03-PK"/>
    <x v="21"/>
    <x v="3"/>
    <x v="0"/>
    <x v="0"/>
    <x v="5"/>
    <x v="5"/>
    <m/>
    <n v="171"/>
    <m/>
    <x v="5"/>
    <x v="9"/>
    <x v="0"/>
    <x v="292"/>
    <x v="4"/>
    <n v="1"/>
    <x v="4"/>
    <x v="19"/>
    <d v="2014-04-09T00:00:00"/>
    <d v="2014-04-09T00:00:00"/>
    <d v="2014-04-01T00:00:00"/>
    <n v="3.3"/>
    <m/>
    <m/>
    <n v="3"/>
    <n v="3"/>
    <m/>
  </r>
  <r>
    <n v="1"/>
    <s v="14FW-JILLBY-INFANT-03-WH"/>
    <n v="1"/>
    <s v="FOREMOST14FW-JILLBY-INFANT-03-WH"/>
    <x v="2"/>
    <x v="4"/>
    <n v="1"/>
    <s v="14FW-JILLBY-INFANT-03-WH"/>
    <x v="0"/>
    <s v="FOREMOST14FW-JILLBY-INFANT-03-WH"/>
    <x v="29"/>
    <x v="3"/>
    <x v="0"/>
    <x v="0"/>
    <x v="5"/>
    <x v="5"/>
    <m/>
    <n v="172"/>
    <m/>
    <x v="5"/>
    <x v="9"/>
    <x v="0"/>
    <x v="293"/>
    <x v="4"/>
    <n v="1"/>
    <x v="4"/>
    <x v="20"/>
    <d v="2014-04-11T00:00:00"/>
    <d v="2014-04-11T00:00:00"/>
    <d v="2014-04-21T00:00:00"/>
    <m/>
    <m/>
    <m/>
    <n v="3"/>
    <n v="1"/>
    <m/>
  </r>
  <r>
    <n v="1"/>
    <s v="14FW DISNEY 01_SNAP_BK"/>
    <n v="1"/>
    <s v="QF14FW DISNEY 01_SNAP_BK"/>
    <x v="2"/>
    <x v="4"/>
    <n v="1"/>
    <s v="14FW DISNEY 01_SNAP_BK"/>
    <x v="0"/>
    <s v="QF14FW DISNEY 01_SNAP_BK"/>
    <x v="27"/>
    <x v="3"/>
    <x v="0"/>
    <x v="0"/>
    <x v="7"/>
    <x v="7"/>
    <m/>
    <n v="173"/>
    <m/>
    <x v="6"/>
    <x v="2"/>
    <x v="0"/>
    <x v="294"/>
    <x v="3"/>
    <n v="1"/>
    <x v="0"/>
    <x v="21"/>
    <d v="2014-04-10T00:00:00"/>
    <d v="2014-04-10T00:00:00"/>
    <d v="2014-04-24T00:00:00"/>
    <n v="4.7"/>
    <m/>
    <m/>
    <m/>
    <m/>
    <m/>
  </r>
  <r>
    <n v="1"/>
    <s v="14FW DISNEY 01_SNAP_PK_KIDS"/>
    <n v="1"/>
    <s v="QF14FW DISNEY 01_SNAP_PK_KIDS"/>
    <x v="2"/>
    <x v="4"/>
    <n v="0"/>
    <s v=""/>
    <x v="1"/>
    <s v=""/>
    <x v="51"/>
    <x v="3"/>
    <x v="0"/>
    <x v="0"/>
    <x v="7"/>
    <x v="7"/>
    <m/>
    <n v="174"/>
    <m/>
    <x v="6"/>
    <x v="2"/>
    <x v="0"/>
    <x v="295"/>
    <x v="4"/>
    <n v="1"/>
    <x v="0"/>
    <x v="21"/>
    <d v="2014-04-10T00:00:00"/>
    <d v="2014-04-10T00:00:00"/>
    <m/>
    <m/>
    <m/>
    <m/>
    <m/>
    <m/>
    <m/>
  </r>
  <r>
    <n v="1"/>
    <s v="14FW DISNEY 02_SNAP_BL"/>
    <n v="1"/>
    <s v="QF14FW DISNEY 02_SNAP_BL"/>
    <x v="2"/>
    <x v="4"/>
    <n v="1"/>
    <s v="14FW DISNEY 02_SNAP_BL"/>
    <x v="0"/>
    <s v="QF14FW DISNEY 02_SNAP_BL"/>
    <x v="27"/>
    <x v="3"/>
    <x v="0"/>
    <x v="0"/>
    <x v="7"/>
    <x v="7"/>
    <m/>
    <n v="175"/>
    <m/>
    <x v="6"/>
    <x v="2"/>
    <x v="0"/>
    <x v="296"/>
    <x v="3"/>
    <n v="1"/>
    <x v="0"/>
    <x v="21"/>
    <d v="2014-04-10T00:00:00"/>
    <d v="2014-04-10T00:00:00"/>
    <d v="2014-04-24T00:00:00"/>
    <n v="4.3"/>
    <m/>
    <m/>
    <m/>
    <m/>
    <m/>
  </r>
  <r>
    <n v="1"/>
    <s v="14FW DISNEY 02_SNAP_BL_KIDS"/>
    <n v="1"/>
    <s v="캡보이14FW DISNEY 02_SNAP_BL_KIDS"/>
    <x v="2"/>
    <x v="4"/>
    <n v="0"/>
    <s v=""/>
    <x v="1"/>
    <s v=""/>
    <x v="42"/>
    <x v="3"/>
    <x v="0"/>
    <x v="1"/>
    <x v="7"/>
    <x v="7"/>
    <m/>
    <n v="176"/>
    <m/>
    <x v="6"/>
    <x v="2"/>
    <x v="0"/>
    <x v="297"/>
    <x v="4"/>
    <n v="1"/>
    <x v="5"/>
    <x v="22"/>
    <d v="2014-04-08T00:00:00"/>
    <d v="2014-04-08T00:00:00"/>
    <m/>
    <m/>
    <m/>
    <m/>
    <m/>
    <m/>
    <m/>
  </r>
  <r>
    <n v="1"/>
    <s v="14FW DISNEY 03_SNAP_BL_KIDS"/>
    <n v="1"/>
    <s v="캡보이14FW DISNEY 03_SNAP_BL_KIDS"/>
    <x v="2"/>
    <x v="4"/>
    <n v="0"/>
    <s v=""/>
    <x v="1"/>
    <s v=""/>
    <x v="42"/>
    <x v="3"/>
    <x v="0"/>
    <x v="1"/>
    <x v="7"/>
    <x v="7"/>
    <m/>
    <n v="177"/>
    <m/>
    <x v="6"/>
    <x v="2"/>
    <x v="0"/>
    <x v="298"/>
    <x v="4"/>
    <n v="1"/>
    <x v="5"/>
    <x v="22"/>
    <d v="2014-04-08T00:00:00"/>
    <d v="2014-04-08T00:00:00"/>
    <m/>
    <m/>
    <m/>
    <m/>
    <m/>
    <m/>
    <m/>
  </r>
  <r>
    <n v="1"/>
    <s v="14FW DISNEY 03_SNAP_PP"/>
    <n v="1"/>
    <s v="QF14FW DISNEY 03_SNAP_PP"/>
    <x v="2"/>
    <x v="4"/>
    <n v="1"/>
    <s v="14FW DISNEY 03_SNAP_PP"/>
    <x v="0"/>
    <s v="QF14FW DISNEY 03_SNAP_PP"/>
    <x v="27"/>
    <x v="3"/>
    <x v="0"/>
    <x v="0"/>
    <x v="7"/>
    <x v="7"/>
    <m/>
    <n v="178"/>
    <m/>
    <x v="6"/>
    <x v="2"/>
    <x v="0"/>
    <x v="299"/>
    <x v="3"/>
    <n v="1"/>
    <x v="0"/>
    <x v="21"/>
    <d v="2014-04-10T00:00:00"/>
    <d v="2014-04-10T00:00:00"/>
    <d v="2014-04-24T00:00:00"/>
    <m/>
    <m/>
    <m/>
    <m/>
    <m/>
    <m/>
  </r>
  <r>
    <n v="1"/>
    <s v="14FW DISNEY 04_SNAP_PK_KIDS"/>
    <n v="1"/>
    <s v="FOREMOST14FW DISNEY 04_SNAP_PK_KIDS"/>
    <x v="2"/>
    <x v="4"/>
    <n v="1"/>
    <s v="14FW DISNEY 04_SNAP_PK_KIDS"/>
    <x v="0"/>
    <s v="FOREMOST14FW DISNEY 04_SNAP_PK_KIDS"/>
    <x v="49"/>
    <x v="5"/>
    <x v="0"/>
    <x v="0"/>
    <x v="7"/>
    <x v="7"/>
    <m/>
    <n v="179"/>
    <m/>
    <x v="6"/>
    <x v="3"/>
    <x v="0"/>
    <x v="300"/>
    <x v="4"/>
    <n v="1"/>
    <x v="4"/>
    <x v="19"/>
    <d v="2014-04-09T00:00:00"/>
    <d v="2014-04-09T00:00:00"/>
    <d v="2014-05-09T00:00:00"/>
    <n v="6.2"/>
    <m/>
    <m/>
    <m/>
    <m/>
    <m/>
  </r>
  <r>
    <n v="1"/>
    <s v="14FW DISNEY 05_SNAP_RD_KIDS(수정)"/>
    <n v="1"/>
    <s v="FOREMOST14FW DISNEY 05_SNAP_RD_KIDS(수정)"/>
    <x v="2"/>
    <x v="4"/>
    <n v="1"/>
    <s v="14FW DISNEY 05_SNAP_RD_KIDS(수정)"/>
    <x v="0"/>
    <s v="FOREMOST14FW DISNEY 05_SNAP_RD_KIDS(수정)"/>
    <x v="23"/>
    <x v="5"/>
    <x v="0"/>
    <x v="0"/>
    <x v="7"/>
    <x v="7"/>
    <m/>
    <n v="180"/>
    <m/>
    <x v="6"/>
    <x v="3"/>
    <x v="0"/>
    <x v="301"/>
    <x v="4"/>
    <n v="1"/>
    <x v="4"/>
    <x v="19"/>
    <d v="2014-04-09T00:00:00"/>
    <d v="2014-04-09T00:00:00"/>
    <d v="2014-05-02T00:00:00"/>
    <n v="8.1999999999999993"/>
    <m/>
    <m/>
    <m/>
    <m/>
    <m/>
  </r>
  <r>
    <n v="1"/>
    <s v="14FW DISNEY 06_SNAP_PP_KIDS"/>
    <n v="1"/>
    <s v="FOREMOST14FW DISNEY 06_SNAP_PP_KIDS"/>
    <x v="2"/>
    <x v="4"/>
    <n v="1"/>
    <s v="14FW DISNEY 06_SNAP_PP_KIDS"/>
    <x v="0"/>
    <s v="FOREMOST14FW DISNEY 06_SNAP_PP_KIDS"/>
    <x v="50"/>
    <x v="5"/>
    <x v="0"/>
    <x v="0"/>
    <x v="7"/>
    <x v="7"/>
    <m/>
    <n v="181"/>
    <m/>
    <x v="6"/>
    <x v="3"/>
    <x v="0"/>
    <x v="302"/>
    <x v="4"/>
    <n v="1"/>
    <x v="4"/>
    <x v="19"/>
    <d v="2014-04-09T00:00:00"/>
    <d v="2014-04-09T00:00:00"/>
    <d v="2014-05-12T00:00:00"/>
    <n v="5.7"/>
    <m/>
    <m/>
    <m/>
    <m/>
    <m/>
  </r>
  <r>
    <n v="1"/>
    <s v="14FW DISNEY 07_SNAP_PK_KIDS"/>
    <n v="1"/>
    <s v="FOREMOST14FW DISNEY 07_SNAP_PK_KIDS"/>
    <x v="2"/>
    <x v="4"/>
    <n v="1"/>
    <s v="14FW DISNEY 07_SNAP_PK_KIDS"/>
    <x v="0"/>
    <s v="FOREMOST14FW DISNEY 07_SNAP_PK_KIDS"/>
    <x v="17"/>
    <x v="3"/>
    <x v="0"/>
    <x v="0"/>
    <x v="7"/>
    <x v="7"/>
    <m/>
    <n v="182"/>
    <m/>
    <x v="6"/>
    <x v="3"/>
    <x v="0"/>
    <x v="303"/>
    <x v="4"/>
    <n v="1"/>
    <x v="4"/>
    <x v="19"/>
    <d v="2014-04-09T00:00:00"/>
    <d v="2014-04-09T00:00:00"/>
    <d v="2014-04-16T00:00:00"/>
    <n v="8.3000000000000007"/>
    <m/>
    <m/>
    <m/>
    <m/>
    <m/>
  </r>
  <r>
    <n v="1"/>
    <s v="14FW DISNEY 05_SNAP_BK"/>
    <n v="1"/>
    <s v="QF14FW DISNEY 05_SNAP_BK"/>
    <x v="2"/>
    <x v="4"/>
    <n v="0"/>
    <s v=""/>
    <x v="1"/>
    <s v=""/>
    <x v="51"/>
    <x v="3"/>
    <x v="0"/>
    <x v="0"/>
    <x v="7"/>
    <x v="7"/>
    <m/>
    <n v="183"/>
    <m/>
    <x v="6"/>
    <x v="0"/>
    <x v="0"/>
    <x v="304"/>
    <x v="3"/>
    <n v="1"/>
    <x v="0"/>
    <x v="21"/>
    <d v="2014-04-10T00:00:00"/>
    <d v="2014-04-10T00:00:00"/>
    <m/>
    <m/>
    <m/>
    <m/>
    <m/>
    <m/>
    <m/>
  </r>
  <r>
    <n v="1"/>
    <s v="14FW DISNEY 04_SNAP_RD"/>
    <n v="1"/>
    <s v="QF14FW DISNEY 04_SNAP_RD"/>
    <x v="2"/>
    <x v="4"/>
    <n v="1"/>
    <s v="14FW DISNEY 04_SNAP_RD"/>
    <x v="0"/>
    <s v="QF14FW DISNEY 04_SNAP_RD"/>
    <x v="27"/>
    <x v="3"/>
    <x v="0"/>
    <x v="0"/>
    <x v="7"/>
    <x v="7"/>
    <m/>
    <n v="184"/>
    <m/>
    <x v="6"/>
    <x v="2"/>
    <x v="0"/>
    <x v="305"/>
    <x v="3"/>
    <n v="1"/>
    <x v="0"/>
    <x v="22"/>
    <d v="2014-04-15T00:00:00"/>
    <d v="2014-04-15T00:00:00"/>
    <d v="2014-04-24T00:00:00"/>
    <m/>
    <m/>
    <m/>
    <m/>
    <m/>
    <m/>
  </r>
  <r>
    <n v="0.5"/>
    <s v="14FW-JILLBY-KNIT_04_WN"/>
    <n v="1"/>
    <s v="Y&amp;Y14FW-JILLBY-KNIT_04_WN"/>
    <x v="5"/>
    <x v="4"/>
    <n v="0"/>
    <s v=""/>
    <x v="1"/>
    <s v=""/>
    <x v="52"/>
    <x v="3"/>
    <x v="0"/>
    <x v="0"/>
    <x v="5"/>
    <x v="5"/>
    <m/>
    <n v="185"/>
    <m/>
    <x v="5"/>
    <x v="4"/>
    <x v="0"/>
    <x v="181"/>
    <x v="3"/>
    <n v="0.5"/>
    <x v="7"/>
    <x v="23"/>
    <d v="2014-04-30T00:00:00"/>
    <d v="2014-04-30T00:00:00"/>
    <m/>
    <m/>
    <m/>
    <m/>
    <m/>
    <m/>
    <m/>
  </r>
  <r>
    <n v="0.5"/>
    <s v="14FW-JILLBY-KNIT_04_GY"/>
    <n v="1"/>
    <s v="Y&amp;Y14FW-JILLBY-KNIT_04_GY"/>
    <x v="5"/>
    <x v="4"/>
    <n v="0"/>
    <s v=""/>
    <x v="1"/>
    <s v=""/>
    <x v="52"/>
    <x v="3"/>
    <x v="0"/>
    <x v="0"/>
    <x v="5"/>
    <x v="5"/>
    <m/>
    <n v="186"/>
    <m/>
    <x v="5"/>
    <x v="4"/>
    <x v="0"/>
    <x v="182"/>
    <x v="3"/>
    <n v="0.5"/>
    <x v="7"/>
    <x v="23"/>
    <d v="2014-04-30T00:00:00"/>
    <d v="2014-04-30T00:00:00"/>
    <m/>
    <m/>
    <m/>
    <m/>
    <m/>
    <m/>
    <m/>
  </r>
  <r>
    <n v="0.5"/>
    <s v="14FW-JILLBY-KNIT_04_BK"/>
    <n v="1"/>
    <s v="Y&amp;Y14FW-JILLBY-KNIT_04_BK"/>
    <x v="5"/>
    <x v="4"/>
    <n v="0"/>
    <s v=""/>
    <x v="1"/>
    <s v=""/>
    <x v="52"/>
    <x v="3"/>
    <x v="0"/>
    <x v="0"/>
    <x v="5"/>
    <x v="5"/>
    <m/>
    <n v="187"/>
    <m/>
    <x v="5"/>
    <x v="4"/>
    <x v="0"/>
    <x v="183"/>
    <x v="3"/>
    <n v="0.5"/>
    <x v="7"/>
    <x v="23"/>
    <d v="2014-04-30T00:00:00"/>
    <d v="2014-04-30T00:00:00"/>
    <m/>
    <m/>
    <m/>
    <m/>
    <m/>
    <m/>
    <m/>
  </r>
  <r>
    <n v="1"/>
    <s v="14FW DISNEY 06_SNAP_BK"/>
    <n v="1"/>
    <s v="QF14FW DISNEY 06_SNAP_BK"/>
    <x v="5"/>
    <x v="4"/>
    <n v="0"/>
    <s v=""/>
    <x v="1"/>
    <s v=""/>
    <x v="53"/>
    <x v="5"/>
    <x v="0"/>
    <x v="0"/>
    <x v="8"/>
    <x v="8"/>
    <m/>
    <n v="188"/>
    <m/>
    <x v="6"/>
    <x v="10"/>
    <x v="0"/>
    <x v="306"/>
    <x v="3"/>
    <n v="1"/>
    <x v="0"/>
    <x v="24"/>
    <d v="2014-05-08T00:00:00"/>
    <d v="2014-05-08T00:00:00"/>
    <m/>
    <m/>
    <m/>
    <m/>
    <m/>
    <m/>
    <m/>
  </r>
  <r>
    <n v="1"/>
    <s v="14FW DISNEY 07_SNAP_BK"/>
    <n v="1"/>
    <s v="QF14FW DISNEY 07_SNAP_BK"/>
    <x v="5"/>
    <x v="4"/>
    <n v="0"/>
    <s v=""/>
    <x v="1"/>
    <s v=""/>
    <x v="53"/>
    <x v="5"/>
    <x v="0"/>
    <x v="0"/>
    <x v="8"/>
    <x v="8"/>
    <m/>
    <n v="189"/>
    <m/>
    <x v="6"/>
    <x v="10"/>
    <x v="0"/>
    <x v="307"/>
    <x v="3"/>
    <n v="1"/>
    <x v="0"/>
    <x v="24"/>
    <d v="2014-05-08T00:00:00"/>
    <d v="2014-05-08T00:00:00"/>
    <m/>
    <m/>
    <m/>
    <m/>
    <m/>
    <m/>
    <m/>
  </r>
  <r>
    <n v="1"/>
    <s v="14FW DISNEY 08_SNAP_BL_KIDS"/>
    <n v="1"/>
    <s v="QF14FW DISNEY 08_SNAP_BL_KIDS"/>
    <x v="5"/>
    <x v="4"/>
    <n v="0"/>
    <s v=""/>
    <x v="1"/>
    <s v=""/>
    <x v="53"/>
    <x v="5"/>
    <x v="0"/>
    <x v="0"/>
    <x v="8"/>
    <x v="8"/>
    <m/>
    <n v="190"/>
    <m/>
    <x v="6"/>
    <x v="10"/>
    <x v="0"/>
    <x v="308"/>
    <x v="4"/>
    <n v="1"/>
    <x v="0"/>
    <x v="24"/>
    <d v="2014-05-08T00:00:00"/>
    <d v="2014-05-08T00:00:00"/>
    <m/>
    <m/>
    <m/>
    <m/>
    <m/>
    <m/>
    <m/>
  </r>
  <r>
    <n v="1"/>
    <s v="14FW DISNEY 08_SNAP_PP"/>
    <n v="1"/>
    <s v="QF14FW DISNEY 08_SNAP_PP"/>
    <x v="5"/>
    <x v="4"/>
    <n v="0"/>
    <s v=""/>
    <x v="1"/>
    <s v=""/>
    <x v="53"/>
    <x v="5"/>
    <x v="0"/>
    <x v="0"/>
    <x v="8"/>
    <x v="8"/>
    <m/>
    <n v="191"/>
    <m/>
    <x v="6"/>
    <x v="10"/>
    <x v="0"/>
    <x v="309"/>
    <x v="3"/>
    <n v="1"/>
    <x v="0"/>
    <x v="24"/>
    <d v="2014-05-08T00:00:00"/>
    <d v="2014-05-08T00:00:00"/>
    <m/>
    <m/>
    <m/>
    <m/>
    <m/>
    <m/>
    <m/>
  </r>
  <r>
    <n v="1"/>
    <s v="14FW DISNEY 09_SNAP_BK"/>
    <n v="1"/>
    <s v="QF14FW DISNEY 09_SNAP_BK"/>
    <x v="5"/>
    <x v="4"/>
    <n v="0"/>
    <s v=""/>
    <x v="1"/>
    <s v=""/>
    <x v="53"/>
    <x v="5"/>
    <x v="0"/>
    <x v="0"/>
    <x v="8"/>
    <x v="8"/>
    <m/>
    <n v="192"/>
    <m/>
    <x v="6"/>
    <x v="10"/>
    <x v="0"/>
    <x v="310"/>
    <x v="3"/>
    <n v="1"/>
    <x v="0"/>
    <x v="24"/>
    <d v="2014-05-08T00:00:00"/>
    <d v="2014-05-08T00:00:00"/>
    <m/>
    <m/>
    <m/>
    <m/>
    <m/>
    <m/>
    <m/>
  </r>
  <r>
    <n v="1"/>
    <s v="14FW DISNEY 09_SNAP_RD_KIDS"/>
    <n v="1"/>
    <s v="QF14FW DISNEY 09_SNAP_RD_KIDS"/>
    <x v="5"/>
    <x v="4"/>
    <n v="0"/>
    <s v=""/>
    <x v="1"/>
    <s v=""/>
    <x v="53"/>
    <x v="5"/>
    <x v="0"/>
    <x v="0"/>
    <x v="8"/>
    <x v="8"/>
    <m/>
    <n v="193"/>
    <m/>
    <x v="6"/>
    <x v="10"/>
    <x v="0"/>
    <x v="311"/>
    <x v="4"/>
    <n v="1"/>
    <x v="0"/>
    <x v="24"/>
    <d v="2014-05-08T00:00:00"/>
    <d v="2014-05-08T00:00:00"/>
    <m/>
    <m/>
    <m/>
    <m/>
    <m/>
    <m/>
    <m/>
  </r>
  <r>
    <n v="1"/>
    <s v="14FW DISNEY 10_SNAP_BL_KIDS"/>
    <n v="1"/>
    <s v="QF14FW DISNEY 10_SNAP_BL_KIDS"/>
    <x v="5"/>
    <x v="4"/>
    <n v="0"/>
    <s v=""/>
    <x v="1"/>
    <s v=""/>
    <x v="53"/>
    <x v="5"/>
    <x v="0"/>
    <x v="0"/>
    <x v="8"/>
    <x v="8"/>
    <m/>
    <n v="194"/>
    <m/>
    <x v="6"/>
    <x v="10"/>
    <x v="0"/>
    <x v="312"/>
    <x v="4"/>
    <n v="1"/>
    <x v="0"/>
    <x v="24"/>
    <d v="2014-05-08T00:00:00"/>
    <d v="2014-05-08T00:00:00"/>
    <m/>
    <m/>
    <m/>
    <m/>
    <m/>
    <m/>
    <m/>
  </r>
  <r>
    <n v="1"/>
    <s v="14FW DISNEY 11_SNAP_PK_KIDS"/>
    <n v="1"/>
    <s v="QF14FW DISNEY 11_SNAP_PK_KIDS"/>
    <x v="5"/>
    <x v="4"/>
    <n v="0"/>
    <s v=""/>
    <x v="1"/>
    <s v=""/>
    <x v="53"/>
    <x v="5"/>
    <x v="0"/>
    <x v="0"/>
    <x v="8"/>
    <x v="8"/>
    <m/>
    <n v="195"/>
    <m/>
    <x v="6"/>
    <x v="10"/>
    <x v="0"/>
    <x v="313"/>
    <x v="4"/>
    <n v="1"/>
    <x v="0"/>
    <x v="24"/>
    <d v="2014-05-08T00:00:00"/>
    <d v="2014-05-08T00:00:00"/>
    <m/>
    <m/>
    <m/>
    <m/>
    <m/>
    <m/>
    <m/>
  </r>
  <r>
    <n v="1"/>
    <s v="14FW JILLBY_01_CURVED_GY"/>
    <n v="1"/>
    <s v="FOREMOST14FW JILLBY_01_CURVED_GY"/>
    <x v="5"/>
    <x v="4"/>
    <n v="1"/>
    <s v="14FW JILLBY_01_CURVED_GY"/>
    <x v="0"/>
    <s v="FOREMOST14FW JILLBY_01_CURVED_GY"/>
    <x v="24"/>
    <x v="3"/>
    <x v="0"/>
    <x v="0"/>
    <x v="5"/>
    <x v="5"/>
    <m/>
    <n v="196"/>
    <m/>
    <x v="5"/>
    <x v="1"/>
    <x v="0"/>
    <x v="314"/>
    <x v="3"/>
    <n v="1"/>
    <x v="4"/>
    <x v="24"/>
    <d v="2014-05-08T00:00:00"/>
    <d v="2014-05-08T00:00:00"/>
    <d v="2014-04-29T00:00:00"/>
    <m/>
    <m/>
    <m/>
    <m/>
    <m/>
    <m/>
  </r>
  <r>
    <n v="1"/>
    <s v="14FW JILLBY_02_CURVED_BG"/>
    <n v="1"/>
    <s v="FOREMOST14FW JILLBY_02_CURVED_BG"/>
    <x v="5"/>
    <x v="4"/>
    <n v="1"/>
    <s v="14FW JILLBY_02_CURVED_BG"/>
    <x v="0"/>
    <s v="FOREMOST14FW JILLBY_02_CURVED_BG"/>
    <x v="24"/>
    <x v="3"/>
    <x v="0"/>
    <x v="0"/>
    <x v="5"/>
    <x v="5"/>
    <m/>
    <n v="197"/>
    <m/>
    <x v="5"/>
    <x v="1"/>
    <x v="0"/>
    <x v="315"/>
    <x v="3"/>
    <n v="1"/>
    <x v="4"/>
    <x v="24"/>
    <d v="2014-05-08T00:00:00"/>
    <d v="2014-05-08T00:00:00"/>
    <d v="2014-04-29T00:00:00"/>
    <m/>
    <m/>
    <m/>
    <m/>
    <m/>
    <m/>
  </r>
  <r>
    <n v="1"/>
    <s v="14FW JILLBY_04_CURVED_NV"/>
    <n v="1"/>
    <s v="FOREMOST14FW JILLBY_04_CURVED_NV"/>
    <x v="5"/>
    <x v="4"/>
    <n v="1"/>
    <s v="14FW JILLBY_04_CURVED_NV"/>
    <x v="0"/>
    <s v="FOREMOST14FW JILLBY_04_CURVED_NV"/>
    <x v="23"/>
    <x v="5"/>
    <x v="0"/>
    <x v="0"/>
    <x v="5"/>
    <x v="5"/>
    <m/>
    <n v="198"/>
    <m/>
    <x v="5"/>
    <x v="1"/>
    <x v="0"/>
    <x v="316"/>
    <x v="3"/>
    <n v="1"/>
    <x v="4"/>
    <x v="24"/>
    <d v="2014-05-08T00:00:00"/>
    <d v="2014-05-08T00:00:00"/>
    <d v="2014-05-02T00:00:00"/>
    <m/>
    <m/>
    <m/>
    <m/>
    <m/>
    <m/>
  </r>
  <r>
    <n v="1"/>
    <s v="14FW JILLBY_06_CURVED_BK"/>
    <n v="1"/>
    <s v="FOREMOST14FW JILLBY_06_CURVED_BK"/>
    <x v="5"/>
    <x v="4"/>
    <n v="1"/>
    <s v="14FW JILLBY_06_CURVED_BK"/>
    <x v="0"/>
    <s v="FOREMOST14FW JILLBY_06_CURVED_BK"/>
    <x v="23"/>
    <x v="5"/>
    <x v="0"/>
    <x v="0"/>
    <x v="5"/>
    <x v="5"/>
    <m/>
    <n v="199"/>
    <m/>
    <x v="5"/>
    <x v="1"/>
    <x v="0"/>
    <x v="317"/>
    <x v="3"/>
    <n v="1"/>
    <x v="4"/>
    <x v="24"/>
    <d v="2014-05-08T00:00:00"/>
    <d v="2014-05-08T00:00:00"/>
    <d v="2014-05-02T00:00:00"/>
    <m/>
    <m/>
    <m/>
    <m/>
    <m/>
    <m/>
  </r>
  <r>
    <n v="1"/>
    <s v="14FW JILLBY_03_CURVED_BK"/>
    <n v="1"/>
    <s v="FOREMOST14FW JILLBY_03_CURVED_BK"/>
    <x v="5"/>
    <x v="4"/>
    <n v="1"/>
    <s v="14FW JILLBY_03_CURVED_BK"/>
    <x v="0"/>
    <s v="FOREMOST14FW JILLBY_03_CURVED_BK"/>
    <x v="23"/>
    <x v="5"/>
    <x v="0"/>
    <x v="0"/>
    <x v="5"/>
    <x v="5"/>
    <m/>
    <n v="200"/>
    <m/>
    <x v="5"/>
    <x v="1"/>
    <x v="0"/>
    <x v="318"/>
    <x v="3"/>
    <n v="1"/>
    <x v="4"/>
    <x v="25"/>
    <d v="2014-05-16T00:00:00"/>
    <d v="2014-05-16T00:00:00"/>
    <d v="2014-05-02T00:00:00"/>
    <m/>
    <m/>
    <m/>
    <m/>
    <m/>
    <m/>
  </r>
  <r>
    <n v="1"/>
    <s v="14FW JILLBY_05_CURVED_BK"/>
    <n v="1"/>
    <s v="FOREMOST14FW JILLBY_05_CURVED_BK"/>
    <x v="5"/>
    <x v="4"/>
    <n v="1"/>
    <s v="14FW JILLBY_05_CURVED_BK"/>
    <x v="0"/>
    <s v="FOREMOST14FW JILLBY_05_CURVED_BK"/>
    <x v="23"/>
    <x v="5"/>
    <x v="0"/>
    <x v="0"/>
    <x v="5"/>
    <x v="5"/>
    <m/>
    <n v="201"/>
    <m/>
    <x v="5"/>
    <x v="1"/>
    <x v="0"/>
    <x v="319"/>
    <x v="3"/>
    <n v="1"/>
    <x v="4"/>
    <x v="25"/>
    <d v="2014-05-16T00:00:00"/>
    <d v="2014-05-16T00:00:00"/>
    <d v="2014-05-02T00:00:00"/>
    <m/>
    <m/>
    <m/>
    <m/>
    <m/>
    <m/>
  </r>
  <r>
    <n v="1"/>
    <s v="14FW JILLBY_43_KH"/>
    <n v="1"/>
    <s v="FOREMOST14FW JILLBY_43_KH"/>
    <x v="5"/>
    <x v="4"/>
    <n v="0"/>
    <s v=""/>
    <x v="1"/>
    <s v=""/>
    <x v="54"/>
    <x v="5"/>
    <x v="0"/>
    <x v="0"/>
    <x v="5"/>
    <x v="5"/>
    <m/>
    <n v="202"/>
    <m/>
    <x v="5"/>
    <x v="3"/>
    <x v="0"/>
    <x v="320"/>
    <x v="3"/>
    <n v="1"/>
    <x v="4"/>
    <x v="26"/>
    <d v="2014-05-27T00:00:00"/>
    <d v="2014-05-27T00:00:00"/>
    <m/>
    <m/>
    <m/>
    <m/>
    <m/>
    <m/>
    <m/>
  </r>
  <r>
    <n v="1"/>
    <s v="14FW JILLBY_44_BK"/>
    <n v="1"/>
    <s v="FOREMOST14FW JILLBY_44_BK"/>
    <x v="5"/>
    <x v="4"/>
    <n v="0"/>
    <s v=""/>
    <x v="1"/>
    <s v=""/>
    <x v="54"/>
    <x v="5"/>
    <x v="0"/>
    <x v="0"/>
    <x v="5"/>
    <x v="5"/>
    <m/>
    <n v="203"/>
    <m/>
    <x v="5"/>
    <x v="3"/>
    <x v="0"/>
    <x v="321"/>
    <x v="3"/>
    <n v="1"/>
    <x v="4"/>
    <x v="26"/>
    <d v="2014-05-27T00:00:00"/>
    <d v="2014-05-27T00:00:00"/>
    <m/>
    <m/>
    <m/>
    <m/>
    <m/>
    <m/>
    <m/>
  </r>
  <r>
    <n v="1"/>
    <s v="14FW JILLBY_45_BK"/>
    <n v="1"/>
    <s v="FOREMOST14FW JILLBY_45_BK"/>
    <x v="5"/>
    <x v="4"/>
    <n v="0"/>
    <s v=""/>
    <x v="1"/>
    <s v=""/>
    <x v="54"/>
    <x v="5"/>
    <x v="0"/>
    <x v="0"/>
    <x v="5"/>
    <x v="5"/>
    <m/>
    <n v="204"/>
    <m/>
    <x v="5"/>
    <x v="3"/>
    <x v="0"/>
    <x v="322"/>
    <x v="3"/>
    <n v="1"/>
    <x v="4"/>
    <x v="26"/>
    <d v="2014-05-27T00:00:00"/>
    <d v="2014-05-27T00:00:00"/>
    <m/>
    <m/>
    <m/>
    <m/>
    <m/>
    <m/>
    <m/>
  </r>
  <r>
    <n v="1"/>
    <s v="14FW JILLBY_45_KH"/>
    <n v="1"/>
    <s v="FOREMOST14FW JILLBY_45_KH"/>
    <x v="5"/>
    <x v="4"/>
    <n v="0"/>
    <s v=""/>
    <x v="1"/>
    <s v=""/>
    <x v="54"/>
    <x v="5"/>
    <x v="0"/>
    <x v="0"/>
    <x v="5"/>
    <x v="5"/>
    <m/>
    <n v="205"/>
    <m/>
    <x v="5"/>
    <x v="3"/>
    <x v="0"/>
    <x v="323"/>
    <x v="3"/>
    <n v="1"/>
    <x v="4"/>
    <x v="26"/>
    <d v="2014-05-27T00:00:00"/>
    <d v="2014-05-27T00:00:00"/>
    <m/>
    <m/>
    <m/>
    <m/>
    <m/>
    <m/>
    <m/>
  </r>
  <r>
    <n v="1"/>
    <s v="14FW JILLBY_46_BK"/>
    <n v="1"/>
    <s v="FOREMOST14FW JILLBY_46_BK"/>
    <x v="5"/>
    <x v="4"/>
    <n v="0"/>
    <s v=""/>
    <x v="1"/>
    <s v=""/>
    <x v="54"/>
    <x v="5"/>
    <x v="0"/>
    <x v="0"/>
    <x v="5"/>
    <x v="5"/>
    <m/>
    <n v="206"/>
    <m/>
    <x v="5"/>
    <x v="3"/>
    <x v="0"/>
    <x v="324"/>
    <x v="3"/>
    <n v="1"/>
    <x v="4"/>
    <x v="26"/>
    <d v="2014-05-27T00:00:00"/>
    <d v="2014-05-27T00:00:00"/>
    <m/>
    <m/>
    <m/>
    <m/>
    <m/>
    <m/>
    <m/>
  </r>
  <r>
    <n v="1"/>
    <s v="14FW JILLBY_47_BK"/>
    <n v="1"/>
    <s v="FOREMOST14FW JILLBY_47_BK"/>
    <x v="5"/>
    <x v="4"/>
    <n v="0"/>
    <s v=""/>
    <x v="1"/>
    <s v=""/>
    <x v="54"/>
    <x v="5"/>
    <x v="0"/>
    <x v="0"/>
    <x v="5"/>
    <x v="5"/>
    <m/>
    <n v="207"/>
    <m/>
    <x v="5"/>
    <x v="3"/>
    <x v="0"/>
    <x v="325"/>
    <x v="3"/>
    <n v="1"/>
    <x v="4"/>
    <x v="26"/>
    <d v="2014-05-27T00:00:00"/>
    <d v="2014-05-27T00:00:00"/>
    <m/>
    <m/>
    <m/>
    <m/>
    <m/>
    <m/>
    <m/>
  </r>
  <r>
    <n v="1"/>
    <s v="14FW JILLBY_48_NV"/>
    <n v="1"/>
    <s v="FOREMOST14FW JILLBY_48_NV"/>
    <x v="5"/>
    <x v="4"/>
    <n v="0"/>
    <s v=""/>
    <x v="1"/>
    <s v=""/>
    <x v="54"/>
    <x v="5"/>
    <x v="0"/>
    <x v="0"/>
    <x v="5"/>
    <x v="5"/>
    <m/>
    <n v="208"/>
    <m/>
    <x v="5"/>
    <x v="3"/>
    <x v="0"/>
    <x v="326"/>
    <x v="3"/>
    <n v="1"/>
    <x v="4"/>
    <x v="26"/>
    <d v="2014-05-27T00:00:00"/>
    <d v="2014-05-27T00:00:00"/>
    <m/>
    <m/>
    <m/>
    <m/>
    <m/>
    <m/>
    <m/>
  </r>
  <r>
    <n v="1"/>
    <s v="14FW-JILLBY-KNIT-44-PK-KIDS"/>
    <n v="1"/>
    <s v="FOREMOST14FW-JILLBY-KNIT-44-PK-KIDS"/>
    <x v="5"/>
    <x v="4"/>
    <n v="1"/>
    <s v="14FW-JILLBY-KNIT-44-PK-KIDS"/>
    <x v="0"/>
    <s v="FOREMOST14FW-JILLBY-KNIT-44-PK-KIDS"/>
    <x v="55"/>
    <x v="5"/>
    <x v="0"/>
    <x v="0"/>
    <x v="5"/>
    <x v="5"/>
    <m/>
    <n v="209"/>
    <m/>
    <x v="5"/>
    <x v="2"/>
    <x v="0"/>
    <x v="327"/>
    <x v="4"/>
    <n v="1"/>
    <x v="4"/>
    <x v="26"/>
    <d v="2014-05-27T00:00:00"/>
    <d v="2014-05-27T00:00:00"/>
    <d v="2014-05-16T00:00:00"/>
    <m/>
    <m/>
    <m/>
    <m/>
    <m/>
    <m/>
  </r>
  <r>
    <n v="1"/>
    <s v="14FW-SMITH BRIDGE-KNIT-68-BL-KIDS"/>
    <n v="1"/>
    <s v="FOREMOST14FW-SMITH BRIDGE-KNIT-68-BL-KIDS"/>
    <x v="5"/>
    <x v="4"/>
    <n v="0"/>
    <s v=""/>
    <x v="1"/>
    <s v=""/>
    <x v="54"/>
    <x v="5"/>
    <x v="0"/>
    <x v="0"/>
    <x v="5"/>
    <x v="5"/>
    <m/>
    <n v="210"/>
    <m/>
    <x v="5"/>
    <x v="6"/>
    <x v="0"/>
    <x v="328"/>
    <x v="4"/>
    <n v="1"/>
    <x v="4"/>
    <x v="26"/>
    <d v="2014-05-27T00:00:00"/>
    <d v="2014-05-27T00:00:00"/>
    <m/>
    <m/>
    <m/>
    <m/>
    <m/>
    <m/>
    <m/>
  </r>
  <r>
    <n v="1"/>
    <s v="14FW-SMITH BRIDGE-KNIT-68-RD-KIDS"/>
    <n v="1"/>
    <s v="FOREMOST14FW-SMITH BRIDGE-KNIT-68-RD-KIDS"/>
    <x v="5"/>
    <x v="4"/>
    <n v="0"/>
    <s v=""/>
    <x v="1"/>
    <s v=""/>
    <x v="54"/>
    <x v="5"/>
    <x v="0"/>
    <x v="0"/>
    <x v="5"/>
    <x v="5"/>
    <m/>
    <n v="211"/>
    <m/>
    <x v="5"/>
    <x v="6"/>
    <x v="0"/>
    <x v="329"/>
    <x v="4"/>
    <n v="1"/>
    <x v="4"/>
    <x v="26"/>
    <d v="2014-05-27T00:00:00"/>
    <d v="2014-05-27T00:00:00"/>
    <m/>
    <m/>
    <m/>
    <m/>
    <m/>
    <m/>
    <m/>
  </r>
  <r>
    <n v="0.5"/>
    <s v="14FW-SMITH-BRIDGE-KNIT-69-MT-KIDS"/>
    <n v="1"/>
    <s v="Y&amp;Y14FW-SMITH-BRIDGE-KNIT-69-MT-KIDS"/>
    <x v="5"/>
    <x v="4"/>
    <n v="0"/>
    <s v=""/>
    <x v="1"/>
    <s v=""/>
    <x v="54"/>
    <x v="5"/>
    <x v="0"/>
    <x v="0"/>
    <x v="5"/>
    <x v="5"/>
    <m/>
    <n v="212"/>
    <m/>
    <x v="5"/>
    <x v="4"/>
    <x v="0"/>
    <x v="330"/>
    <x v="4"/>
    <n v="0.5"/>
    <x v="7"/>
    <x v="26"/>
    <d v="2014-05-27T00:00:00"/>
    <d v="2014-05-27T00:00:00"/>
    <m/>
    <m/>
    <m/>
    <m/>
    <m/>
    <m/>
    <m/>
  </r>
  <r>
    <n v="0.5"/>
    <s v="14FW-SMITH-BRIDGE-KNIT-69-MT-KIDS"/>
    <n v="1"/>
    <s v="FOREMOST14FW-SMITH-BRIDGE-KNIT-69-MT-KIDS"/>
    <x v="5"/>
    <x v="4"/>
    <n v="0"/>
    <s v=""/>
    <x v="1"/>
    <s v=""/>
    <x v="30"/>
    <x v="4"/>
    <x v="3"/>
    <x v="0"/>
    <x v="5"/>
    <x v="9"/>
    <m/>
    <m/>
    <m/>
    <x v="5"/>
    <x v="4"/>
    <x v="0"/>
    <x v="330"/>
    <x v="4"/>
    <n v="0.5"/>
    <x v="4"/>
    <x v="26"/>
    <m/>
    <m/>
    <m/>
    <m/>
    <m/>
    <m/>
    <m/>
    <m/>
    <m/>
  </r>
  <r>
    <n v="1"/>
    <s v="14FW-SMITH-BRIDGE-KNIT-70-RD-KIDS"/>
    <n v="1"/>
    <s v="Y&amp;Y14FW-SMITH-BRIDGE-KNIT-70-RD-KIDS"/>
    <x v="5"/>
    <x v="4"/>
    <n v="0"/>
    <s v=""/>
    <x v="1"/>
    <s v=""/>
    <x v="54"/>
    <x v="5"/>
    <x v="0"/>
    <x v="0"/>
    <x v="6"/>
    <x v="6"/>
    <m/>
    <n v="213"/>
    <m/>
    <x v="5"/>
    <x v="11"/>
    <x v="0"/>
    <x v="331"/>
    <x v="4"/>
    <n v="1"/>
    <x v="7"/>
    <x v="26"/>
    <d v="2014-05-27T00:00:00"/>
    <d v="2014-05-27T00:00:00"/>
    <m/>
    <m/>
    <m/>
    <m/>
    <m/>
    <m/>
    <m/>
  </r>
  <r>
    <n v="1"/>
    <s v="14FW-SMITH-BRIDGE-KNIT-71-PK"/>
    <n v="1"/>
    <s v="FOREMOST14FW-SMITH-BRIDGE-KNIT-71-PK"/>
    <x v="5"/>
    <x v="4"/>
    <n v="0"/>
    <s v=""/>
    <x v="1"/>
    <s v=""/>
    <x v="54"/>
    <x v="5"/>
    <x v="0"/>
    <x v="0"/>
    <x v="6"/>
    <x v="6"/>
    <m/>
    <n v="214"/>
    <m/>
    <x v="5"/>
    <x v="11"/>
    <x v="0"/>
    <x v="332"/>
    <x v="3"/>
    <n v="1"/>
    <x v="4"/>
    <x v="26"/>
    <d v="2014-05-27T00:00:00"/>
    <d v="2014-05-27T00:00:00"/>
    <m/>
    <m/>
    <m/>
    <m/>
    <m/>
    <m/>
    <m/>
  </r>
  <r>
    <n v="1"/>
    <s v="14FW-SMITH-BRIDGE-KNIT-72-IV"/>
    <n v="1"/>
    <s v="FOREMOST14FW-SMITH-BRIDGE-KNIT-72-IV"/>
    <x v="5"/>
    <x v="4"/>
    <n v="0"/>
    <s v=""/>
    <x v="1"/>
    <s v=""/>
    <x v="54"/>
    <x v="5"/>
    <x v="0"/>
    <x v="0"/>
    <x v="6"/>
    <x v="6"/>
    <m/>
    <n v="215"/>
    <m/>
    <x v="5"/>
    <x v="11"/>
    <x v="0"/>
    <x v="333"/>
    <x v="3"/>
    <n v="1"/>
    <x v="4"/>
    <x v="26"/>
    <d v="2014-05-27T00:00:00"/>
    <d v="2014-05-27T00:00:00"/>
    <m/>
    <m/>
    <m/>
    <m/>
    <m/>
    <m/>
    <m/>
  </r>
  <r>
    <n v="1"/>
    <s v="14FW-SMITH-BRIDGE-KNIT-73-GY"/>
    <n v="1"/>
    <s v="FOREMOST14FW-SMITH-BRIDGE-KNIT-73-GY"/>
    <x v="5"/>
    <x v="4"/>
    <n v="0"/>
    <s v=""/>
    <x v="1"/>
    <s v=""/>
    <x v="54"/>
    <x v="5"/>
    <x v="0"/>
    <x v="0"/>
    <x v="6"/>
    <x v="6"/>
    <m/>
    <n v="216"/>
    <m/>
    <x v="5"/>
    <x v="11"/>
    <x v="0"/>
    <x v="334"/>
    <x v="3"/>
    <n v="1"/>
    <x v="4"/>
    <x v="26"/>
    <d v="2014-05-27T00:00:00"/>
    <d v="2014-05-27T00:00:00"/>
    <m/>
    <m/>
    <m/>
    <m/>
    <m/>
    <m/>
    <m/>
  </r>
  <r>
    <n v="1"/>
    <s v="14FW DISNEY 04_SNAP_RD(수정)"/>
    <n v="1"/>
    <s v="QF14FW DISNEY 04_SNAP_RD(수정)"/>
    <x v="4"/>
    <x v="4"/>
    <n v="0"/>
    <s v=""/>
    <x v="1"/>
    <s v=""/>
    <x v="56"/>
    <x v="6"/>
    <x v="0"/>
    <x v="0"/>
    <x v="8"/>
    <x v="8"/>
    <m/>
    <n v="217"/>
    <m/>
    <x v="6"/>
    <x v="10"/>
    <x v="0"/>
    <x v="335"/>
    <x v="3"/>
    <n v="1"/>
    <x v="0"/>
    <x v="11"/>
    <d v="2014-06-09T00:00:00"/>
    <d v="2014-06-09T00:00:00"/>
    <m/>
    <m/>
    <m/>
    <m/>
    <m/>
    <m/>
    <m/>
  </r>
  <r>
    <n v="1"/>
    <s v="14FW DISNEY 10_SNAP_NY"/>
    <n v="1"/>
    <s v="QF14FW DISNEY 10_SNAP_NY"/>
    <x v="4"/>
    <x v="4"/>
    <n v="0"/>
    <s v=""/>
    <x v="1"/>
    <s v=""/>
    <x v="56"/>
    <x v="6"/>
    <x v="0"/>
    <x v="0"/>
    <x v="8"/>
    <x v="8"/>
    <m/>
    <n v="218"/>
    <m/>
    <x v="6"/>
    <x v="10"/>
    <x v="0"/>
    <x v="336"/>
    <x v="3"/>
    <n v="1"/>
    <x v="0"/>
    <x v="11"/>
    <d v="2014-06-09T00:00:00"/>
    <d v="2014-06-09T00:00:00"/>
    <m/>
    <m/>
    <m/>
    <m/>
    <m/>
    <m/>
    <m/>
  </r>
  <r>
    <n v="1"/>
    <s v="14FW DISNEY 11_SNAP_GY"/>
    <n v="1"/>
    <s v="QF14FW DISNEY 11_SNAP_GY"/>
    <x v="4"/>
    <x v="4"/>
    <n v="0"/>
    <s v=""/>
    <x v="1"/>
    <s v=""/>
    <x v="56"/>
    <x v="6"/>
    <x v="0"/>
    <x v="0"/>
    <x v="8"/>
    <x v="8"/>
    <m/>
    <n v="219"/>
    <m/>
    <x v="6"/>
    <x v="10"/>
    <x v="0"/>
    <x v="337"/>
    <x v="3"/>
    <n v="1"/>
    <x v="0"/>
    <x v="11"/>
    <d v="2014-06-09T00:00:00"/>
    <d v="2014-06-09T00:00:00"/>
    <m/>
    <m/>
    <m/>
    <m/>
    <m/>
    <m/>
    <m/>
  </r>
  <r>
    <n v="1"/>
    <s v="14FW DISNEY 13_SNAP_NY"/>
    <n v="1"/>
    <s v="QF14FW DISNEY 13_SNAP_NY"/>
    <x v="4"/>
    <x v="4"/>
    <n v="0"/>
    <s v=""/>
    <x v="1"/>
    <s v=""/>
    <x v="56"/>
    <x v="6"/>
    <x v="0"/>
    <x v="0"/>
    <x v="8"/>
    <x v="8"/>
    <m/>
    <n v="220"/>
    <m/>
    <x v="6"/>
    <x v="10"/>
    <x v="0"/>
    <x v="338"/>
    <x v="3"/>
    <n v="1"/>
    <x v="0"/>
    <x v="11"/>
    <d v="2014-06-09T00:00:00"/>
    <d v="2014-06-09T00:00:00"/>
    <m/>
    <m/>
    <m/>
    <m/>
    <m/>
    <m/>
    <m/>
  </r>
  <r>
    <n v="1"/>
    <s v="14FW DISNEY 14_SNAP_GY"/>
    <n v="1"/>
    <s v="QF14FW DISNEY 14_SNAP_GY"/>
    <x v="4"/>
    <x v="4"/>
    <n v="0"/>
    <s v=""/>
    <x v="1"/>
    <s v=""/>
    <x v="56"/>
    <x v="6"/>
    <x v="0"/>
    <x v="0"/>
    <x v="8"/>
    <x v="8"/>
    <m/>
    <n v="221"/>
    <m/>
    <x v="6"/>
    <x v="10"/>
    <x v="0"/>
    <x v="339"/>
    <x v="3"/>
    <n v="1"/>
    <x v="0"/>
    <x v="11"/>
    <d v="2014-06-09T00:00:00"/>
    <d v="2014-06-09T00:00:00"/>
    <m/>
    <m/>
    <m/>
    <m/>
    <m/>
    <m/>
    <m/>
  </r>
  <r>
    <n v="1"/>
    <s v="14FW DISNEY 15_SNAP_BL"/>
    <n v="1"/>
    <s v="QF14FW DISNEY 15_SNAP_BL"/>
    <x v="4"/>
    <x v="4"/>
    <n v="0"/>
    <s v=""/>
    <x v="1"/>
    <s v=""/>
    <x v="56"/>
    <x v="6"/>
    <x v="0"/>
    <x v="0"/>
    <x v="8"/>
    <x v="8"/>
    <m/>
    <n v="222"/>
    <m/>
    <x v="6"/>
    <x v="10"/>
    <x v="0"/>
    <x v="340"/>
    <x v="3"/>
    <n v="1"/>
    <x v="0"/>
    <x v="11"/>
    <d v="2014-06-09T00:00:00"/>
    <d v="2014-06-09T00:00:00"/>
    <m/>
    <m/>
    <m/>
    <m/>
    <m/>
    <m/>
    <m/>
  </r>
  <r>
    <n v="1"/>
    <s v="14FW BLACK MOOD_01_FLAT_GY"/>
    <n v="1"/>
    <s v="동일모자14FW BLACK MOOD_01_FLAT_GY"/>
    <x v="0"/>
    <x v="6"/>
    <n v="1"/>
    <s v="14FW BLACK MOOD_01_FLAT_GY"/>
    <x v="0"/>
    <s v="동일모자14FW BLACK MOOD_01_FLAT_GY"/>
    <x v="57"/>
    <x v="1"/>
    <x v="4"/>
    <x v="0"/>
    <x v="9"/>
    <x v="10"/>
    <m/>
    <n v="1"/>
    <m/>
    <x v="7"/>
    <x v="0"/>
    <x v="0"/>
    <x v="341"/>
    <x v="3"/>
    <n v="1"/>
    <x v="1"/>
    <x v="27"/>
    <d v="2014-02-10T00:00:00"/>
    <d v="2014-01-27T00:00:00"/>
    <d v="2014-02-11T00:00:00"/>
    <n v="4.95"/>
    <m/>
    <s v="SHAPE 참조 1PCS&#10;&#10;&#10;"/>
    <n v="2"/>
    <n v="2"/>
    <s v="완사입"/>
  </r>
  <r>
    <n v="1"/>
    <s v="14FW BLACK MOOD_02_CURVED_BK"/>
    <n v="1"/>
    <s v="동일모자14FW BLACK MOOD_02_CURVED_BK"/>
    <x v="0"/>
    <x v="6"/>
    <n v="1"/>
    <s v="14FW BLACK MOOD_02_CURVED_BK"/>
    <x v="0"/>
    <s v="동일모자14FW BLACK MOOD_02_CURVED_BK"/>
    <x v="57"/>
    <x v="1"/>
    <x v="4"/>
    <x v="0"/>
    <x v="9"/>
    <x v="10"/>
    <m/>
    <n v="2"/>
    <m/>
    <x v="7"/>
    <x v="2"/>
    <x v="0"/>
    <x v="342"/>
    <x v="3"/>
    <n v="1"/>
    <x v="1"/>
    <x v="27"/>
    <d v="2014-02-10T00:00:00"/>
    <d v="2014-01-27T00:00:00"/>
    <d v="2014-02-11T00:00:00"/>
    <n v="6.5"/>
    <m/>
    <m/>
    <n v="3"/>
    <n v="3"/>
    <s v="완사입"/>
  </r>
  <r>
    <n v="1"/>
    <s v="14FW BLACK MOOD_01_CURVED_BK"/>
    <n v="1"/>
    <s v="동일모자14FW BLACK MOOD_01_CURVED_BK"/>
    <x v="0"/>
    <x v="6"/>
    <n v="1"/>
    <s v="14FW BLACK MOOD_01_CURVED_BK"/>
    <x v="0"/>
    <s v="동일모자14FW BLACK MOOD_01_CURVED_BK"/>
    <x v="57"/>
    <x v="1"/>
    <x v="4"/>
    <x v="0"/>
    <x v="9"/>
    <x v="10"/>
    <m/>
    <n v="3"/>
    <m/>
    <x v="7"/>
    <x v="2"/>
    <x v="0"/>
    <x v="343"/>
    <x v="3"/>
    <n v="1"/>
    <x v="1"/>
    <x v="27"/>
    <d v="2014-02-10T00:00:00"/>
    <d v="2014-01-27T00:00:00"/>
    <d v="2014-02-11T00:00:00"/>
    <n v="6.5"/>
    <m/>
    <m/>
    <n v="3"/>
    <n v="3"/>
    <s v="완사입"/>
  </r>
  <r>
    <n v="1"/>
    <s v="14FW JOIE BETE_01_IV_KIDS"/>
    <n v="1"/>
    <s v="동일모자14FW JOIE BETE_01_IV_KIDS"/>
    <x v="0"/>
    <x v="6"/>
    <n v="1"/>
    <s v="14FW JOIE BETE_01_IV_KIDS"/>
    <x v="0"/>
    <s v="동일모자14FW JOIE BETE_01_IV_KIDS"/>
    <x v="39"/>
    <x v="0"/>
    <x v="0"/>
    <x v="0"/>
    <x v="10"/>
    <x v="11"/>
    <m/>
    <n v="4"/>
    <m/>
    <x v="8"/>
    <x v="1"/>
    <x v="0"/>
    <x v="344"/>
    <x v="5"/>
    <n v="1"/>
    <x v="1"/>
    <x v="28"/>
    <d v="2014-02-11T00:00:00"/>
    <d v="2014-03-10T00:00:00"/>
    <d v="2014-03-14T00:00:00"/>
    <n v="7.8"/>
    <m/>
    <m/>
    <n v="7"/>
    <n v="7"/>
    <s v="METAL 개발"/>
  </r>
  <r>
    <n v="1"/>
    <s v="14FW JOIE BETE_02_PK_KIDS"/>
    <n v="1"/>
    <s v="동일모자14FW JOIE BETE_02_PK_KIDS"/>
    <x v="0"/>
    <x v="6"/>
    <n v="1"/>
    <s v="14FW JOIE BETE_02_PK_KIDS"/>
    <x v="0"/>
    <s v="동일모자14FW JOIE BETE_02_PK_KIDS"/>
    <x v="14"/>
    <x v="3"/>
    <x v="0"/>
    <x v="0"/>
    <x v="10"/>
    <x v="11"/>
    <m/>
    <n v="5"/>
    <m/>
    <x v="8"/>
    <x v="1"/>
    <x v="0"/>
    <x v="345"/>
    <x v="5"/>
    <n v="1"/>
    <x v="1"/>
    <x v="28"/>
    <d v="2014-02-11T00:00:00"/>
    <d v="2014-04-04T00:00:00"/>
    <d v="2014-04-04T00:00:00"/>
    <n v="10.8"/>
    <m/>
    <m/>
    <n v="6"/>
    <n v="6"/>
    <s v="METAL 개발"/>
  </r>
  <r>
    <n v="1"/>
    <s v="14FW JOIE BETE_03_BL_KIDS"/>
    <n v="1"/>
    <s v="동일모자14FW JOIE BETE_03_BL_KIDS"/>
    <x v="0"/>
    <x v="6"/>
    <n v="1"/>
    <s v="14FW JOIE BETE_03_BL_KIDS"/>
    <x v="0"/>
    <s v="동일모자14FW JOIE BETE_03_BL_KIDS"/>
    <x v="14"/>
    <x v="3"/>
    <x v="0"/>
    <x v="0"/>
    <x v="10"/>
    <x v="11"/>
    <m/>
    <n v="6"/>
    <m/>
    <x v="8"/>
    <x v="1"/>
    <x v="0"/>
    <x v="346"/>
    <x v="5"/>
    <n v="1"/>
    <x v="1"/>
    <x v="28"/>
    <d v="2014-02-11T00:00:00"/>
    <d v="2014-04-04T00:00:00"/>
    <d v="2014-04-04T00:00:00"/>
    <n v="10.5"/>
    <m/>
    <m/>
    <n v="7"/>
    <n v="7"/>
    <s v="METAL 개발"/>
  </r>
  <r>
    <n v="1"/>
    <s v="14FW BROWN_SQUARE_CAP_01_GY"/>
    <n v="1"/>
    <s v="동일모자14FW BROWN_SQUARE_CAP_01_GY"/>
    <x v="0"/>
    <x v="0"/>
    <n v="1"/>
    <s v="14FW BROWN_SQUARE_CAP_01_GY"/>
    <x v="0"/>
    <s v="동일모자14FW BROWN_SQUARE_CAP_01_GY"/>
    <x v="3"/>
    <x v="0"/>
    <x v="0"/>
    <x v="0"/>
    <x v="11"/>
    <x v="12"/>
    <m/>
    <n v="7"/>
    <m/>
    <x v="9"/>
    <x v="1"/>
    <x v="0"/>
    <x v="347"/>
    <x v="3"/>
    <n v="1"/>
    <x v="1"/>
    <x v="29"/>
    <d v="2014-02-18T00:00:00"/>
    <d v="2014-03-10T00:00:00"/>
    <d v="2014-03-11T00:00:00"/>
    <n v="5.9"/>
    <m/>
    <m/>
    <n v="2"/>
    <n v="2"/>
    <m/>
  </r>
  <r>
    <n v="1"/>
    <s v="14FW BROWN_SQUARE_CAP_02_BK"/>
    <n v="1"/>
    <s v="동일모자14FW BROWN_SQUARE_CAP_02_BK"/>
    <x v="0"/>
    <x v="0"/>
    <n v="1"/>
    <s v="14FW BROWN_SQUARE_CAP_02_BK"/>
    <x v="0"/>
    <s v="동일모자14FW BROWN_SQUARE_CAP_02_BK"/>
    <x v="3"/>
    <x v="0"/>
    <x v="0"/>
    <x v="0"/>
    <x v="11"/>
    <x v="12"/>
    <m/>
    <n v="8"/>
    <m/>
    <x v="9"/>
    <x v="5"/>
    <x v="0"/>
    <x v="348"/>
    <x v="3"/>
    <n v="1"/>
    <x v="1"/>
    <x v="29"/>
    <d v="2014-02-18T00:00:00"/>
    <d v="2014-03-10T00:00:00"/>
    <d v="2014-03-11T00:00:00"/>
    <n v="5.75"/>
    <m/>
    <m/>
    <n v="4"/>
    <n v="3"/>
    <s v="T/R 부클 제외 "/>
  </r>
  <r>
    <n v="1"/>
    <s v="14FW BROWN_SQUARE_CAP_03_BG"/>
    <n v="1"/>
    <s v="동일모자14FW BROWN_SQUARE_CAP_03_BG"/>
    <x v="0"/>
    <x v="0"/>
    <n v="1"/>
    <s v="14FW BROWN_SQUARE_CAP_03_BG"/>
    <x v="0"/>
    <s v="동일모자14FW BROWN_SQUARE_CAP_03_BG"/>
    <x v="3"/>
    <x v="0"/>
    <x v="0"/>
    <x v="0"/>
    <x v="11"/>
    <x v="12"/>
    <m/>
    <n v="9"/>
    <m/>
    <x v="9"/>
    <x v="2"/>
    <x v="0"/>
    <x v="349"/>
    <x v="3"/>
    <n v="1"/>
    <x v="1"/>
    <x v="29"/>
    <d v="2014-02-18T00:00:00"/>
    <d v="2014-03-10T00:00:00"/>
    <d v="2014-03-11T00:00:00"/>
    <n v="7.15"/>
    <m/>
    <m/>
    <n v="4"/>
    <n v="3"/>
    <s v="모직체크 (27일 추가스와치 다시 리뷰)"/>
  </r>
  <r>
    <n v="1"/>
    <s v="14FW BROWN_SQUARE_CAP_04_NV"/>
    <n v="1"/>
    <s v="동일모자14FW BROWN_SQUARE_CAP_04_NV"/>
    <x v="0"/>
    <x v="0"/>
    <n v="1"/>
    <s v="14FW BROWN_SQUARE_CAP_04_NV"/>
    <x v="0"/>
    <s v="동일모자14FW BROWN_SQUARE_CAP_04_NV"/>
    <x v="3"/>
    <x v="0"/>
    <x v="0"/>
    <x v="0"/>
    <x v="11"/>
    <x v="12"/>
    <m/>
    <n v="10"/>
    <m/>
    <x v="9"/>
    <x v="2"/>
    <x v="0"/>
    <x v="350"/>
    <x v="3"/>
    <n v="1"/>
    <x v="1"/>
    <x v="29"/>
    <d v="2014-02-18T00:00:00"/>
    <d v="2014-03-10T00:00:00"/>
    <d v="2014-03-11T00:00:00"/>
    <n v="7.45"/>
    <m/>
    <m/>
    <n v="4"/>
    <n v="1"/>
    <s v="쮸리기모, 옥스프드, 털 &#10;(27일 추가스와치 다시리뷰)"/>
  </r>
  <r>
    <n v="1"/>
    <s v="14FW BROWN_SQUARE_CAP_05_BR"/>
    <n v="1"/>
    <s v="동일모자14FW BROWN_SQUARE_CAP_05_BR"/>
    <x v="0"/>
    <x v="0"/>
    <n v="1"/>
    <s v="14FW BROWN_SQUARE_CAP_05_BR"/>
    <x v="0"/>
    <s v="동일모자14FW BROWN_SQUARE_CAP_05_BR"/>
    <x v="3"/>
    <x v="0"/>
    <x v="0"/>
    <x v="0"/>
    <x v="11"/>
    <x v="12"/>
    <m/>
    <n v="11"/>
    <m/>
    <x v="9"/>
    <x v="2"/>
    <x v="0"/>
    <x v="351"/>
    <x v="3"/>
    <n v="1"/>
    <x v="1"/>
    <x v="29"/>
    <d v="2014-02-18T00:00:00"/>
    <d v="2014-03-10T00:00:00"/>
    <d v="2014-03-11T00:00:00"/>
    <n v="5.55"/>
    <m/>
    <m/>
    <n v="3"/>
    <n v="3"/>
    <m/>
  </r>
  <r>
    <n v="1"/>
    <s v="14FW BROWN_SQUARE_CAP_06_WH"/>
    <n v="1"/>
    <s v="동일모자14FW BROWN_SQUARE_CAP_06_WH"/>
    <x v="0"/>
    <x v="0"/>
    <n v="1"/>
    <s v="14FW BROWN_SQUARE_CAP_06_WH"/>
    <x v="0"/>
    <s v="동일모자14FW BROWN_SQUARE_CAP_06_WH"/>
    <x v="3"/>
    <x v="0"/>
    <x v="0"/>
    <x v="0"/>
    <x v="11"/>
    <x v="12"/>
    <m/>
    <n v="12"/>
    <m/>
    <x v="9"/>
    <x v="2"/>
    <x v="0"/>
    <x v="352"/>
    <x v="3"/>
    <n v="1"/>
    <x v="1"/>
    <x v="29"/>
    <d v="2014-02-18T00:00:00"/>
    <d v="2014-03-10T00:00:00"/>
    <d v="2014-03-11T00:00:00"/>
    <n v="7.9"/>
    <m/>
    <m/>
    <n v="4"/>
    <n v="3"/>
    <s v="헤머쮸리 (27일 다시리뷰)"/>
  </r>
  <r>
    <n v="1"/>
    <s v="14FW BROWN_SQUARE_CAP_07-RD"/>
    <n v="1"/>
    <s v="동일모자14FW BROWN_SQUARE_CAP_07-RD"/>
    <x v="0"/>
    <x v="0"/>
    <n v="1"/>
    <s v="14FW BROWN_SQUARE_CAP_07-RD"/>
    <x v="0"/>
    <s v="동일모자14FW BROWN_SQUARE_CAP_07-RD"/>
    <x v="3"/>
    <x v="0"/>
    <x v="0"/>
    <x v="0"/>
    <x v="11"/>
    <x v="12"/>
    <m/>
    <n v="13"/>
    <m/>
    <x v="9"/>
    <x v="2"/>
    <x v="0"/>
    <x v="353"/>
    <x v="3"/>
    <n v="1"/>
    <x v="1"/>
    <x v="29"/>
    <d v="2014-02-18T00:00:00"/>
    <d v="2014-03-10T00:00:00"/>
    <d v="2014-03-11T00:00:00"/>
    <n v="7.4"/>
    <m/>
    <m/>
    <n v="4"/>
    <n v="2"/>
    <s v="퍼, 기모체크 (27일 다시리뷰)"/>
  </r>
  <r>
    <n v="1"/>
    <s v="14FW BROWN_SQUARE_CAP_08-RD"/>
    <n v="1"/>
    <s v="동일모자14FW BROWN_SQUARE_CAP_08-RD"/>
    <x v="0"/>
    <x v="0"/>
    <n v="1"/>
    <s v="14FW BROWN_SQUARE_CAP_08-RD"/>
    <x v="0"/>
    <s v="동일모자14FW BROWN_SQUARE_CAP_08-RD"/>
    <x v="3"/>
    <x v="0"/>
    <x v="0"/>
    <x v="0"/>
    <x v="11"/>
    <x v="12"/>
    <m/>
    <n v="14"/>
    <m/>
    <x v="9"/>
    <x v="2"/>
    <x v="0"/>
    <x v="354"/>
    <x v="3"/>
    <n v="1"/>
    <x v="1"/>
    <x v="29"/>
    <d v="2014-02-18T00:00:00"/>
    <d v="2014-03-10T00:00:00"/>
    <d v="2014-03-11T00:00:00"/>
    <n v="6.55"/>
    <m/>
    <m/>
    <n v="4"/>
    <n v="3"/>
    <s v="모직체크 (27일 추가스와치 다시 리뷰)"/>
  </r>
  <r>
    <n v="1"/>
    <s v="14FW JOIE BETE_04_RD"/>
    <n v="1"/>
    <s v="FOREMOST14FW JOIE BETE_04_RD"/>
    <x v="0"/>
    <x v="0"/>
    <n v="1"/>
    <s v="14FW JOIE BETE_04_RD"/>
    <x v="0"/>
    <s v="FOREMOST14FW JOIE BETE_04_RD"/>
    <x v="33"/>
    <x v="0"/>
    <x v="0"/>
    <x v="0"/>
    <x v="10"/>
    <x v="11"/>
    <m/>
    <n v="15"/>
    <m/>
    <x v="8"/>
    <x v="4"/>
    <x v="0"/>
    <x v="355"/>
    <x v="3"/>
    <n v="1"/>
    <x v="4"/>
    <x v="0"/>
    <d v="2014-02-20T00:00:00"/>
    <d v="2014-03-14T00:00:00"/>
    <d v="2014-03-10T00:00:00"/>
    <n v="6.8"/>
    <m/>
    <m/>
    <n v="5"/>
    <n v="5"/>
    <m/>
  </r>
  <r>
    <n v="1"/>
    <s v="14FW JOIE BETE_05_RD"/>
    <n v="1"/>
    <s v="FOREMOST14FW JOIE BETE_05_RD"/>
    <x v="0"/>
    <x v="0"/>
    <n v="1"/>
    <s v="14FW JOIE BETE_05_RD"/>
    <x v="0"/>
    <s v="FOREMOST14FW JOIE BETE_05_RD"/>
    <x v="58"/>
    <x v="0"/>
    <x v="0"/>
    <x v="0"/>
    <x v="12"/>
    <x v="13"/>
    <m/>
    <n v="16"/>
    <m/>
    <x v="8"/>
    <x v="12"/>
    <x v="0"/>
    <x v="356"/>
    <x v="3"/>
    <n v="1"/>
    <x v="4"/>
    <x v="0"/>
    <d v="2014-02-20T00:00:00"/>
    <d v="2014-03-17T00:00:00"/>
    <d v="2014-03-17T00:00:00"/>
    <n v="10.08"/>
    <m/>
    <m/>
    <n v="4"/>
    <n v="4"/>
    <m/>
  </r>
  <r>
    <n v="1"/>
    <s v="14FW JOIE BETE_06_RD"/>
    <n v="1"/>
    <s v="FOREMOST14FW JOIE BETE_06_RD"/>
    <x v="0"/>
    <x v="0"/>
    <n v="1"/>
    <s v="14FW JOIE BETE_06_RD"/>
    <x v="0"/>
    <s v="FOREMOST14FW JOIE BETE_06_RD"/>
    <x v="9"/>
    <x v="0"/>
    <x v="0"/>
    <x v="0"/>
    <x v="12"/>
    <x v="13"/>
    <m/>
    <n v="17"/>
    <m/>
    <x v="8"/>
    <x v="12"/>
    <x v="0"/>
    <x v="357"/>
    <x v="3"/>
    <n v="1"/>
    <x v="4"/>
    <x v="0"/>
    <d v="2014-02-20T00:00:00"/>
    <d v="2014-03-24T00:00:00"/>
    <d v="2014-03-24T00:00:00"/>
    <n v="5"/>
    <m/>
    <m/>
    <n v="3"/>
    <n v="3"/>
    <m/>
  </r>
  <r>
    <n v="1"/>
    <s v="14FW JOIE BETE_07_BR"/>
    <n v="1"/>
    <s v="FOREMOST14FW JOIE BETE_07_BR"/>
    <x v="0"/>
    <x v="0"/>
    <n v="1"/>
    <s v="14FW JOIE BETE_07_BR"/>
    <x v="0"/>
    <s v="FOREMOST14FW JOIE BETE_07_BR"/>
    <x v="59"/>
    <x v="0"/>
    <x v="0"/>
    <x v="0"/>
    <x v="10"/>
    <x v="11"/>
    <m/>
    <n v="18"/>
    <m/>
    <x v="8"/>
    <x v="4"/>
    <x v="0"/>
    <x v="358"/>
    <x v="3"/>
    <n v="1"/>
    <x v="4"/>
    <x v="0"/>
    <d v="2014-02-20T00:00:00"/>
    <d v="2014-03-24T00:00:00"/>
    <d v="2014-03-29T00:00:00"/>
    <n v="10.199999999999999"/>
    <m/>
    <m/>
    <n v="3"/>
    <n v="3"/>
    <m/>
  </r>
  <r>
    <n v="1"/>
    <s v="14FW JOIE BETE_08_GY"/>
    <n v="1"/>
    <s v="FOREMOST14FW JOIE BETE_08_GY"/>
    <x v="0"/>
    <x v="0"/>
    <n v="1"/>
    <s v="14FW JOIE BETE_08_GY"/>
    <x v="0"/>
    <s v="FOREMOST14FW JOIE BETE_08_GY"/>
    <x v="21"/>
    <x v="3"/>
    <x v="0"/>
    <x v="0"/>
    <x v="10"/>
    <x v="11"/>
    <m/>
    <n v="19"/>
    <m/>
    <x v="8"/>
    <x v="4"/>
    <x v="0"/>
    <x v="359"/>
    <x v="3"/>
    <n v="1"/>
    <x v="4"/>
    <x v="0"/>
    <d v="2014-02-20T00:00:00"/>
    <d v="2014-03-24T00:00:00"/>
    <d v="2014-04-01T00:00:00"/>
    <n v="8.9"/>
    <m/>
    <s v="SHAPE 참조 1PCS&#10;&#10;&#10;"/>
    <n v="5"/>
    <n v="5"/>
    <m/>
  </r>
  <r>
    <n v="1"/>
    <s v="14FW JOIE BETE_09_GY"/>
    <n v="1"/>
    <s v="FOREMOST14FW JOIE BETE_09_GY"/>
    <x v="0"/>
    <x v="0"/>
    <n v="1"/>
    <s v="14FW JOIE BETE_09_GY"/>
    <x v="0"/>
    <s v="FOREMOST14FW JOIE BETE_09_GY"/>
    <x v="9"/>
    <x v="0"/>
    <x v="0"/>
    <x v="0"/>
    <x v="10"/>
    <x v="11"/>
    <m/>
    <n v="20"/>
    <m/>
    <x v="8"/>
    <x v="4"/>
    <x v="0"/>
    <x v="360"/>
    <x v="3"/>
    <n v="1"/>
    <x v="4"/>
    <x v="0"/>
    <d v="2014-02-20T00:00:00"/>
    <d v="2014-03-24T00:00:00"/>
    <d v="2014-03-24T00:00:00"/>
    <n v="9.6999999999999993"/>
    <m/>
    <m/>
    <n v="5"/>
    <n v="5"/>
    <m/>
  </r>
  <r>
    <n v="1"/>
    <s v="14FW JOIE BETE_12_GY"/>
    <n v="1"/>
    <s v="FOREMOST14FW JOIE BETE_12_GY"/>
    <x v="0"/>
    <x v="0"/>
    <n v="1"/>
    <s v="14FW JOIE BETE_12_GY"/>
    <x v="0"/>
    <s v="FOREMOST14FW JOIE BETE_12_GY"/>
    <x v="41"/>
    <x v="0"/>
    <x v="0"/>
    <x v="0"/>
    <x v="10"/>
    <x v="11"/>
    <m/>
    <n v="21"/>
    <m/>
    <x v="8"/>
    <x v="9"/>
    <x v="0"/>
    <x v="361"/>
    <x v="3"/>
    <n v="1"/>
    <x v="4"/>
    <x v="0"/>
    <d v="2014-02-20T00:00:00"/>
    <d v="2014-03-14T00:00:00"/>
    <d v="2014-03-12T00:00:00"/>
    <n v="13.2"/>
    <m/>
    <m/>
    <n v="3"/>
    <n v="3"/>
    <m/>
  </r>
  <r>
    <n v="1"/>
    <s v="14FW JOIE BETE_11_PK_KIDS"/>
    <n v="1"/>
    <s v="KIDS FIRST TOYS14FW JOIE BETE_11_PK_KIDS"/>
    <x v="0"/>
    <x v="0"/>
    <n v="1"/>
    <s v="14FW JOIE BETE_11_PK_KIDS"/>
    <x v="0"/>
    <s v="KIDS FIRST TOYS14FW JOIE BETE_11_PK_KIDS"/>
    <x v="58"/>
    <x v="0"/>
    <x v="0"/>
    <x v="0"/>
    <x v="10"/>
    <x v="11"/>
    <m/>
    <n v="22"/>
    <m/>
    <x v="8"/>
    <x v="9"/>
    <x v="0"/>
    <x v="362"/>
    <x v="5"/>
    <n v="1"/>
    <x v="6"/>
    <x v="0"/>
    <d v="2014-02-20T00:00:00"/>
    <d v="2014-03-17T00:00:00"/>
    <d v="2014-03-17T00:00:00"/>
    <n v="3.24"/>
    <m/>
    <s v="SHAPE 참조 1PCS&#10;&#10;&#10;"/>
    <n v="2"/>
    <n v="2"/>
    <s v="3/13 발송완료"/>
  </r>
  <r>
    <n v="1"/>
    <s v="14FW JOIE BETE_13_PP_KIDS"/>
    <n v="1"/>
    <s v="KIDS FIRST TOYS14FW JOIE BETE_13_PP_KIDS"/>
    <x v="0"/>
    <x v="0"/>
    <n v="1"/>
    <s v="14FW JOIE BETE_13_PP_KIDS"/>
    <x v="0"/>
    <s v="KIDS FIRST TOYS14FW JOIE BETE_13_PP_KIDS"/>
    <x v="58"/>
    <x v="0"/>
    <x v="0"/>
    <x v="0"/>
    <x v="10"/>
    <x v="11"/>
    <m/>
    <n v="23"/>
    <m/>
    <x v="8"/>
    <x v="3"/>
    <x v="0"/>
    <x v="363"/>
    <x v="5"/>
    <n v="1"/>
    <x v="6"/>
    <x v="0"/>
    <d v="2014-02-20T00:00:00"/>
    <d v="2014-03-17T00:00:00"/>
    <d v="2014-03-17T00:00:00"/>
    <n v="3.38"/>
    <m/>
    <m/>
    <n v="5"/>
    <n v="5"/>
    <s v="3/13 발송완료"/>
  </r>
  <r>
    <n v="1"/>
    <s v="14FW JOIE BETE_14_PK_KIDS"/>
    <n v="1"/>
    <s v="KIDS FIRST TOYS14FW JOIE BETE_14_PK_KIDS"/>
    <x v="0"/>
    <x v="0"/>
    <n v="1"/>
    <s v="14FW JOIE BETE_14_PK_KIDS"/>
    <x v="0"/>
    <s v="KIDS FIRST TOYS14FW JOIE BETE_14_PK_KIDS"/>
    <x v="58"/>
    <x v="0"/>
    <x v="0"/>
    <x v="0"/>
    <x v="10"/>
    <x v="11"/>
    <m/>
    <n v="24"/>
    <m/>
    <x v="8"/>
    <x v="3"/>
    <x v="0"/>
    <x v="364"/>
    <x v="5"/>
    <n v="1"/>
    <x v="6"/>
    <x v="0"/>
    <d v="2014-02-20T00:00:00"/>
    <d v="2014-03-17T00:00:00"/>
    <d v="2014-03-17T00:00:00"/>
    <n v="3.89"/>
    <m/>
    <m/>
    <n v="4"/>
    <n v="4"/>
    <s v="3/13 발송완료"/>
  </r>
  <r>
    <n v="0.5"/>
    <s v="14FW JOIE BETE_15_PK_KIDS"/>
    <n v="1"/>
    <s v="FOREMOST14FW JOIE BETE_15_PK_KIDS"/>
    <x v="0"/>
    <x v="0"/>
    <n v="0.5"/>
    <s v="14FW JOIE BETE_15_PK_KIDS"/>
    <x v="0"/>
    <s v="FOREMOST14FW JOIE BETE_15_PK_KIDS"/>
    <x v="58"/>
    <x v="0"/>
    <x v="0"/>
    <x v="0"/>
    <x v="10"/>
    <x v="11"/>
    <m/>
    <n v="25"/>
    <m/>
    <x v="8"/>
    <x v="4"/>
    <x v="0"/>
    <x v="365"/>
    <x v="5"/>
    <n v="0.5"/>
    <x v="4"/>
    <x v="0"/>
    <d v="2014-02-20T00:00:00"/>
    <d v="2014-03-17T00:00:00"/>
    <d v="2014-03-17T00:00:00"/>
    <n v="7.5"/>
    <m/>
    <m/>
    <n v="3"/>
    <n v="3"/>
    <m/>
  </r>
  <r>
    <n v="0.5"/>
    <s v="14FW JOIE BETE_16_PK_KIDS"/>
    <n v="1"/>
    <s v="FOREMOST14FW JOIE BETE_16_PK_KIDS"/>
    <x v="0"/>
    <x v="0"/>
    <n v="0.5"/>
    <s v="14FW JOIE BETE_16_PK_KIDS"/>
    <x v="0"/>
    <s v="FOREMOST14FW JOIE BETE_16_PK_KIDS"/>
    <x v="58"/>
    <x v="0"/>
    <x v="0"/>
    <x v="0"/>
    <x v="12"/>
    <x v="13"/>
    <m/>
    <n v="26"/>
    <m/>
    <x v="8"/>
    <x v="12"/>
    <x v="0"/>
    <x v="366"/>
    <x v="5"/>
    <n v="0.5"/>
    <x v="4"/>
    <x v="0"/>
    <d v="2014-02-20T00:00:00"/>
    <d v="2014-03-17T00:00:00"/>
    <d v="2014-03-17T00:00:00"/>
    <n v="6.3"/>
    <m/>
    <m/>
    <n v="5"/>
    <n v="5"/>
    <m/>
  </r>
  <r>
    <n v="0.5"/>
    <s v="14FW JOIE BETE_17_PK_KIDS"/>
    <n v="1"/>
    <s v="FOREMOST14FW JOIE BETE_17_PK_KIDS"/>
    <x v="0"/>
    <x v="0"/>
    <n v="0.5"/>
    <s v="14FW JOIE BETE_17_PK_KIDS"/>
    <x v="0"/>
    <s v="FOREMOST14FW JOIE BETE_17_PK_KIDS"/>
    <x v="9"/>
    <x v="0"/>
    <x v="0"/>
    <x v="0"/>
    <x v="12"/>
    <x v="13"/>
    <m/>
    <n v="27"/>
    <m/>
    <x v="8"/>
    <x v="12"/>
    <x v="0"/>
    <x v="367"/>
    <x v="5"/>
    <n v="0.5"/>
    <x v="4"/>
    <x v="0"/>
    <d v="2014-02-20T00:00:00"/>
    <d v="2014-03-25T00:00:00"/>
    <d v="2014-03-24T00:00:00"/>
    <n v="8"/>
    <m/>
    <m/>
    <n v="5"/>
    <n v="5"/>
    <m/>
  </r>
  <r>
    <n v="0.5"/>
    <s v="14FW JOIE BETE_18_BL_KIDS"/>
    <n v="1"/>
    <s v="FOREMOST14FW JOIE BETE_18_BL_KIDS"/>
    <x v="0"/>
    <x v="0"/>
    <n v="0.5"/>
    <s v="14FW JOIE BETE_18_BL_KIDS"/>
    <x v="0"/>
    <s v="FOREMOST14FW JOIE BETE_18_BL_KIDS"/>
    <x v="42"/>
    <x v="3"/>
    <x v="0"/>
    <x v="0"/>
    <x v="10"/>
    <x v="11"/>
    <m/>
    <n v="28"/>
    <m/>
    <x v="8"/>
    <x v="4"/>
    <x v="0"/>
    <x v="368"/>
    <x v="5"/>
    <n v="0.5"/>
    <x v="4"/>
    <x v="0"/>
    <d v="2014-02-20T00:00:00"/>
    <d v="2014-04-11T00:00:00"/>
    <d v="2014-04-08T00:00:00"/>
    <n v="7.2"/>
    <m/>
    <m/>
    <n v="3"/>
    <n v="3"/>
    <m/>
  </r>
  <r>
    <n v="0.5"/>
    <s v="14FW JOIE BETE_19_BL_KIDS"/>
    <n v="1"/>
    <s v="FOREMOST14FW JOIE BETE_19_BL_KIDS"/>
    <x v="0"/>
    <x v="0"/>
    <n v="0.5"/>
    <s v="14FW JOIE BETE_19_BL_KIDS"/>
    <x v="0"/>
    <s v="FOREMOST14FW JOIE BETE_19_BL_KIDS"/>
    <x v="42"/>
    <x v="3"/>
    <x v="0"/>
    <x v="0"/>
    <x v="12"/>
    <x v="13"/>
    <m/>
    <n v="29"/>
    <m/>
    <x v="8"/>
    <x v="12"/>
    <x v="0"/>
    <x v="369"/>
    <x v="5"/>
    <n v="0.5"/>
    <x v="4"/>
    <x v="0"/>
    <d v="2014-02-20T00:00:00"/>
    <d v="2014-04-11T00:00:00"/>
    <d v="2014-04-08T00:00:00"/>
    <n v="6.1"/>
    <m/>
    <m/>
    <n v="5"/>
    <n v="5"/>
    <m/>
  </r>
  <r>
    <n v="0.5"/>
    <s v="14FW JOIE BETE_20_BL_KIDS"/>
    <n v="1"/>
    <s v="FOREMOST14FW JOIE BETE_20_BL_KIDS"/>
    <x v="0"/>
    <x v="0"/>
    <n v="0.5"/>
    <s v="14FW JOIE BETE_20_BL_KIDS"/>
    <x v="0"/>
    <s v="FOREMOST14FW JOIE BETE_20_BL_KIDS"/>
    <x v="60"/>
    <x v="3"/>
    <x v="0"/>
    <x v="0"/>
    <x v="12"/>
    <x v="13"/>
    <m/>
    <n v="30"/>
    <m/>
    <x v="8"/>
    <x v="12"/>
    <x v="0"/>
    <x v="370"/>
    <x v="5"/>
    <n v="0.5"/>
    <x v="4"/>
    <x v="0"/>
    <d v="2014-02-20T00:00:00"/>
    <d v="2014-04-11T00:00:00"/>
    <d v="2014-04-20T00:00:00"/>
    <n v="7.2"/>
    <m/>
    <m/>
    <n v="5"/>
    <n v="5"/>
    <m/>
  </r>
  <r>
    <n v="0.5"/>
    <s v="14FW JOIE BETE_21_PK_KIDS"/>
    <n v="1"/>
    <s v="FOREMOST14FW JOIE BETE_21_PK_KIDS"/>
    <x v="0"/>
    <x v="0"/>
    <n v="0.5"/>
    <s v="14FW JOIE BETE_21_PK_KIDS"/>
    <x v="0"/>
    <s v="FOREMOST14FW JOIE BETE_21_PK_KIDS"/>
    <x v="22"/>
    <x v="3"/>
    <x v="0"/>
    <x v="0"/>
    <x v="12"/>
    <x v="13"/>
    <m/>
    <n v="31"/>
    <m/>
    <x v="8"/>
    <x v="12"/>
    <x v="0"/>
    <x v="371"/>
    <x v="5"/>
    <n v="0.5"/>
    <x v="4"/>
    <x v="0"/>
    <d v="2014-02-20T00:00:00"/>
    <d v="2014-03-25T00:00:00"/>
    <d v="2014-04-02T00:00:00"/>
    <n v="4.8499999999999996"/>
    <m/>
    <m/>
    <n v="3"/>
    <n v="3"/>
    <m/>
  </r>
  <r>
    <n v="0.5"/>
    <s v="14FW JOIE BETE_15_PK_KIDS"/>
    <n v="1"/>
    <s v="KIDS FIRST TOYS14FW JOIE BETE_15_PK_KIDS"/>
    <x v="0"/>
    <x v="0"/>
    <n v="0.5"/>
    <s v="14FW JOIE BETE_15_PK_KIDS"/>
    <x v="0"/>
    <s v="KIDS FIRST TOYS14FW JOIE BETE_15_PK_KIDS"/>
    <x v="58"/>
    <x v="0"/>
    <x v="0"/>
    <x v="0"/>
    <x v="10"/>
    <x v="11"/>
    <m/>
    <n v="32"/>
    <m/>
    <x v="8"/>
    <x v="4"/>
    <x v="0"/>
    <x v="365"/>
    <x v="5"/>
    <n v="0.5"/>
    <x v="6"/>
    <x v="0"/>
    <d v="2014-02-20T00:00:00"/>
    <d v="2014-03-17T00:00:00"/>
    <d v="2014-03-17T00:00:00"/>
    <n v="6.24"/>
    <m/>
    <m/>
    <n v="3"/>
    <n v="3"/>
    <s v="3/13 발송완료"/>
  </r>
  <r>
    <n v="0.5"/>
    <s v="14FW JOIE BETE_16_PK_KIDS"/>
    <n v="1"/>
    <s v="KIDS FIRST TOYS14FW JOIE BETE_16_PK_KIDS"/>
    <x v="0"/>
    <x v="0"/>
    <n v="0.5"/>
    <s v="14FW JOIE BETE_16_PK_KIDS"/>
    <x v="0"/>
    <s v="KIDS FIRST TOYS14FW JOIE BETE_16_PK_KIDS"/>
    <x v="58"/>
    <x v="0"/>
    <x v="0"/>
    <x v="0"/>
    <x v="12"/>
    <x v="13"/>
    <m/>
    <n v="33"/>
    <m/>
    <x v="8"/>
    <x v="12"/>
    <x v="0"/>
    <x v="366"/>
    <x v="5"/>
    <n v="0.5"/>
    <x v="6"/>
    <x v="0"/>
    <d v="2014-02-20T00:00:00"/>
    <d v="2014-03-17T00:00:00"/>
    <d v="2014-03-17T00:00:00"/>
    <n v="5.21"/>
    <m/>
    <m/>
    <n v="5"/>
    <n v="5"/>
    <s v="3/13 발송완료"/>
  </r>
  <r>
    <n v="0.5"/>
    <s v="14FW JOIE BETE_17_PK_KIDS"/>
    <n v="1"/>
    <s v="KIDS FIRST TOYS14FW JOIE BETE_17_PK_KIDS"/>
    <x v="0"/>
    <x v="0"/>
    <n v="0.5"/>
    <s v="14FW JOIE BETE_17_PK_KIDS"/>
    <x v="0"/>
    <s v="KIDS FIRST TOYS14FW JOIE BETE_17_PK_KIDS"/>
    <x v="58"/>
    <x v="0"/>
    <x v="0"/>
    <x v="0"/>
    <x v="12"/>
    <x v="13"/>
    <m/>
    <n v="34"/>
    <m/>
    <x v="8"/>
    <x v="12"/>
    <x v="0"/>
    <x v="367"/>
    <x v="5"/>
    <n v="0.5"/>
    <x v="6"/>
    <x v="0"/>
    <d v="2014-02-20T00:00:00"/>
    <d v="2014-03-17T00:00:00"/>
    <d v="2014-03-17T00:00:00"/>
    <n v="5.27"/>
    <m/>
    <m/>
    <n v="5"/>
    <n v="5"/>
    <s v="3/13 발송완료"/>
  </r>
  <r>
    <n v="0.5"/>
    <s v="14FW JOIE BETE_18_BL_KIDS"/>
    <n v="1"/>
    <s v="KIDS FIRST TOYS14FW JOIE BETE_18_BL_KIDS"/>
    <x v="0"/>
    <x v="0"/>
    <n v="0.5"/>
    <s v="14FW JOIE BETE_18_BL_KIDS"/>
    <x v="0"/>
    <s v="KIDS FIRST TOYS14FW JOIE BETE_18_BL_KIDS"/>
    <x v="61"/>
    <x v="5"/>
    <x v="0"/>
    <x v="0"/>
    <x v="10"/>
    <x v="11"/>
    <m/>
    <n v="35"/>
    <m/>
    <x v="8"/>
    <x v="4"/>
    <x v="0"/>
    <x v="368"/>
    <x v="5"/>
    <n v="0.5"/>
    <x v="6"/>
    <x v="0"/>
    <d v="2014-02-20T00:00:00"/>
    <d v="2014-03-17T00:00:00"/>
    <d v="2014-03-17T00:00:00"/>
    <n v="5.99"/>
    <m/>
    <m/>
    <n v="3"/>
    <n v="3"/>
    <s v="3/13 발송완료"/>
  </r>
  <r>
    <n v="0.5"/>
    <s v="14FW JOIE BETE_19_BL_KIDS"/>
    <n v="1"/>
    <s v="KIDS FIRST TOYS14FW JOIE BETE_19_BL_KIDS"/>
    <x v="0"/>
    <x v="0"/>
    <n v="0.5"/>
    <s v="14FW JOIE BETE_19_BL_KIDS"/>
    <x v="0"/>
    <s v="KIDS FIRST TOYS14FW JOIE BETE_19_BL_KIDS"/>
    <x v="62"/>
    <x v="5"/>
    <x v="0"/>
    <x v="0"/>
    <x v="12"/>
    <x v="13"/>
    <m/>
    <n v="36"/>
    <m/>
    <x v="8"/>
    <x v="12"/>
    <x v="0"/>
    <x v="369"/>
    <x v="5"/>
    <n v="0.5"/>
    <x v="6"/>
    <x v="0"/>
    <d v="2014-02-20T00:00:00"/>
    <d v="2014-03-17T00:00:00"/>
    <d v="2014-03-17T00:00:00"/>
    <n v="5.12"/>
    <m/>
    <m/>
    <n v="5"/>
    <n v="5"/>
    <s v="3/13 발송완료"/>
  </r>
  <r>
    <n v="0.5"/>
    <s v="14FW JOIE BETE_20_BL_KIDS"/>
    <n v="1"/>
    <s v="KIDS FIRST TOYS14FW JOIE BETE_20_BL_KIDS"/>
    <x v="0"/>
    <x v="0"/>
    <n v="0.5"/>
    <s v="14FW JOIE BETE_20_BL_KIDS"/>
    <x v="0"/>
    <s v="KIDS FIRST TOYS14FW JOIE BETE_20_BL_KIDS"/>
    <x v="18"/>
    <x v="5"/>
    <x v="0"/>
    <x v="0"/>
    <x v="12"/>
    <x v="13"/>
    <m/>
    <n v="37"/>
    <m/>
    <x v="8"/>
    <x v="12"/>
    <x v="0"/>
    <x v="370"/>
    <x v="5"/>
    <n v="0.5"/>
    <x v="6"/>
    <x v="0"/>
    <d v="2014-02-20T00:00:00"/>
    <d v="2014-03-17T00:00:00"/>
    <d v="2014-03-17T00:00:00"/>
    <n v="5.0199999999999996"/>
    <m/>
    <m/>
    <n v="5"/>
    <n v="5"/>
    <s v="3/13 발송완료"/>
  </r>
  <r>
    <n v="0.5"/>
    <s v="14FW JOIE BETE_21_PK_KIDS"/>
    <n v="1"/>
    <s v="KIDS FIRST TOYS14FW JOIE BETE_21_PK_KIDS"/>
    <x v="0"/>
    <x v="0"/>
    <n v="0.5"/>
    <s v="14FW JOIE BETE_21_PK_KIDS"/>
    <x v="0"/>
    <s v="KIDS FIRST TOYS14FW JOIE BETE_21_PK_KIDS"/>
    <x v="53"/>
    <x v="5"/>
    <x v="0"/>
    <x v="0"/>
    <x v="12"/>
    <x v="13"/>
    <m/>
    <n v="38"/>
    <m/>
    <x v="8"/>
    <x v="12"/>
    <x v="0"/>
    <x v="371"/>
    <x v="5"/>
    <n v="0.5"/>
    <x v="6"/>
    <x v="0"/>
    <d v="2014-02-20T00:00:00"/>
    <d v="2014-03-17T00:00:00"/>
    <d v="2014-03-17T00:00:00"/>
    <n v="3.57"/>
    <m/>
    <m/>
    <n v="3"/>
    <n v="3"/>
    <s v="3/13 발송완료"/>
  </r>
  <r>
    <n v="1"/>
    <s v="14FW NV 01_WIRE_PK"/>
    <n v="1"/>
    <s v="FOREMOST14FW NV 01_WIRE_PK"/>
    <x v="0"/>
    <x v="8"/>
    <n v="1"/>
    <s v="14FW NV 01_WIRE_PK"/>
    <x v="0"/>
    <s v="FOREMOST14FW NV 01_WIRE_PK"/>
    <x v="49"/>
    <x v="5"/>
    <x v="0"/>
    <x v="0"/>
    <x v="13"/>
    <x v="14"/>
    <m/>
    <n v="39"/>
    <m/>
    <x v="10"/>
    <x v="1"/>
    <x v="0"/>
    <x v="372"/>
    <x v="3"/>
    <n v="1"/>
    <x v="4"/>
    <x v="30"/>
    <d v="2014-02-24T00:00:00"/>
    <d v="2014-03-14T00:00:00"/>
    <d v="2014-03-12T00:00:00"/>
    <n v="5.5"/>
    <m/>
    <m/>
    <n v="6"/>
    <n v="5"/>
    <s v="나염패턴골덴 제외"/>
  </r>
  <r>
    <n v="1"/>
    <s v="14FW NV 02_WIRE_MU"/>
    <n v="1"/>
    <s v="FOREMOST14FW NV 02_WIRE_MU"/>
    <x v="1"/>
    <x v="1"/>
    <n v="1"/>
    <s v="14FW NV 02_WIRE_MU"/>
    <x v="0"/>
    <s v="FOREMOST14FW NV 02_WIRE_MU"/>
    <x v="63"/>
    <x v="5"/>
    <x v="0"/>
    <x v="0"/>
    <x v="13"/>
    <x v="14"/>
    <m/>
    <n v="40"/>
    <m/>
    <x v="10"/>
    <x v="1"/>
    <x v="0"/>
    <x v="373"/>
    <x v="3"/>
    <n v="1"/>
    <x v="4"/>
    <x v="13"/>
    <d v="2014-03-06T00:00:00"/>
    <d v="2014-03-10T00:00:00"/>
    <d v="2014-03-12T00:00:00"/>
    <n v="4.55"/>
    <m/>
    <m/>
    <n v="5"/>
    <n v="4"/>
    <s v="아키파코비 패턴 제외"/>
  </r>
  <r>
    <n v="1"/>
    <s v="14FW NV 03_CAMP_NY"/>
    <n v="1"/>
    <s v="FOREMOST14FW NV 03_CAMP_NY"/>
    <x v="0"/>
    <x v="8"/>
    <n v="1"/>
    <s v="14FW NV 03_CAMP_NY"/>
    <x v="0"/>
    <s v="FOREMOST14FW NV 03_CAMP_NY"/>
    <x v="64"/>
    <x v="5"/>
    <x v="0"/>
    <x v="0"/>
    <x v="13"/>
    <x v="14"/>
    <m/>
    <n v="41"/>
    <m/>
    <x v="10"/>
    <x v="1"/>
    <x v="0"/>
    <x v="374"/>
    <x v="3"/>
    <n v="1"/>
    <x v="4"/>
    <x v="30"/>
    <d v="2014-02-24T00:00:00"/>
    <d v="2014-03-14T00:00:00"/>
    <d v="2014-03-14T00:00:00"/>
    <n v="4.75"/>
    <m/>
    <m/>
    <n v="4"/>
    <n v="3"/>
    <s v="TAPE 제외"/>
  </r>
  <r>
    <n v="1"/>
    <s v="14FW NV 04_CAMP_BK"/>
    <n v="1"/>
    <s v="FOREMOST14FW NV 04_CAMP_BK"/>
    <x v="0"/>
    <x v="8"/>
    <n v="1"/>
    <s v="14FW NV 04_CAMP_BK"/>
    <x v="0"/>
    <s v="FOREMOST14FW NV 04_CAMP_BK"/>
    <x v="50"/>
    <x v="5"/>
    <x v="0"/>
    <x v="0"/>
    <x v="13"/>
    <x v="14"/>
    <m/>
    <n v="42"/>
    <m/>
    <x v="10"/>
    <x v="1"/>
    <x v="0"/>
    <x v="375"/>
    <x v="3"/>
    <n v="1"/>
    <x v="4"/>
    <x v="30"/>
    <d v="2014-02-24T00:00:00"/>
    <d v="2014-03-14T00:00:00"/>
    <d v="2014-03-12T00:00:00"/>
    <n v="3.7"/>
    <m/>
    <m/>
    <n v="2"/>
    <n v="1"/>
    <s v="카모 덤브링 제외"/>
  </r>
  <r>
    <n v="1"/>
    <s v="14FW NV 05_CAMP_GY"/>
    <n v="1"/>
    <s v="FOREMOST14FW NV 05_CAMP_GY"/>
    <x v="0"/>
    <x v="8"/>
    <n v="1"/>
    <s v="14FW NV 05_CAMP_GY"/>
    <x v="0"/>
    <s v="FOREMOST14FW NV 05_CAMP_GY"/>
    <x v="65"/>
    <x v="5"/>
    <x v="0"/>
    <x v="0"/>
    <x v="13"/>
    <x v="14"/>
    <m/>
    <n v="43"/>
    <m/>
    <x v="10"/>
    <x v="1"/>
    <x v="0"/>
    <x v="376"/>
    <x v="3"/>
    <n v="1"/>
    <x v="4"/>
    <x v="30"/>
    <d v="2014-02-24T00:00:00"/>
    <d v="2014-03-10T00:00:00"/>
    <d v="2014-03-12T00:00:00"/>
    <n v="3.65"/>
    <m/>
    <m/>
    <n v="2"/>
    <n v="1"/>
    <s v="패턴 PORAL FLEECE 제외"/>
  </r>
  <r>
    <n v="1"/>
    <s v="14FW NV 06_HAT_BR"/>
    <n v="1"/>
    <s v="FOREMOST14FW NV 06_HAT_BR"/>
    <x v="0"/>
    <x v="8"/>
    <n v="1"/>
    <s v="14FW NV 06_HAT_BR"/>
    <x v="0"/>
    <s v="FOREMOST14FW NV 06_HAT_BR"/>
    <x v="66"/>
    <x v="5"/>
    <x v="0"/>
    <x v="0"/>
    <x v="13"/>
    <x v="14"/>
    <m/>
    <n v="44"/>
    <m/>
    <x v="10"/>
    <x v="9"/>
    <x v="0"/>
    <x v="377"/>
    <x v="3"/>
    <n v="1"/>
    <x v="4"/>
    <x v="30"/>
    <d v="2014-02-24T00:00:00"/>
    <d v="2014-03-10T00:00:00"/>
    <d v="2014-03-12T00:00:00"/>
    <n v="4.8499999999999996"/>
    <m/>
    <m/>
    <n v="3"/>
    <n v="2"/>
    <s v="패턴 PORAL FLEECE / TAPE 제외"/>
  </r>
  <r>
    <n v="1"/>
    <s v="14FW NV 07_TROOPER_BK"/>
    <n v="1"/>
    <s v="FOREMOST14FW NV 07_TROOPER_BK"/>
    <x v="0"/>
    <x v="8"/>
    <n v="1"/>
    <s v="14FW NV 07_TROOPER_BK"/>
    <x v="0"/>
    <s v="FOREMOST14FW NV 07_TROOPER_BK"/>
    <x v="34"/>
    <x v="5"/>
    <x v="0"/>
    <x v="0"/>
    <x v="13"/>
    <x v="14"/>
    <m/>
    <n v="45"/>
    <m/>
    <x v="10"/>
    <x v="3"/>
    <x v="0"/>
    <x v="378"/>
    <x v="3"/>
    <n v="1"/>
    <x v="4"/>
    <x v="30"/>
    <d v="2014-02-24T00:00:00"/>
    <d v="2014-03-17T00:00:00"/>
    <d v="2014-03-21T00:00:00"/>
    <n v="6.15"/>
    <m/>
    <m/>
    <n v="5"/>
    <n v="2"/>
    <s v="방모쟈가드, STRING 제외"/>
  </r>
  <r>
    <n v="1"/>
    <s v="14FW BLACK MOOD_02_FLAT_BK"/>
    <n v="1"/>
    <s v="동일모자14FW BLACK MOOD_02_FLAT_BK"/>
    <x v="1"/>
    <x v="1"/>
    <n v="1"/>
    <s v="14FW BLACK MOOD_02_FLAT_BK"/>
    <x v="0"/>
    <s v="동일모자14FW BLACK MOOD_02_FLAT_BK"/>
    <x v="55"/>
    <x v="5"/>
    <x v="0"/>
    <x v="0"/>
    <x v="9"/>
    <x v="10"/>
    <m/>
    <n v="46"/>
    <m/>
    <x v="7"/>
    <x v="0"/>
    <x v="0"/>
    <x v="379"/>
    <x v="3"/>
    <n v="1"/>
    <x v="1"/>
    <x v="13"/>
    <d v="2014-03-06T00:00:00"/>
    <d v="2014-03-10T00:00:00"/>
    <d v="2014-03-11T00:00:00"/>
    <n v="5.25"/>
    <m/>
    <s v="SHAPE 참조 1PCS&#10;&#10;&#10;"/>
    <n v="1"/>
    <n v="1"/>
    <m/>
  </r>
  <r>
    <n v="1"/>
    <s v="14FW NV 08_TROOPER_NY"/>
    <n v="1"/>
    <s v="FOREMOST14FW NV 08_TROOPER_NY"/>
    <x v="1"/>
    <x v="2"/>
    <n v="1"/>
    <s v="14FW NV 08_TROOPER_NY"/>
    <x v="0"/>
    <s v="FOREMOST14FW NV 08_TROOPER_NY"/>
    <x v="67"/>
    <x v="5"/>
    <x v="0"/>
    <x v="0"/>
    <x v="13"/>
    <x v="14"/>
    <m/>
    <n v="47"/>
    <m/>
    <x v="10"/>
    <x v="3"/>
    <x v="0"/>
    <x v="380"/>
    <x v="3"/>
    <n v="1"/>
    <x v="4"/>
    <x v="31"/>
    <d v="2014-03-17T00:00:00"/>
    <d v="2014-03-21T00:00:00"/>
    <d v="2014-03-14T00:00:00"/>
    <n v="14.05"/>
    <m/>
    <m/>
    <n v="4"/>
    <n v="3"/>
    <m/>
  </r>
  <r>
    <n v="1"/>
    <s v="14FW NV 09_TROOPER_BK"/>
    <n v="1"/>
    <s v="FOREMOST14FW NV 09_TROOPER_BK"/>
    <x v="1"/>
    <x v="2"/>
    <n v="1"/>
    <s v="14FW NV 09_TROOPER_BK"/>
    <x v="0"/>
    <s v="FOREMOST14FW NV 09_TROOPER_BK"/>
    <x v="68"/>
    <x v="5"/>
    <x v="0"/>
    <x v="0"/>
    <x v="13"/>
    <x v="14"/>
    <m/>
    <n v="48"/>
    <m/>
    <x v="10"/>
    <x v="3"/>
    <x v="0"/>
    <x v="381"/>
    <x v="3"/>
    <n v="1"/>
    <x v="4"/>
    <x v="31"/>
    <d v="2014-03-17T00:00:00"/>
    <d v="2014-03-25T00:00:00"/>
    <d v="2014-03-24T00:00:00"/>
    <n v="14.5"/>
    <m/>
    <m/>
    <n v="3"/>
    <n v="2"/>
    <m/>
  </r>
  <r>
    <n v="1"/>
    <s v="14FW NV 09_TROOPER_RE"/>
    <n v="1"/>
    <s v="FOREMOST14FW NV 09_TROOPER_RE"/>
    <x v="1"/>
    <x v="2"/>
    <n v="1"/>
    <s v="14FW NV 09_TROOPER_RE"/>
    <x v="0"/>
    <s v="FOREMOST14FW NV 09_TROOPER_RE"/>
    <x v="9"/>
    <x v="0"/>
    <x v="0"/>
    <x v="0"/>
    <x v="13"/>
    <x v="14"/>
    <m/>
    <n v="49"/>
    <m/>
    <x v="10"/>
    <x v="3"/>
    <x v="0"/>
    <x v="382"/>
    <x v="3"/>
    <n v="1"/>
    <x v="4"/>
    <x v="4"/>
    <d v="2014-03-18T00:00:00"/>
    <d v="2014-03-25T00:00:00"/>
    <d v="2014-03-24T00:00:00"/>
    <n v="14.5"/>
    <m/>
    <m/>
    <n v="3"/>
    <n v="2"/>
    <m/>
  </r>
  <r>
    <n v="1"/>
    <s v="14FW NV 10_TROOPER_BK"/>
    <n v="1"/>
    <s v="FOREMOST14FW NV 10_TROOPER_BK"/>
    <x v="1"/>
    <x v="2"/>
    <n v="1"/>
    <s v="14FW NV 10_TROOPER_BK"/>
    <x v="0"/>
    <s v="FOREMOST14FW NV 10_TROOPER_BK"/>
    <x v="9"/>
    <x v="0"/>
    <x v="0"/>
    <x v="0"/>
    <x v="13"/>
    <x v="14"/>
    <m/>
    <n v="50"/>
    <m/>
    <x v="10"/>
    <x v="3"/>
    <x v="0"/>
    <x v="383"/>
    <x v="3"/>
    <n v="1"/>
    <x v="4"/>
    <x v="4"/>
    <d v="2014-03-18T00:00:00"/>
    <d v="2014-03-25T00:00:00"/>
    <d v="2014-03-24T00:00:00"/>
    <n v="15"/>
    <m/>
    <m/>
    <n v="3"/>
    <n v="2"/>
    <m/>
  </r>
  <r>
    <n v="1"/>
    <s v="14SS RP 21_SUNCAP_PK_KIDS"/>
    <n v="1"/>
    <s v="FOREMOST14SS RP 21_SUNCAP_PK_KIDS"/>
    <x v="1"/>
    <x v="7"/>
    <n v="1"/>
    <s v="14SS RP 21_SUNCAP_PK_KIDS"/>
    <x v="0"/>
    <s v="FOREMOST14SS RP 21_SUNCAP_PK_KIDS"/>
    <x v="42"/>
    <x v="3"/>
    <x v="0"/>
    <x v="0"/>
    <x v="14"/>
    <x v="15"/>
    <m/>
    <n v="51"/>
    <m/>
    <x v="11"/>
    <x v="13"/>
    <x v="0"/>
    <x v="384"/>
    <x v="5"/>
    <n v="1"/>
    <x v="4"/>
    <x v="15"/>
    <d v="2014-03-24T00:00:00"/>
    <d v="2014-04-08T00:00:00"/>
    <d v="2014-04-08T00:00:00"/>
    <n v="5.7"/>
    <m/>
    <s v="SHAPE 참조 1PCS&#10;&#10;&#10;"/>
    <n v="4"/>
    <n v="1"/>
    <m/>
  </r>
  <r>
    <n v="1"/>
    <s v="14SS RP 22_SUNCAP_PK_KIDS"/>
    <n v="1"/>
    <s v="FOREMOST14SS RP 22_SUNCAP_PK_KIDS"/>
    <x v="1"/>
    <x v="7"/>
    <n v="1"/>
    <s v="14SS RP 22_SUNCAP_PK_KIDS"/>
    <x v="0"/>
    <s v="FOREMOST14SS RP 22_SUNCAP_PK_KIDS"/>
    <x v="42"/>
    <x v="3"/>
    <x v="0"/>
    <x v="0"/>
    <x v="14"/>
    <x v="15"/>
    <m/>
    <n v="52"/>
    <m/>
    <x v="11"/>
    <x v="13"/>
    <x v="0"/>
    <x v="385"/>
    <x v="5"/>
    <n v="1"/>
    <x v="4"/>
    <x v="15"/>
    <d v="2014-03-24T00:00:00"/>
    <d v="2014-04-08T00:00:00"/>
    <d v="2014-04-08T00:00:00"/>
    <n v="5"/>
    <m/>
    <m/>
    <n v="4"/>
    <n v="2"/>
    <m/>
  </r>
  <r>
    <n v="1"/>
    <s v="14SS RP 23_SUNCAP_BL_KIDS"/>
    <n v="1"/>
    <s v="FOREMOST14SS RP 23_SUNCAP_BL_KIDS"/>
    <x v="1"/>
    <x v="7"/>
    <n v="1"/>
    <s v="14SS RP 23_SUNCAP_BL_KIDS"/>
    <x v="0"/>
    <s v="FOREMOST14SS RP 23_SUNCAP_BL_KIDS"/>
    <x v="42"/>
    <x v="3"/>
    <x v="0"/>
    <x v="0"/>
    <x v="14"/>
    <x v="15"/>
    <m/>
    <n v="53"/>
    <m/>
    <x v="11"/>
    <x v="13"/>
    <x v="0"/>
    <x v="386"/>
    <x v="5"/>
    <n v="1"/>
    <x v="4"/>
    <x v="15"/>
    <d v="2014-03-24T00:00:00"/>
    <d v="2014-04-08T00:00:00"/>
    <d v="2014-04-08T00:00:00"/>
    <n v="3.7"/>
    <m/>
    <m/>
    <n v="3"/>
    <n v="2"/>
    <m/>
  </r>
  <r>
    <n v="1"/>
    <s v="14SS RP 24_SUNCAP_BL_KIDS"/>
    <n v="1"/>
    <s v="FOREMOST14SS RP 24_SUNCAP_BL_KIDS"/>
    <x v="1"/>
    <x v="7"/>
    <n v="1"/>
    <s v="14SS RP 24_SUNCAP_BL_KIDS"/>
    <x v="0"/>
    <s v="FOREMOST14SS RP 24_SUNCAP_BL_KIDS"/>
    <x v="42"/>
    <x v="3"/>
    <x v="0"/>
    <x v="0"/>
    <x v="14"/>
    <x v="15"/>
    <m/>
    <n v="54"/>
    <m/>
    <x v="11"/>
    <x v="13"/>
    <x v="0"/>
    <x v="387"/>
    <x v="5"/>
    <n v="1"/>
    <x v="4"/>
    <x v="15"/>
    <d v="2014-03-24T00:00:00"/>
    <d v="2014-04-08T00:00:00"/>
    <d v="2014-04-08T00:00:00"/>
    <n v="3.95"/>
    <m/>
    <m/>
    <n v="4"/>
    <n v="1"/>
    <m/>
  </r>
  <r>
    <n v="1"/>
    <s v="14FW BROWN_SQUARE_CAP_09_BK"/>
    <n v="1"/>
    <s v="동일모자14FW BROWN_SQUARE_CAP_09_BK"/>
    <x v="1"/>
    <x v="7"/>
    <n v="1"/>
    <s v="14FW BROWN_SQUARE_CAP_09_BK"/>
    <x v="0"/>
    <s v="동일모자14FW BROWN_SQUARE_CAP_09_BK"/>
    <x v="39"/>
    <x v="0"/>
    <x v="0"/>
    <x v="0"/>
    <x v="11"/>
    <x v="12"/>
    <m/>
    <n v="55"/>
    <m/>
    <x v="9"/>
    <x v="2"/>
    <x v="0"/>
    <x v="388"/>
    <x v="3"/>
    <n v="1"/>
    <x v="1"/>
    <x v="15"/>
    <d v="2014-03-24T00:00:00"/>
    <d v="2014-03-24T00:00:00"/>
    <d v="2014-03-14T00:00:00"/>
    <n v="7.95"/>
    <m/>
    <m/>
    <n v="2"/>
    <n v="2"/>
    <m/>
  </r>
  <r>
    <n v="1"/>
    <s v="14FW BROWN_SQUARE_CAP_10_RD"/>
    <n v="1"/>
    <s v="동일모자14FW BROWN_SQUARE_CAP_10_RD"/>
    <x v="1"/>
    <x v="7"/>
    <n v="1"/>
    <s v="14FW BROWN_SQUARE_CAP_10_RD"/>
    <x v="0"/>
    <s v="동일모자14FW BROWN_SQUARE_CAP_10_RD"/>
    <x v="39"/>
    <x v="0"/>
    <x v="0"/>
    <x v="0"/>
    <x v="11"/>
    <x v="12"/>
    <m/>
    <n v="56"/>
    <m/>
    <x v="9"/>
    <x v="2"/>
    <x v="0"/>
    <x v="389"/>
    <x v="3"/>
    <n v="1"/>
    <x v="1"/>
    <x v="15"/>
    <d v="2014-03-24T00:00:00"/>
    <d v="2014-03-24T00:00:00"/>
    <d v="2014-03-14T00:00:00"/>
    <n v="8.25"/>
    <m/>
    <m/>
    <n v="4"/>
    <n v="4"/>
    <m/>
  </r>
  <r>
    <n v="1"/>
    <s v="14FW BROWN_SQUARE_CAP_11_KH"/>
    <n v="1"/>
    <s v="동일모자14FW BROWN_SQUARE_CAP_11_KH"/>
    <x v="1"/>
    <x v="7"/>
    <n v="1"/>
    <s v="14FW BROWN_SQUARE_CAP_11_KH"/>
    <x v="0"/>
    <s v="동일모자14FW BROWN_SQUARE_CAP_11_KH"/>
    <x v="39"/>
    <x v="0"/>
    <x v="0"/>
    <x v="0"/>
    <x v="11"/>
    <x v="12"/>
    <m/>
    <n v="57"/>
    <m/>
    <x v="9"/>
    <x v="2"/>
    <x v="0"/>
    <x v="390"/>
    <x v="3"/>
    <n v="1"/>
    <x v="1"/>
    <x v="32"/>
    <d v="2014-03-25T00:00:00"/>
    <d v="2014-03-24T00:00:00"/>
    <d v="2014-03-14T00:00:00"/>
    <n v="6.65"/>
    <m/>
    <m/>
    <n v="4"/>
    <n v="3"/>
    <s v="패턴기모쮸리 국내원단진행"/>
  </r>
  <r>
    <n v="1"/>
    <s v="14SS POLI 01_SNAP_PK_KIDS"/>
    <n v="1"/>
    <s v="동일모자14SS POLI 01_SNAP_PK_KIDS"/>
    <x v="2"/>
    <x v="3"/>
    <n v="1"/>
    <s v="14SS POLI 01_SNAP_PK_KIDS"/>
    <x v="0"/>
    <s v="동일모자14SS POLI 01_SNAP_PK_KIDS"/>
    <x v="69"/>
    <x v="3"/>
    <x v="0"/>
    <x v="0"/>
    <x v="14"/>
    <x v="15"/>
    <m/>
    <n v="58"/>
    <m/>
    <x v="11"/>
    <x v="1"/>
    <x v="0"/>
    <x v="391"/>
    <x v="5"/>
    <n v="1"/>
    <x v="1"/>
    <x v="5"/>
    <d v="2014-04-02T00:00:00"/>
    <d v="2014-04-11T00:00:00"/>
    <d v="2014-04-15T00:00:00"/>
    <n v="5.9"/>
    <m/>
    <m/>
    <n v="5"/>
    <s v="X"/>
    <s v="PO 안됨, 샘플시 시간문제로 국내원단 = AD 감"/>
  </r>
  <r>
    <n v="1"/>
    <s v="14SS POLI 02_SNAP_BL_KIDS"/>
    <n v="1"/>
    <s v="동일모자14SS POLI 02_SNAP_BL_KIDS"/>
    <x v="2"/>
    <x v="3"/>
    <n v="1"/>
    <s v="14SS POLI 02_SNAP_BL_KIDS"/>
    <x v="0"/>
    <s v="동일모자14SS POLI 02_SNAP_BL_KIDS"/>
    <x v="69"/>
    <x v="3"/>
    <x v="0"/>
    <x v="0"/>
    <x v="14"/>
    <x v="15"/>
    <m/>
    <n v="59"/>
    <m/>
    <x v="11"/>
    <x v="1"/>
    <x v="0"/>
    <x v="392"/>
    <x v="5"/>
    <n v="1"/>
    <x v="1"/>
    <x v="5"/>
    <d v="2014-04-02T00:00:00"/>
    <d v="2014-04-11T00:00:00"/>
    <d v="2014-04-15T00:00:00"/>
    <n v="5.6"/>
    <m/>
    <m/>
    <n v="7"/>
    <s v="X"/>
    <s v="PO 안됨, 샘플시 시간문제로 국내원단 = AD 감"/>
  </r>
  <r>
    <n v="1"/>
    <s v="14SS POLI 03_SNAP_BL_KIDS"/>
    <n v="1"/>
    <s v="동일모자14SS POLI 03_SNAP_BL_KIDS"/>
    <x v="2"/>
    <x v="3"/>
    <n v="1"/>
    <s v="14SS POLI 03_SNAP_BL_KIDS"/>
    <x v="0"/>
    <s v="동일모자14SS POLI 03_SNAP_BL_KIDS"/>
    <x v="69"/>
    <x v="3"/>
    <x v="0"/>
    <x v="0"/>
    <x v="14"/>
    <x v="15"/>
    <m/>
    <n v="60"/>
    <m/>
    <x v="11"/>
    <x v="1"/>
    <x v="0"/>
    <x v="393"/>
    <x v="5"/>
    <n v="1"/>
    <x v="1"/>
    <x v="5"/>
    <d v="2014-04-02T00:00:00"/>
    <d v="2014-04-11T00:00:00"/>
    <d v="2014-04-15T00:00:00"/>
    <n v="7"/>
    <m/>
    <m/>
    <n v="5"/>
    <s v="X"/>
    <s v="PO 안됨, 샘플시 시간문제로 국내원단 = AD 감"/>
  </r>
  <r>
    <n v="1"/>
    <s v="14SS POLI 04_SNAP_PK_KIDS"/>
    <n v="1"/>
    <s v="동일모자14SS POLI 04_SNAP_PK_KIDS"/>
    <x v="2"/>
    <x v="3"/>
    <n v="1"/>
    <s v="14SS POLI 04_SNAP_PK_KIDS"/>
    <x v="0"/>
    <s v="동일모자14SS POLI 04_SNAP_PK_KIDS"/>
    <x v="69"/>
    <x v="3"/>
    <x v="0"/>
    <x v="0"/>
    <x v="14"/>
    <x v="15"/>
    <m/>
    <n v="61"/>
    <m/>
    <x v="11"/>
    <x v="1"/>
    <x v="0"/>
    <x v="394"/>
    <x v="5"/>
    <n v="1"/>
    <x v="1"/>
    <x v="5"/>
    <d v="2014-04-02T00:00:00"/>
    <d v="2014-04-11T00:00:00"/>
    <d v="2014-04-15T00:00:00"/>
    <n v="6.75"/>
    <m/>
    <m/>
    <n v="6"/>
    <s v="X"/>
    <s v="PO 안됨, 샘플시 시간문제로 국내원단 = AD 감"/>
  </r>
  <r>
    <n v="0.5"/>
    <s v="14FW BLACK MOOD_03_FLAT_BK"/>
    <n v="1"/>
    <s v="동일모자14FW BLACK MOOD_03_FLAT_BK"/>
    <x v="2"/>
    <x v="3"/>
    <n v="1"/>
    <s v="14FW BLACK MOOD_03_FLAT_BK"/>
    <x v="0"/>
    <s v="동일모자14FW BLACK MOOD_03_FLAT_BK"/>
    <x v="15"/>
    <x v="3"/>
    <x v="0"/>
    <x v="0"/>
    <x v="9"/>
    <x v="10"/>
    <m/>
    <n v="62"/>
    <m/>
    <x v="7"/>
    <x v="1"/>
    <x v="0"/>
    <x v="395"/>
    <x v="3"/>
    <n v="0.5"/>
    <x v="1"/>
    <x v="5"/>
    <d v="2014-04-02T00:00:00"/>
    <d v="2014-04-07T00:00:00"/>
    <d v="2014-04-07T00:00:00"/>
    <n v="5.55"/>
    <m/>
    <m/>
    <n v="3"/>
    <n v="3"/>
    <m/>
  </r>
  <r>
    <n v="1"/>
    <s v="14FW BLACK MOOD_04_FLAT_BK"/>
    <n v="1"/>
    <s v="동일모자14FW BLACK MOOD_04_FLAT_BK"/>
    <x v="2"/>
    <x v="3"/>
    <n v="1"/>
    <s v="14FW BLACK MOOD_04_FLAT_BK"/>
    <x v="0"/>
    <s v="동일모자14FW BLACK MOOD_04_FLAT_BK"/>
    <x v="15"/>
    <x v="3"/>
    <x v="0"/>
    <x v="0"/>
    <x v="9"/>
    <x v="10"/>
    <m/>
    <n v="63"/>
    <m/>
    <x v="7"/>
    <x v="1"/>
    <x v="0"/>
    <x v="396"/>
    <x v="3"/>
    <n v="1"/>
    <x v="1"/>
    <x v="5"/>
    <d v="2014-04-02T00:00:00"/>
    <d v="2014-04-07T00:00:00"/>
    <d v="2014-04-07T00:00:00"/>
    <n v="5.15"/>
    <m/>
    <m/>
    <n v="3"/>
    <n v="3"/>
    <m/>
  </r>
  <r>
    <n v="0.5"/>
    <s v="14FW NV 01_SOCKS_GY"/>
    <n v="1"/>
    <s v="FILL 2114FW NV 01_SOCKS_GY"/>
    <x v="2"/>
    <x v="4"/>
    <n v="0.5"/>
    <s v="14FW NV 01_SOCKS_GY"/>
    <x v="0"/>
    <s v="FILL 2114FW NV 01_SOCKS_GY"/>
    <x v="21"/>
    <x v="3"/>
    <x v="0"/>
    <x v="2"/>
    <x v="15"/>
    <x v="16"/>
    <m/>
    <n v="64"/>
    <m/>
    <x v="10"/>
    <x v="12"/>
    <x v="0"/>
    <x v="397"/>
    <x v="3"/>
    <n v="0.5"/>
    <x v="10"/>
    <x v="20"/>
    <d v="2014-04-11T00:00:00"/>
    <d v="2014-04-01T00:00:00"/>
    <d v="2014-04-01T00:00:00"/>
    <m/>
    <n v="1600"/>
    <s v="SHAPE 참조 1PCS&#10;&#10;&#10;"/>
    <s v="X"/>
    <s v="X"/>
    <s v="국내업체 프로모션&#10; (중국 및 한국 생산) 0.5 목표"/>
  </r>
  <r>
    <n v="0.5"/>
    <s v="14FW NV 02_SOCKS_NY"/>
    <n v="1"/>
    <s v="FILL 2114FW NV 02_SOCKS_NY"/>
    <x v="2"/>
    <x v="4"/>
    <n v="0.5"/>
    <s v="14FW NV 02_SOCKS_NY"/>
    <x v="0"/>
    <s v="FILL 2114FW NV 02_SOCKS_NY"/>
    <x v="21"/>
    <x v="3"/>
    <x v="0"/>
    <x v="2"/>
    <x v="15"/>
    <x v="16"/>
    <m/>
    <n v="65"/>
    <m/>
    <x v="10"/>
    <x v="12"/>
    <x v="0"/>
    <x v="398"/>
    <x v="3"/>
    <n v="0.5"/>
    <x v="10"/>
    <x v="20"/>
    <d v="2014-04-11T00:00:00"/>
    <d v="2014-04-01T00:00:00"/>
    <d v="2014-04-01T00:00:00"/>
    <m/>
    <n v="1600"/>
    <m/>
    <s v="X"/>
    <s v="X"/>
    <s v="국내업체 프로모션&#10; (중국 및 한국 생산) 0.5 목표"/>
  </r>
  <r>
    <n v="0.5"/>
    <s v="14FW NV 03_SOCKS_GY"/>
    <n v="1"/>
    <s v="FILL 2114FW NV 03_SOCKS_GY"/>
    <x v="2"/>
    <x v="4"/>
    <n v="0.5"/>
    <s v="14FW NV 03_SOCKS_GY"/>
    <x v="0"/>
    <s v="FILL 2114FW NV 03_SOCKS_GY"/>
    <x v="21"/>
    <x v="3"/>
    <x v="0"/>
    <x v="2"/>
    <x v="15"/>
    <x v="16"/>
    <m/>
    <n v="66"/>
    <m/>
    <x v="10"/>
    <x v="12"/>
    <x v="0"/>
    <x v="399"/>
    <x v="3"/>
    <n v="0.5"/>
    <x v="10"/>
    <x v="20"/>
    <d v="2014-04-11T00:00:00"/>
    <d v="2014-04-01T00:00:00"/>
    <d v="2014-04-01T00:00:00"/>
    <m/>
    <n v="1600"/>
    <m/>
    <s v="X"/>
    <s v="X"/>
    <s v="국내업체 프로모션&#10; (중국 및 한국 생산) 0.5 목표"/>
  </r>
  <r>
    <n v="0.5"/>
    <s v="14FW NV 04_SOCKS_NY"/>
    <n v="1"/>
    <s v="FILL 2114FW NV 04_SOCKS_NY"/>
    <x v="2"/>
    <x v="4"/>
    <n v="0.5"/>
    <s v="14FW NV 04_SOCKS_NY"/>
    <x v="0"/>
    <s v="FILL 2114FW NV 04_SOCKS_NY"/>
    <x v="21"/>
    <x v="3"/>
    <x v="0"/>
    <x v="2"/>
    <x v="15"/>
    <x v="16"/>
    <m/>
    <n v="67"/>
    <m/>
    <x v="10"/>
    <x v="12"/>
    <x v="0"/>
    <x v="400"/>
    <x v="3"/>
    <n v="0.5"/>
    <x v="10"/>
    <x v="20"/>
    <d v="2014-04-11T00:00:00"/>
    <d v="2014-04-01T00:00:00"/>
    <d v="2014-04-01T00:00:00"/>
    <m/>
    <n v="1600"/>
    <m/>
    <s v="X"/>
    <s v="X"/>
    <s v="국내업체 프로모션&#10; (중국 및 한국 생산) 0.5 목표"/>
  </r>
  <r>
    <n v="1"/>
    <s v="14SS POLI 05_SNAP_PK_KIDS"/>
    <n v="1"/>
    <s v="동일모자14SS POLI 05_SNAP_PK_KIDS"/>
    <x v="2"/>
    <x v="4"/>
    <n v="1"/>
    <s v="14SS POLI 05_SNAP_PK_KIDS"/>
    <x v="0"/>
    <s v="동일모자14SS POLI 05_SNAP_PK_KIDS"/>
    <x v="69"/>
    <x v="3"/>
    <x v="0"/>
    <x v="0"/>
    <x v="14"/>
    <x v="15"/>
    <m/>
    <n v="68"/>
    <m/>
    <x v="11"/>
    <x v="1"/>
    <x v="0"/>
    <x v="401"/>
    <x v="5"/>
    <n v="1"/>
    <x v="1"/>
    <x v="22"/>
    <d v="2014-04-15T00:00:00"/>
    <d v="2014-04-11T00:00:00"/>
    <d v="2014-04-15T00:00:00"/>
    <n v="6.45"/>
    <m/>
    <m/>
    <n v="2"/>
    <s v="X"/>
    <m/>
  </r>
  <r>
    <n v="1"/>
    <s v="14SS POLI 06_SNAP_PK_KIDS"/>
    <n v="1"/>
    <s v="동일모자14SS POLI 06_SNAP_PK_KIDS"/>
    <x v="2"/>
    <x v="4"/>
    <n v="1"/>
    <s v="14SS POLI 06_SNAP_PK_KIDS"/>
    <x v="0"/>
    <s v="동일모자14SS POLI 06_SNAP_PK_KIDS"/>
    <x v="69"/>
    <x v="3"/>
    <x v="0"/>
    <x v="0"/>
    <x v="14"/>
    <x v="15"/>
    <m/>
    <n v="69"/>
    <m/>
    <x v="11"/>
    <x v="1"/>
    <x v="0"/>
    <x v="402"/>
    <x v="5"/>
    <n v="1"/>
    <x v="1"/>
    <x v="22"/>
    <d v="2014-04-15T00:00:00"/>
    <d v="2014-04-11T00:00:00"/>
    <d v="2014-04-15T00:00:00"/>
    <n v="6.45"/>
    <m/>
    <m/>
    <n v="2"/>
    <n v="1"/>
    <s v="YELLOW 원단 중국사용가능"/>
  </r>
  <r>
    <n v="0.5"/>
    <s v="14FW JOIEBETE_SOCKS_02_BL"/>
    <n v="1"/>
    <s v="FOREMOST14FW JOIEBETE_SOCKS_02_BL"/>
    <x v="2"/>
    <x v="4"/>
    <n v="1"/>
    <s v="14FW JOIEBETE_SOCKS_02_BL"/>
    <x v="0"/>
    <s v="FOREMOST14FW JOIEBETE_SOCKS_02_BL"/>
    <x v="49"/>
    <x v="5"/>
    <x v="0"/>
    <x v="0"/>
    <x v="12"/>
    <x v="13"/>
    <m/>
    <n v="70"/>
    <m/>
    <x v="8"/>
    <x v="12"/>
    <x v="0"/>
    <x v="403"/>
    <x v="5"/>
    <n v="0.5"/>
    <x v="4"/>
    <x v="33"/>
    <d v="2014-04-21T00:00:00"/>
    <d v="2014-04-21T00:00:00"/>
    <d v="2014-05-09T00:00:00"/>
    <n v="5.0999999999999996"/>
    <m/>
    <s v="SHAPE 참조 1SET&#10;&#10;&#10;"/>
    <n v="4"/>
    <n v="4"/>
    <m/>
  </r>
  <r>
    <n v="0.5"/>
    <s v="14FW JOIEBETE_SOCKS_01_PK"/>
    <n v="1"/>
    <s v="FOREMOST14FW JOIEBETE_SOCKS_01_PK"/>
    <x v="2"/>
    <x v="4"/>
    <n v="1"/>
    <s v="14FW JOIEBETE_SOCKS_01_PK"/>
    <x v="0"/>
    <s v="FOREMOST14FW JOIEBETE_SOCKS_01_PK"/>
    <x v="27"/>
    <x v="3"/>
    <x v="0"/>
    <x v="0"/>
    <x v="12"/>
    <x v="13"/>
    <m/>
    <n v="71"/>
    <m/>
    <x v="8"/>
    <x v="12"/>
    <x v="0"/>
    <x v="404"/>
    <x v="5"/>
    <n v="0.5"/>
    <x v="4"/>
    <x v="33"/>
    <d v="2014-04-21T00:00:00"/>
    <d v="2014-04-21T00:00:00"/>
    <d v="2014-04-24T00:00:00"/>
    <n v="5.0999999999999996"/>
    <m/>
    <m/>
    <n v="4"/>
    <n v="4"/>
    <m/>
  </r>
  <r>
    <n v="0.5"/>
    <s v="14FW JOIEBETE_SOCKS_03_GY"/>
    <n v="1"/>
    <s v="FOREMOST14FW JOIEBETE_SOCKS_03_GY"/>
    <x v="2"/>
    <x v="4"/>
    <n v="1"/>
    <s v="14FW JOIEBETE_SOCKS_03_GY"/>
    <x v="0"/>
    <s v="FOREMOST14FW JOIEBETE_SOCKS_03_GY"/>
    <x v="27"/>
    <x v="3"/>
    <x v="0"/>
    <x v="0"/>
    <x v="12"/>
    <x v="13"/>
    <m/>
    <n v="72"/>
    <m/>
    <x v="8"/>
    <x v="12"/>
    <x v="0"/>
    <x v="405"/>
    <x v="3"/>
    <n v="0.5"/>
    <x v="4"/>
    <x v="33"/>
    <d v="2014-04-21T00:00:00"/>
    <d v="2014-04-21T00:00:00"/>
    <d v="2014-04-24T00:00:00"/>
    <n v="4.9000000000000004"/>
    <m/>
    <s v="SHAPE 참조 1PCS&#10;&#10;&#10;"/>
    <n v="5"/>
    <n v="5"/>
    <m/>
  </r>
  <r>
    <n v="1"/>
    <s v="14FW JOIE BETE_22_BL_KIDS"/>
    <n v="1"/>
    <s v="KIDS FIRST TOYS14FW JOIE BETE_22_BL_KIDS"/>
    <x v="2"/>
    <x v="4"/>
    <n v="0"/>
    <s v=""/>
    <x v="1"/>
    <s v=""/>
    <x v="70"/>
    <x v="5"/>
    <x v="0"/>
    <x v="0"/>
    <x v="12"/>
    <x v="13"/>
    <m/>
    <n v="73"/>
    <m/>
    <x v="8"/>
    <x v="12"/>
    <x v="0"/>
    <x v="406"/>
    <x v="5"/>
    <n v="1"/>
    <x v="6"/>
    <x v="33"/>
    <d v="2014-04-21T00:00:00"/>
    <d v="2014-05-20T00:00:00"/>
    <m/>
    <m/>
    <m/>
    <s v="SHAPE 참조 1PCS&#10;&#10;&#10;"/>
    <n v="5"/>
    <n v="5"/>
    <m/>
  </r>
  <r>
    <n v="1"/>
    <s v="14FW JOIE BETE_22_PK_KIDS"/>
    <n v="1"/>
    <s v="KIDS FIRST TOYS14FW JOIE BETE_22_PK_KIDS"/>
    <x v="2"/>
    <x v="4"/>
    <n v="0"/>
    <s v=""/>
    <x v="1"/>
    <s v=""/>
    <x v="70"/>
    <x v="5"/>
    <x v="0"/>
    <x v="0"/>
    <x v="12"/>
    <x v="13"/>
    <m/>
    <n v="74"/>
    <m/>
    <x v="8"/>
    <x v="12"/>
    <x v="0"/>
    <x v="407"/>
    <x v="5"/>
    <n v="1"/>
    <x v="6"/>
    <x v="33"/>
    <d v="2014-04-21T00:00:00"/>
    <d v="2014-05-20T00:00:00"/>
    <m/>
    <m/>
    <m/>
    <m/>
    <n v="4"/>
    <n v="4"/>
    <m/>
  </r>
  <r>
    <n v="1"/>
    <s v="14FW JOIE BETE_23_PK_KIDS"/>
    <n v="1"/>
    <s v="KIDS FIRST TOYS14FW JOIE BETE_23_PK_KIDS"/>
    <x v="2"/>
    <x v="4"/>
    <n v="0"/>
    <s v=""/>
    <x v="1"/>
    <s v=""/>
    <x v="70"/>
    <x v="5"/>
    <x v="0"/>
    <x v="0"/>
    <x v="12"/>
    <x v="13"/>
    <m/>
    <n v="75"/>
    <m/>
    <x v="8"/>
    <x v="12"/>
    <x v="0"/>
    <x v="408"/>
    <x v="5"/>
    <n v="1"/>
    <x v="6"/>
    <x v="33"/>
    <d v="2014-04-21T00:00:00"/>
    <d v="2014-05-20T00:00:00"/>
    <m/>
    <m/>
    <m/>
    <s v="SHAPE 참조 1PCS&#10;&#10;&#10;"/>
    <n v="5"/>
    <n v="4"/>
    <m/>
  </r>
  <r>
    <n v="1"/>
    <s v="14FW JOIE BETE_24_YL_KIDS"/>
    <n v="1"/>
    <s v="KIDS FIRST TOYS14FW JOIE BETE_24_YL_KIDS"/>
    <x v="2"/>
    <x v="4"/>
    <n v="0"/>
    <s v=""/>
    <x v="1"/>
    <s v=""/>
    <x v="70"/>
    <x v="5"/>
    <x v="0"/>
    <x v="0"/>
    <x v="12"/>
    <x v="13"/>
    <m/>
    <n v="76"/>
    <m/>
    <x v="8"/>
    <x v="12"/>
    <x v="0"/>
    <x v="409"/>
    <x v="5"/>
    <n v="1"/>
    <x v="6"/>
    <x v="33"/>
    <d v="2014-04-21T00:00:00"/>
    <d v="2014-05-20T00:00:00"/>
    <m/>
    <m/>
    <m/>
    <s v="SHAPE 참조 1PCS&#10;&#10;&#10;"/>
    <n v="5"/>
    <n v="5"/>
    <m/>
  </r>
  <r>
    <n v="1"/>
    <s v="14FW JOIE BETE_25_GR_KIDS"/>
    <n v="1"/>
    <s v="KIDS FIRST TOYS14FW JOIE BETE_25_GR_KIDS"/>
    <x v="2"/>
    <x v="4"/>
    <n v="0"/>
    <s v=""/>
    <x v="1"/>
    <s v=""/>
    <x v="70"/>
    <x v="5"/>
    <x v="0"/>
    <x v="0"/>
    <x v="12"/>
    <x v="13"/>
    <m/>
    <n v="77"/>
    <m/>
    <x v="8"/>
    <x v="12"/>
    <x v="0"/>
    <x v="410"/>
    <x v="5"/>
    <n v="1"/>
    <x v="6"/>
    <x v="33"/>
    <d v="2014-04-21T00:00:00"/>
    <d v="2014-05-20T00:00:00"/>
    <m/>
    <m/>
    <m/>
    <s v="SHAPE 참조 1PCS&#10;&#10;&#10;"/>
    <n v="4"/>
    <n v="4"/>
    <m/>
  </r>
  <r>
    <n v="1"/>
    <s v="14FW JOIE BETE_26_IV_KIDS"/>
    <n v="1"/>
    <s v="KIDS FIRST TOYS14FW JOIE BETE_26_IV_KIDS"/>
    <x v="2"/>
    <x v="4"/>
    <n v="0"/>
    <s v=""/>
    <x v="1"/>
    <s v=""/>
    <x v="70"/>
    <x v="5"/>
    <x v="0"/>
    <x v="0"/>
    <x v="12"/>
    <x v="13"/>
    <m/>
    <n v="78"/>
    <m/>
    <x v="8"/>
    <x v="12"/>
    <x v="0"/>
    <x v="411"/>
    <x v="5"/>
    <n v="1"/>
    <x v="6"/>
    <x v="33"/>
    <d v="2014-04-21T00:00:00"/>
    <d v="2014-05-20T00:00:00"/>
    <m/>
    <m/>
    <m/>
    <m/>
    <n v="7"/>
    <n v="6"/>
    <m/>
  </r>
  <r>
    <n v="1"/>
    <s v="14FW JOIE BETE_27_GY_KIDS"/>
    <n v="1"/>
    <s v="KIDS FIRST TOYS14FW JOIE BETE_27_GY_KIDS"/>
    <x v="2"/>
    <x v="4"/>
    <n v="0"/>
    <s v=""/>
    <x v="1"/>
    <s v=""/>
    <x v="70"/>
    <x v="5"/>
    <x v="0"/>
    <x v="0"/>
    <x v="12"/>
    <x v="13"/>
    <m/>
    <n v="79"/>
    <m/>
    <x v="8"/>
    <x v="12"/>
    <x v="0"/>
    <x v="412"/>
    <x v="5"/>
    <n v="1"/>
    <x v="6"/>
    <x v="33"/>
    <d v="2014-04-21T00:00:00"/>
    <d v="2014-05-20T00:00:00"/>
    <m/>
    <m/>
    <m/>
    <s v="SHAPE 참조 1PCS&#10;&#10;&#10;"/>
    <n v="4"/>
    <n v="4"/>
    <m/>
  </r>
  <r>
    <n v="1"/>
    <s v="14FW JOIE BETE_28_GY_KIDS"/>
    <n v="1"/>
    <s v="KIDS FIRST TOYS14FW JOIE BETE_28_GY_KIDS"/>
    <x v="2"/>
    <x v="4"/>
    <n v="0"/>
    <s v=""/>
    <x v="1"/>
    <s v=""/>
    <x v="70"/>
    <x v="5"/>
    <x v="0"/>
    <x v="0"/>
    <x v="12"/>
    <x v="13"/>
    <m/>
    <n v="80"/>
    <m/>
    <x v="8"/>
    <x v="14"/>
    <x v="0"/>
    <x v="413"/>
    <x v="5"/>
    <n v="1"/>
    <x v="6"/>
    <x v="33"/>
    <d v="2014-04-21T00:00:00"/>
    <d v="2014-05-20T00:00:00"/>
    <m/>
    <m/>
    <m/>
    <s v="SHAPE 참조 1PCS&#10;&#10;&#10;"/>
    <n v="5"/>
    <n v="5"/>
    <m/>
  </r>
  <r>
    <n v="1"/>
    <s v="14FW JOIE BETE_29_BL_KIDS"/>
    <n v="1"/>
    <s v="KIDS FIRST TOYS14FW JOIE BETE_29_BL_KIDS"/>
    <x v="2"/>
    <x v="4"/>
    <n v="0"/>
    <s v=""/>
    <x v="1"/>
    <s v=""/>
    <x v="70"/>
    <x v="5"/>
    <x v="0"/>
    <x v="0"/>
    <x v="16"/>
    <x v="17"/>
    <m/>
    <n v="81"/>
    <m/>
    <x v="8"/>
    <x v="15"/>
    <x v="0"/>
    <x v="414"/>
    <x v="5"/>
    <n v="1"/>
    <x v="6"/>
    <x v="33"/>
    <d v="2014-04-21T00:00:00"/>
    <d v="2014-05-20T00:00:00"/>
    <m/>
    <m/>
    <m/>
    <s v="SHAPE 참조 1PCS&#10;&#10;&#10;"/>
    <n v="6"/>
    <n v="6"/>
    <m/>
  </r>
  <r>
    <n v="1"/>
    <s v="14FW JOIE BETE_30_GY_KIDS"/>
    <n v="1"/>
    <s v="KIDS FIRST TOYS14FW JOIE BETE_30_GY_KIDS"/>
    <x v="2"/>
    <x v="4"/>
    <n v="0"/>
    <s v=""/>
    <x v="1"/>
    <s v=""/>
    <x v="70"/>
    <x v="5"/>
    <x v="0"/>
    <x v="0"/>
    <x v="16"/>
    <x v="17"/>
    <m/>
    <n v="82"/>
    <m/>
    <x v="8"/>
    <x v="15"/>
    <x v="0"/>
    <x v="415"/>
    <x v="5"/>
    <n v="1"/>
    <x v="6"/>
    <x v="33"/>
    <d v="2014-04-21T00:00:00"/>
    <d v="2014-05-20T00:00:00"/>
    <m/>
    <m/>
    <m/>
    <m/>
    <n v="6"/>
    <n v="6"/>
    <m/>
  </r>
  <r>
    <n v="1"/>
    <s v="14FW JOIE BETE_31_PK_KIDS"/>
    <n v="1"/>
    <s v="KIDS FIRST TOYS14FW JOIE BETE_31_PK_KIDS"/>
    <x v="2"/>
    <x v="4"/>
    <n v="0"/>
    <s v=""/>
    <x v="1"/>
    <s v=""/>
    <x v="70"/>
    <x v="5"/>
    <x v="0"/>
    <x v="0"/>
    <x v="16"/>
    <x v="17"/>
    <m/>
    <n v="83"/>
    <m/>
    <x v="8"/>
    <x v="15"/>
    <x v="0"/>
    <x v="416"/>
    <x v="5"/>
    <n v="1"/>
    <x v="6"/>
    <x v="33"/>
    <d v="2014-04-21T00:00:00"/>
    <d v="2014-05-20T00:00:00"/>
    <m/>
    <m/>
    <m/>
    <m/>
    <n v="6"/>
    <n v="5"/>
    <m/>
  </r>
  <r>
    <n v="1"/>
    <s v="14FW JOIE BETE_32_IV_KIDS"/>
    <n v="1"/>
    <s v="KIDS FIRST TOYS14FW JOIE BETE_32_IV_KIDS"/>
    <x v="2"/>
    <x v="4"/>
    <n v="0"/>
    <s v=""/>
    <x v="1"/>
    <s v=""/>
    <x v="70"/>
    <x v="5"/>
    <x v="0"/>
    <x v="0"/>
    <x v="12"/>
    <x v="13"/>
    <m/>
    <n v="84"/>
    <m/>
    <x v="8"/>
    <x v="12"/>
    <x v="0"/>
    <x v="417"/>
    <x v="5"/>
    <n v="1"/>
    <x v="6"/>
    <x v="33"/>
    <d v="2014-04-21T00:00:00"/>
    <d v="2014-05-20T00:00:00"/>
    <m/>
    <m/>
    <m/>
    <s v="SHAPE 참조 1PCS&#10;&#10;&#10;"/>
    <n v="4"/>
    <n v="3"/>
    <m/>
  </r>
  <r>
    <n v="0.5"/>
    <s v="14FW JOIEBETE_SOCKS_02_BL"/>
    <n v="1"/>
    <s v="KIDS FIRST TOYS14FW JOIEBETE_SOCKS_02_BL"/>
    <x v="2"/>
    <x v="4"/>
    <n v="0"/>
    <s v=""/>
    <x v="1"/>
    <s v=""/>
    <x v="70"/>
    <x v="5"/>
    <x v="0"/>
    <x v="0"/>
    <x v="12"/>
    <x v="13"/>
    <m/>
    <n v="85"/>
    <m/>
    <x v="8"/>
    <x v="12"/>
    <x v="0"/>
    <x v="403"/>
    <x v="5"/>
    <n v="0.5"/>
    <x v="6"/>
    <x v="34"/>
    <d v="2014-04-23T00:00:00"/>
    <d v="2014-05-20T00:00:00"/>
    <m/>
    <m/>
    <m/>
    <s v="SHAPE 참조 1PCS&#10;&#10;&#10;"/>
    <n v="4"/>
    <n v="4"/>
    <m/>
  </r>
  <r>
    <n v="0.5"/>
    <s v="14FW JOIEBETE_SOCKS_01_PK"/>
    <n v="1"/>
    <s v="KIDS FIRST TOYS14FW JOIEBETE_SOCKS_01_PK"/>
    <x v="2"/>
    <x v="4"/>
    <n v="0"/>
    <s v=""/>
    <x v="1"/>
    <s v=""/>
    <x v="70"/>
    <x v="5"/>
    <x v="0"/>
    <x v="0"/>
    <x v="12"/>
    <x v="13"/>
    <m/>
    <n v="86"/>
    <m/>
    <x v="8"/>
    <x v="12"/>
    <x v="0"/>
    <x v="404"/>
    <x v="5"/>
    <n v="0.5"/>
    <x v="6"/>
    <x v="34"/>
    <d v="2014-04-23T00:00:00"/>
    <d v="2014-05-20T00:00:00"/>
    <m/>
    <m/>
    <m/>
    <m/>
    <n v="4"/>
    <n v="4"/>
    <m/>
  </r>
  <r>
    <n v="0.5"/>
    <s v="14FW JOIEBETE_SOCKS_03_GY"/>
    <n v="1"/>
    <s v="KIDS FIRST TOYS14FW JOIEBETE_SOCKS_03_GY"/>
    <x v="2"/>
    <x v="4"/>
    <n v="0"/>
    <s v=""/>
    <x v="1"/>
    <s v=""/>
    <x v="70"/>
    <x v="5"/>
    <x v="0"/>
    <x v="0"/>
    <x v="12"/>
    <x v="13"/>
    <m/>
    <n v="87"/>
    <m/>
    <x v="8"/>
    <x v="12"/>
    <x v="0"/>
    <x v="405"/>
    <x v="3"/>
    <n v="0.5"/>
    <x v="6"/>
    <x v="34"/>
    <d v="2014-04-23T00:00:00"/>
    <d v="2014-05-20T00:00:00"/>
    <m/>
    <m/>
    <m/>
    <m/>
    <n v="5"/>
    <n v="5"/>
    <m/>
  </r>
  <r>
    <n v="0.33333333333333331"/>
    <s v="14FW POLI-01_PK_KNIT-KIDS"/>
    <n v="1"/>
    <s v="KIDS FIRST TOYS14FW POLI-01_PK_KNIT-KIDS"/>
    <x v="5"/>
    <x v="4"/>
    <n v="0"/>
    <s v=""/>
    <x v="1"/>
    <s v=""/>
    <x v="71"/>
    <x v="8"/>
    <x v="3"/>
    <x v="0"/>
    <x v="14"/>
    <x v="15"/>
    <m/>
    <n v="88"/>
    <m/>
    <x v="11"/>
    <x v="4"/>
    <x v="0"/>
    <x v="418"/>
    <x v="5"/>
    <n v="0.33333333333333331"/>
    <x v="6"/>
    <x v="35"/>
    <d v="2014-05-05T00:00:00"/>
    <d v="2004-05-30T00:00:00"/>
    <m/>
    <m/>
    <m/>
    <s v="SHAPE 참조 1PCS&#10;&#10;&#10;"/>
    <n v="9"/>
    <n v="9"/>
    <m/>
  </r>
  <r>
    <n v="0.33333333333333331"/>
    <s v="14FW POLI-02_BL_KNIT-KIDS"/>
    <n v="1"/>
    <s v="KIDS FIRST TOYS14FW POLI-02_BL_KNIT-KIDS"/>
    <x v="5"/>
    <x v="4"/>
    <n v="0"/>
    <s v=""/>
    <x v="1"/>
    <s v=""/>
    <x v="71"/>
    <x v="8"/>
    <x v="3"/>
    <x v="0"/>
    <x v="14"/>
    <x v="15"/>
    <m/>
    <n v="89"/>
    <m/>
    <x v="11"/>
    <x v="4"/>
    <x v="0"/>
    <x v="419"/>
    <x v="5"/>
    <n v="0.33333333333333331"/>
    <x v="6"/>
    <x v="35"/>
    <d v="2014-05-05T00:00:00"/>
    <d v="2004-05-30T00:00:00"/>
    <m/>
    <m/>
    <m/>
    <m/>
    <n v="7"/>
    <n v="7"/>
    <m/>
  </r>
  <r>
    <n v="0.33333333333333331"/>
    <s v="14FW POLI-03_PK_KNIT-KIDS"/>
    <n v="1"/>
    <s v="KIDS FIRST TOYS14FW POLI-03_PK_KNIT-KIDS"/>
    <x v="5"/>
    <x v="4"/>
    <n v="0"/>
    <s v=""/>
    <x v="1"/>
    <s v=""/>
    <x v="71"/>
    <x v="8"/>
    <x v="3"/>
    <x v="0"/>
    <x v="14"/>
    <x v="15"/>
    <m/>
    <n v="90"/>
    <m/>
    <x v="11"/>
    <x v="4"/>
    <x v="0"/>
    <x v="420"/>
    <x v="5"/>
    <n v="0.33333333333333331"/>
    <x v="6"/>
    <x v="35"/>
    <d v="2014-05-05T00:00:00"/>
    <d v="2004-05-30T00:00:00"/>
    <m/>
    <m/>
    <m/>
    <s v="SHAPE 참조 1PCS&#10;&#10;&#10;"/>
    <n v="4"/>
    <n v="4"/>
    <m/>
  </r>
  <r>
    <n v="0.33333333333333331"/>
    <s v="14FW POLI-04_BL_KNIT-KIDS"/>
    <n v="1"/>
    <s v="KIDS FIRST TOYS14FW POLI-04_BL_KNIT-KIDS"/>
    <x v="5"/>
    <x v="4"/>
    <n v="0"/>
    <s v=""/>
    <x v="1"/>
    <s v=""/>
    <x v="71"/>
    <x v="8"/>
    <x v="3"/>
    <x v="0"/>
    <x v="14"/>
    <x v="15"/>
    <m/>
    <n v="91"/>
    <m/>
    <x v="11"/>
    <x v="4"/>
    <x v="0"/>
    <x v="421"/>
    <x v="5"/>
    <n v="0.33333333333333331"/>
    <x v="6"/>
    <x v="35"/>
    <d v="2014-05-05T00:00:00"/>
    <d v="2004-05-30T00:00:00"/>
    <m/>
    <m/>
    <m/>
    <m/>
    <n v="2"/>
    <n v="2"/>
    <m/>
  </r>
  <r>
    <n v="0.33333333333333331"/>
    <s v="14FW POLI-01_PK_KNIT-KIDS"/>
    <n v="1"/>
    <s v="FOREMOST14FW POLI-01_PK_KNIT-KIDS"/>
    <x v="5"/>
    <x v="4"/>
    <n v="0.5"/>
    <s v="14FW POLI-01_PK_KNIT-KIDS"/>
    <x v="0"/>
    <s v="FOREMOST14FW POLI-01_PK_KNIT-KIDS"/>
    <x v="23"/>
    <x v="5"/>
    <x v="0"/>
    <x v="0"/>
    <x v="14"/>
    <x v="15"/>
    <m/>
    <n v="92"/>
    <m/>
    <x v="11"/>
    <x v="4"/>
    <x v="0"/>
    <x v="418"/>
    <x v="5"/>
    <n v="0.33333333333333331"/>
    <x v="4"/>
    <x v="35"/>
    <d v="2014-05-05T00:00:00"/>
    <d v="2004-05-05T00:00:00"/>
    <d v="2014-05-02T00:00:00"/>
    <m/>
    <m/>
    <m/>
    <n v="9"/>
    <n v="9"/>
    <m/>
  </r>
  <r>
    <n v="0.33333333333333331"/>
    <s v="14FW POLI-02_BL_KNIT-KIDS"/>
    <n v="1"/>
    <s v="FOREMOST14FW POLI-02_BL_KNIT-KIDS"/>
    <x v="5"/>
    <x v="4"/>
    <n v="0.5"/>
    <s v="14FW POLI-02_BL_KNIT-KIDS"/>
    <x v="0"/>
    <s v="FOREMOST14FW POLI-02_BL_KNIT-KIDS"/>
    <x v="23"/>
    <x v="5"/>
    <x v="0"/>
    <x v="0"/>
    <x v="14"/>
    <x v="15"/>
    <m/>
    <n v="93"/>
    <m/>
    <x v="11"/>
    <x v="4"/>
    <x v="0"/>
    <x v="419"/>
    <x v="5"/>
    <n v="0.33333333333333331"/>
    <x v="4"/>
    <x v="35"/>
    <d v="2014-05-05T00:00:00"/>
    <d v="2004-05-05T00:00:00"/>
    <d v="2014-05-02T00:00:00"/>
    <n v="10.199999999999999"/>
    <m/>
    <m/>
    <n v="7"/>
    <n v="7"/>
    <m/>
  </r>
  <r>
    <n v="0.33333333333333331"/>
    <s v="14FW POLI-03_PK_KNIT-KIDS"/>
    <n v="1"/>
    <s v="FOREMOST14FW POLI-03_PK_KNIT-KIDS"/>
    <x v="5"/>
    <x v="4"/>
    <n v="0.5"/>
    <s v="14FW POLI-03_PK_KNIT-KIDS"/>
    <x v="0"/>
    <s v="FOREMOST14FW POLI-03_PK_KNIT-KIDS"/>
    <x v="49"/>
    <x v="5"/>
    <x v="0"/>
    <x v="0"/>
    <x v="14"/>
    <x v="15"/>
    <m/>
    <n v="94"/>
    <m/>
    <x v="11"/>
    <x v="4"/>
    <x v="0"/>
    <x v="420"/>
    <x v="5"/>
    <n v="0.33333333333333331"/>
    <x v="4"/>
    <x v="35"/>
    <d v="2014-05-05T00:00:00"/>
    <d v="2004-05-05T00:00:00"/>
    <d v="2014-05-09T00:00:00"/>
    <n v="10"/>
    <m/>
    <m/>
    <n v="4"/>
    <n v="4"/>
    <m/>
  </r>
  <r>
    <n v="0.33333333333333331"/>
    <s v="14FW POLI-04_BL_KNIT-KIDS"/>
    <n v="1"/>
    <s v="FOREMOST14FW POLI-04_BL_KNIT-KIDS"/>
    <x v="5"/>
    <x v="4"/>
    <n v="0.5"/>
    <s v="14FW POLI-04_BL_KNIT-KIDS"/>
    <x v="0"/>
    <s v="FOREMOST14FW POLI-04_BL_KNIT-KIDS"/>
    <x v="49"/>
    <x v="5"/>
    <x v="0"/>
    <x v="0"/>
    <x v="14"/>
    <x v="15"/>
    <m/>
    <n v="95"/>
    <m/>
    <x v="11"/>
    <x v="4"/>
    <x v="0"/>
    <x v="421"/>
    <x v="5"/>
    <n v="0.33333333333333331"/>
    <x v="4"/>
    <x v="35"/>
    <d v="2014-05-05T00:00:00"/>
    <d v="2014-05-05T00:00:00"/>
    <d v="2014-05-09T00:00:00"/>
    <m/>
    <m/>
    <m/>
    <n v="2"/>
    <n v="2"/>
    <m/>
  </r>
  <r>
    <n v="1"/>
    <s v="14FW POLI 01_SNAP_WH_KIDS"/>
    <n v="1"/>
    <s v="동일모자14FW POLI 01_SNAP_WH_KIDS"/>
    <x v="5"/>
    <x v="4"/>
    <n v="1"/>
    <s v="14FW POLI 01_SNAP_WH_KIDS"/>
    <x v="0"/>
    <s v="동일모자14FW POLI 01_SNAP_WH_KIDS"/>
    <x v="52"/>
    <x v="3"/>
    <x v="0"/>
    <x v="0"/>
    <x v="14"/>
    <x v="15"/>
    <m/>
    <n v="96"/>
    <m/>
    <x v="11"/>
    <x v="2"/>
    <x v="0"/>
    <x v="422"/>
    <x v="5"/>
    <n v="1"/>
    <x v="1"/>
    <x v="35"/>
    <d v="2014-05-05T00:00:00"/>
    <d v="2014-05-05T00:00:00"/>
    <d v="2014-04-30T00:00:00"/>
    <m/>
    <m/>
    <m/>
    <n v="5"/>
    <m/>
    <s v="5/7 앞판 재 Q"/>
  </r>
  <r>
    <n v="1"/>
    <s v="14FW POLI 02_SNAP_PK_KIDS"/>
    <n v="1"/>
    <s v="동일모자14FW POLI 02_SNAP_PK_KIDS"/>
    <x v="5"/>
    <x v="4"/>
    <n v="1"/>
    <s v="14FW POLI 02_SNAP_PK_KIDS"/>
    <x v="0"/>
    <s v="동일모자14FW POLI 02_SNAP_PK_KIDS"/>
    <x v="52"/>
    <x v="3"/>
    <x v="0"/>
    <x v="0"/>
    <x v="14"/>
    <x v="15"/>
    <m/>
    <n v="97"/>
    <m/>
    <x v="11"/>
    <x v="2"/>
    <x v="0"/>
    <x v="423"/>
    <x v="5"/>
    <n v="1"/>
    <x v="1"/>
    <x v="35"/>
    <d v="2014-05-05T00:00:00"/>
    <d v="2014-05-05T00:00:00"/>
    <d v="2014-04-30T00:00:00"/>
    <m/>
    <m/>
    <m/>
    <n v="5"/>
    <m/>
    <s v="5/7 앞판 재 Q"/>
  </r>
  <r>
    <n v="0.33333333333333331"/>
    <s v="14FW POLI-01_PK_KNIT-KIDS"/>
    <n v="1"/>
    <s v="NT SENHONG14FW POLI-01_PK_KNIT-KIDS"/>
    <x v="5"/>
    <x v="4"/>
    <n v="0.5"/>
    <s v="14FW POLI-01_PK_KNIT-KIDS"/>
    <x v="0"/>
    <s v="NT SENHONG14FW POLI-01_PK_KNIT-KIDS"/>
    <x v="72"/>
    <x v="2"/>
    <x v="3"/>
    <x v="0"/>
    <x v="14"/>
    <x v="15"/>
    <m/>
    <n v="98"/>
    <m/>
    <x v="11"/>
    <x v="4"/>
    <x v="0"/>
    <x v="418"/>
    <x v="5"/>
    <n v="0.33333333333333331"/>
    <x v="8"/>
    <x v="36"/>
    <d v="2014-05-17T00:00:00"/>
    <d v="2014-05-05T00:00:00"/>
    <s v="X"/>
    <s v="X"/>
    <m/>
    <m/>
    <n v="9"/>
    <n v="9"/>
    <s v="작업불가"/>
  </r>
  <r>
    <n v="0.33333333333333331"/>
    <s v="14FW POLI-02_BL_KNIT-KIDS"/>
    <n v="1"/>
    <s v="NT SENHONG14FW POLI-02_BL_KNIT-KIDS"/>
    <x v="5"/>
    <x v="4"/>
    <n v="0.5"/>
    <s v="14FW POLI-02_BL_KNIT-KIDS"/>
    <x v="0"/>
    <s v="NT SENHONG14FW POLI-02_BL_KNIT-KIDS"/>
    <x v="72"/>
    <x v="2"/>
    <x v="3"/>
    <x v="0"/>
    <x v="14"/>
    <x v="15"/>
    <m/>
    <n v="99"/>
    <m/>
    <x v="11"/>
    <x v="4"/>
    <x v="0"/>
    <x v="419"/>
    <x v="5"/>
    <n v="0.33333333333333331"/>
    <x v="8"/>
    <x v="36"/>
    <d v="2014-05-17T00:00:00"/>
    <d v="2014-05-05T00:00:00"/>
    <s v="X"/>
    <s v="X"/>
    <m/>
    <m/>
    <n v="7"/>
    <n v="7"/>
    <s v="작업불가"/>
  </r>
  <r>
    <n v="0.33333333333333331"/>
    <s v="14FW POLI-03_PK_KNIT-KIDS"/>
    <n v="1"/>
    <s v="NT SENHONG14FW POLI-03_PK_KNIT-KIDS"/>
    <x v="5"/>
    <x v="4"/>
    <n v="0.5"/>
    <s v="14FW POLI-03_PK_KNIT-KIDS"/>
    <x v="0"/>
    <s v="NT SENHONG14FW POLI-03_PK_KNIT-KIDS"/>
    <x v="72"/>
    <x v="2"/>
    <x v="3"/>
    <x v="0"/>
    <x v="14"/>
    <x v="15"/>
    <m/>
    <n v="100"/>
    <m/>
    <x v="11"/>
    <x v="4"/>
    <x v="0"/>
    <x v="420"/>
    <x v="5"/>
    <n v="0.33333333333333331"/>
    <x v="8"/>
    <x v="36"/>
    <d v="2014-05-17T00:00:00"/>
    <d v="2014-05-05T00:00:00"/>
    <s v="X"/>
    <s v="X"/>
    <m/>
    <m/>
    <n v="4"/>
    <n v="4"/>
    <s v="작업불가"/>
  </r>
  <r>
    <n v="0.33333333333333331"/>
    <s v="14FW POLI-04_BL_KNIT-KIDS"/>
    <n v="1"/>
    <s v="NT SENHONG14FW POLI-04_BL_KNIT-KIDS"/>
    <x v="5"/>
    <x v="4"/>
    <n v="0.5"/>
    <s v="14FW POLI-04_BL_KNIT-KIDS"/>
    <x v="0"/>
    <s v="NT SENHONG14FW POLI-04_BL_KNIT-KIDS"/>
    <x v="72"/>
    <x v="2"/>
    <x v="3"/>
    <x v="0"/>
    <x v="14"/>
    <x v="15"/>
    <m/>
    <n v="101"/>
    <m/>
    <x v="11"/>
    <x v="4"/>
    <x v="0"/>
    <x v="421"/>
    <x v="5"/>
    <n v="0.33333333333333331"/>
    <x v="8"/>
    <x v="36"/>
    <d v="2014-05-17T00:00:00"/>
    <d v="2014-05-05T00:00:00"/>
    <s v="X"/>
    <s v="X"/>
    <m/>
    <m/>
    <n v="2"/>
    <n v="2"/>
    <s v="작업불가"/>
  </r>
  <r>
    <n v="1"/>
    <s v="14FW JOIE BETE_33_BL_KIDS"/>
    <n v="1"/>
    <s v="동일모자14FW JOIE BETE_33_BL_KIDS"/>
    <x v="5"/>
    <x v="4"/>
    <n v="1"/>
    <s v="14FW JOIE BETE_33_BL_KIDS"/>
    <x v="0"/>
    <s v="동일모자14FW JOIE BETE_33_BL_KIDS"/>
    <x v="55"/>
    <x v="5"/>
    <x v="0"/>
    <x v="0"/>
    <x v="10"/>
    <x v="11"/>
    <m/>
    <n v="102"/>
    <m/>
    <x v="8"/>
    <x v="1"/>
    <x v="0"/>
    <x v="424"/>
    <x v="5"/>
    <n v="1"/>
    <x v="1"/>
    <x v="25"/>
    <d v="2014-05-16T00:00:00"/>
    <d v="2014-05-16T00:00:00"/>
    <d v="2014-05-16T00:00:00"/>
    <m/>
    <m/>
    <m/>
    <n v="6"/>
    <n v="2"/>
    <m/>
  </r>
  <r>
    <n v="1"/>
    <s v="14FW JOIE BETE_34_YL_KIDS"/>
    <n v="1"/>
    <s v="동일모자14FW JOIE BETE_34_YL_KIDS"/>
    <x v="5"/>
    <x v="4"/>
    <n v="1"/>
    <s v="14FW JOIE BETE_34_YL_KIDS"/>
    <x v="0"/>
    <s v="동일모자14FW JOIE BETE_34_YL_KIDS"/>
    <x v="55"/>
    <x v="5"/>
    <x v="0"/>
    <x v="0"/>
    <x v="10"/>
    <x v="11"/>
    <m/>
    <n v="103"/>
    <m/>
    <x v="8"/>
    <x v="1"/>
    <x v="0"/>
    <x v="425"/>
    <x v="5"/>
    <n v="1"/>
    <x v="1"/>
    <x v="25"/>
    <d v="2014-05-16T00:00:00"/>
    <d v="2014-05-16T00:00:00"/>
    <d v="2014-05-16T00:00:00"/>
    <m/>
    <m/>
    <m/>
    <n v="7"/>
    <n v="5"/>
    <m/>
  </r>
  <r>
    <n v="1"/>
    <s v="14FW JOIE BETE_35_GY_KIDS"/>
    <n v="1"/>
    <s v="동일모자14FW JOIE BETE_35_GY_KIDS"/>
    <x v="5"/>
    <x v="4"/>
    <n v="1"/>
    <s v="14FW JOIE BETE_35_GY_KIDS"/>
    <x v="0"/>
    <s v="동일모자14FW JOIE BETE_35_GY_KIDS"/>
    <x v="55"/>
    <x v="5"/>
    <x v="0"/>
    <x v="0"/>
    <x v="10"/>
    <x v="11"/>
    <m/>
    <n v="104"/>
    <m/>
    <x v="8"/>
    <x v="1"/>
    <x v="0"/>
    <x v="426"/>
    <x v="5"/>
    <n v="1"/>
    <x v="1"/>
    <x v="25"/>
    <d v="2014-05-16T00:00:00"/>
    <d v="2014-05-16T00:00:00"/>
    <d v="2014-05-16T00:00:00"/>
    <m/>
    <m/>
    <m/>
    <n v="7"/>
    <n v="4"/>
    <m/>
  </r>
  <r>
    <n v="1"/>
    <s v="14FW JOIE BETE_36_PP_KIDS"/>
    <n v="1"/>
    <s v="동일모자14FW JOIE BETE_36_PP_KIDS"/>
    <x v="5"/>
    <x v="4"/>
    <n v="1"/>
    <s v="14FW JOIE BETE_36_PP_KIDS"/>
    <x v="0"/>
    <s v="동일모자14FW JOIE BETE_36_PP_KIDS"/>
    <x v="55"/>
    <x v="5"/>
    <x v="0"/>
    <x v="0"/>
    <x v="10"/>
    <x v="11"/>
    <m/>
    <n v="105"/>
    <m/>
    <x v="8"/>
    <x v="1"/>
    <x v="0"/>
    <x v="427"/>
    <x v="5"/>
    <n v="1"/>
    <x v="1"/>
    <x v="25"/>
    <d v="2014-05-16T00:00:00"/>
    <d v="2014-05-16T00:00:00"/>
    <d v="2014-05-16T00:00:00"/>
    <m/>
    <m/>
    <m/>
    <n v="8"/>
    <n v="4"/>
    <m/>
  </r>
  <r>
    <n v="0.5"/>
    <s v="14FW JOIEBETE_KNIT_01_YL"/>
    <n v="1"/>
    <s v="FOREMOST14FW JOIEBETE_KNIT_01_YL"/>
    <x v="5"/>
    <x v="4"/>
    <n v="0"/>
    <s v=""/>
    <x v="1"/>
    <s v=""/>
    <x v="73"/>
    <x v="5"/>
    <x v="0"/>
    <x v="0"/>
    <x v="10"/>
    <x v="11"/>
    <m/>
    <n v="106"/>
    <m/>
    <x v="8"/>
    <x v="4"/>
    <x v="0"/>
    <x v="428"/>
    <x v="5"/>
    <n v="0.5"/>
    <x v="4"/>
    <x v="25"/>
    <d v="2014-05-16T00:00:00"/>
    <d v="2014-05-30T00:00:00"/>
    <m/>
    <m/>
    <m/>
    <m/>
    <n v="3"/>
    <n v="3"/>
    <m/>
  </r>
  <r>
    <n v="0.5"/>
    <s v="14FW JOIEBETE_KNIT_02_MT"/>
    <n v="1"/>
    <s v="FOREMOST14FW JOIEBETE_KNIT_02_MT"/>
    <x v="5"/>
    <x v="4"/>
    <n v="0"/>
    <s v=""/>
    <x v="1"/>
    <s v=""/>
    <x v="73"/>
    <x v="5"/>
    <x v="0"/>
    <x v="0"/>
    <x v="10"/>
    <x v="11"/>
    <m/>
    <n v="107"/>
    <m/>
    <x v="8"/>
    <x v="4"/>
    <x v="0"/>
    <x v="429"/>
    <x v="5"/>
    <n v="0.5"/>
    <x v="4"/>
    <x v="25"/>
    <d v="2014-05-16T00:00:00"/>
    <d v="2014-05-30T00:00:00"/>
    <m/>
    <m/>
    <m/>
    <m/>
    <n v="3"/>
    <n v="3"/>
    <m/>
  </r>
  <r>
    <n v="0.5"/>
    <s v="14FW JOIEBETE_KNIT_03_BL"/>
    <n v="1"/>
    <s v="FOREMOST14FW JOIEBETE_KNIT_03_BL"/>
    <x v="5"/>
    <x v="4"/>
    <n v="0"/>
    <s v=""/>
    <x v="1"/>
    <s v=""/>
    <x v="73"/>
    <x v="5"/>
    <x v="0"/>
    <x v="0"/>
    <x v="10"/>
    <x v="11"/>
    <m/>
    <n v="108"/>
    <m/>
    <x v="8"/>
    <x v="4"/>
    <x v="0"/>
    <x v="430"/>
    <x v="5"/>
    <n v="0.5"/>
    <x v="4"/>
    <x v="25"/>
    <d v="2014-05-16T00:00:00"/>
    <d v="2014-05-30T00:00:00"/>
    <m/>
    <m/>
    <m/>
    <m/>
    <n v="3"/>
    <n v="3"/>
    <m/>
  </r>
  <r>
    <n v="1"/>
    <s v="14FW JOIEBETE_KNIT_04_IV"/>
    <n v="1"/>
    <s v="FOREMOST14FW JOIEBETE_KNIT_04_IV"/>
    <x v="5"/>
    <x v="4"/>
    <n v="0"/>
    <s v=""/>
    <x v="1"/>
    <s v=""/>
    <x v="73"/>
    <x v="5"/>
    <x v="0"/>
    <x v="0"/>
    <x v="10"/>
    <x v="11"/>
    <m/>
    <n v="109"/>
    <m/>
    <x v="8"/>
    <x v="4"/>
    <x v="0"/>
    <x v="431"/>
    <x v="5"/>
    <n v="1"/>
    <x v="4"/>
    <x v="25"/>
    <d v="2014-05-16T00:00:00"/>
    <d v="2014-05-30T00:00:00"/>
    <m/>
    <m/>
    <m/>
    <m/>
    <n v="8"/>
    <n v="5"/>
    <m/>
  </r>
  <r>
    <n v="1"/>
    <s v="14FW JOIEBETE_KNIT_04_BL"/>
    <n v="1"/>
    <s v="FOREMOST14FW JOIEBETE_KNIT_04_BL"/>
    <x v="5"/>
    <x v="4"/>
    <n v="0"/>
    <s v=""/>
    <x v="1"/>
    <s v=""/>
    <x v="73"/>
    <x v="5"/>
    <x v="0"/>
    <x v="0"/>
    <x v="10"/>
    <x v="11"/>
    <m/>
    <n v="110"/>
    <m/>
    <x v="8"/>
    <x v="4"/>
    <x v="0"/>
    <x v="432"/>
    <x v="5"/>
    <n v="1"/>
    <x v="4"/>
    <x v="25"/>
    <d v="2014-05-16T00:00:00"/>
    <d v="2014-05-30T00:00:00"/>
    <m/>
    <m/>
    <m/>
    <m/>
    <n v="8"/>
    <n v="3"/>
    <m/>
  </r>
  <r>
    <n v="0.5"/>
    <s v="14FW JOIEBETE_KNIT_01_YL"/>
    <n v="1"/>
    <s v="KIDS FIRST TOYS14FW JOIEBETE_KNIT_01_YL"/>
    <x v="5"/>
    <x v="4"/>
    <n v="0"/>
    <s v=""/>
    <x v="1"/>
    <s v=""/>
    <x v="73"/>
    <x v="5"/>
    <x v="0"/>
    <x v="0"/>
    <x v="10"/>
    <x v="11"/>
    <m/>
    <n v="111"/>
    <m/>
    <x v="8"/>
    <x v="4"/>
    <x v="0"/>
    <x v="428"/>
    <x v="5"/>
    <n v="0.5"/>
    <x v="6"/>
    <x v="25"/>
    <d v="2014-05-16T00:00:00"/>
    <d v="2014-05-30T00:00:00"/>
    <m/>
    <m/>
    <m/>
    <m/>
    <n v="3"/>
    <n v="3"/>
    <m/>
  </r>
  <r>
    <n v="0.5"/>
    <s v="14FW JOIEBETE_KNIT_02_MT"/>
    <n v="1"/>
    <s v="KIDS FIRST TOYS14FW JOIEBETE_KNIT_02_MT"/>
    <x v="5"/>
    <x v="4"/>
    <n v="0"/>
    <s v=""/>
    <x v="1"/>
    <s v=""/>
    <x v="73"/>
    <x v="5"/>
    <x v="0"/>
    <x v="0"/>
    <x v="10"/>
    <x v="11"/>
    <m/>
    <n v="112"/>
    <m/>
    <x v="8"/>
    <x v="4"/>
    <x v="0"/>
    <x v="429"/>
    <x v="5"/>
    <n v="0.5"/>
    <x v="6"/>
    <x v="25"/>
    <d v="2014-05-16T00:00:00"/>
    <d v="2014-05-30T00:00:00"/>
    <m/>
    <m/>
    <m/>
    <m/>
    <n v="3"/>
    <n v="3"/>
    <m/>
  </r>
  <r>
    <n v="0.5"/>
    <s v="14FW JOIEBETE_KNIT_03_BL"/>
    <n v="1"/>
    <s v="KIDS FIRST TOYS14FW JOIEBETE_KNIT_03_BL"/>
    <x v="5"/>
    <x v="4"/>
    <n v="0"/>
    <s v=""/>
    <x v="1"/>
    <s v=""/>
    <x v="73"/>
    <x v="5"/>
    <x v="0"/>
    <x v="0"/>
    <x v="10"/>
    <x v="11"/>
    <m/>
    <n v="113"/>
    <m/>
    <x v="8"/>
    <x v="4"/>
    <x v="0"/>
    <x v="430"/>
    <x v="5"/>
    <n v="0.5"/>
    <x v="6"/>
    <x v="25"/>
    <d v="2014-05-16T00:00:00"/>
    <d v="2014-05-30T00:00:00"/>
    <m/>
    <m/>
    <m/>
    <m/>
    <n v="3"/>
    <n v="3"/>
    <m/>
  </r>
  <r>
    <n v="0.5"/>
    <s v="14FW NV 01_SOCKS_GY"/>
    <n v="1"/>
    <s v="HADSOCK14FW NV 01_SOCKS_GY"/>
    <x v="2"/>
    <x v="4"/>
    <n v="0.5"/>
    <s v="14FW NV 01_SOCKS_GY"/>
    <x v="0"/>
    <s v="HADSOCK14FW NV 01_SOCKS_GY"/>
    <x v="25"/>
    <x v="3"/>
    <x v="0"/>
    <x v="2"/>
    <x v="15"/>
    <x v="16"/>
    <m/>
    <n v="114"/>
    <m/>
    <x v="10"/>
    <x v="12"/>
    <x v="0"/>
    <x v="397"/>
    <x v="3"/>
    <n v="0.5"/>
    <x v="11"/>
    <x v="6"/>
    <d v="2014-04-17T00:00:00"/>
    <d v="2014-04-22T00:00:00"/>
    <d v="2014-04-22T00:00:00"/>
    <n v="0.77"/>
    <m/>
    <m/>
    <m/>
    <m/>
    <m/>
  </r>
  <r>
    <n v="0.5"/>
    <s v="14FW NV 02_SOCKS_NY"/>
    <n v="1"/>
    <s v="HADSOCK14FW NV 02_SOCKS_NY"/>
    <x v="2"/>
    <x v="4"/>
    <n v="0.5"/>
    <s v="14FW NV 02_SOCKS_NY"/>
    <x v="0"/>
    <s v="HADSOCK14FW NV 02_SOCKS_NY"/>
    <x v="25"/>
    <x v="3"/>
    <x v="0"/>
    <x v="2"/>
    <x v="15"/>
    <x v="16"/>
    <m/>
    <n v="115"/>
    <m/>
    <x v="10"/>
    <x v="12"/>
    <x v="0"/>
    <x v="398"/>
    <x v="3"/>
    <n v="0.5"/>
    <x v="11"/>
    <x v="6"/>
    <d v="2014-04-17T00:00:00"/>
    <d v="2014-04-22T00:00:00"/>
    <d v="2014-04-22T00:00:00"/>
    <n v="0.91"/>
    <m/>
    <m/>
    <m/>
    <m/>
    <m/>
  </r>
  <r>
    <n v="0.5"/>
    <s v="14FW NV 03_SOCKS_GY"/>
    <n v="1"/>
    <s v="HADSOCK14FW NV 03_SOCKS_GY"/>
    <x v="2"/>
    <x v="4"/>
    <n v="0.5"/>
    <s v="14FW NV 03_SOCKS_GY"/>
    <x v="0"/>
    <s v="HADSOCK14FW NV 03_SOCKS_GY"/>
    <x v="25"/>
    <x v="3"/>
    <x v="0"/>
    <x v="2"/>
    <x v="15"/>
    <x v="16"/>
    <m/>
    <n v="116"/>
    <m/>
    <x v="10"/>
    <x v="12"/>
    <x v="0"/>
    <x v="399"/>
    <x v="3"/>
    <n v="0.5"/>
    <x v="11"/>
    <x v="6"/>
    <d v="2014-04-17T00:00:00"/>
    <d v="2014-04-22T00:00:00"/>
    <d v="2014-04-22T00:00:00"/>
    <n v="0.86"/>
    <m/>
    <m/>
    <m/>
    <m/>
    <m/>
  </r>
  <r>
    <n v="0.5"/>
    <s v="14FW NV 04_SOCKS_NY"/>
    <n v="1"/>
    <s v="HADSOCK14FW NV 04_SOCKS_NY"/>
    <x v="2"/>
    <x v="4"/>
    <n v="0.5"/>
    <s v="14FW NV 04_SOCKS_NY"/>
    <x v="0"/>
    <s v="HADSOCK14FW NV 04_SOCKS_NY"/>
    <x v="25"/>
    <x v="3"/>
    <x v="0"/>
    <x v="2"/>
    <x v="15"/>
    <x v="16"/>
    <m/>
    <n v="117"/>
    <m/>
    <x v="10"/>
    <x v="12"/>
    <x v="0"/>
    <x v="400"/>
    <x v="3"/>
    <n v="0.5"/>
    <x v="11"/>
    <x v="6"/>
    <d v="2014-04-17T00:00:00"/>
    <d v="2014-04-22T00:00:00"/>
    <d v="2014-04-22T00:00:00"/>
    <n v="0.86"/>
    <m/>
    <m/>
    <m/>
    <m/>
    <m/>
  </r>
  <r>
    <n v="0.33333333333333331"/>
    <s v="14FW JOIEBETE_KNIT_05_GY"/>
    <n v="1"/>
    <s v="NT SENHONG14FW JOIEBETE_KNIT_05_GY"/>
    <x v="5"/>
    <x v="4"/>
    <n v="0.5"/>
    <s v="14FW JOIEBETE_KNIT_05_GY"/>
    <x v="0"/>
    <s v="NT SENHONG14FW JOIEBETE_KNIT_05_GY"/>
    <x v="72"/>
    <x v="2"/>
    <x v="3"/>
    <x v="0"/>
    <x v="10"/>
    <x v="11"/>
    <m/>
    <n v="118"/>
    <m/>
    <x v="8"/>
    <x v="4"/>
    <x v="0"/>
    <x v="433"/>
    <x v="5"/>
    <n v="0.33333333333333331"/>
    <x v="8"/>
    <x v="37"/>
    <d v="2014-05-21T00:00:00"/>
    <d v="2014-05-21T00:00:00"/>
    <s v="X"/>
    <s v="X"/>
    <m/>
    <m/>
    <m/>
    <m/>
    <s v="작업불가"/>
  </r>
  <r>
    <n v="0.33333333333333331"/>
    <s v="14FW JOIEBETE_KNIT_05_RD"/>
    <n v="1"/>
    <s v="NT SENHONG14FW JOIEBETE_KNIT_05_RD"/>
    <x v="5"/>
    <x v="4"/>
    <n v="0.5"/>
    <s v="14FW JOIEBETE_KNIT_05_RD"/>
    <x v="0"/>
    <s v="NT SENHONG14FW JOIEBETE_KNIT_05_RD"/>
    <x v="72"/>
    <x v="2"/>
    <x v="3"/>
    <x v="0"/>
    <x v="10"/>
    <x v="11"/>
    <m/>
    <n v="119"/>
    <m/>
    <x v="8"/>
    <x v="4"/>
    <x v="0"/>
    <x v="434"/>
    <x v="5"/>
    <n v="0.33333333333333331"/>
    <x v="8"/>
    <x v="37"/>
    <d v="2014-05-21T00:00:00"/>
    <d v="2014-05-21T00:00:00"/>
    <s v="X"/>
    <s v="X"/>
    <m/>
    <m/>
    <m/>
    <m/>
    <s v="작업불가"/>
  </r>
  <r>
    <n v="0.33333333333333331"/>
    <s v="14FW JOIEBETE_KNIT_05_GY"/>
    <n v="1"/>
    <s v="FOREMOST14FW JOIEBETE_KNIT_05_GY"/>
    <x v="5"/>
    <x v="4"/>
    <n v="0.5"/>
    <s v="14FW JOIEBETE_KNIT_05_GY"/>
    <x v="0"/>
    <s v="FOREMOST14FW JOIEBETE_KNIT_05_GY"/>
    <x v="55"/>
    <x v="5"/>
    <x v="0"/>
    <x v="0"/>
    <x v="10"/>
    <x v="11"/>
    <m/>
    <n v="120"/>
    <m/>
    <x v="8"/>
    <x v="4"/>
    <x v="0"/>
    <x v="433"/>
    <x v="5"/>
    <n v="0.33333333333333331"/>
    <x v="4"/>
    <x v="37"/>
    <d v="2014-05-21T00:00:00"/>
    <d v="2014-05-21T00:00:00"/>
    <d v="2014-05-16T00:00:00"/>
    <m/>
    <m/>
    <m/>
    <m/>
    <m/>
    <m/>
  </r>
  <r>
    <n v="0.33333333333333331"/>
    <s v="14FW JOIEBETE_KNIT_05_RD"/>
    <n v="1"/>
    <s v="FOREMOST14FW JOIEBETE_KNIT_05_RD"/>
    <x v="5"/>
    <x v="4"/>
    <n v="0.5"/>
    <s v="14FW JOIEBETE_KNIT_05_RD"/>
    <x v="0"/>
    <s v="FOREMOST14FW JOIEBETE_KNIT_05_RD"/>
    <x v="55"/>
    <x v="5"/>
    <x v="0"/>
    <x v="0"/>
    <x v="10"/>
    <x v="11"/>
    <m/>
    <n v="121"/>
    <m/>
    <x v="8"/>
    <x v="4"/>
    <x v="0"/>
    <x v="434"/>
    <x v="5"/>
    <n v="0.33333333333333331"/>
    <x v="4"/>
    <x v="37"/>
    <d v="2014-05-21T00:00:00"/>
    <d v="2014-05-21T00:00:00"/>
    <d v="2014-05-16T00:00:00"/>
    <m/>
    <m/>
    <m/>
    <m/>
    <m/>
    <m/>
  </r>
  <r>
    <n v="0.33333333333333331"/>
    <s v="14FW JOIEBETE_KNIT_05_GY"/>
    <n v="1"/>
    <s v="EVERRICH TEXTILE 14FW JOIEBETE_KNIT_05_GY"/>
    <x v="5"/>
    <x v="4"/>
    <n v="0"/>
    <s v=""/>
    <x v="1"/>
    <s v=""/>
    <x v="74"/>
    <x v="5"/>
    <x v="0"/>
    <x v="2"/>
    <x v="10"/>
    <x v="11"/>
    <m/>
    <n v="122"/>
    <m/>
    <x v="8"/>
    <x v="4"/>
    <x v="0"/>
    <x v="433"/>
    <x v="5"/>
    <n v="0.33333333333333331"/>
    <x v="12"/>
    <x v="37"/>
    <d v="2014-05-21T00:00:00"/>
    <d v="2014-05-21T00:00:00"/>
    <m/>
    <m/>
    <m/>
    <m/>
    <m/>
    <m/>
    <m/>
  </r>
  <r>
    <n v="0.33333333333333331"/>
    <s v="14FW JOIEBETE_KNIT_05_RD"/>
    <n v="1"/>
    <s v="EVERRICH TEXTILE 14FW JOIEBETE_KNIT_05_RD"/>
    <x v="5"/>
    <x v="4"/>
    <n v="0"/>
    <s v=""/>
    <x v="1"/>
    <s v=""/>
    <x v="74"/>
    <x v="5"/>
    <x v="0"/>
    <x v="2"/>
    <x v="10"/>
    <x v="11"/>
    <m/>
    <n v="123"/>
    <m/>
    <x v="8"/>
    <x v="4"/>
    <x v="0"/>
    <x v="434"/>
    <x v="5"/>
    <n v="0.33333333333333331"/>
    <x v="12"/>
    <x v="37"/>
    <d v="2014-05-21T00:00:00"/>
    <d v="2014-05-21T00:00:00"/>
    <m/>
    <m/>
    <m/>
    <m/>
    <m/>
    <m/>
    <m/>
  </r>
  <r>
    <n v="1"/>
    <s v="14FW DISNEY_BP_01_WH"/>
    <n v="1"/>
    <s v="바이칼14FW DISNEY_BP_01_WH"/>
    <x v="5"/>
    <x v="4"/>
    <n v="0"/>
    <s v=""/>
    <x v="1"/>
    <s v=""/>
    <x v="70"/>
    <x v="5"/>
    <x v="0"/>
    <x v="0"/>
    <x v="17"/>
    <x v="18"/>
    <m/>
    <n v="124"/>
    <m/>
    <x v="6"/>
    <x v="15"/>
    <x v="0"/>
    <x v="435"/>
    <x v="3"/>
    <n v="1"/>
    <x v="13"/>
    <x v="38"/>
    <d v="2014-05-28T00:00:00"/>
    <d v="2014-05-20T00:00:00"/>
    <m/>
    <m/>
    <m/>
    <m/>
    <m/>
    <m/>
    <m/>
  </r>
  <r>
    <n v="1"/>
    <s v="14FW DISNEY_BP_02_BK"/>
    <n v="1"/>
    <s v="바이칼14FW DISNEY_BP_02_BK"/>
    <x v="5"/>
    <x v="4"/>
    <n v="0"/>
    <s v=""/>
    <x v="1"/>
    <s v=""/>
    <x v="70"/>
    <x v="5"/>
    <x v="0"/>
    <x v="0"/>
    <x v="17"/>
    <x v="18"/>
    <m/>
    <n v="125"/>
    <m/>
    <x v="6"/>
    <x v="15"/>
    <x v="0"/>
    <x v="436"/>
    <x v="3"/>
    <n v="1"/>
    <x v="13"/>
    <x v="38"/>
    <d v="2014-05-28T00:00:00"/>
    <d v="2014-05-20T00:00:00"/>
    <m/>
    <m/>
    <m/>
    <m/>
    <m/>
    <m/>
    <m/>
  </r>
  <r>
    <n v="1"/>
    <s v="14FW DISNEY_BP_03_KH"/>
    <n v="1"/>
    <s v="바이칼14FW DISNEY_BP_03_KH"/>
    <x v="5"/>
    <x v="4"/>
    <n v="0"/>
    <s v=""/>
    <x v="1"/>
    <s v=""/>
    <x v="70"/>
    <x v="5"/>
    <x v="0"/>
    <x v="0"/>
    <x v="17"/>
    <x v="18"/>
    <m/>
    <n v="126"/>
    <m/>
    <x v="6"/>
    <x v="15"/>
    <x v="0"/>
    <x v="437"/>
    <x v="3"/>
    <n v="1"/>
    <x v="13"/>
    <x v="38"/>
    <d v="2014-05-28T00:00:00"/>
    <d v="2014-05-20T00:00:00"/>
    <m/>
    <m/>
    <m/>
    <m/>
    <m/>
    <m/>
    <m/>
  </r>
  <r>
    <n v="1"/>
    <s v="14FW DISNEY_BP_04_BK"/>
    <n v="1"/>
    <s v="바이칼14FW DISNEY_BP_04_BK"/>
    <x v="5"/>
    <x v="4"/>
    <n v="0"/>
    <s v=""/>
    <x v="1"/>
    <s v=""/>
    <x v="70"/>
    <x v="5"/>
    <x v="0"/>
    <x v="0"/>
    <x v="17"/>
    <x v="18"/>
    <m/>
    <n v="127"/>
    <m/>
    <x v="6"/>
    <x v="15"/>
    <x v="0"/>
    <x v="438"/>
    <x v="3"/>
    <n v="1"/>
    <x v="13"/>
    <x v="38"/>
    <d v="2014-05-28T00:00:00"/>
    <d v="2014-05-20T00:00:00"/>
    <m/>
    <m/>
    <m/>
    <m/>
    <m/>
    <m/>
    <m/>
  </r>
  <r>
    <n v="1"/>
    <s v="14FW DISNEY_BP_05_BK"/>
    <n v="1"/>
    <s v="바이칼14FW DISNEY_BP_05_BK"/>
    <x v="5"/>
    <x v="4"/>
    <n v="0"/>
    <s v=""/>
    <x v="1"/>
    <s v=""/>
    <x v="70"/>
    <x v="5"/>
    <x v="0"/>
    <x v="0"/>
    <x v="17"/>
    <x v="18"/>
    <m/>
    <n v="128"/>
    <m/>
    <x v="6"/>
    <x v="15"/>
    <x v="0"/>
    <x v="439"/>
    <x v="3"/>
    <n v="1"/>
    <x v="13"/>
    <x v="38"/>
    <d v="2014-05-28T00:00:00"/>
    <d v="2014-05-20T00:00:00"/>
    <m/>
    <m/>
    <m/>
    <m/>
    <m/>
    <m/>
    <m/>
  </r>
  <r>
    <n v="1"/>
    <s v="14FW DISNEY_BP_06_PP_KIDS"/>
    <n v="1"/>
    <s v="바이칼14FW DISNEY_BP_06_PP_KIDS"/>
    <x v="5"/>
    <x v="4"/>
    <n v="0"/>
    <s v=""/>
    <x v="1"/>
    <s v=""/>
    <x v="73"/>
    <x v="5"/>
    <x v="0"/>
    <x v="0"/>
    <x v="17"/>
    <x v="18"/>
    <m/>
    <n v="129"/>
    <m/>
    <x v="6"/>
    <x v="15"/>
    <x v="0"/>
    <x v="440"/>
    <x v="5"/>
    <n v="1"/>
    <x v="13"/>
    <x v="38"/>
    <d v="2014-05-28T00:00:00"/>
    <d v="2014-05-30T00:00:00"/>
    <m/>
    <m/>
    <m/>
    <m/>
    <m/>
    <m/>
    <m/>
  </r>
  <r>
    <n v="1"/>
    <s v="14FW DISNEY_BP_07_PK_KIDS"/>
    <n v="1"/>
    <s v="바이칼14FW DISNEY_BP_07_PK_KIDS"/>
    <x v="5"/>
    <x v="4"/>
    <n v="0"/>
    <s v=""/>
    <x v="1"/>
    <s v=""/>
    <x v="73"/>
    <x v="5"/>
    <x v="0"/>
    <x v="0"/>
    <x v="17"/>
    <x v="18"/>
    <m/>
    <n v="130"/>
    <m/>
    <x v="6"/>
    <x v="15"/>
    <x v="0"/>
    <x v="441"/>
    <x v="5"/>
    <n v="1"/>
    <x v="13"/>
    <x v="38"/>
    <d v="2014-05-28T00:00:00"/>
    <d v="2014-05-30T00:00:00"/>
    <m/>
    <m/>
    <m/>
    <m/>
    <m/>
    <m/>
    <m/>
  </r>
  <r>
    <n v="1"/>
    <s v="14FW DISNEY_BP_08_PK_KIDS"/>
    <n v="1"/>
    <s v="바이칼14FW DISNEY_BP_08_PK_KIDS"/>
    <x v="5"/>
    <x v="4"/>
    <n v="0"/>
    <s v=""/>
    <x v="1"/>
    <s v=""/>
    <x v="73"/>
    <x v="5"/>
    <x v="0"/>
    <x v="0"/>
    <x v="17"/>
    <x v="18"/>
    <m/>
    <n v="131"/>
    <m/>
    <x v="6"/>
    <x v="15"/>
    <x v="0"/>
    <x v="442"/>
    <x v="5"/>
    <n v="1"/>
    <x v="13"/>
    <x v="38"/>
    <d v="2014-05-28T00:00:00"/>
    <d v="2014-05-30T00:00:00"/>
    <m/>
    <m/>
    <m/>
    <m/>
    <m/>
    <m/>
    <m/>
  </r>
  <r>
    <n v="1"/>
    <s v="14FW DISNEY_BP_09_NV_KIDS"/>
    <n v="1"/>
    <s v="바이칼14FW DISNEY_BP_09_NV_KIDS"/>
    <x v="5"/>
    <x v="4"/>
    <n v="0"/>
    <s v=""/>
    <x v="1"/>
    <s v=""/>
    <x v="73"/>
    <x v="5"/>
    <x v="0"/>
    <x v="0"/>
    <x v="17"/>
    <x v="18"/>
    <m/>
    <n v="132"/>
    <m/>
    <x v="6"/>
    <x v="15"/>
    <x v="0"/>
    <x v="443"/>
    <x v="5"/>
    <n v="1"/>
    <x v="13"/>
    <x v="38"/>
    <d v="2014-05-28T00:00:00"/>
    <d v="2014-05-30T00:00:00"/>
    <m/>
    <m/>
    <m/>
    <m/>
    <m/>
    <m/>
    <m/>
  </r>
  <r>
    <n v="0.5"/>
    <s v="14FW BLACK MOOD_03_FLAT_BK"/>
    <n v="1"/>
    <s v="FOREMOST14FW BLACK MOOD_03_FLAT_BK"/>
    <x v="4"/>
    <x v="4"/>
    <n v="0"/>
    <s v=""/>
    <x v="1"/>
    <s v=""/>
    <x v="75"/>
    <x v="6"/>
    <x v="0"/>
    <x v="0"/>
    <x v="9"/>
    <x v="10"/>
    <m/>
    <n v="133"/>
    <m/>
    <x v="7"/>
    <x v="5"/>
    <x v="0"/>
    <x v="395"/>
    <x v="3"/>
    <n v="0.5"/>
    <x v="4"/>
    <x v="39"/>
    <d v="2014-06-13T00:00:00"/>
    <d v="2014-06-13T00:00:00"/>
    <m/>
    <m/>
    <m/>
    <m/>
    <m/>
    <m/>
    <m/>
  </r>
  <r>
    <n v="1"/>
    <s v="14FW BLACK MOOD_04_CURVED_BK"/>
    <n v="1"/>
    <s v="FOREMOST14FW BLACK MOOD_04_CURVED_BK"/>
    <x v="4"/>
    <x v="4"/>
    <n v="0"/>
    <s v=""/>
    <x v="1"/>
    <s v=""/>
    <x v="75"/>
    <x v="6"/>
    <x v="0"/>
    <x v="0"/>
    <x v="9"/>
    <x v="10"/>
    <m/>
    <n v="134"/>
    <m/>
    <x v="7"/>
    <x v="1"/>
    <x v="0"/>
    <x v="444"/>
    <x v="3"/>
    <n v="1"/>
    <x v="4"/>
    <x v="39"/>
    <d v="2014-06-13T00:00:00"/>
    <d v="2014-06-13T00:00:00"/>
    <m/>
    <m/>
    <m/>
    <m/>
    <m/>
    <m/>
    <m/>
  </r>
  <r>
    <n v="1"/>
    <s v="14FW BLACK MOOD_05_BK"/>
    <n v="1"/>
    <s v="FOREMOST14FW BLACK MOOD_05_BK"/>
    <x v="4"/>
    <x v="4"/>
    <n v="0"/>
    <s v=""/>
    <x v="1"/>
    <s v=""/>
    <x v="75"/>
    <x v="6"/>
    <x v="0"/>
    <x v="0"/>
    <x v="9"/>
    <x v="10"/>
    <m/>
    <n v="135"/>
    <m/>
    <x v="7"/>
    <x v="5"/>
    <x v="0"/>
    <x v="445"/>
    <x v="3"/>
    <n v="1"/>
    <x v="4"/>
    <x v="39"/>
    <d v="2014-06-13T00:00:00"/>
    <d v="2014-06-13T00:00:00"/>
    <m/>
    <m/>
    <m/>
    <m/>
    <m/>
    <m/>
    <m/>
  </r>
  <r>
    <n v="1"/>
    <s v="14FW BLACK MOOD_06_BK"/>
    <n v="1"/>
    <s v="FOREMOST14FW BLACK MOOD_06_BK"/>
    <x v="4"/>
    <x v="4"/>
    <n v="0"/>
    <s v=""/>
    <x v="1"/>
    <s v=""/>
    <x v="75"/>
    <x v="6"/>
    <x v="0"/>
    <x v="0"/>
    <x v="9"/>
    <x v="10"/>
    <m/>
    <n v="136"/>
    <m/>
    <x v="7"/>
    <x v="1"/>
    <x v="0"/>
    <x v="446"/>
    <x v="3"/>
    <n v="1"/>
    <x v="4"/>
    <x v="39"/>
    <d v="2014-06-13T00:00:00"/>
    <d v="2014-06-13T00:00:00"/>
    <m/>
    <m/>
    <m/>
    <m/>
    <m/>
    <m/>
    <m/>
  </r>
  <r>
    <n v="1"/>
    <s v="14FW BLACK MOOD_07_BK"/>
    <n v="1"/>
    <s v="FOREMOST14FW BLACK MOOD_07_BK"/>
    <x v="4"/>
    <x v="4"/>
    <n v="0"/>
    <s v=""/>
    <x v="1"/>
    <s v=""/>
    <x v="75"/>
    <x v="6"/>
    <x v="0"/>
    <x v="0"/>
    <x v="9"/>
    <x v="10"/>
    <m/>
    <n v="137"/>
    <m/>
    <x v="7"/>
    <x v="1"/>
    <x v="0"/>
    <x v="447"/>
    <x v="3"/>
    <n v="1"/>
    <x v="4"/>
    <x v="39"/>
    <d v="2014-06-13T00:00:00"/>
    <d v="2014-06-13T00:00:00"/>
    <m/>
    <m/>
    <m/>
    <m/>
    <m/>
    <m/>
    <m/>
  </r>
  <r>
    <n v="0.5"/>
    <s v="14SS MRGM_01_BK"/>
    <n v="0.5"/>
    <s v="캡보이14SS MRGM_01_BK"/>
    <x v="0"/>
    <x v="6"/>
    <n v="0.5"/>
    <s v="14SS MRGM_01_BK"/>
    <x v="2"/>
    <s v="캡보이14SS MRGM_01_BK"/>
    <x v="76"/>
    <x v="1"/>
    <x v="2"/>
    <x v="1"/>
    <x v="18"/>
    <x v="19"/>
    <m/>
    <n v="1"/>
    <m/>
    <x v="12"/>
    <x v="0"/>
    <x v="0"/>
    <x v="448"/>
    <x v="3"/>
    <n v="0.5"/>
    <x v="5"/>
    <x v="40"/>
    <d v="2014-02-07T00:00:00"/>
    <d v="2014-02-25T00:00:00"/>
    <d v="2014-02-27T00:00:00"/>
    <m/>
    <m/>
    <m/>
    <m/>
    <m/>
    <m/>
  </r>
  <r>
    <n v="0.5"/>
    <s v="14SS MRGM_02_GY"/>
    <n v="0.5"/>
    <s v="캡보이14SS MRGM_02_GY"/>
    <x v="0"/>
    <x v="6"/>
    <n v="0.5"/>
    <s v="14SS MRGM_02_GY"/>
    <x v="2"/>
    <s v="캡보이14SS MRGM_02_GY"/>
    <x v="76"/>
    <x v="1"/>
    <x v="2"/>
    <x v="1"/>
    <x v="18"/>
    <x v="19"/>
    <m/>
    <n v="2"/>
    <m/>
    <x v="12"/>
    <x v="0"/>
    <x v="0"/>
    <x v="449"/>
    <x v="3"/>
    <n v="0.5"/>
    <x v="5"/>
    <x v="40"/>
    <d v="2014-02-07T00:00:00"/>
    <d v="2014-02-25T00:00:00"/>
    <d v="2014-02-27T00:00:00"/>
    <m/>
    <m/>
    <m/>
    <m/>
    <m/>
    <m/>
  </r>
  <r>
    <n v="1"/>
    <s v="14SS MRGM_06_BG"/>
    <n v="1"/>
    <s v="캡보이14SS MRGM_06_BG"/>
    <x v="0"/>
    <x v="6"/>
    <n v="1"/>
    <s v="14SS MRGM_06_BG"/>
    <x v="0"/>
    <s v="캡보이14SS MRGM_06_BG"/>
    <x v="76"/>
    <x v="1"/>
    <x v="2"/>
    <x v="1"/>
    <x v="18"/>
    <x v="19"/>
    <m/>
    <n v="3"/>
    <m/>
    <x v="12"/>
    <x v="0"/>
    <x v="0"/>
    <x v="450"/>
    <x v="3"/>
    <n v="1"/>
    <x v="5"/>
    <x v="40"/>
    <d v="2014-02-07T00:00:00"/>
    <d v="2014-02-25T00:00:00"/>
    <d v="2014-02-27T00:00:00"/>
    <n v="6.95"/>
    <m/>
    <m/>
    <m/>
    <m/>
    <m/>
  </r>
  <r>
    <n v="1"/>
    <s v="14SS MRGM_07_GY"/>
    <n v="1"/>
    <s v="캡보이14SS MRGM_07_GY"/>
    <x v="0"/>
    <x v="6"/>
    <n v="1"/>
    <s v="14SS MRGM_07_GY"/>
    <x v="0"/>
    <s v="캡보이14SS MRGM_07_GY"/>
    <x v="76"/>
    <x v="1"/>
    <x v="2"/>
    <x v="1"/>
    <x v="18"/>
    <x v="19"/>
    <m/>
    <n v="4"/>
    <m/>
    <x v="12"/>
    <x v="0"/>
    <x v="0"/>
    <x v="451"/>
    <x v="3"/>
    <n v="1"/>
    <x v="5"/>
    <x v="40"/>
    <d v="2014-02-07T00:00:00"/>
    <d v="2014-02-25T00:00:00"/>
    <d v="2014-02-27T00:00:00"/>
    <n v="7.2"/>
    <m/>
    <m/>
    <m/>
    <m/>
    <m/>
  </r>
  <r>
    <n v="1"/>
    <s v="14SS MRGM_10_BK"/>
    <n v="1"/>
    <s v="캡보이14SS MRGM_10_BK"/>
    <x v="0"/>
    <x v="6"/>
    <n v="1"/>
    <s v="14SS MRGM_10_BK"/>
    <x v="0"/>
    <s v="캡보이14SS MRGM_10_BK"/>
    <x v="76"/>
    <x v="1"/>
    <x v="2"/>
    <x v="1"/>
    <x v="18"/>
    <x v="19"/>
    <m/>
    <n v="5"/>
    <m/>
    <x v="12"/>
    <x v="0"/>
    <x v="0"/>
    <x v="452"/>
    <x v="3"/>
    <n v="1"/>
    <x v="5"/>
    <x v="40"/>
    <d v="2014-02-07T00:00:00"/>
    <d v="2014-02-25T00:00:00"/>
    <d v="2014-02-27T00:00:00"/>
    <n v="6.65"/>
    <m/>
    <m/>
    <m/>
    <m/>
    <m/>
  </r>
  <r>
    <n v="0.5"/>
    <s v="14SS MRGM_11_CHA"/>
    <n v="0.5"/>
    <s v="캡보이14SS MRGM_11_CHA"/>
    <x v="0"/>
    <x v="6"/>
    <n v="0.5"/>
    <s v="14SS MRGM_11_CHA"/>
    <x v="2"/>
    <s v="캡보이14SS MRGM_11_CHA"/>
    <x v="76"/>
    <x v="1"/>
    <x v="2"/>
    <x v="1"/>
    <x v="18"/>
    <x v="19"/>
    <m/>
    <n v="6"/>
    <m/>
    <x v="12"/>
    <x v="0"/>
    <x v="0"/>
    <x v="453"/>
    <x v="3"/>
    <n v="0.5"/>
    <x v="5"/>
    <x v="40"/>
    <d v="2014-02-07T00:00:00"/>
    <d v="2014-02-25T00:00:00"/>
    <d v="2014-02-27T00:00:00"/>
    <m/>
    <m/>
    <m/>
    <m/>
    <m/>
    <m/>
  </r>
  <r>
    <n v="1"/>
    <s v="14SS MRGM_12_WH"/>
    <n v="1"/>
    <s v="캡보이14SS MRGM_12_WH"/>
    <x v="0"/>
    <x v="6"/>
    <n v="1"/>
    <s v="14SS MRGM_12_WH"/>
    <x v="0"/>
    <s v="캡보이14SS MRGM_12_WH"/>
    <x v="76"/>
    <x v="1"/>
    <x v="2"/>
    <x v="1"/>
    <x v="18"/>
    <x v="19"/>
    <m/>
    <n v="7"/>
    <m/>
    <x v="12"/>
    <x v="0"/>
    <x v="0"/>
    <x v="454"/>
    <x v="3"/>
    <n v="1"/>
    <x v="5"/>
    <x v="40"/>
    <d v="2014-02-07T00:00:00"/>
    <d v="2014-02-25T00:00:00"/>
    <d v="2014-02-27T00:00:00"/>
    <n v="6.45"/>
    <n v="10622"/>
    <m/>
    <m/>
    <m/>
    <m/>
  </r>
  <r>
    <n v="1"/>
    <s v="14SS MRGM_18_GY"/>
    <n v="1"/>
    <s v="캡보이14SS MRGM_18_GY"/>
    <x v="0"/>
    <x v="6"/>
    <n v="1"/>
    <s v="14SS MRGM_18_GY"/>
    <x v="0"/>
    <s v="캡보이14SS MRGM_18_GY"/>
    <x v="76"/>
    <x v="1"/>
    <x v="2"/>
    <x v="1"/>
    <x v="18"/>
    <x v="19"/>
    <m/>
    <n v="8"/>
    <m/>
    <x v="12"/>
    <x v="0"/>
    <x v="0"/>
    <x v="455"/>
    <x v="3"/>
    <n v="1"/>
    <x v="5"/>
    <x v="40"/>
    <d v="2014-02-07T00:00:00"/>
    <d v="2014-02-25T00:00:00"/>
    <d v="2014-02-27T00:00:00"/>
    <m/>
    <n v="12254"/>
    <m/>
    <m/>
    <m/>
    <m/>
  </r>
  <r>
    <n v="0.5"/>
    <s v="14SS MRGM_05_D.GR"/>
    <n v="0.5"/>
    <s v="동일모자14SS MRGM_05_D.GR"/>
    <x v="1"/>
    <x v="9"/>
    <n v="0.5"/>
    <s v="14SS MRGM_05_D.GR"/>
    <x v="2"/>
    <s v="동일모자14SS MRGM_05_D.GR"/>
    <x v="77"/>
    <x v="1"/>
    <x v="6"/>
    <x v="0"/>
    <x v="18"/>
    <x v="19"/>
    <m/>
    <n v="9"/>
    <m/>
    <x v="12"/>
    <x v="0"/>
    <x v="0"/>
    <x v="456"/>
    <x v="3"/>
    <n v="0.5"/>
    <x v="1"/>
    <x v="41"/>
    <d v="2014-03-10T00:00:00"/>
    <d v="2014-02-28T00:00:00"/>
    <d v="2014-02-21T00:00:00"/>
    <m/>
    <m/>
    <m/>
    <n v="2"/>
    <s v="0"/>
    <m/>
  </r>
  <r>
    <n v="1"/>
    <s v="14SS MRGM_08_D.GY"/>
    <n v="1"/>
    <s v="동일모자14SS MRGM_08_D.GY"/>
    <x v="1"/>
    <x v="9"/>
    <n v="1"/>
    <s v="14SS MRGM_08_D.GY"/>
    <x v="0"/>
    <s v="동일모자14SS MRGM_08_D.GY"/>
    <x v="77"/>
    <x v="1"/>
    <x v="6"/>
    <x v="0"/>
    <x v="18"/>
    <x v="19"/>
    <m/>
    <n v="10"/>
    <m/>
    <x v="12"/>
    <x v="0"/>
    <x v="0"/>
    <x v="457"/>
    <x v="3"/>
    <n v="1"/>
    <x v="1"/>
    <x v="41"/>
    <d v="2014-03-10T00:00:00"/>
    <d v="2014-02-28T00:00:00"/>
    <d v="2014-02-21T00:00:00"/>
    <n v="4.5"/>
    <m/>
    <m/>
    <n v="2"/>
    <s v="0"/>
    <m/>
  </r>
  <r>
    <n v="1"/>
    <s v="14SS MRGM_09_KH"/>
    <n v="1"/>
    <s v="동일모자14SS MRGM_09_KH"/>
    <x v="1"/>
    <x v="9"/>
    <n v="1"/>
    <s v="14SS MRGM_09_KH"/>
    <x v="0"/>
    <s v="동일모자14SS MRGM_09_KH"/>
    <x v="77"/>
    <x v="1"/>
    <x v="6"/>
    <x v="0"/>
    <x v="18"/>
    <x v="19"/>
    <m/>
    <n v="11"/>
    <m/>
    <x v="12"/>
    <x v="0"/>
    <x v="0"/>
    <x v="458"/>
    <x v="3"/>
    <n v="1"/>
    <x v="1"/>
    <x v="41"/>
    <d v="2014-03-10T00:00:00"/>
    <d v="2014-02-28T00:00:00"/>
    <d v="2014-02-21T00:00:00"/>
    <m/>
    <m/>
    <m/>
    <n v="3"/>
    <s v="0"/>
    <m/>
  </r>
  <r>
    <n v="1"/>
    <s v="14SS MRGM_13_BL"/>
    <n v="1"/>
    <s v="동일모자14SS MRGM_13_BL"/>
    <x v="1"/>
    <x v="9"/>
    <n v="1"/>
    <s v="14SS MRGM_13_BL"/>
    <x v="0"/>
    <s v="동일모자14SS MRGM_13_BL"/>
    <x v="77"/>
    <x v="1"/>
    <x v="6"/>
    <x v="0"/>
    <x v="18"/>
    <x v="19"/>
    <m/>
    <n v="12"/>
    <m/>
    <x v="12"/>
    <x v="0"/>
    <x v="0"/>
    <x v="459"/>
    <x v="3"/>
    <n v="1"/>
    <x v="1"/>
    <x v="41"/>
    <d v="2014-03-10T00:00:00"/>
    <d v="2014-02-28T00:00:00"/>
    <d v="2014-02-21T00:00:00"/>
    <n v="4.6500000000000004"/>
    <m/>
    <m/>
    <n v="3"/>
    <s v="0"/>
    <m/>
  </r>
  <r>
    <n v="0.5"/>
    <s v="14SS MRGM_14_GY"/>
    <n v="0.5"/>
    <s v="동일모자14SS MRGM_14_GY"/>
    <x v="1"/>
    <x v="9"/>
    <n v="0.5"/>
    <s v="14SS MRGM_14_GY"/>
    <x v="2"/>
    <s v="동일모자14SS MRGM_14_GY"/>
    <x v="77"/>
    <x v="1"/>
    <x v="6"/>
    <x v="0"/>
    <x v="18"/>
    <x v="19"/>
    <m/>
    <n v="13"/>
    <m/>
    <x v="12"/>
    <x v="0"/>
    <x v="0"/>
    <x v="460"/>
    <x v="3"/>
    <n v="0.5"/>
    <x v="1"/>
    <x v="41"/>
    <d v="2014-03-10T00:00:00"/>
    <d v="2014-02-28T00:00:00"/>
    <d v="2014-02-21T00:00:00"/>
    <m/>
    <m/>
    <m/>
    <n v="4"/>
    <s v="0"/>
    <m/>
  </r>
  <r>
    <n v="0.5"/>
    <s v="14SS MRGM_16_GR"/>
    <n v="0.5"/>
    <s v="동일모자14SS MRGM_16_GR"/>
    <x v="1"/>
    <x v="9"/>
    <n v="0.5"/>
    <s v="14SS MRGM_16_GR"/>
    <x v="2"/>
    <s v="동일모자14SS MRGM_16_GR"/>
    <x v="77"/>
    <x v="1"/>
    <x v="6"/>
    <x v="0"/>
    <x v="18"/>
    <x v="19"/>
    <m/>
    <n v="14"/>
    <m/>
    <x v="12"/>
    <x v="0"/>
    <x v="0"/>
    <x v="461"/>
    <x v="3"/>
    <n v="0.5"/>
    <x v="1"/>
    <x v="41"/>
    <d v="2014-03-10T00:00:00"/>
    <d v="2014-02-28T00:00:00"/>
    <d v="2014-02-21T00:00:00"/>
    <m/>
    <m/>
    <m/>
    <n v="2"/>
    <s v="0"/>
    <m/>
  </r>
  <r>
    <n v="0.5"/>
    <s v="14SS MRGM_17_GY"/>
    <n v="0.5"/>
    <s v="동일모자14SS MRGM_17_GY"/>
    <x v="1"/>
    <x v="9"/>
    <n v="0.5"/>
    <s v="14SS MRGM_17_GY"/>
    <x v="2"/>
    <s v="동일모자14SS MRGM_17_GY"/>
    <x v="77"/>
    <x v="1"/>
    <x v="6"/>
    <x v="0"/>
    <x v="18"/>
    <x v="19"/>
    <m/>
    <n v="15"/>
    <m/>
    <x v="12"/>
    <x v="0"/>
    <x v="0"/>
    <x v="462"/>
    <x v="3"/>
    <n v="0.5"/>
    <x v="1"/>
    <x v="41"/>
    <d v="2014-03-10T00:00:00"/>
    <d v="2014-02-28T00:00:00"/>
    <d v="2014-02-21T00:00:00"/>
    <m/>
    <m/>
    <m/>
    <n v="2"/>
    <s v="0"/>
    <m/>
  </r>
  <r>
    <n v="1"/>
    <s v="14SS MRGM_03_NV"/>
    <n v="1"/>
    <s v="J&amp;F14SS MRGM_03_NV"/>
    <x v="1"/>
    <x v="9"/>
    <n v="1"/>
    <s v="14SS MRGM_03_NV"/>
    <x v="0"/>
    <s v="J&amp;F14SS MRGM_03_NV"/>
    <x v="7"/>
    <x v="1"/>
    <x v="2"/>
    <x v="0"/>
    <x v="18"/>
    <x v="19"/>
    <m/>
    <n v="16"/>
    <m/>
    <x v="12"/>
    <x v="0"/>
    <x v="0"/>
    <x v="463"/>
    <x v="3"/>
    <n v="1"/>
    <x v="14"/>
    <x v="41"/>
    <d v="2014-03-10T00:00:00"/>
    <d v="2014-03-03T00:00:00"/>
    <d v="2014-02-28T00:00:00"/>
    <n v="3.2"/>
    <m/>
    <m/>
    <n v="1"/>
    <n v="1"/>
    <m/>
  </r>
  <r>
    <n v="1"/>
    <s v="14SS MRGM_04_D.GR"/>
    <n v="1"/>
    <s v="J&amp;F14SS MRGM_04_D.GR"/>
    <x v="1"/>
    <x v="9"/>
    <n v="1"/>
    <s v="14SS MRGM_04_D.GR"/>
    <x v="0"/>
    <s v="J&amp;F14SS MRGM_04_D.GR"/>
    <x v="7"/>
    <x v="1"/>
    <x v="2"/>
    <x v="0"/>
    <x v="18"/>
    <x v="19"/>
    <m/>
    <n v="17"/>
    <m/>
    <x v="12"/>
    <x v="0"/>
    <x v="0"/>
    <x v="464"/>
    <x v="3"/>
    <n v="1"/>
    <x v="14"/>
    <x v="41"/>
    <d v="2014-03-10T00:00:00"/>
    <d v="2014-03-03T00:00:00"/>
    <d v="2014-02-28T00:00:00"/>
    <n v="2.5499999999999998"/>
    <m/>
    <m/>
    <n v="1"/>
    <s v="0"/>
    <m/>
  </r>
  <r>
    <n v="1"/>
    <s v="14SS MRGM_15_BK"/>
    <n v="1"/>
    <s v="J&amp;F14SS MRGM_15_BK"/>
    <x v="1"/>
    <x v="9"/>
    <n v="1"/>
    <s v="14SS MRGM_15_BK"/>
    <x v="0"/>
    <s v="J&amp;F14SS MRGM_15_BK"/>
    <x v="7"/>
    <x v="1"/>
    <x v="2"/>
    <x v="0"/>
    <x v="18"/>
    <x v="19"/>
    <m/>
    <n v="18"/>
    <m/>
    <x v="12"/>
    <x v="0"/>
    <x v="0"/>
    <x v="465"/>
    <x v="3"/>
    <n v="1"/>
    <x v="14"/>
    <x v="41"/>
    <d v="2014-03-10T00:00:00"/>
    <d v="2014-03-03T00:00:00"/>
    <d v="2014-02-28T00:00:00"/>
    <n v="2.2000000000000002"/>
    <m/>
    <m/>
    <n v="2"/>
    <n v="2"/>
    <m/>
  </r>
  <r>
    <n v="0.5"/>
    <s v="14SS MRGM_05_D.GR"/>
    <n v="0.5"/>
    <s v="동일모자14SS MRGM_05_D.GR"/>
    <x v="1"/>
    <x v="7"/>
    <n v="0.5"/>
    <s v="14SS MRGM_05_D.GR"/>
    <x v="2"/>
    <s v="동일모자14SS MRGM_05_D.GR"/>
    <x v="39"/>
    <x v="0"/>
    <x v="0"/>
    <x v="0"/>
    <x v="18"/>
    <x v="19"/>
    <m/>
    <n v="19"/>
    <m/>
    <x v="12"/>
    <x v="0"/>
    <x v="0"/>
    <x v="456"/>
    <x v="3"/>
    <n v="0.5"/>
    <x v="1"/>
    <x v="32"/>
    <d v="2014-03-25T00:00:00"/>
    <d v="2014-03-17T00:00:00"/>
    <d v="2014-03-14T00:00:00"/>
    <n v="4.25"/>
    <m/>
    <m/>
    <n v="2"/>
    <s v="0"/>
    <m/>
  </r>
  <r>
    <n v="0.5"/>
    <s v="14SS MRGM_14_GY"/>
    <n v="0.5"/>
    <s v="동일모자14SS MRGM_14_GY"/>
    <x v="1"/>
    <x v="7"/>
    <n v="0.5"/>
    <s v="14SS MRGM_14_GY"/>
    <x v="2"/>
    <s v="동일모자14SS MRGM_14_GY"/>
    <x v="39"/>
    <x v="0"/>
    <x v="0"/>
    <x v="0"/>
    <x v="18"/>
    <x v="19"/>
    <m/>
    <n v="20"/>
    <m/>
    <x v="12"/>
    <x v="0"/>
    <x v="0"/>
    <x v="460"/>
    <x v="3"/>
    <n v="0.5"/>
    <x v="1"/>
    <x v="32"/>
    <d v="2014-03-25T00:00:00"/>
    <d v="2014-03-17T00:00:00"/>
    <d v="2014-03-14T00:00:00"/>
    <n v="4.5"/>
    <m/>
    <m/>
    <n v="4"/>
    <s v="0"/>
    <m/>
  </r>
  <r>
    <n v="0.5"/>
    <s v="14SS MRGM_16_GR"/>
    <n v="0.5"/>
    <s v="동일모자14SS MRGM_16_GR"/>
    <x v="1"/>
    <x v="7"/>
    <n v="0.5"/>
    <s v="14SS MRGM_16_GR"/>
    <x v="2"/>
    <s v="동일모자14SS MRGM_16_GR"/>
    <x v="39"/>
    <x v="0"/>
    <x v="0"/>
    <x v="0"/>
    <x v="18"/>
    <x v="19"/>
    <m/>
    <n v="21"/>
    <m/>
    <x v="12"/>
    <x v="0"/>
    <x v="0"/>
    <x v="461"/>
    <x v="3"/>
    <n v="0.5"/>
    <x v="1"/>
    <x v="32"/>
    <d v="2014-03-25T00:00:00"/>
    <d v="2014-03-17T00:00:00"/>
    <d v="2014-03-14T00:00:00"/>
    <n v="4.25"/>
    <m/>
    <m/>
    <n v="2"/>
    <s v="0"/>
    <m/>
  </r>
  <r>
    <n v="0.5"/>
    <s v="14SS MRGM_17_GY"/>
    <n v="0.5"/>
    <s v="동일모자14SS MRGM_17_GY"/>
    <x v="1"/>
    <x v="7"/>
    <n v="0.5"/>
    <s v="14SS MRGM_17_GY"/>
    <x v="2"/>
    <s v="동일모자14SS MRGM_17_GY"/>
    <x v="39"/>
    <x v="0"/>
    <x v="0"/>
    <x v="0"/>
    <x v="18"/>
    <x v="19"/>
    <m/>
    <n v="22"/>
    <m/>
    <x v="12"/>
    <x v="0"/>
    <x v="0"/>
    <x v="462"/>
    <x v="3"/>
    <n v="0.5"/>
    <x v="1"/>
    <x v="32"/>
    <d v="2014-03-25T00:00:00"/>
    <d v="2014-03-17T00:00:00"/>
    <d v="2014-03-14T00:00:00"/>
    <n v="4.5"/>
    <m/>
    <m/>
    <n v="2"/>
    <s v="0"/>
    <m/>
  </r>
  <r>
    <n v="0.5"/>
    <s v="14SS MRGM_01_BK"/>
    <n v="0.5"/>
    <s v="캡보이14SS MRGM_01_BK"/>
    <x v="2"/>
    <x v="3"/>
    <n v="0.5"/>
    <s v="14SS MRGM_01_BK"/>
    <x v="2"/>
    <s v="캡보이14SS MRGM_01_BK"/>
    <x v="1"/>
    <x v="0"/>
    <x v="0"/>
    <x v="1"/>
    <x v="18"/>
    <x v="19"/>
    <m/>
    <n v="23"/>
    <m/>
    <x v="12"/>
    <x v="0"/>
    <x v="0"/>
    <x v="448"/>
    <x v="3"/>
    <n v="0.5"/>
    <x v="5"/>
    <x v="17"/>
    <d v="2014-03-24T00:00:00"/>
    <d v="2014-03-17T00:00:00"/>
    <d v="2014-03-18T00:00:00"/>
    <n v="6.95"/>
    <m/>
    <m/>
    <m/>
    <m/>
    <m/>
  </r>
  <r>
    <n v="0.5"/>
    <s v="14SS MRGM_02_GY"/>
    <n v="0.5"/>
    <s v="캡보이14SS MRGM_02_GY"/>
    <x v="2"/>
    <x v="3"/>
    <n v="0.5"/>
    <s v="14SS MRGM_02_GY"/>
    <x v="2"/>
    <s v="캡보이14SS MRGM_02_GY"/>
    <x v="1"/>
    <x v="0"/>
    <x v="0"/>
    <x v="1"/>
    <x v="18"/>
    <x v="19"/>
    <m/>
    <n v="24"/>
    <m/>
    <x v="12"/>
    <x v="0"/>
    <x v="0"/>
    <x v="449"/>
    <x v="3"/>
    <n v="0.5"/>
    <x v="5"/>
    <x v="17"/>
    <d v="2014-03-24T00:00:00"/>
    <d v="2014-03-17T00:00:00"/>
    <d v="2014-03-18T00:00:00"/>
    <m/>
    <n v="12145"/>
    <m/>
    <m/>
    <m/>
    <m/>
  </r>
  <r>
    <n v="0.5"/>
    <s v="14SS MRGM_11_CHA"/>
    <n v="0.5"/>
    <s v="캡보이14SS MRGM_11_CHA"/>
    <x v="2"/>
    <x v="3"/>
    <n v="0.5"/>
    <s v="14SS MRGM_11_CHA"/>
    <x v="2"/>
    <s v="캡보이14SS MRGM_11_CHA"/>
    <x v="1"/>
    <x v="0"/>
    <x v="0"/>
    <x v="1"/>
    <x v="18"/>
    <x v="19"/>
    <m/>
    <n v="25"/>
    <m/>
    <x v="12"/>
    <x v="0"/>
    <x v="0"/>
    <x v="453"/>
    <x v="3"/>
    <n v="0.5"/>
    <x v="5"/>
    <x v="17"/>
    <d v="2014-03-24T00:00:00"/>
    <d v="2014-03-17T00:00:00"/>
    <d v="2014-03-18T00:00:00"/>
    <n v="6.45"/>
    <m/>
    <m/>
    <m/>
    <m/>
    <m/>
  </r>
  <r>
    <n v="1"/>
    <s v="14FW VB 01_CAMP_BK"/>
    <n v="1"/>
    <s v="FOREMOST14FW VB 01_CAMP_BK"/>
    <x v="0"/>
    <x v="0"/>
    <n v="1"/>
    <s v="14FW VB 01_CAMP_BK"/>
    <x v="0"/>
    <s v="FOREMOST14FW VB 01_CAMP_BK"/>
    <x v="2"/>
    <x v="0"/>
    <x v="0"/>
    <x v="0"/>
    <x v="19"/>
    <x v="20"/>
    <m/>
    <n v="1"/>
    <m/>
    <x v="13"/>
    <x v="1"/>
    <x v="0"/>
    <x v="466"/>
    <x v="3"/>
    <n v="1"/>
    <x v="4"/>
    <x v="1"/>
    <d v="2014-02-21T00:00:00"/>
    <d v="2014-03-12T00:00:00"/>
    <d v="2014-03-19T00:00:00"/>
    <m/>
    <m/>
    <m/>
    <n v="4"/>
    <n v="4"/>
    <m/>
  </r>
  <r>
    <n v="1"/>
    <s v="14FW VB 02_WIRE_BK"/>
    <n v="1"/>
    <s v="FOREMOST14FW VB 02_WIRE_BK"/>
    <x v="0"/>
    <x v="0"/>
    <n v="1"/>
    <s v="14FW VB 02_WIRE_BK"/>
    <x v="0"/>
    <s v="FOREMOST14FW VB 02_WIRE_BK"/>
    <x v="9"/>
    <x v="0"/>
    <x v="0"/>
    <x v="0"/>
    <x v="19"/>
    <x v="20"/>
    <m/>
    <n v="2"/>
    <m/>
    <x v="13"/>
    <x v="1"/>
    <x v="0"/>
    <x v="467"/>
    <x v="3"/>
    <n v="1"/>
    <x v="4"/>
    <x v="1"/>
    <d v="2014-02-21T00:00:00"/>
    <d v="2014-03-12T00:00:00"/>
    <d v="2014-03-24T00:00:00"/>
    <m/>
    <m/>
    <m/>
    <n v="4"/>
    <n v="4"/>
    <m/>
  </r>
  <r>
    <n v="1"/>
    <s v="14FW VB 03_WIRE_BK"/>
    <n v="1"/>
    <s v="FOREMOST14FW VB 03_WIRE_BK"/>
    <x v="0"/>
    <x v="0"/>
    <n v="1"/>
    <s v="14FW VB 03_WIRE_BK"/>
    <x v="0"/>
    <s v="FOREMOST14FW VB 03_WIRE_BK"/>
    <x v="78"/>
    <x v="0"/>
    <x v="0"/>
    <x v="0"/>
    <x v="19"/>
    <x v="20"/>
    <m/>
    <n v="3"/>
    <m/>
    <x v="13"/>
    <x v="3"/>
    <x v="0"/>
    <x v="468"/>
    <x v="3"/>
    <n v="1"/>
    <x v="4"/>
    <x v="1"/>
    <d v="2014-02-21T00:00:00"/>
    <d v="2014-03-12T00:00:00"/>
    <d v="2014-03-20T00:00:00"/>
    <m/>
    <m/>
    <m/>
    <n v="3"/>
    <n v="2"/>
    <m/>
  </r>
  <r>
    <n v="1"/>
    <s v="14FW VB 04_WIRE_GY"/>
    <n v="1"/>
    <s v="FOREMOST14FW VB 04_WIRE_GY"/>
    <x v="0"/>
    <x v="0"/>
    <n v="1"/>
    <s v="14FW VB 04_WIRE_GY"/>
    <x v="0"/>
    <s v="FOREMOST14FW VB 04_WIRE_GY"/>
    <x v="78"/>
    <x v="0"/>
    <x v="0"/>
    <x v="0"/>
    <x v="19"/>
    <x v="20"/>
    <m/>
    <n v="4"/>
    <m/>
    <x v="13"/>
    <x v="3"/>
    <x v="0"/>
    <x v="469"/>
    <x v="3"/>
    <n v="1"/>
    <x v="4"/>
    <x v="1"/>
    <d v="2014-02-21T00:00:00"/>
    <d v="2014-03-12T00:00:00"/>
    <d v="2014-03-20T00:00:00"/>
    <m/>
    <m/>
    <m/>
    <n v="4"/>
    <n v="3"/>
    <m/>
  </r>
  <r>
    <n v="1"/>
    <s v="14FW VB 05_CAMP_GY"/>
    <n v="1"/>
    <s v="FOREMOST14FW VB 05_CAMP_GY"/>
    <x v="0"/>
    <x v="0"/>
    <n v="1"/>
    <s v="14FW VB 05_CAMP_GY"/>
    <x v="0"/>
    <s v="FOREMOST14FW VB 05_CAMP_GY"/>
    <x v="41"/>
    <x v="0"/>
    <x v="0"/>
    <x v="0"/>
    <x v="19"/>
    <x v="20"/>
    <m/>
    <n v="5"/>
    <m/>
    <x v="13"/>
    <x v="1"/>
    <x v="0"/>
    <x v="470"/>
    <x v="3"/>
    <n v="1"/>
    <x v="4"/>
    <x v="1"/>
    <d v="2014-02-21T00:00:00"/>
    <d v="2014-03-12T00:00:00"/>
    <d v="2014-03-12T00:00:00"/>
    <m/>
    <m/>
    <m/>
    <n v="3"/>
    <n v="3"/>
    <m/>
  </r>
  <r>
    <n v="1"/>
    <s v="14FW VB 06_CAMP_BK"/>
    <n v="1"/>
    <s v="FOREMOST14FW VB 06_CAMP_BK"/>
    <x v="0"/>
    <x v="0"/>
    <n v="1"/>
    <s v="14FW VB 06_CAMP_BK"/>
    <x v="0"/>
    <s v="FOREMOST14FW VB 06_CAMP_BK"/>
    <x v="21"/>
    <x v="3"/>
    <x v="0"/>
    <x v="0"/>
    <x v="19"/>
    <x v="20"/>
    <m/>
    <n v="6"/>
    <m/>
    <x v="13"/>
    <x v="3"/>
    <x v="0"/>
    <x v="471"/>
    <x v="3"/>
    <n v="1"/>
    <x v="4"/>
    <x v="1"/>
    <d v="2014-02-21T00:00:00"/>
    <d v="2014-03-12T00:00:00"/>
    <d v="2014-04-01T00:00:00"/>
    <m/>
    <m/>
    <m/>
    <n v="2"/>
    <n v="1"/>
    <m/>
  </r>
  <r>
    <n v="1"/>
    <s v="14FW VB 07_CAMP_GR"/>
    <n v="1"/>
    <s v="FOREMOST14FW VB 07_CAMP_GR"/>
    <x v="0"/>
    <x v="0"/>
    <n v="1"/>
    <s v="14FW VB 07_CAMP_GR"/>
    <x v="0"/>
    <s v="FOREMOST14FW VB 07_CAMP_GR"/>
    <x v="41"/>
    <x v="0"/>
    <x v="0"/>
    <x v="0"/>
    <x v="19"/>
    <x v="20"/>
    <m/>
    <n v="7"/>
    <m/>
    <x v="13"/>
    <x v="3"/>
    <x v="0"/>
    <x v="472"/>
    <x v="3"/>
    <n v="1"/>
    <x v="4"/>
    <x v="1"/>
    <d v="2014-02-21T00:00:00"/>
    <d v="2014-03-12T00:00:00"/>
    <d v="2014-03-12T00:00:00"/>
    <m/>
    <m/>
    <m/>
    <n v="5"/>
    <n v="2"/>
    <m/>
  </r>
  <r>
    <n v="1"/>
    <s v="14FW VB 07_CAMP_YE"/>
    <n v="1"/>
    <s v="FOREMOST14FW VB 07_CAMP_YE"/>
    <x v="0"/>
    <x v="0"/>
    <n v="1"/>
    <s v="14FW VB 07_CAMP_YE"/>
    <x v="0"/>
    <s v="FOREMOST14FW VB 07_CAMP_YE"/>
    <x v="41"/>
    <x v="0"/>
    <x v="0"/>
    <x v="0"/>
    <x v="19"/>
    <x v="20"/>
    <m/>
    <n v="8"/>
    <m/>
    <x v="13"/>
    <x v="3"/>
    <x v="0"/>
    <x v="473"/>
    <x v="3"/>
    <n v="1"/>
    <x v="4"/>
    <x v="1"/>
    <d v="2014-02-21T00:00:00"/>
    <d v="2014-03-12T00:00:00"/>
    <d v="2014-03-12T00:00:00"/>
    <m/>
    <m/>
    <m/>
    <n v="5"/>
    <n v="2"/>
    <m/>
  </r>
  <r>
    <n v="1"/>
    <s v="14FW VB 08_CAMP_BK"/>
    <n v="1"/>
    <s v="FOREMOST14FW VB 08_CAMP_BK"/>
    <x v="0"/>
    <x v="0"/>
    <n v="1"/>
    <s v="14FW VB 08_CAMP_BK"/>
    <x v="0"/>
    <s v="FOREMOST14FW VB 08_CAMP_BK"/>
    <x v="1"/>
    <x v="0"/>
    <x v="0"/>
    <x v="0"/>
    <x v="19"/>
    <x v="20"/>
    <m/>
    <n v="9"/>
    <m/>
    <x v="13"/>
    <x v="1"/>
    <x v="0"/>
    <x v="474"/>
    <x v="3"/>
    <n v="1"/>
    <x v="4"/>
    <x v="1"/>
    <d v="2014-02-21T00:00:00"/>
    <d v="2014-03-12T00:00:00"/>
    <d v="2014-03-18T00:00:00"/>
    <m/>
    <m/>
    <m/>
    <n v="2"/>
    <n v="2"/>
    <m/>
  </r>
  <r>
    <n v="1"/>
    <s v="14FW VB 09_CAMP_BL"/>
    <n v="1"/>
    <s v="FOREMOST14FW VB 09_CAMP_BL"/>
    <x v="0"/>
    <x v="0"/>
    <n v="1"/>
    <s v="14FW VB 09_CAMP_BL"/>
    <x v="0"/>
    <s v="FOREMOST14FW VB 09_CAMP_BL"/>
    <x v="58"/>
    <x v="0"/>
    <x v="0"/>
    <x v="0"/>
    <x v="19"/>
    <x v="20"/>
    <m/>
    <n v="10"/>
    <m/>
    <x v="13"/>
    <x v="1"/>
    <x v="0"/>
    <x v="475"/>
    <x v="3"/>
    <n v="1"/>
    <x v="4"/>
    <x v="1"/>
    <d v="2014-02-21T00:00:00"/>
    <d v="2014-03-12T00:00:00"/>
    <d v="2014-03-17T00:00:00"/>
    <m/>
    <m/>
    <m/>
    <n v="2"/>
    <n v="2"/>
    <m/>
  </r>
  <r>
    <n v="1"/>
    <s v="14FW VB 10_CAMP_WN"/>
    <n v="1"/>
    <s v="FOREMOST14FW VB 10_CAMP_WN"/>
    <x v="0"/>
    <x v="0"/>
    <n v="1"/>
    <s v="14FW VB 10_CAMP_WN"/>
    <x v="0"/>
    <s v="FOREMOST14FW VB 10_CAMP_WN"/>
    <x v="1"/>
    <x v="0"/>
    <x v="0"/>
    <x v="0"/>
    <x v="19"/>
    <x v="20"/>
    <m/>
    <n v="11"/>
    <m/>
    <x v="13"/>
    <x v="1"/>
    <x v="0"/>
    <x v="476"/>
    <x v="3"/>
    <n v="1"/>
    <x v="4"/>
    <x v="1"/>
    <d v="2014-02-21T00:00:00"/>
    <d v="2014-03-12T00:00:00"/>
    <d v="2014-03-18T00:00:00"/>
    <m/>
    <m/>
    <m/>
    <n v="2"/>
    <n v="2"/>
    <m/>
  </r>
  <r>
    <n v="1"/>
    <s v="14FW VB 11_CAMP_GY"/>
    <n v="1"/>
    <s v="FOREMOST14FW VB 11_CAMP_GY"/>
    <x v="0"/>
    <x v="0"/>
    <n v="1"/>
    <s v="14FW VB 11_CAMP_GY"/>
    <x v="0"/>
    <s v="FOREMOST14FW VB 11_CAMP_GY"/>
    <x v="58"/>
    <x v="0"/>
    <x v="0"/>
    <x v="0"/>
    <x v="19"/>
    <x v="20"/>
    <m/>
    <n v="12"/>
    <m/>
    <x v="13"/>
    <x v="3"/>
    <x v="0"/>
    <x v="477"/>
    <x v="3"/>
    <n v="1"/>
    <x v="4"/>
    <x v="1"/>
    <d v="2014-02-21T00:00:00"/>
    <d v="2014-03-12T00:00:00"/>
    <d v="2014-03-17T00:00:00"/>
    <m/>
    <m/>
    <m/>
    <n v="3"/>
    <n v="3"/>
    <m/>
  </r>
  <r>
    <n v="1"/>
    <s v="14FW VB 12_CAMP_BK"/>
    <n v="1"/>
    <s v="FOREMOST14FW VB 12_CAMP_BK"/>
    <x v="0"/>
    <x v="0"/>
    <n v="1"/>
    <s v="14FW VB 12_CAMP_BK"/>
    <x v="0"/>
    <s v="FOREMOST14FW VB 12_CAMP_BK"/>
    <x v="2"/>
    <x v="0"/>
    <x v="0"/>
    <x v="0"/>
    <x v="19"/>
    <x v="20"/>
    <m/>
    <n v="13"/>
    <m/>
    <x v="13"/>
    <x v="3"/>
    <x v="0"/>
    <x v="478"/>
    <x v="3"/>
    <n v="1"/>
    <x v="4"/>
    <x v="1"/>
    <d v="2014-02-21T00:00:00"/>
    <d v="2014-03-12T00:00:00"/>
    <d v="2014-03-19T00:00:00"/>
    <m/>
    <m/>
    <m/>
    <n v="3"/>
    <n v="2"/>
    <m/>
  </r>
  <r>
    <n v="0.5"/>
    <s v="14FW_URBAN SWAGGER_01_FLAT_BK"/>
    <n v="1"/>
    <s v="QF14FW_URBAN SWAGGER_01_FLAT_BK"/>
    <x v="1"/>
    <x v="2"/>
    <n v="0.5"/>
    <s v="14FW_URBAN SWAGGER_01_FLAT_BK"/>
    <x v="0"/>
    <s v="QF14FW_URBAN SWAGGER_01_FLAT_BK"/>
    <x v="78"/>
    <x v="0"/>
    <x v="0"/>
    <x v="0"/>
    <x v="20"/>
    <x v="21"/>
    <m/>
    <n v="14"/>
    <m/>
    <x v="14"/>
    <x v="0"/>
    <x v="0"/>
    <x v="479"/>
    <x v="3"/>
    <n v="0.5"/>
    <x v="0"/>
    <x v="31"/>
    <d v="2014-03-17T00:00:00"/>
    <d v="2014-03-17T00:00:00"/>
    <d v="2014-03-20T00:00:00"/>
    <m/>
    <m/>
    <m/>
    <n v="3"/>
    <n v="2"/>
    <m/>
  </r>
  <r>
    <n v="0.5"/>
    <s v="14FW_URBAN SWAGGER_02_FLAT_GY"/>
    <n v="1"/>
    <s v="QF14FW_URBAN SWAGGER_02_FLAT_GY"/>
    <x v="1"/>
    <x v="2"/>
    <n v="0.5"/>
    <s v="14FW_URBAN SWAGGER_02_FLAT_GY"/>
    <x v="0"/>
    <s v="QF14FW_URBAN SWAGGER_02_FLAT_GY"/>
    <x v="78"/>
    <x v="0"/>
    <x v="0"/>
    <x v="0"/>
    <x v="20"/>
    <x v="21"/>
    <m/>
    <n v="15"/>
    <m/>
    <x v="14"/>
    <x v="0"/>
    <x v="0"/>
    <x v="480"/>
    <x v="3"/>
    <n v="0.5"/>
    <x v="0"/>
    <x v="31"/>
    <d v="2014-03-17T00:00:00"/>
    <d v="2014-03-17T00:00:00"/>
    <d v="2014-03-20T00:00:00"/>
    <m/>
    <m/>
    <m/>
    <n v="2"/>
    <n v="2"/>
    <m/>
  </r>
  <r>
    <n v="0.5"/>
    <s v="14FW_URBAN SWAGGER_03_FLAT_BK"/>
    <n v="1"/>
    <s v="QF14FW_URBAN SWAGGER_03_FLAT_BK"/>
    <x v="1"/>
    <x v="2"/>
    <n v="0.5"/>
    <s v="14FW_URBAN SWAGGER_03_FLAT_BK"/>
    <x v="0"/>
    <s v="QF14FW_URBAN SWAGGER_03_FLAT_BK"/>
    <x v="78"/>
    <x v="0"/>
    <x v="0"/>
    <x v="0"/>
    <x v="20"/>
    <x v="21"/>
    <m/>
    <n v="16"/>
    <m/>
    <x v="14"/>
    <x v="0"/>
    <x v="0"/>
    <x v="481"/>
    <x v="3"/>
    <n v="0.5"/>
    <x v="0"/>
    <x v="31"/>
    <d v="2014-03-17T00:00:00"/>
    <d v="2014-03-17T00:00:00"/>
    <d v="2014-03-20T00:00:00"/>
    <m/>
    <m/>
    <m/>
    <n v="2"/>
    <n v="1"/>
    <m/>
  </r>
  <r>
    <n v="0.5"/>
    <s v="14FW_URBAN SWAGGER_04_EAR FLAT_DN"/>
    <n v="1"/>
    <s v="QF14FW_URBAN SWAGGER_04_EAR FLAT_DN"/>
    <x v="1"/>
    <x v="2"/>
    <n v="0.5"/>
    <s v="14FW_URBAN SWAGGER_04_EAR FLAT_DN"/>
    <x v="0"/>
    <s v="QF14FW_URBAN SWAGGER_04_EAR FLAT_DN"/>
    <x v="78"/>
    <x v="0"/>
    <x v="0"/>
    <x v="0"/>
    <x v="20"/>
    <x v="21"/>
    <m/>
    <n v="17"/>
    <m/>
    <x v="14"/>
    <x v="3"/>
    <x v="0"/>
    <x v="482"/>
    <x v="3"/>
    <n v="0.5"/>
    <x v="0"/>
    <x v="31"/>
    <d v="2014-03-17T00:00:00"/>
    <d v="2014-03-17T00:00:00"/>
    <d v="2014-03-20T00:00:00"/>
    <m/>
    <m/>
    <m/>
    <n v="4"/>
    <n v="3"/>
    <m/>
  </r>
  <r>
    <n v="0.5"/>
    <s v="14FW_URBAN SWAGGER_05_EAR FLAT_BK"/>
    <n v="1"/>
    <s v="QF14FW_URBAN SWAGGER_05_EAR FLAT_BK"/>
    <x v="1"/>
    <x v="2"/>
    <n v="0.5"/>
    <s v="14FW_URBAN SWAGGER_05_EAR FLAT_BK"/>
    <x v="0"/>
    <s v="QF14FW_URBAN SWAGGER_05_EAR FLAT_BK"/>
    <x v="21"/>
    <x v="3"/>
    <x v="0"/>
    <x v="0"/>
    <x v="20"/>
    <x v="21"/>
    <m/>
    <n v="18"/>
    <m/>
    <x v="14"/>
    <x v="3"/>
    <x v="0"/>
    <x v="483"/>
    <x v="3"/>
    <n v="0.5"/>
    <x v="0"/>
    <x v="31"/>
    <d v="2014-03-17T00:00:00"/>
    <d v="2014-03-17T00:00:00"/>
    <d v="2014-04-01T00:00:00"/>
    <m/>
    <m/>
    <m/>
    <n v="5"/>
    <n v="2"/>
    <m/>
  </r>
  <r>
    <n v="0.5"/>
    <s v="14FW_URBAN SWAGGER_06_FLAT_NV"/>
    <n v="1"/>
    <s v="QF14FW_URBAN SWAGGER_06_FLAT_NV"/>
    <x v="1"/>
    <x v="2"/>
    <n v="0.5"/>
    <s v="14FW_URBAN SWAGGER_06_FLAT_NV"/>
    <x v="0"/>
    <s v="QF14FW_URBAN SWAGGER_06_FLAT_NV"/>
    <x v="15"/>
    <x v="3"/>
    <x v="0"/>
    <x v="0"/>
    <x v="20"/>
    <x v="21"/>
    <m/>
    <n v="19"/>
    <m/>
    <x v="14"/>
    <x v="0"/>
    <x v="0"/>
    <x v="484"/>
    <x v="3"/>
    <n v="0.5"/>
    <x v="0"/>
    <x v="31"/>
    <d v="2014-03-17T00:00:00"/>
    <d v="2014-03-12T00:00:00"/>
    <d v="2014-04-07T00:00:00"/>
    <m/>
    <m/>
    <m/>
    <n v="3"/>
    <n v="2"/>
    <m/>
  </r>
  <r>
    <n v="0.5"/>
    <s v="14FW_URBAN SWAGGER_07_FLAT_RD"/>
    <n v="1"/>
    <s v="QF14FW_URBAN SWAGGER_07_FLAT_RD"/>
    <x v="1"/>
    <x v="2"/>
    <n v="0.5"/>
    <s v="14FW_URBAN SWAGGER_07_FLAT_RD"/>
    <x v="0"/>
    <s v="QF14FW_URBAN SWAGGER_07_FLAT_RD"/>
    <x v="79"/>
    <x v="0"/>
    <x v="0"/>
    <x v="0"/>
    <x v="20"/>
    <x v="21"/>
    <m/>
    <n v="20"/>
    <m/>
    <x v="14"/>
    <x v="0"/>
    <x v="0"/>
    <x v="485"/>
    <x v="3"/>
    <n v="0.5"/>
    <x v="0"/>
    <x v="31"/>
    <d v="2014-03-17T00:00:00"/>
    <d v="2014-03-12T00:00:00"/>
    <d v="2014-03-25T00:00:00"/>
    <m/>
    <m/>
    <m/>
    <n v="2"/>
    <n v="1"/>
    <m/>
  </r>
  <r>
    <n v="0.5"/>
    <s v="14FW_URBAN SWAGGER_08_FLAT_GY"/>
    <n v="1"/>
    <s v="QF14FW_URBAN SWAGGER_08_FLAT_GY"/>
    <x v="1"/>
    <x v="2"/>
    <n v="0.5"/>
    <s v="14FW_URBAN SWAGGER_08_FLAT_GY"/>
    <x v="0"/>
    <s v="QF14FW_URBAN SWAGGER_08_FLAT_GY"/>
    <x v="21"/>
    <x v="3"/>
    <x v="0"/>
    <x v="0"/>
    <x v="20"/>
    <x v="21"/>
    <m/>
    <n v="21"/>
    <m/>
    <x v="14"/>
    <x v="0"/>
    <x v="0"/>
    <x v="486"/>
    <x v="3"/>
    <n v="0.5"/>
    <x v="0"/>
    <x v="31"/>
    <d v="2014-03-17T00:00:00"/>
    <d v="2014-03-12T00:00:00"/>
    <d v="2014-04-01T00:00:00"/>
    <m/>
    <m/>
    <m/>
    <n v="2"/>
    <n v="2"/>
    <m/>
  </r>
  <r>
    <n v="0.5"/>
    <s v="14FW_URBAN SWAGGER_09_FLAT_BK"/>
    <n v="1"/>
    <s v="QF14FW_URBAN SWAGGER_09_FLAT_BK"/>
    <x v="1"/>
    <x v="2"/>
    <n v="0.5"/>
    <s v="14FW_URBAN SWAGGER_09_FLAT_BK"/>
    <x v="0"/>
    <s v="QF14FW_URBAN SWAGGER_09_FLAT_BK"/>
    <x v="79"/>
    <x v="0"/>
    <x v="0"/>
    <x v="0"/>
    <x v="20"/>
    <x v="21"/>
    <m/>
    <n v="22"/>
    <m/>
    <x v="14"/>
    <x v="0"/>
    <x v="0"/>
    <x v="487"/>
    <x v="3"/>
    <n v="0.5"/>
    <x v="0"/>
    <x v="31"/>
    <d v="2014-03-17T00:00:00"/>
    <d v="2014-03-12T00:00:00"/>
    <d v="2014-03-25T00:00:00"/>
    <m/>
    <m/>
    <m/>
    <n v="2"/>
    <n v="1"/>
    <m/>
  </r>
  <r>
    <n v="0.5"/>
    <s v="14FW_URBAN SWAGGER_10_FLAT_BK"/>
    <n v="1"/>
    <s v="QF14FW_URBAN SWAGGER_10_FLAT_BK"/>
    <x v="1"/>
    <x v="2"/>
    <n v="0.5"/>
    <s v="14FW_URBAN SWAGGER_10_FLAT_BK"/>
    <x v="0"/>
    <s v="QF14FW_URBAN SWAGGER_10_FLAT_BK"/>
    <x v="78"/>
    <x v="0"/>
    <x v="0"/>
    <x v="0"/>
    <x v="20"/>
    <x v="21"/>
    <m/>
    <n v="23"/>
    <m/>
    <x v="14"/>
    <x v="0"/>
    <x v="0"/>
    <x v="488"/>
    <x v="3"/>
    <n v="0.5"/>
    <x v="0"/>
    <x v="31"/>
    <d v="2014-03-17T00:00:00"/>
    <d v="2014-03-12T00:00:00"/>
    <d v="2014-03-20T00:00:00"/>
    <m/>
    <m/>
    <m/>
    <n v="2"/>
    <m/>
    <m/>
  </r>
  <r>
    <n v="0.5"/>
    <s v="14FW_URBAN SWAGGER_11_FLAT_BK"/>
    <n v="1"/>
    <s v="QF14FW_URBAN SWAGGER_11_FLAT_BK"/>
    <x v="1"/>
    <x v="2"/>
    <n v="0.5"/>
    <s v="14FW_URBAN SWAGGER_11_FLAT_BK"/>
    <x v="0"/>
    <s v="QF14FW_URBAN SWAGGER_11_FLAT_BK"/>
    <x v="58"/>
    <x v="0"/>
    <x v="0"/>
    <x v="0"/>
    <x v="20"/>
    <x v="21"/>
    <m/>
    <n v="24"/>
    <m/>
    <x v="14"/>
    <x v="0"/>
    <x v="0"/>
    <x v="489"/>
    <x v="3"/>
    <n v="0.5"/>
    <x v="0"/>
    <x v="31"/>
    <d v="2014-03-17T00:00:00"/>
    <d v="2014-03-12T00:00:00"/>
    <d v="2014-03-17T00:00:00"/>
    <m/>
    <m/>
    <m/>
    <n v="3"/>
    <n v="1"/>
    <m/>
  </r>
  <r>
    <n v="0.5"/>
    <s v="14FW_URBAN SWAGGER_15_FLAT_RD"/>
    <n v="1"/>
    <s v="QF14FW_URBAN SWAGGER_15_FLAT_RD"/>
    <x v="1"/>
    <x v="2"/>
    <n v="0.5"/>
    <s v="14FW_URBAN SWAGGER_15_FLAT_RD"/>
    <x v="0"/>
    <s v="QF14FW_URBAN SWAGGER_15_FLAT_RD"/>
    <x v="21"/>
    <x v="3"/>
    <x v="0"/>
    <x v="0"/>
    <x v="20"/>
    <x v="21"/>
    <m/>
    <n v="25"/>
    <m/>
    <x v="14"/>
    <x v="0"/>
    <x v="0"/>
    <x v="490"/>
    <x v="3"/>
    <n v="0.5"/>
    <x v="0"/>
    <x v="31"/>
    <d v="2014-03-17T00:00:00"/>
    <d v="2014-03-12T00:00:00"/>
    <d v="2014-04-01T00:00:00"/>
    <m/>
    <m/>
    <m/>
    <n v="3"/>
    <n v="0"/>
    <m/>
  </r>
  <r>
    <n v="0.5"/>
    <s v="14FW_URBAN SWAGGER_16_FLAT_BK"/>
    <n v="1"/>
    <s v="QF14FW_URBAN SWAGGER_16_FLAT_BK"/>
    <x v="1"/>
    <x v="2"/>
    <n v="0.5"/>
    <s v="14FW_URBAN SWAGGER_16_FLAT_BK"/>
    <x v="0"/>
    <s v="QF14FW_URBAN SWAGGER_16_FLAT_BK"/>
    <x v="21"/>
    <x v="3"/>
    <x v="0"/>
    <x v="0"/>
    <x v="20"/>
    <x v="21"/>
    <m/>
    <n v="26"/>
    <m/>
    <x v="14"/>
    <x v="0"/>
    <x v="0"/>
    <x v="491"/>
    <x v="3"/>
    <n v="0.5"/>
    <x v="0"/>
    <x v="31"/>
    <d v="2014-03-17T00:00:00"/>
    <d v="2014-03-12T00:00:00"/>
    <d v="2014-04-01T00:00:00"/>
    <m/>
    <m/>
    <m/>
    <n v="3"/>
    <n v="2"/>
    <m/>
  </r>
  <r>
    <n v="0.5"/>
    <s v="14FW_URBAN SWAGGER_17_FLAT_BK"/>
    <n v="1"/>
    <s v="QF14FW_URBAN SWAGGER_17_FLAT_BK"/>
    <x v="1"/>
    <x v="2"/>
    <n v="0.5"/>
    <s v="14FW_URBAN SWAGGER_17_FLAT_BK"/>
    <x v="0"/>
    <s v="QF14FW_URBAN SWAGGER_17_FLAT_BK"/>
    <x v="21"/>
    <x v="3"/>
    <x v="0"/>
    <x v="0"/>
    <x v="20"/>
    <x v="21"/>
    <m/>
    <n v="27"/>
    <m/>
    <x v="14"/>
    <x v="0"/>
    <x v="0"/>
    <x v="492"/>
    <x v="3"/>
    <n v="0.5"/>
    <x v="0"/>
    <x v="31"/>
    <d v="2014-03-17T00:00:00"/>
    <d v="2014-03-12T00:00:00"/>
    <d v="2014-04-01T00:00:00"/>
    <m/>
    <m/>
    <m/>
    <n v="3"/>
    <n v="1"/>
    <m/>
  </r>
  <r>
    <n v="0.5"/>
    <s v="14FW_URBAN SWAGGER_20_EAR FLAT_BK"/>
    <n v="1"/>
    <s v="QF14FW_URBAN SWAGGER_20_EAR FLAT_BK"/>
    <x v="1"/>
    <x v="2"/>
    <n v="0.5"/>
    <s v="14FW_URBAN SWAGGER_20_EAR FLAT_BK"/>
    <x v="0"/>
    <s v="QF14FW_URBAN SWAGGER_20_EAR FLAT_BK"/>
    <x v="15"/>
    <x v="3"/>
    <x v="0"/>
    <x v="0"/>
    <x v="20"/>
    <x v="21"/>
    <m/>
    <n v="28"/>
    <m/>
    <x v="14"/>
    <x v="3"/>
    <x v="0"/>
    <x v="493"/>
    <x v="3"/>
    <n v="0.5"/>
    <x v="0"/>
    <x v="31"/>
    <d v="2014-03-17T00:00:00"/>
    <d v="2014-03-12T00:00:00"/>
    <d v="2014-04-07T00:00:00"/>
    <m/>
    <m/>
    <m/>
    <n v="4"/>
    <n v="2"/>
    <m/>
  </r>
  <r>
    <n v="0.5"/>
    <s v="14FW_URBAN SWAGGER_21_EAR FLAT_GY"/>
    <n v="1"/>
    <s v="QF14FW_URBAN SWAGGER_21_EAR FLAT_GY"/>
    <x v="1"/>
    <x v="2"/>
    <n v="0.5"/>
    <s v="14FW_URBAN SWAGGER_21_EAR FLAT_GY"/>
    <x v="0"/>
    <s v="QF14FW_URBAN SWAGGER_21_EAR FLAT_GY"/>
    <x v="15"/>
    <x v="3"/>
    <x v="0"/>
    <x v="0"/>
    <x v="20"/>
    <x v="21"/>
    <m/>
    <n v="29"/>
    <m/>
    <x v="14"/>
    <x v="3"/>
    <x v="0"/>
    <x v="494"/>
    <x v="3"/>
    <n v="0.5"/>
    <x v="0"/>
    <x v="31"/>
    <d v="2014-03-17T00:00:00"/>
    <d v="2014-03-12T00:00:00"/>
    <d v="2014-04-07T00:00:00"/>
    <m/>
    <m/>
    <m/>
    <n v="5"/>
    <n v="2"/>
    <m/>
  </r>
  <r>
    <n v="1"/>
    <s v="14FW_URBAN SWAGGER_12_FLAT_DN"/>
    <n v="1"/>
    <s v="캡보이14FW_URBAN SWAGGER_12_FLAT_DN"/>
    <x v="1"/>
    <x v="2"/>
    <n v="1"/>
    <s v="14FW_URBAN SWAGGER_12_FLAT_DN"/>
    <x v="0"/>
    <s v="캡보이14FW_URBAN SWAGGER_12_FLAT_DN"/>
    <x v="58"/>
    <x v="0"/>
    <x v="0"/>
    <x v="1"/>
    <x v="20"/>
    <x v="21"/>
    <m/>
    <n v="30"/>
    <m/>
    <x v="14"/>
    <x v="0"/>
    <x v="0"/>
    <x v="495"/>
    <x v="3"/>
    <n v="1"/>
    <x v="5"/>
    <x v="31"/>
    <d v="2014-03-10T00:00:00"/>
    <d v="2014-03-12T00:00:00"/>
    <d v="2014-03-17T00:00:00"/>
    <m/>
    <m/>
    <m/>
    <n v="2"/>
    <m/>
    <m/>
  </r>
  <r>
    <n v="1"/>
    <s v="14FW_URBAN SWAGGER_13_FLAT_BK"/>
    <n v="1"/>
    <s v="캡보이14FW_URBAN SWAGGER_13_FLAT_BK"/>
    <x v="1"/>
    <x v="2"/>
    <n v="1"/>
    <s v="14FW_URBAN SWAGGER_13_FLAT_BK"/>
    <x v="0"/>
    <s v="캡보이14FW_URBAN SWAGGER_13_FLAT_BK"/>
    <x v="9"/>
    <x v="0"/>
    <x v="0"/>
    <x v="1"/>
    <x v="20"/>
    <x v="21"/>
    <m/>
    <n v="31"/>
    <m/>
    <x v="14"/>
    <x v="0"/>
    <x v="0"/>
    <x v="496"/>
    <x v="3"/>
    <n v="1"/>
    <x v="5"/>
    <x v="31"/>
    <d v="2014-03-10T00:00:00"/>
    <d v="2014-03-12T00:00:00"/>
    <d v="2014-03-24T00:00:00"/>
    <m/>
    <m/>
    <m/>
    <n v="2"/>
    <m/>
    <m/>
  </r>
  <r>
    <n v="1"/>
    <s v="14FW_URBAN SWAGGER_14_FLAT_BK"/>
    <n v="1"/>
    <s v="캡보이14FW_URBAN SWAGGER_14_FLAT_BK"/>
    <x v="1"/>
    <x v="2"/>
    <n v="1"/>
    <s v="14FW_URBAN SWAGGER_14_FLAT_BK"/>
    <x v="0"/>
    <s v="캡보이14FW_URBAN SWAGGER_14_FLAT_BK"/>
    <x v="9"/>
    <x v="0"/>
    <x v="0"/>
    <x v="1"/>
    <x v="20"/>
    <x v="21"/>
    <m/>
    <n v="32"/>
    <m/>
    <x v="14"/>
    <x v="0"/>
    <x v="0"/>
    <x v="497"/>
    <x v="3"/>
    <n v="1"/>
    <x v="5"/>
    <x v="31"/>
    <d v="2014-03-10T00:00:00"/>
    <d v="2014-03-12T00:00:00"/>
    <d v="2014-03-24T00:00:00"/>
    <m/>
    <m/>
    <m/>
    <n v="3"/>
    <m/>
    <m/>
  </r>
  <r>
    <n v="1"/>
    <s v="14FW_URBAN SWAGGER_22_FLAT_BK"/>
    <n v="1"/>
    <s v="캡보이14FW_URBAN SWAGGER_22_FLAT_BK"/>
    <x v="1"/>
    <x v="2"/>
    <n v="1"/>
    <s v="14FW_URBAN SWAGGER_22_FLAT_BK"/>
    <x v="0"/>
    <s v="캡보이14FW_URBAN SWAGGER_22_FLAT_BK"/>
    <x v="9"/>
    <x v="0"/>
    <x v="0"/>
    <x v="1"/>
    <x v="20"/>
    <x v="21"/>
    <m/>
    <n v="33"/>
    <m/>
    <x v="14"/>
    <x v="0"/>
    <x v="0"/>
    <x v="498"/>
    <x v="3"/>
    <n v="1"/>
    <x v="5"/>
    <x v="31"/>
    <d v="2014-03-10T00:00:00"/>
    <d v="2014-03-12T00:00:00"/>
    <d v="2014-03-24T00:00:00"/>
    <m/>
    <m/>
    <m/>
    <n v="2"/>
    <m/>
    <m/>
  </r>
  <r>
    <n v="1"/>
    <s v="14FW_URBAN SWAGGER_23_FLAT_GY"/>
    <n v="1"/>
    <s v="캡보이14FW_URBAN SWAGGER_23_FLAT_GY"/>
    <x v="1"/>
    <x v="2"/>
    <n v="1"/>
    <s v="14FW_URBAN SWAGGER_23_FLAT_GY"/>
    <x v="0"/>
    <s v="캡보이14FW_URBAN SWAGGER_23_FLAT_GY"/>
    <x v="9"/>
    <x v="0"/>
    <x v="0"/>
    <x v="1"/>
    <x v="20"/>
    <x v="21"/>
    <m/>
    <n v="34"/>
    <m/>
    <x v="14"/>
    <x v="0"/>
    <x v="0"/>
    <x v="499"/>
    <x v="3"/>
    <n v="1"/>
    <x v="5"/>
    <x v="31"/>
    <d v="2014-03-10T00:00:00"/>
    <d v="2014-03-12T00:00:00"/>
    <d v="2014-03-24T00:00:00"/>
    <m/>
    <m/>
    <m/>
    <n v="2"/>
    <m/>
    <m/>
  </r>
  <r>
    <n v="1"/>
    <s v="14FW_URBAN SWAGGER_24_FLAT_BK"/>
    <n v="1"/>
    <s v="캡보이14FW_URBAN SWAGGER_24_FLAT_BK"/>
    <x v="1"/>
    <x v="2"/>
    <n v="1"/>
    <s v="14FW_URBAN SWAGGER_24_FLAT_BK"/>
    <x v="0"/>
    <s v="캡보이14FW_URBAN SWAGGER_24_FLAT_BK"/>
    <x v="9"/>
    <x v="0"/>
    <x v="0"/>
    <x v="1"/>
    <x v="20"/>
    <x v="21"/>
    <m/>
    <n v="35"/>
    <m/>
    <x v="14"/>
    <x v="0"/>
    <x v="0"/>
    <x v="500"/>
    <x v="3"/>
    <n v="1"/>
    <x v="5"/>
    <x v="31"/>
    <d v="2014-03-10T00:00:00"/>
    <d v="2014-03-12T00:00:00"/>
    <d v="2014-03-24T00:00:00"/>
    <m/>
    <m/>
    <m/>
    <n v="3"/>
    <m/>
    <m/>
  </r>
  <r>
    <n v="0.5"/>
    <s v="14FW_URBAN SWAGGER_01_FLAT_BK"/>
    <n v="1"/>
    <s v="J&amp;F14FW_URBAN SWAGGER_01_FLAT_BK"/>
    <x v="1"/>
    <x v="2"/>
    <n v="0.5"/>
    <s v="14FW_URBAN SWAGGER_01_FLAT_BK"/>
    <x v="0"/>
    <s v="J&amp;F14FW_URBAN SWAGGER_01_FLAT_BK"/>
    <x v="41"/>
    <x v="0"/>
    <x v="0"/>
    <x v="0"/>
    <x v="20"/>
    <x v="21"/>
    <m/>
    <n v="36"/>
    <m/>
    <x v="14"/>
    <x v="0"/>
    <x v="0"/>
    <x v="479"/>
    <x v="3"/>
    <n v="0.5"/>
    <x v="14"/>
    <x v="31"/>
    <d v="2014-03-10T00:00:00"/>
    <d v="2014-03-12T00:00:00"/>
    <d v="2014-03-12T00:00:00"/>
    <m/>
    <m/>
    <m/>
    <n v="3"/>
    <n v="2"/>
    <m/>
  </r>
  <r>
    <n v="0.5"/>
    <s v="14FW_URBAN SWAGGER_02_FLAT_GY"/>
    <n v="1"/>
    <s v="J&amp;F14FW_URBAN SWAGGER_02_FLAT_GY"/>
    <x v="1"/>
    <x v="2"/>
    <n v="0.5"/>
    <s v="14FW_URBAN SWAGGER_02_FLAT_GY"/>
    <x v="0"/>
    <s v="J&amp;F14FW_URBAN SWAGGER_02_FLAT_GY"/>
    <x v="9"/>
    <x v="0"/>
    <x v="0"/>
    <x v="0"/>
    <x v="20"/>
    <x v="21"/>
    <m/>
    <n v="37"/>
    <m/>
    <x v="14"/>
    <x v="0"/>
    <x v="0"/>
    <x v="480"/>
    <x v="3"/>
    <n v="0.5"/>
    <x v="14"/>
    <x v="31"/>
    <d v="2014-03-10T00:00:00"/>
    <d v="2014-03-12T00:00:00"/>
    <d v="2014-03-24T00:00:00"/>
    <m/>
    <m/>
    <m/>
    <n v="2"/>
    <n v="1"/>
    <m/>
  </r>
  <r>
    <n v="0.5"/>
    <s v="14FW_URBAN SWAGGER_03_FLAT_BK"/>
    <n v="1"/>
    <s v="J&amp;F14FW_URBAN SWAGGER_03_FLAT_BK"/>
    <x v="1"/>
    <x v="2"/>
    <n v="0.5"/>
    <s v="14FW_URBAN SWAGGER_03_FLAT_BK"/>
    <x v="0"/>
    <s v="J&amp;F14FW_URBAN SWAGGER_03_FLAT_BK"/>
    <x v="9"/>
    <x v="0"/>
    <x v="0"/>
    <x v="0"/>
    <x v="20"/>
    <x v="21"/>
    <m/>
    <n v="38"/>
    <m/>
    <x v="14"/>
    <x v="0"/>
    <x v="0"/>
    <x v="481"/>
    <x v="3"/>
    <n v="0.5"/>
    <x v="14"/>
    <x v="31"/>
    <d v="2014-03-10T00:00:00"/>
    <d v="2014-03-12T00:00:00"/>
    <d v="2014-03-24T00:00:00"/>
    <m/>
    <m/>
    <m/>
    <n v="2"/>
    <n v="1"/>
    <m/>
  </r>
  <r>
    <n v="0.5"/>
    <s v="14FW_URBAN SWAGGER_04_EAR FLAT_DN"/>
    <n v="1"/>
    <s v="J&amp;F14FW_URBAN SWAGGER_04_EAR FLAT_DN"/>
    <x v="1"/>
    <x v="2"/>
    <n v="0.5"/>
    <s v="14FW_URBAN SWAGGER_04_EAR FLAT_DN"/>
    <x v="0"/>
    <s v="J&amp;F14FW_URBAN SWAGGER_04_EAR FLAT_DN"/>
    <x v="9"/>
    <x v="0"/>
    <x v="0"/>
    <x v="0"/>
    <x v="20"/>
    <x v="21"/>
    <m/>
    <n v="39"/>
    <m/>
    <x v="14"/>
    <x v="3"/>
    <x v="0"/>
    <x v="482"/>
    <x v="3"/>
    <n v="0.5"/>
    <x v="14"/>
    <x v="31"/>
    <d v="2014-03-10T00:00:00"/>
    <d v="2014-03-12T00:00:00"/>
    <d v="2014-03-24T00:00:00"/>
    <m/>
    <m/>
    <m/>
    <n v="4"/>
    <n v="3"/>
    <m/>
  </r>
  <r>
    <n v="0.5"/>
    <s v="14FW_URBAN SWAGGER_05_EAR FLAT_BK"/>
    <n v="1"/>
    <s v="J&amp;F14FW_URBAN SWAGGER_05_EAR FLAT_BK"/>
    <x v="1"/>
    <x v="2"/>
    <n v="0.5"/>
    <s v="14FW_URBAN SWAGGER_05_EAR FLAT_BK"/>
    <x v="0"/>
    <s v="J&amp;F14FW_URBAN SWAGGER_05_EAR FLAT_BK"/>
    <x v="9"/>
    <x v="0"/>
    <x v="0"/>
    <x v="0"/>
    <x v="20"/>
    <x v="21"/>
    <m/>
    <n v="40"/>
    <m/>
    <x v="14"/>
    <x v="3"/>
    <x v="0"/>
    <x v="483"/>
    <x v="3"/>
    <n v="0.5"/>
    <x v="14"/>
    <x v="31"/>
    <d v="2014-03-10T00:00:00"/>
    <d v="2014-03-12T00:00:00"/>
    <d v="2014-03-24T00:00:00"/>
    <m/>
    <m/>
    <m/>
    <n v="5"/>
    <n v="2"/>
    <m/>
  </r>
  <r>
    <n v="0.5"/>
    <s v="14FW_URBAN SWAGGER_06_FLAT_NV"/>
    <n v="1"/>
    <s v="J&amp;F14FW_URBAN SWAGGER_06_FLAT_NV"/>
    <x v="1"/>
    <x v="2"/>
    <n v="0.5"/>
    <s v="14FW_URBAN SWAGGER_06_FLAT_NV"/>
    <x v="0"/>
    <s v="J&amp;F14FW_URBAN SWAGGER_06_FLAT_NV"/>
    <x v="9"/>
    <x v="0"/>
    <x v="0"/>
    <x v="0"/>
    <x v="20"/>
    <x v="21"/>
    <m/>
    <n v="41"/>
    <m/>
    <x v="14"/>
    <x v="0"/>
    <x v="0"/>
    <x v="484"/>
    <x v="3"/>
    <n v="0.5"/>
    <x v="14"/>
    <x v="31"/>
    <d v="2014-03-10T00:00:00"/>
    <d v="2014-03-12T00:00:00"/>
    <d v="2014-03-24T00:00:00"/>
    <m/>
    <m/>
    <m/>
    <n v="3"/>
    <n v="2"/>
    <m/>
  </r>
  <r>
    <n v="0.5"/>
    <s v="14FW_URBAN SWAGGER_07_FLAT_RD"/>
    <n v="1"/>
    <s v="J&amp;F14FW_URBAN SWAGGER_07_FLAT_RD"/>
    <x v="1"/>
    <x v="2"/>
    <n v="0.5"/>
    <s v="14FW_URBAN SWAGGER_07_FLAT_RD"/>
    <x v="0"/>
    <s v="J&amp;F14FW_URBAN SWAGGER_07_FLAT_RD"/>
    <x v="41"/>
    <x v="0"/>
    <x v="0"/>
    <x v="0"/>
    <x v="20"/>
    <x v="21"/>
    <m/>
    <n v="42"/>
    <m/>
    <x v="14"/>
    <x v="0"/>
    <x v="0"/>
    <x v="485"/>
    <x v="3"/>
    <n v="0.5"/>
    <x v="14"/>
    <x v="31"/>
    <d v="2014-03-10T00:00:00"/>
    <d v="2014-03-12T00:00:00"/>
    <d v="2014-03-12T00:00:00"/>
    <m/>
    <m/>
    <m/>
    <n v="2"/>
    <n v="1"/>
    <m/>
  </r>
  <r>
    <n v="0.5"/>
    <s v="14FW_URBAN SWAGGER_08_FLAT_GY"/>
    <n v="1"/>
    <s v="J&amp;F14FW_URBAN SWAGGER_08_FLAT_GY"/>
    <x v="1"/>
    <x v="2"/>
    <n v="0.5"/>
    <s v="14FW_URBAN SWAGGER_08_FLAT_GY"/>
    <x v="0"/>
    <s v="J&amp;F14FW_URBAN SWAGGER_08_FLAT_GY"/>
    <x v="41"/>
    <x v="0"/>
    <x v="0"/>
    <x v="0"/>
    <x v="20"/>
    <x v="21"/>
    <m/>
    <n v="43"/>
    <m/>
    <x v="14"/>
    <x v="0"/>
    <x v="0"/>
    <x v="486"/>
    <x v="3"/>
    <n v="0.5"/>
    <x v="14"/>
    <x v="31"/>
    <d v="2014-03-10T00:00:00"/>
    <d v="2014-03-12T00:00:00"/>
    <d v="2014-03-12T00:00:00"/>
    <m/>
    <m/>
    <m/>
    <n v="2"/>
    <n v="2"/>
    <m/>
  </r>
  <r>
    <n v="0.5"/>
    <s v="14FW_URBAN SWAGGER_09_FLAT_BK"/>
    <n v="1"/>
    <s v="J&amp;F14FW_URBAN SWAGGER_09_FLAT_BK"/>
    <x v="1"/>
    <x v="2"/>
    <n v="0.5"/>
    <s v="14FW_URBAN SWAGGER_09_FLAT_BK"/>
    <x v="0"/>
    <s v="J&amp;F14FW_URBAN SWAGGER_09_FLAT_BK"/>
    <x v="9"/>
    <x v="0"/>
    <x v="0"/>
    <x v="0"/>
    <x v="20"/>
    <x v="21"/>
    <m/>
    <n v="44"/>
    <m/>
    <x v="14"/>
    <x v="0"/>
    <x v="0"/>
    <x v="487"/>
    <x v="3"/>
    <n v="0.5"/>
    <x v="14"/>
    <x v="31"/>
    <d v="2014-03-10T00:00:00"/>
    <d v="2014-03-12T00:00:00"/>
    <d v="2014-03-24T00:00:00"/>
    <m/>
    <m/>
    <m/>
    <n v="2"/>
    <n v="1"/>
    <m/>
  </r>
  <r>
    <n v="0.5"/>
    <s v="14FW_URBAN SWAGGER_10_FLAT_BK"/>
    <n v="1"/>
    <s v="J&amp;F14FW_URBAN SWAGGER_10_FLAT_BK"/>
    <x v="1"/>
    <x v="2"/>
    <n v="0.5"/>
    <s v="14FW_URBAN SWAGGER_10_FLAT_BK"/>
    <x v="0"/>
    <s v="J&amp;F14FW_URBAN SWAGGER_10_FLAT_BK"/>
    <x v="9"/>
    <x v="0"/>
    <x v="0"/>
    <x v="0"/>
    <x v="20"/>
    <x v="21"/>
    <m/>
    <n v="45"/>
    <m/>
    <x v="14"/>
    <x v="0"/>
    <x v="0"/>
    <x v="488"/>
    <x v="3"/>
    <n v="0.5"/>
    <x v="14"/>
    <x v="31"/>
    <d v="2014-03-10T00:00:00"/>
    <d v="2014-03-12T00:00:00"/>
    <d v="2014-03-24T00:00:00"/>
    <m/>
    <m/>
    <m/>
    <n v="2"/>
    <m/>
    <m/>
  </r>
  <r>
    <n v="0.5"/>
    <s v="14FW_URBAN SWAGGER_11_FLAT_BK"/>
    <n v="1"/>
    <s v="J&amp;F14FW_URBAN SWAGGER_11_FLAT_BK"/>
    <x v="1"/>
    <x v="2"/>
    <n v="0.5"/>
    <s v="14FW_URBAN SWAGGER_11_FLAT_BK"/>
    <x v="0"/>
    <s v="J&amp;F14FW_URBAN SWAGGER_11_FLAT_BK"/>
    <x v="9"/>
    <x v="0"/>
    <x v="0"/>
    <x v="0"/>
    <x v="20"/>
    <x v="21"/>
    <m/>
    <n v="46"/>
    <m/>
    <x v="14"/>
    <x v="0"/>
    <x v="0"/>
    <x v="489"/>
    <x v="3"/>
    <n v="0.5"/>
    <x v="14"/>
    <x v="31"/>
    <d v="2014-03-10T00:00:00"/>
    <d v="2014-03-12T00:00:00"/>
    <d v="2014-03-24T00:00:00"/>
    <m/>
    <m/>
    <m/>
    <n v="3"/>
    <n v="1"/>
    <m/>
  </r>
  <r>
    <n v="0.5"/>
    <s v="14FW_URBAN SWAGGER_15_FLAT_RD"/>
    <n v="1"/>
    <s v="J&amp;F14FW_URBAN SWAGGER_15_FLAT_RD"/>
    <x v="1"/>
    <x v="2"/>
    <n v="0.5"/>
    <s v="14FW_URBAN SWAGGER_15_FLAT_RD"/>
    <x v="0"/>
    <s v="J&amp;F14FW_URBAN SWAGGER_15_FLAT_RD"/>
    <x v="9"/>
    <x v="0"/>
    <x v="0"/>
    <x v="0"/>
    <x v="20"/>
    <x v="21"/>
    <m/>
    <n v="47"/>
    <m/>
    <x v="14"/>
    <x v="0"/>
    <x v="0"/>
    <x v="490"/>
    <x v="3"/>
    <n v="0.5"/>
    <x v="14"/>
    <x v="31"/>
    <d v="2014-03-10T00:00:00"/>
    <d v="2014-03-12T00:00:00"/>
    <d v="2014-03-24T00:00:00"/>
    <m/>
    <m/>
    <m/>
    <n v="3"/>
    <m/>
    <m/>
  </r>
  <r>
    <n v="0.5"/>
    <s v="14FW_URBAN SWAGGER_16_FLAT_BK"/>
    <n v="1"/>
    <s v="J&amp;F14FW_URBAN SWAGGER_16_FLAT_BK"/>
    <x v="1"/>
    <x v="2"/>
    <n v="0.5"/>
    <s v="14FW_URBAN SWAGGER_16_FLAT_BK"/>
    <x v="0"/>
    <s v="J&amp;F14FW_URBAN SWAGGER_16_FLAT_BK"/>
    <x v="9"/>
    <x v="0"/>
    <x v="0"/>
    <x v="0"/>
    <x v="20"/>
    <x v="21"/>
    <m/>
    <n v="48"/>
    <m/>
    <x v="14"/>
    <x v="0"/>
    <x v="0"/>
    <x v="491"/>
    <x v="3"/>
    <n v="0.5"/>
    <x v="14"/>
    <x v="31"/>
    <d v="2014-03-10T00:00:00"/>
    <d v="2014-03-12T00:00:00"/>
    <d v="2014-03-24T00:00:00"/>
    <m/>
    <m/>
    <m/>
    <n v="3"/>
    <n v="2"/>
    <m/>
  </r>
  <r>
    <n v="0.5"/>
    <s v="14FW_URBAN SWAGGER_17_FLAT_BK"/>
    <n v="1"/>
    <s v="J&amp;F14FW_URBAN SWAGGER_17_FLAT_BK"/>
    <x v="1"/>
    <x v="2"/>
    <n v="0.5"/>
    <s v="14FW_URBAN SWAGGER_17_FLAT_BK"/>
    <x v="0"/>
    <s v="J&amp;F14FW_URBAN SWAGGER_17_FLAT_BK"/>
    <x v="9"/>
    <x v="0"/>
    <x v="0"/>
    <x v="0"/>
    <x v="20"/>
    <x v="21"/>
    <m/>
    <n v="49"/>
    <m/>
    <x v="14"/>
    <x v="0"/>
    <x v="0"/>
    <x v="492"/>
    <x v="3"/>
    <n v="0.5"/>
    <x v="14"/>
    <x v="31"/>
    <d v="2014-03-10T00:00:00"/>
    <d v="2014-03-12T00:00:00"/>
    <d v="2014-03-24T00:00:00"/>
    <m/>
    <m/>
    <m/>
    <n v="3"/>
    <n v="1"/>
    <m/>
  </r>
  <r>
    <n v="0.5"/>
    <s v="14FW_URBAN SWAGGER_20_EAR FLAT_BK"/>
    <n v="1"/>
    <s v="J&amp;F14FW_URBAN SWAGGER_20_EAR FLAT_BK"/>
    <x v="1"/>
    <x v="2"/>
    <n v="0.5"/>
    <s v="14FW_URBAN SWAGGER_20_EAR FLAT_BK"/>
    <x v="0"/>
    <s v="J&amp;F14FW_URBAN SWAGGER_20_EAR FLAT_BK"/>
    <x v="9"/>
    <x v="0"/>
    <x v="0"/>
    <x v="0"/>
    <x v="20"/>
    <x v="21"/>
    <m/>
    <n v="50"/>
    <m/>
    <x v="14"/>
    <x v="3"/>
    <x v="0"/>
    <x v="493"/>
    <x v="3"/>
    <n v="0.5"/>
    <x v="14"/>
    <x v="31"/>
    <d v="2014-03-10T00:00:00"/>
    <d v="2014-03-12T00:00:00"/>
    <d v="2014-03-24T00:00:00"/>
    <m/>
    <m/>
    <m/>
    <n v="4"/>
    <n v="2"/>
    <m/>
  </r>
  <r>
    <n v="0.5"/>
    <s v="14FW_URBAN SWAGGER_21_EAR FLAT_GY"/>
    <n v="1"/>
    <s v="J&amp;F14FW_URBAN SWAGGER_21_EAR FLAT_GY"/>
    <x v="1"/>
    <x v="2"/>
    <n v="0.5"/>
    <s v="14FW_URBAN SWAGGER_21_EAR FLAT_GY"/>
    <x v="0"/>
    <s v="J&amp;F14FW_URBAN SWAGGER_21_EAR FLAT_GY"/>
    <x v="9"/>
    <x v="0"/>
    <x v="0"/>
    <x v="0"/>
    <x v="20"/>
    <x v="21"/>
    <m/>
    <n v="51"/>
    <m/>
    <x v="14"/>
    <x v="3"/>
    <x v="0"/>
    <x v="494"/>
    <x v="3"/>
    <n v="0.5"/>
    <x v="14"/>
    <x v="31"/>
    <d v="2014-03-10T00:00:00"/>
    <d v="2014-03-12T00:00:00"/>
    <d v="2014-03-24T00:00:00"/>
    <m/>
    <m/>
    <m/>
    <n v="5"/>
    <n v="2"/>
    <m/>
  </r>
  <r>
    <n v="1"/>
    <s v="14SS YG 2NE1_01_FLAT_OR"/>
    <n v="1"/>
    <s v="J&amp;F14SS YG 2NE1_01_FLAT_OR"/>
    <x v="2"/>
    <x v="3"/>
    <n v="1"/>
    <s v="14SS YG 2NE1_01_FLAT_OR"/>
    <x v="0"/>
    <s v="J&amp;F14SS YG 2NE1_01_FLAT_OR"/>
    <x v="21"/>
    <x v="3"/>
    <x v="0"/>
    <x v="0"/>
    <x v="21"/>
    <x v="22"/>
    <m/>
    <n v="52"/>
    <m/>
    <x v="15"/>
    <x v="0"/>
    <x v="0"/>
    <x v="501"/>
    <x v="3"/>
    <n v="1"/>
    <x v="14"/>
    <x v="5"/>
    <d v="2014-04-02T00:00:00"/>
    <d v="2014-04-10T00:00:00"/>
    <d v="2014-04-01T00:00:00"/>
    <m/>
    <m/>
    <m/>
    <n v="2"/>
    <m/>
    <m/>
  </r>
  <r>
    <n v="1"/>
    <s v="14SS YG 2NE1_02_FLAT_BK"/>
    <n v="1"/>
    <s v="캡보이14SS YG 2NE1_02_FLAT_BK"/>
    <x v="2"/>
    <x v="3"/>
    <n v="1"/>
    <s v="14SS YG 2NE1_02_FLAT_BK"/>
    <x v="0"/>
    <s v="캡보이14SS YG 2NE1_02_FLAT_BK"/>
    <x v="9"/>
    <x v="0"/>
    <x v="0"/>
    <x v="1"/>
    <x v="21"/>
    <x v="22"/>
    <m/>
    <n v="53"/>
    <m/>
    <x v="15"/>
    <x v="0"/>
    <x v="0"/>
    <x v="502"/>
    <x v="3"/>
    <n v="1"/>
    <x v="5"/>
    <x v="42"/>
    <d v="2014-03-25T00:00:00"/>
    <d v="2014-04-10T00:00:00"/>
    <d v="2014-03-24T00:00:00"/>
    <m/>
    <m/>
    <m/>
    <n v="2"/>
    <m/>
    <m/>
  </r>
  <r>
    <n v="1"/>
    <s v="14SS YG 2NE1_03_FLAT_PK"/>
    <n v="1"/>
    <s v="QF14SS YG 2NE1_03_FLAT_PK"/>
    <x v="2"/>
    <x v="3"/>
    <n v="1"/>
    <s v="14SS YG 2NE1_03_FLAT_PK"/>
    <x v="0"/>
    <s v="QF14SS YG 2NE1_03_FLAT_PK"/>
    <x v="80"/>
    <x v="3"/>
    <x v="0"/>
    <x v="0"/>
    <x v="21"/>
    <x v="22"/>
    <m/>
    <n v="54"/>
    <m/>
    <x v="15"/>
    <x v="0"/>
    <x v="0"/>
    <x v="503"/>
    <x v="3"/>
    <n v="1"/>
    <x v="0"/>
    <x v="5"/>
    <d v="2014-04-02T00:00:00"/>
    <d v="2014-04-10T00:00:00"/>
    <d v="2014-04-18T00:00:00"/>
    <m/>
    <m/>
    <m/>
    <n v="3"/>
    <m/>
    <m/>
  </r>
  <r>
    <n v="1"/>
    <s v="14SS YG 2NE1_04_FLAT_PP"/>
    <n v="1"/>
    <s v="J&amp;F14SS YG 2NE1_04_FLAT_PP"/>
    <x v="2"/>
    <x v="3"/>
    <n v="1"/>
    <s v="14SS YG 2NE1_04_FLAT_PP"/>
    <x v="0"/>
    <s v="J&amp;F14SS YG 2NE1_04_FLAT_PP"/>
    <x v="21"/>
    <x v="3"/>
    <x v="0"/>
    <x v="0"/>
    <x v="21"/>
    <x v="22"/>
    <m/>
    <n v="55"/>
    <m/>
    <x v="15"/>
    <x v="0"/>
    <x v="0"/>
    <x v="504"/>
    <x v="3"/>
    <n v="1"/>
    <x v="14"/>
    <x v="5"/>
    <d v="2014-04-02T00:00:00"/>
    <d v="2014-04-10T00:00:00"/>
    <d v="2014-04-01T00:00:00"/>
    <m/>
    <m/>
    <m/>
    <n v="2"/>
    <m/>
    <m/>
  </r>
  <r>
    <n v="1"/>
    <s v="14SS YG 2NE1_05_FLAT_BK"/>
    <n v="1"/>
    <s v="J&amp;F14SS YG 2NE1_05_FLAT_BK"/>
    <x v="2"/>
    <x v="3"/>
    <n v="1"/>
    <s v="14SS YG 2NE1_05_FLAT_BK"/>
    <x v="0"/>
    <s v="J&amp;F14SS YG 2NE1_05_FLAT_BK"/>
    <x v="21"/>
    <x v="3"/>
    <x v="0"/>
    <x v="0"/>
    <x v="21"/>
    <x v="22"/>
    <m/>
    <n v="56"/>
    <m/>
    <x v="15"/>
    <x v="0"/>
    <x v="0"/>
    <x v="505"/>
    <x v="3"/>
    <n v="1"/>
    <x v="14"/>
    <x v="5"/>
    <d v="2014-04-02T00:00:00"/>
    <d v="2014-04-10T00:00:00"/>
    <d v="2014-04-01T00:00:00"/>
    <m/>
    <m/>
    <m/>
    <n v="2"/>
    <m/>
    <m/>
  </r>
  <r>
    <n v="0.5"/>
    <s v="14SS YG BIGBANG_01_BK"/>
    <n v="1"/>
    <s v="QF14SS YG BIGBANG_01_BK"/>
    <x v="2"/>
    <x v="3"/>
    <n v="0.5"/>
    <s v="14SS YG BIGBANG_01_BK"/>
    <x v="0"/>
    <s v="QF14SS YG BIGBANG_01_BK"/>
    <x v="80"/>
    <x v="3"/>
    <x v="0"/>
    <x v="0"/>
    <x v="21"/>
    <x v="22"/>
    <m/>
    <n v="57"/>
    <m/>
    <x v="15"/>
    <x v="0"/>
    <x v="0"/>
    <x v="506"/>
    <x v="3"/>
    <n v="0.5"/>
    <x v="0"/>
    <x v="5"/>
    <d v="2014-04-02T00:00:00"/>
    <d v="2014-04-10T00:00:00"/>
    <d v="2014-04-18T00:00:00"/>
    <m/>
    <m/>
    <m/>
    <n v="2"/>
    <m/>
    <m/>
  </r>
  <r>
    <n v="1"/>
    <s v="14SS YG BIGBANG_02_BK"/>
    <n v="1"/>
    <s v="QF14SS YG BIGBANG_02_BK"/>
    <x v="2"/>
    <x v="3"/>
    <n v="1"/>
    <s v="14SS YG BIGBANG_02_BK"/>
    <x v="0"/>
    <s v="QF14SS YG BIGBANG_02_BK"/>
    <x v="80"/>
    <x v="3"/>
    <x v="0"/>
    <x v="0"/>
    <x v="21"/>
    <x v="22"/>
    <m/>
    <n v="58"/>
    <m/>
    <x v="15"/>
    <x v="0"/>
    <x v="0"/>
    <x v="507"/>
    <x v="3"/>
    <n v="1"/>
    <x v="0"/>
    <x v="5"/>
    <d v="2014-04-02T00:00:00"/>
    <d v="2014-04-10T00:00:00"/>
    <d v="2014-04-18T00:00:00"/>
    <m/>
    <m/>
    <m/>
    <n v="1"/>
    <m/>
    <m/>
  </r>
  <r>
    <n v="1"/>
    <s v="14SS YG BIGBANG_03_BK"/>
    <n v="1"/>
    <s v="QF14SS YG BIGBANG_03_BK"/>
    <x v="2"/>
    <x v="3"/>
    <n v="1"/>
    <s v="14SS YG BIGBANG_03_BK"/>
    <x v="0"/>
    <s v="QF14SS YG BIGBANG_03_BK"/>
    <x v="15"/>
    <x v="3"/>
    <x v="0"/>
    <x v="0"/>
    <x v="21"/>
    <x v="22"/>
    <m/>
    <n v="59"/>
    <m/>
    <x v="15"/>
    <x v="0"/>
    <x v="0"/>
    <x v="508"/>
    <x v="3"/>
    <n v="1"/>
    <x v="0"/>
    <x v="5"/>
    <d v="2014-04-02T00:00:00"/>
    <d v="2014-04-10T00:00:00"/>
    <d v="2014-04-07T00:00:00"/>
    <m/>
    <m/>
    <m/>
    <n v="1"/>
    <m/>
    <m/>
  </r>
  <r>
    <n v="1"/>
    <s v="14SS YG BIGBANG_04_WH"/>
    <n v="1"/>
    <s v="QF14SS YG BIGBANG_04_WH"/>
    <x v="2"/>
    <x v="3"/>
    <n v="1"/>
    <s v="14SS YG BIGBANG_04_WH"/>
    <x v="0"/>
    <s v="QF14SS YG BIGBANG_04_WH"/>
    <x v="80"/>
    <x v="3"/>
    <x v="0"/>
    <x v="0"/>
    <x v="21"/>
    <x v="22"/>
    <m/>
    <n v="60"/>
    <m/>
    <x v="15"/>
    <x v="0"/>
    <x v="0"/>
    <x v="509"/>
    <x v="3"/>
    <n v="1"/>
    <x v="0"/>
    <x v="5"/>
    <d v="2014-04-02T00:00:00"/>
    <d v="2014-04-10T00:00:00"/>
    <d v="2014-04-18T00:00:00"/>
    <m/>
    <m/>
    <m/>
    <n v="2"/>
    <m/>
    <m/>
  </r>
  <r>
    <n v="1"/>
    <s v="14SS YG BIGBANG_05_BK"/>
    <n v="1"/>
    <s v="QF14SS YG BIGBANG_05_BK"/>
    <x v="2"/>
    <x v="3"/>
    <n v="1"/>
    <s v="14SS YG BIGBANG_05_BK"/>
    <x v="0"/>
    <s v="QF14SS YG BIGBANG_05_BK"/>
    <x v="20"/>
    <x v="3"/>
    <x v="0"/>
    <x v="0"/>
    <x v="21"/>
    <x v="22"/>
    <m/>
    <n v="61"/>
    <m/>
    <x v="15"/>
    <x v="0"/>
    <x v="0"/>
    <x v="510"/>
    <x v="3"/>
    <n v="1"/>
    <x v="0"/>
    <x v="5"/>
    <d v="2014-04-02T00:00:00"/>
    <d v="2014-04-10T00:00:00"/>
    <d v="2014-04-14T00:00:00"/>
    <m/>
    <m/>
    <m/>
    <n v="1"/>
    <m/>
    <m/>
  </r>
  <r>
    <n v="1"/>
    <s v="14SS YG BIGBANG_06_BK"/>
    <n v="1"/>
    <s v="캡보이14SS YG BIGBANG_06_BK"/>
    <x v="2"/>
    <x v="3"/>
    <n v="1"/>
    <s v="14SS YG BIGBANG_06_BK"/>
    <x v="0"/>
    <s v="캡보이14SS YG BIGBANG_06_BK"/>
    <x v="9"/>
    <x v="0"/>
    <x v="0"/>
    <x v="1"/>
    <x v="21"/>
    <x v="22"/>
    <m/>
    <n v="62"/>
    <m/>
    <x v="15"/>
    <x v="0"/>
    <x v="0"/>
    <x v="511"/>
    <x v="3"/>
    <n v="1"/>
    <x v="5"/>
    <x v="42"/>
    <d v="2014-03-25T00:00:00"/>
    <d v="2014-04-10T00:00:00"/>
    <d v="2014-03-24T00:00:00"/>
    <m/>
    <m/>
    <m/>
    <n v="3"/>
    <m/>
    <m/>
  </r>
  <r>
    <n v="1"/>
    <s v="14SS YG PSY_01_FLAT_BK"/>
    <n v="1"/>
    <s v="캡보이14SS YG PSY_01_FLAT_BK"/>
    <x v="2"/>
    <x v="3"/>
    <n v="1"/>
    <s v="14SS YG PSY_01_FLAT_BK"/>
    <x v="0"/>
    <s v="캡보이14SS YG PSY_01_FLAT_BK"/>
    <x v="9"/>
    <x v="0"/>
    <x v="0"/>
    <x v="1"/>
    <x v="21"/>
    <x v="22"/>
    <m/>
    <n v="63"/>
    <m/>
    <x v="15"/>
    <x v="0"/>
    <x v="0"/>
    <x v="512"/>
    <x v="3"/>
    <n v="1"/>
    <x v="5"/>
    <x v="42"/>
    <d v="2014-03-25T00:00:00"/>
    <d v="2014-04-10T00:00:00"/>
    <d v="2014-03-24T00:00:00"/>
    <m/>
    <m/>
    <m/>
    <n v="2"/>
    <m/>
    <m/>
  </r>
  <r>
    <n v="1"/>
    <s v="14SS YG PSY_02_FLAT_GY"/>
    <n v="1"/>
    <s v="QF14SS YG PSY_02_FLAT_GY"/>
    <x v="2"/>
    <x v="3"/>
    <n v="1"/>
    <s v="14SS YG PSY_02_FLAT_GY"/>
    <x v="0"/>
    <s v="QF14SS YG PSY_02_FLAT_GY"/>
    <x v="15"/>
    <x v="3"/>
    <x v="0"/>
    <x v="0"/>
    <x v="21"/>
    <x v="22"/>
    <m/>
    <n v="64"/>
    <m/>
    <x v="15"/>
    <x v="0"/>
    <x v="0"/>
    <x v="513"/>
    <x v="3"/>
    <n v="1"/>
    <x v="0"/>
    <x v="5"/>
    <d v="2014-04-02T00:00:00"/>
    <d v="2014-04-10T00:00:00"/>
    <d v="2014-04-07T00:00:00"/>
    <m/>
    <m/>
    <m/>
    <n v="2"/>
    <m/>
    <m/>
  </r>
  <r>
    <n v="1"/>
    <s v="14SS YG PSY_03_FLAT_BK"/>
    <n v="1"/>
    <s v="QF14SS YG PSY_03_FLAT_BK"/>
    <x v="2"/>
    <x v="3"/>
    <n v="1"/>
    <s v="14SS YG PSY_03_FLAT_BK"/>
    <x v="0"/>
    <s v="QF14SS YG PSY_03_FLAT_BK"/>
    <x v="48"/>
    <x v="3"/>
    <x v="0"/>
    <x v="0"/>
    <x v="21"/>
    <x v="22"/>
    <m/>
    <n v="65"/>
    <m/>
    <x v="15"/>
    <x v="0"/>
    <x v="0"/>
    <x v="514"/>
    <x v="3"/>
    <n v="1"/>
    <x v="0"/>
    <x v="5"/>
    <d v="2014-04-02T00:00:00"/>
    <d v="2014-04-10T00:00:00"/>
    <d v="2014-04-28T00:00:00"/>
    <m/>
    <m/>
    <m/>
    <n v="2"/>
    <m/>
    <m/>
  </r>
  <r>
    <n v="1"/>
    <s v="14SS YG PSY_04_FLAT_OR"/>
    <n v="1"/>
    <s v="J&amp;F14SS YG PSY_04_FLAT_OR"/>
    <x v="2"/>
    <x v="3"/>
    <n v="1"/>
    <s v="14SS YG PSY_04_FLAT_OR"/>
    <x v="0"/>
    <s v="J&amp;F14SS YG PSY_04_FLAT_OR"/>
    <x v="21"/>
    <x v="3"/>
    <x v="0"/>
    <x v="0"/>
    <x v="21"/>
    <x v="22"/>
    <m/>
    <n v="66"/>
    <m/>
    <x v="15"/>
    <x v="0"/>
    <x v="0"/>
    <x v="515"/>
    <x v="3"/>
    <n v="1"/>
    <x v="14"/>
    <x v="5"/>
    <d v="2014-04-02T00:00:00"/>
    <d v="2014-04-10T00:00:00"/>
    <d v="2014-04-01T00:00:00"/>
    <m/>
    <m/>
    <m/>
    <n v="3"/>
    <m/>
    <m/>
  </r>
  <r>
    <n v="1"/>
    <s v="14SS YG PSY_05_FLAT_NV"/>
    <n v="1"/>
    <s v="QF14SS YG PSY_05_FLAT_NV"/>
    <x v="2"/>
    <x v="3"/>
    <n v="1"/>
    <s v="14SS YG PSY_05_FLAT_NV"/>
    <x v="0"/>
    <s v="QF14SS YG PSY_05_FLAT_NV"/>
    <x v="48"/>
    <x v="3"/>
    <x v="0"/>
    <x v="0"/>
    <x v="21"/>
    <x v="22"/>
    <m/>
    <n v="67"/>
    <m/>
    <x v="15"/>
    <x v="0"/>
    <x v="0"/>
    <x v="516"/>
    <x v="3"/>
    <n v="1"/>
    <x v="0"/>
    <x v="5"/>
    <d v="2014-04-02T00:00:00"/>
    <d v="2014-04-10T00:00:00"/>
    <d v="2014-04-28T00:00:00"/>
    <m/>
    <m/>
    <m/>
    <n v="3"/>
    <m/>
    <m/>
  </r>
  <r>
    <n v="1"/>
    <s v="14SS YG PSY_06_FLAT_BK"/>
    <n v="1"/>
    <s v="QF14SS YG PSY_06_FLAT_BK"/>
    <x v="2"/>
    <x v="3"/>
    <n v="1"/>
    <s v="14SS YG PSY_06_FLAT_BK"/>
    <x v="0"/>
    <s v="QF14SS YG PSY_06_FLAT_BK"/>
    <x v="80"/>
    <x v="3"/>
    <x v="0"/>
    <x v="0"/>
    <x v="21"/>
    <x v="22"/>
    <m/>
    <n v="68"/>
    <m/>
    <x v="15"/>
    <x v="0"/>
    <x v="0"/>
    <x v="517"/>
    <x v="3"/>
    <n v="1"/>
    <x v="0"/>
    <x v="5"/>
    <d v="2014-04-02T00:00:00"/>
    <d v="2014-04-10T00:00:00"/>
    <d v="2014-04-18T00:00:00"/>
    <m/>
    <m/>
    <m/>
    <n v="3"/>
    <m/>
    <m/>
  </r>
  <r>
    <n v="1"/>
    <s v="14FW_URBAN SWAGGER_25_FLAT_GN"/>
    <n v="1"/>
    <s v="QF14FW_URBAN SWAGGER_25_FLAT_GN"/>
    <x v="5"/>
    <x v="4"/>
    <n v="0"/>
    <s v=""/>
    <x v="1"/>
    <s v=""/>
    <x v="70"/>
    <x v="5"/>
    <x v="0"/>
    <x v="0"/>
    <x v="20"/>
    <x v="21"/>
    <m/>
    <n v="69"/>
    <m/>
    <x v="14"/>
    <x v="16"/>
    <x v="0"/>
    <x v="518"/>
    <x v="3"/>
    <n v="1"/>
    <x v="0"/>
    <x v="43"/>
    <d v="2014-05-06T00:00:00"/>
    <d v="2014-05-20T00:00:00"/>
    <m/>
    <m/>
    <m/>
    <m/>
    <m/>
    <m/>
    <m/>
  </r>
  <r>
    <n v="1"/>
    <s v="14FW_URBAN SWAGGER_26_FLAT_BK"/>
    <n v="1"/>
    <s v="QF14FW_URBAN SWAGGER_26_FLAT_BK"/>
    <x v="5"/>
    <x v="4"/>
    <n v="1"/>
    <s v="14FW_URBAN SWAGGER_26_FLAT_BK"/>
    <x v="0"/>
    <s v="QF14FW_URBAN SWAGGER_26_FLAT_BK"/>
    <x v="34"/>
    <x v="5"/>
    <x v="0"/>
    <x v="0"/>
    <x v="20"/>
    <x v="21"/>
    <m/>
    <n v="70"/>
    <m/>
    <x v="14"/>
    <x v="16"/>
    <x v="0"/>
    <x v="519"/>
    <x v="3"/>
    <n v="1"/>
    <x v="0"/>
    <x v="43"/>
    <d v="2014-05-06T00:00:00"/>
    <d v="2014-05-20T00:00:00"/>
    <d v="2014-05-15T00:00:00"/>
    <m/>
    <m/>
    <m/>
    <m/>
    <m/>
    <m/>
  </r>
  <r>
    <n v="1"/>
    <s v="14FW_URBAN SWAGGER_27_FLAT_BK"/>
    <n v="1"/>
    <s v="QF14FW_URBAN SWAGGER_27_FLAT_BK"/>
    <x v="5"/>
    <x v="4"/>
    <n v="1"/>
    <s v="14FW_URBAN SWAGGER_27_FLAT_BK"/>
    <x v="0"/>
    <s v="QF14FW_URBAN SWAGGER_27_FLAT_BK"/>
    <x v="53"/>
    <x v="5"/>
    <x v="0"/>
    <x v="0"/>
    <x v="20"/>
    <x v="21"/>
    <m/>
    <n v="71"/>
    <m/>
    <x v="14"/>
    <x v="16"/>
    <x v="0"/>
    <x v="520"/>
    <x v="3"/>
    <n v="1"/>
    <x v="0"/>
    <x v="43"/>
    <d v="2014-05-06T00:00:00"/>
    <d v="2014-05-20T00:00:00"/>
    <d v="2014-05-08T00:00:00"/>
    <m/>
    <m/>
    <m/>
    <m/>
    <m/>
    <m/>
  </r>
  <r>
    <n v="1"/>
    <s v="14FW_URBAN SWAGGER_28_FLAT_BK"/>
    <n v="1"/>
    <s v="QF14FW_URBAN SWAGGER_28_FLAT_BK"/>
    <x v="5"/>
    <x v="4"/>
    <n v="0"/>
    <s v=""/>
    <x v="1"/>
    <s v=""/>
    <x v="70"/>
    <x v="5"/>
    <x v="0"/>
    <x v="0"/>
    <x v="20"/>
    <x v="21"/>
    <m/>
    <n v="72"/>
    <m/>
    <x v="14"/>
    <x v="16"/>
    <x v="0"/>
    <x v="521"/>
    <x v="3"/>
    <n v="1"/>
    <x v="0"/>
    <x v="43"/>
    <d v="2014-05-06T00:00:00"/>
    <d v="2014-05-20T00:00:00"/>
    <m/>
    <m/>
    <m/>
    <m/>
    <m/>
    <m/>
    <m/>
  </r>
  <r>
    <n v="1"/>
    <s v="14FW_URBAN SWAGGER_29_FLAT_KH"/>
    <n v="1"/>
    <s v="QF14FW_URBAN SWAGGER_29_FLAT_KH"/>
    <x v="5"/>
    <x v="4"/>
    <n v="1"/>
    <s v="14FW_URBAN SWAGGER_29_FLAT_KH"/>
    <x v="0"/>
    <s v="QF14FW_URBAN SWAGGER_29_FLAT_KH"/>
    <x v="53"/>
    <x v="5"/>
    <x v="0"/>
    <x v="0"/>
    <x v="20"/>
    <x v="21"/>
    <m/>
    <n v="73"/>
    <m/>
    <x v="14"/>
    <x v="16"/>
    <x v="0"/>
    <x v="522"/>
    <x v="3"/>
    <n v="1"/>
    <x v="0"/>
    <x v="43"/>
    <d v="2014-05-06T00:00:00"/>
    <d v="2014-05-20T00:00:00"/>
    <d v="2014-05-08T00:00:00"/>
    <m/>
    <m/>
    <m/>
    <m/>
    <m/>
    <m/>
  </r>
  <r>
    <n v="1"/>
    <s v="14FW_URBAN SWAGGER_30_FLAT_BK"/>
    <n v="1"/>
    <s v="QF14FW_URBAN SWAGGER_30_FLAT_BK"/>
    <x v="5"/>
    <x v="4"/>
    <n v="0"/>
    <s v=""/>
    <x v="1"/>
    <s v=""/>
    <x v="70"/>
    <x v="5"/>
    <x v="0"/>
    <x v="0"/>
    <x v="20"/>
    <x v="21"/>
    <m/>
    <n v="74"/>
    <m/>
    <x v="14"/>
    <x v="16"/>
    <x v="0"/>
    <x v="523"/>
    <x v="3"/>
    <n v="1"/>
    <x v="0"/>
    <x v="43"/>
    <d v="2014-05-06T00:00:00"/>
    <d v="2014-05-20T00:00:00"/>
    <m/>
    <m/>
    <m/>
    <m/>
    <m/>
    <m/>
    <m/>
  </r>
  <r>
    <n v="1"/>
    <s v="14FW_URBAN SWAGGER_31_FLAT_BK"/>
    <n v="1"/>
    <s v="QF14FW_URBAN SWAGGER_31_FLAT_BK"/>
    <x v="5"/>
    <x v="4"/>
    <n v="0"/>
    <s v=""/>
    <x v="1"/>
    <s v=""/>
    <x v="70"/>
    <x v="5"/>
    <x v="0"/>
    <x v="0"/>
    <x v="20"/>
    <x v="21"/>
    <m/>
    <n v="75"/>
    <m/>
    <x v="14"/>
    <x v="16"/>
    <x v="0"/>
    <x v="524"/>
    <x v="3"/>
    <n v="1"/>
    <x v="0"/>
    <x v="43"/>
    <d v="2014-05-06T00:00:00"/>
    <d v="2014-05-20T00:00:00"/>
    <m/>
    <m/>
    <m/>
    <m/>
    <m/>
    <m/>
    <m/>
  </r>
  <r>
    <n v="1"/>
    <s v="14FW_URBAN SWAGGER_34_FLAT_BK"/>
    <n v="1"/>
    <s v="QF14FW_URBAN SWAGGER_34_FLAT_BK"/>
    <x v="5"/>
    <x v="4"/>
    <n v="0"/>
    <s v=""/>
    <x v="1"/>
    <s v=""/>
    <x v="70"/>
    <x v="5"/>
    <x v="0"/>
    <x v="0"/>
    <x v="20"/>
    <x v="21"/>
    <m/>
    <n v="76"/>
    <m/>
    <x v="14"/>
    <x v="16"/>
    <x v="0"/>
    <x v="525"/>
    <x v="3"/>
    <n v="1"/>
    <x v="0"/>
    <x v="43"/>
    <d v="2014-05-06T00:00:00"/>
    <d v="2014-05-20T00:00:00"/>
    <m/>
    <m/>
    <m/>
    <m/>
    <m/>
    <m/>
    <m/>
  </r>
  <r>
    <n v="1"/>
    <s v="14FW_URBAN SWAGGER_35_FLAT_RD"/>
    <n v="1"/>
    <s v="QF14FW_URBAN SWAGGER_35_FLAT_RD"/>
    <x v="5"/>
    <x v="4"/>
    <n v="1"/>
    <s v="14FW_URBAN SWAGGER_35_FLAT_RD"/>
    <x v="0"/>
    <s v="QF14FW_URBAN SWAGGER_35_FLAT_RD"/>
    <x v="34"/>
    <x v="5"/>
    <x v="0"/>
    <x v="0"/>
    <x v="20"/>
    <x v="21"/>
    <m/>
    <n v="77"/>
    <m/>
    <x v="14"/>
    <x v="16"/>
    <x v="0"/>
    <x v="526"/>
    <x v="3"/>
    <n v="1"/>
    <x v="0"/>
    <x v="43"/>
    <d v="2014-05-06T00:00:00"/>
    <d v="2014-05-20T00:00:00"/>
    <d v="2014-05-15T00:00:00"/>
    <m/>
    <m/>
    <m/>
    <m/>
    <m/>
    <m/>
  </r>
  <r>
    <n v="1"/>
    <s v="14FW_URBAN SWAGGER_36_FLAT_BL"/>
    <n v="1"/>
    <s v="QF14FW_URBAN SWAGGER_36_FLAT_BL"/>
    <x v="5"/>
    <x v="4"/>
    <n v="1"/>
    <s v="14FW_URBAN SWAGGER_36_FLAT_BL"/>
    <x v="0"/>
    <s v="QF14FW_URBAN SWAGGER_36_FLAT_BL"/>
    <x v="34"/>
    <x v="5"/>
    <x v="0"/>
    <x v="0"/>
    <x v="20"/>
    <x v="21"/>
    <m/>
    <n v="78"/>
    <m/>
    <x v="14"/>
    <x v="16"/>
    <x v="0"/>
    <x v="527"/>
    <x v="3"/>
    <n v="1"/>
    <x v="0"/>
    <x v="43"/>
    <d v="2014-05-06T00:00:00"/>
    <d v="2014-05-20T00:00:00"/>
    <d v="2014-05-15T00:00:00"/>
    <m/>
    <m/>
    <m/>
    <m/>
    <m/>
    <m/>
  </r>
  <r>
    <n v="1"/>
    <s v="14FW_URBAN SWAGGER_37_FLAT_YE"/>
    <n v="1"/>
    <s v="QF14FW_URBAN SWAGGER_37_FLAT_YE"/>
    <x v="5"/>
    <x v="4"/>
    <n v="0"/>
    <s v=""/>
    <x v="1"/>
    <s v=""/>
    <x v="70"/>
    <x v="5"/>
    <x v="0"/>
    <x v="0"/>
    <x v="20"/>
    <x v="21"/>
    <m/>
    <n v="79"/>
    <m/>
    <x v="14"/>
    <x v="16"/>
    <x v="0"/>
    <x v="528"/>
    <x v="3"/>
    <n v="1"/>
    <x v="0"/>
    <x v="43"/>
    <d v="2014-05-06T00:00:00"/>
    <d v="2014-05-20T00:00:00"/>
    <m/>
    <m/>
    <m/>
    <m/>
    <m/>
    <m/>
    <m/>
  </r>
  <r>
    <n v="1"/>
    <s v="14FW_URBAN SWAGGER_38_FLAT_BK"/>
    <n v="1"/>
    <s v="QF14FW_URBAN SWAGGER_38_FLAT_BK"/>
    <x v="5"/>
    <x v="4"/>
    <n v="1"/>
    <s v="14FW_URBAN SWAGGER_38_FLAT_BK"/>
    <x v="0"/>
    <s v="QF14FW_URBAN SWAGGER_38_FLAT_BK"/>
    <x v="34"/>
    <x v="5"/>
    <x v="0"/>
    <x v="0"/>
    <x v="20"/>
    <x v="21"/>
    <m/>
    <n v="80"/>
    <m/>
    <x v="14"/>
    <x v="16"/>
    <x v="0"/>
    <x v="529"/>
    <x v="3"/>
    <n v="1"/>
    <x v="0"/>
    <x v="43"/>
    <d v="2014-05-06T00:00:00"/>
    <d v="2014-05-20T00:00:00"/>
    <d v="2014-05-15T00:00:00"/>
    <m/>
    <m/>
    <m/>
    <m/>
    <m/>
    <m/>
  </r>
  <r>
    <n v="1"/>
    <s v="14FW_URBAN SWAGGER_39_FLAT_GY"/>
    <n v="1"/>
    <s v="QF14FW_URBAN SWAGGER_39_FLAT_GY"/>
    <x v="5"/>
    <x v="4"/>
    <n v="1"/>
    <s v="14FW_URBAN SWAGGER_39_FLAT_GY"/>
    <x v="0"/>
    <s v="QF14FW_URBAN SWAGGER_39_FLAT_GY"/>
    <x v="34"/>
    <x v="5"/>
    <x v="0"/>
    <x v="0"/>
    <x v="20"/>
    <x v="21"/>
    <m/>
    <n v="81"/>
    <m/>
    <x v="14"/>
    <x v="16"/>
    <x v="0"/>
    <x v="530"/>
    <x v="3"/>
    <n v="1"/>
    <x v="0"/>
    <x v="43"/>
    <d v="2014-05-06T00:00:00"/>
    <d v="2014-05-20T00:00:00"/>
    <d v="2014-05-15T00:00:00"/>
    <m/>
    <m/>
    <m/>
    <m/>
    <m/>
    <m/>
  </r>
  <r>
    <n v="1"/>
    <s v="14FW_URBAN SWAGGER_40_FLAT_MT"/>
    <n v="1"/>
    <s v="QF14FW_URBAN SWAGGER_40_FLAT_MT"/>
    <x v="5"/>
    <x v="4"/>
    <n v="0"/>
    <s v=""/>
    <x v="1"/>
    <s v=""/>
    <x v="70"/>
    <x v="5"/>
    <x v="0"/>
    <x v="0"/>
    <x v="20"/>
    <x v="21"/>
    <m/>
    <n v="82"/>
    <m/>
    <x v="14"/>
    <x v="16"/>
    <x v="0"/>
    <x v="531"/>
    <x v="3"/>
    <n v="1"/>
    <x v="0"/>
    <x v="43"/>
    <d v="2014-05-06T00:00:00"/>
    <d v="2014-05-20T00:00:00"/>
    <m/>
    <m/>
    <m/>
    <m/>
    <m/>
    <m/>
    <m/>
  </r>
  <r>
    <n v="1"/>
    <s v="14FW_URBAN SWAGGER_40_FLAT_WH"/>
    <n v="1"/>
    <s v="QF14FW_URBAN SWAGGER_40_FLAT_WH"/>
    <x v="5"/>
    <x v="4"/>
    <n v="0"/>
    <s v=""/>
    <x v="1"/>
    <s v=""/>
    <x v="70"/>
    <x v="5"/>
    <x v="0"/>
    <x v="0"/>
    <x v="20"/>
    <x v="21"/>
    <m/>
    <n v="83"/>
    <m/>
    <x v="14"/>
    <x v="16"/>
    <x v="0"/>
    <x v="532"/>
    <x v="3"/>
    <n v="1"/>
    <x v="0"/>
    <x v="43"/>
    <d v="2014-05-06T00:00:00"/>
    <d v="2014-05-20T00:00:00"/>
    <m/>
    <m/>
    <m/>
    <m/>
    <m/>
    <m/>
    <m/>
  </r>
  <r>
    <n v="1"/>
    <s v="14FW_URBAN SWAGGER_29_FLAT_NY"/>
    <n v="1"/>
    <s v="캡보이14FW_URBAN SWAGGER_29_FLAT_NY"/>
    <x v="5"/>
    <x v="4"/>
    <n v="0"/>
    <s v=""/>
    <x v="1"/>
    <s v=""/>
    <x v="70"/>
    <x v="5"/>
    <x v="0"/>
    <x v="1"/>
    <x v="20"/>
    <x v="21"/>
    <m/>
    <n v="84"/>
    <m/>
    <x v="14"/>
    <x v="16"/>
    <x v="0"/>
    <x v="533"/>
    <x v="3"/>
    <n v="1"/>
    <x v="5"/>
    <x v="43"/>
    <d v="2014-04-29T00:00:00"/>
    <d v="2014-05-20T00:00:00"/>
    <m/>
    <m/>
    <m/>
    <m/>
    <m/>
    <m/>
    <m/>
  </r>
  <r>
    <n v="1"/>
    <s v="14FW_URBAN SWAGGER_32_KNIT_BK"/>
    <n v="1"/>
    <s v="Y&amp;Y14FW_URBAN SWAGGER_32_KNIT_BK"/>
    <x v="5"/>
    <x v="4"/>
    <n v="0"/>
    <s v=""/>
    <x v="1"/>
    <s v=""/>
    <x v="70"/>
    <x v="5"/>
    <x v="0"/>
    <x v="0"/>
    <x v="20"/>
    <x v="21"/>
    <m/>
    <n v="85"/>
    <m/>
    <x v="14"/>
    <x v="4"/>
    <x v="0"/>
    <x v="534"/>
    <x v="3"/>
    <n v="1"/>
    <x v="7"/>
    <x v="43"/>
    <d v="2014-05-06T00:00:00"/>
    <d v="2014-05-20T00:00:00"/>
    <m/>
    <m/>
    <m/>
    <m/>
    <m/>
    <m/>
    <m/>
  </r>
  <r>
    <n v="1"/>
    <s v="14FW_URBAN SWAGGER_33_KNIT_BK"/>
    <n v="1"/>
    <s v="Y&amp;Y14FW_URBAN SWAGGER_33_KNIT_BK"/>
    <x v="5"/>
    <x v="4"/>
    <n v="0"/>
    <s v=""/>
    <x v="1"/>
    <s v=""/>
    <x v="70"/>
    <x v="5"/>
    <x v="0"/>
    <x v="0"/>
    <x v="20"/>
    <x v="21"/>
    <m/>
    <n v="86"/>
    <m/>
    <x v="14"/>
    <x v="4"/>
    <x v="0"/>
    <x v="535"/>
    <x v="3"/>
    <n v="1"/>
    <x v="7"/>
    <x v="43"/>
    <d v="2014-05-06T00:00:00"/>
    <d v="2014-05-20T00:00:00"/>
    <m/>
    <m/>
    <m/>
    <m/>
    <m/>
    <m/>
    <m/>
  </r>
  <r>
    <n v="1"/>
    <s v="14FW_URBAN SWAGGER_41_FLAT_WH"/>
    <n v="1"/>
    <s v="캡보이14FW_URBAN SWAGGER_41_FLAT_WH"/>
    <x v="5"/>
    <x v="4"/>
    <n v="0"/>
    <s v=""/>
    <x v="1"/>
    <s v=""/>
    <x v="28"/>
    <x v="3"/>
    <x v="0"/>
    <x v="1"/>
    <x v="20"/>
    <x v="21"/>
    <m/>
    <n v="87"/>
    <m/>
    <x v="14"/>
    <x v="16"/>
    <x v="0"/>
    <x v="536"/>
    <x v="3"/>
    <n v="1"/>
    <x v="5"/>
    <x v="44"/>
    <d v="2014-05-05T00:00:00"/>
    <d v="2014-04-25T00:00:00"/>
    <m/>
    <m/>
    <m/>
    <m/>
    <m/>
    <m/>
    <m/>
  </r>
  <r>
    <n v="1"/>
    <s v="14FW_URBAN SWAGGER_42_FLAT_BK"/>
    <n v="1"/>
    <s v="캡보이14FW_URBAN SWAGGER_42_FLAT_BK"/>
    <x v="5"/>
    <x v="4"/>
    <n v="0"/>
    <s v=""/>
    <x v="1"/>
    <s v=""/>
    <x v="28"/>
    <x v="3"/>
    <x v="0"/>
    <x v="1"/>
    <x v="20"/>
    <x v="21"/>
    <m/>
    <n v="88"/>
    <m/>
    <x v="14"/>
    <x v="16"/>
    <x v="0"/>
    <x v="537"/>
    <x v="3"/>
    <n v="1"/>
    <x v="5"/>
    <x v="44"/>
    <d v="2014-05-05T00:00:00"/>
    <d v="2014-04-25T00:00:00"/>
    <m/>
    <m/>
    <m/>
    <m/>
    <m/>
    <m/>
    <m/>
  </r>
  <r>
    <n v="0.5"/>
    <s v="14SS YG BIGBANG_01_BK"/>
    <n v="1"/>
    <s v="캡보이14SS YG BIGBANG_01_BK"/>
    <x v="5"/>
    <x v="4"/>
    <n v="0.5"/>
    <s v="14SS YG BIGBANG_01_BK"/>
    <x v="0"/>
    <s v="캡보이14SS YG BIGBANG_01_BK"/>
    <x v="34"/>
    <x v="5"/>
    <x v="0"/>
    <x v="1"/>
    <x v="21"/>
    <x v="22"/>
    <m/>
    <n v="89"/>
    <m/>
    <x v="15"/>
    <x v="16"/>
    <x v="0"/>
    <x v="506"/>
    <x v="3"/>
    <n v="0.5"/>
    <x v="5"/>
    <x v="45"/>
    <d v="2014-05-06T00:00:00"/>
    <d v="2014-04-25T00:00:00"/>
    <d v="2014-05-15T00:00:00"/>
    <m/>
    <m/>
    <m/>
    <m/>
    <m/>
    <m/>
  </r>
  <r>
    <n v="1"/>
    <s v="14SS YG 2EN1_01_BK"/>
    <n v="1"/>
    <s v="캡보이14SS YG 2EN1_01_BK"/>
    <x v="5"/>
    <x v="4"/>
    <n v="1"/>
    <s v="14SS YG 2EN1_01_BK"/>
    <x v="0"/>
    <s v="캡보이14SS YG 2EN1_01_BK"/>
    <x v="34"/>
    <x v="5"/>
    <x v="0"/>
    <x v="1"/>
    <x v="21"/>
    <x v="22"/>
    <m/>
    <n v="90"/>
    <m/>
    <x v="15"/>
    <x v="16"/>
    <x v="0"/>
    <x v="538"/>
    <x v="3"/>
    <n v="1"/>
    <x v="5"/>
    <x v="45"/>
    <d v="2014-05-06T00:00:00"/>
    <d v="2014-04-25T00:00:00"/>
    <d v="2014-05-15T00:00:00"/>
    <m/>
    <m/>
    <m/>
    <m/>
    <m/>
    <m/>
  </r>
  <r>
    <n v="1"/>
    <s v="14SS YG 2EN1_02_PK"/>
    <n v="1"/>
    <s v="캡보이14SS YG 2EN1_02_PK"/>
    <x v="5"/>
    <x v="4"/>
    <n v="1"/>
    <s v="14SS YG 2EN1_02_PK"/>
    <x v="0"/>
    <s v="캡보이14SS YG 2EN1_02_PK"/>
    <x v="34"/>
    <x v="5"/>
    <x v="0"/>
    <x v="1"/>
    <x v="21"/>
    <x v="22"/>
    <m/>
    <n v="91"/>
    <m/>
    <x v="15"/>
    <x v="16"/>
    <x v="0"/>
    <x v="539"/>
    <x v="3"/>
    <n v="1"/>
    <x v="5"/>
    <x v="45"/>
    <d v="2014-05-06T00:00:00"/>
    <d v="2014-04-25T00:00:00"/>
    <d v="2014-05-15T00:00:00"/>
    <m/>
    <m/>
    <m/>
    <m/>
    <m/>
    <m/>
  </r>
  <r>
    <n v="1"/>
    <s v="14FW_URBAN SWAGGER_01_BACKPACK_BK"/>
    <n v="1"/>
    <s v="바이칼14FW_URBAN SWAGGER_01_BACKPACK_BK"/>
    <x v="4"/>
    <x v="4"/>
    <n v="0"/>
    <s v=""/>
    <x v="1"/>
    <s v=""/>
    <x v="81"/>
    <x v="6"/>
    <x v="0"/>
    <x v="0"/>
    <x v="22"/>
    <x v="23"/>
    <m/>
    <n v="92"/>
    <m/>
    <x v="14"/>
    <x v="15"/>
    <x v="0"/>
    <x v="540"/>
    <x v="3"/>
    <n v="1"/>
    <x v="13"/>
    <x v="46"/>
    <d v="2014-06-04T00:00:00"/>
    <d v="2014-06-04T00:00:00"/>
    <m/>
    <m/>
    <m/>
    <m/>
    <m/>
    <m/>
    <m/>
  </r>
  <r>
    <n v="1"/>
    <s v="14FW_URBAN SWAGGER_02_BACKPACK_BK"/>
    <n v="1"/>
    <s v="바이칼14FW_URBAN SWAGGER_02_BACKPACK_BK"/>
    <x v="4"/>
    <x v="4"/>
    <n v="0"/>
    <s v=""/>
    <x v="1"/>
    <s v=""/>
    <x v="81"/>
    <x v="6"/>
    <x v="0"/>
    <x v="0"/>
    <x v="22"/>
    <x v="23"/>
    <m/>
    <n v="93"/>
    <m/>
    <x v="14"/>
    <x v="15"/>
    <x v="0"/>
    <x v="541"/>
    <x v="3"/>
    <n v="1"/>
    <x v="13"/>
    <x v="46"/>
    <d v="2014-06-04T00:00:00"/>
    <d v="2014-06-04T00:00:00"/>
    <m/>
    <m/>
    <m/>
    <m/>
    <m/>
    <m/>
    <m/>
  </r>
  <r>
    <n v="1"/>
    <s v="14FW_URBAN SWAGGER_03_BACKPACK_BK"/>
    <n v="1"/>
    <s v="바이칼14FW_URBAN SWAGGER_03_BACKPACK_BK"/>
    <x v="4"/>
    <x v="4"/>
    <n v="0"/>
    <s v=""/>
    <x v="1"/>
    <s v=""/>
    <x v="81"/>
    <x v="6"/>
    <x v="0"/>
    <x v="0"/>
    <x v="22"/>
    <x v="23"/>
    <m/>
    <n v="94"/>
    <m/>
    <x v="14"/>
    <x v="15"/>
    <x v="0"/>
    <x v="542"/>
    <x v="3"/>
    <n v="1"/>
    <x v="13"/>
    <x v="46"/>
    <d v="2014-06-04T00:00:00"/>
    <d v="2014-06-04T00:00:00"/>
    <m/>
    <m/>
    <m/>
    <m/>
    <m/>
    <m/>
    <m/>
  </r>
  <r>
    <n v="1"/>
    <s v="14FW_URBAN SWAGGER_04_BACKPACK_BK"/>
    <n v="1"/>
    <s v="바이칼14FW_URBAN SWAGGER_04_BACKPACK_BK"/>
    <x v="4"/>
    <x v="4"/>
    <n v="0"/>
    <s v=""/>
    <x v="1"/>
    <s v=""/>
    <x v="81"/>
    <x v="6"/>
    <x v="0"/>
    <x v="0"/>
    <x v="22"/>
    <x v="23"/>
    <m/>
    <n v="95"/>
    <m/>
    <x v="14"/>
    <x v="15"/>
    <x v="0"/>
    <x v="543"/>
    <x v="3"/>
    <n v="1"/>
    <x v="13"/>
    <x v="46"/>
    <d v="2014-06-04T00:00:00"/>
    <d v="2014-06-04T00:00:00"/>
    <m/>
    <m/>
    <m/>
    <m/>
    <m/>
    <m/>
    <m/>
  </r>
  <r>
    <n v="1"/>
    <s v="14FW NCAA 5950_01_GR"/>
    <n v="1"/>
    <s v="성진14FW NCAA 5950_01_GR"/>
    <x v="2"/>
    <x v="4"/>
    <n v="1"/>
    <s v="14FW NCAA 5950_01_GR"/>
    <x v="0"/>
    <s v="성진14FW NCAA 5950_01_GR"/>
    <x v="24"/>
    <x v="3"/>
    <x v="0"/>
    <x v="0"/>
    <x v="23"/>
    <x v="24"/>
    <m/>
    <n v="1"/>
    <m/>
    <x v="16"/>
    <x v="0"/>
    <x v="0"/>
    <x v="544"/>
    <x v="3"/>
    <n v="1"/>
    <x v="3"/>
    <x v="33"/>
    <d v="2014-04-21T00:00:00"/>
    <d v="2014-04-30T00:00:00"/>
    <d v="2014-04-29T00:00:00"/>
    <n v="5.75"/>
    <m/>
    <m/>
    <m/>
    <m/>
    <m/>
  </r>
  <r>
    <n v="1"/>
    <s v="14FW NCAA 5950_01_GY"/>
    <n v="1"/>
    <s v="성진14FW NCAA 5950_01_GY"/>
    <x v="2"/>
    <x v="4"/>
    <n v="1"/>
    <s v="14FW NCAA 5950_01_GY"/>
    <x v="0"/>
    <s v="성진14FW NCAA 5950_01_GY"/>
    <x v="24"/>
    <x v="3"/>
    <x v="0"/>
    <x v="0"/>
    <x v="23"/>
    <x v="24"/>
    <m/>
    <n v="2"/>
    <m/>
    <x v="16"/>
    <x v="0"/>
    <x v="0"/>
    <x v="545"/>
    <x v="3"/>
    <n v="1"/>
    <x v="3"/>
    <x v="33"/>
    <d v="2014-04-21T00:00:00"/>
    <d v="2014-04-30T00:00:00"/>
    <d v="2014-04-29T00:00:00"/>
    <n v="5.5"/>
    <m/>
    <m/>
    <m/>
    <m/>
    <m/>
  </r>
  <r>
    <n v="1"/>
    <s v="14FW NCAA 5950_02_NV"/>
    <n v="1"/>
    <s v="성진14FW NCAA 5950_02_NV"/>
    <x v="2"/>
    <x v="4"/>
    <n v="1"/>
    <s v="14FW NCAA 5950_02_NV"/>
    <x v="0"/>
    <s v="성진14FW NCAA 5950_02_NV"/>
    <x v="49"/>
    <x v="5"/>
    <x v="0"/>
    <x v="0"/>
    <x v="23"/>
    <x v="24"/>
    <m/>
    <n v="3"/>
    <m/>
    <x v="16"/>
    <x v="0"/>
    <x v="0"/>
    <x v="546"/>
    <x v="3"/>
    <n v="1"/>
    <x v="3"/>
    <x v="33"/>
    <d v="2014-04-21T00:00:00"/>
    <d v="2014-05-09T00:00:00"/>
    <d v="2014-05-09T00:00:00"/>
    <n v="5.2"/>
    <m/>
    <m/>
    <m/>
    <m/>
    <m/>
  </r>
  <r>
    <n v="1"/>
    <s v="14FW NCAA 5950_03_GY"/>
    <n v="1"/>
    <s v="성진14FW NCAA 5950_03_GY"/>
    <x v="2"/>
    <x v="4"/>
    <n v="1"/>
    <s v="14FW NCAA 5950_03_GY"/>
    <x v="0"/>
    <s v="성진14FW NCAA 5950_03_GY"/>
    <x v="28"/>
    <x v="3"/>
    <x v="0"/>
    <x v="0"/>
    <x v="23"/>
    <x v="24"/>
    <m/>
    <n v="4"/>
    <m/>
    <x v="16"/>
    <x v="0"/>
    <x v="0"/>
    <x v="547"/>
    <x v="3"/>
    <n v="1"/>
    <x v="3"/>
    <x v="33"/>
    <d v="2014-04-21T00:00:00"/>
    <d v="2014-04-30T00:00:00"/>
    <d v="2014-04-25T00:00:00"/>
    <n v="5.55"/>
    <m/>
    <m/>
    <m/>
    <m/>
    <m/>
  </r>
  <r>
    <n v="1"/>
    <s v="14FW NCAA 5950_04_GY"/>
    <n v="1"/>
    <s v="성진14FW NCAA 5950_04_GY"/>
    <x v="2"/>
    <x v="4"/>
    <n v="1"/>
    <s v="14FW NCAA 5950_04_GY"/>
    <x v="0"/>
    <s v="성진14FW NCAA 5950_04_GY"/>
    <x v="24"/>
    <x v="3"/>
    <x v="0"/>
    <x v="0"/>
    <x v="23"/>
    <x v="24"/>
    <m/>
    <n v="5"/>
    <m/>
    <x v="16"/>
    <x v="0"/>
    <x v="0"/>
    <x v="548"/>
    <x v="3"/>
    <n v="1"/>
    <x v="3"/>
    <x v="33"/>
    <d v="2014-04-21T00:00:00"/>
    <d v="2014-04-30T00:00:00"/>
    <d v="2014-04-29T00:00:00"/>
    <n v="6.2"/>
    <m/>
    <m/>
    <m/>
    <m/>
    <m/>
  </r>
  <r>
    <n v="1"/>
    <s v="14FW NCAA 5950_06_BK"/>
    <n v="1"/>
    <s v="성진14FW NCAA 5950_06_BK"/>
    <x v="2"/>
    <x v="4"/>
    <n v="1"/>
    <s v="14FW NCAA 5950_06_BK"/>
    <x v="0"/>
    <s v="성진14FW NCAA 5950_06_BK"/>
    <x v="24"/>
    <x v="3"/>
    <x v="0"/>
    <x v="0"/>
    <x v="23"/>
    <x v="24"/>
    <m/>
    <n v="6"/>
    <m/>
    <x v="16"/>
    <x v="0"/>
    <x v="0"/>
    <x v="549"/>
    <x v="3"/>
    <n v="1"/>
    <x v="3"/>
    <x v="33"/>
    <d v="2014-04-21T00:00:00"/>
    <d v="2014-04-30T00:00:00"/>
    <d v="2014-04-29T00:00:00"/>
    <n v="5.75"/>
    <m/>
    <m/>
    <m/>
    <m/>
    <m/>
  </r>
  <r>
    <n v="1"/>
    <s v="14FW NCAA 5950_07_BK"/>
    <n v="1"/>
    <s v="성진14FW NCAA 5950_07_BK"/>
    <x v="2"/>
    <x v="4"/>
    <n v="1"/>
    <s v="14FW NCAA 5950_07_BK"/>
    <x v="0"/>
    <s v="성진14FW NCAA 5950_07_BK"/>
    <x v="28"/>
    <x v="3"/>
    <x v="0"/>
    <x v="0"/>
    <x v="23"/>
    <x v="24"/>
    <m/>
    <n v="7"/>
    <m/>
    <x v="16"/>
    <x v="0"/>
    <x v="0"/>
    <x v="550"/>
    <x v="3"/>
    <n v="1"/>
    <x v="3"/>
    <x v="33"/>
    <d v="2014-04-21T00:00:00"/>
    <d v="2014-04-30T00:00:00"/>
    <d v="2014-04-25T00:00:00"/>
    <n v="6.85"/>
    <m/>
    <m/>
    <m/>
    <m/>
    <m/>
  </r>
  <r>
    <n v="1"/>
    <s v="14FW NCAA 5950_08_GY"/>
    <n v="1"/>
    <s v="성진14FW NCAA 5950_08_GY"/>
    <x v="2"/>
    <x v="4"/>
    <n v="1"/>
    <s v="14FW NCAA 5950_08_GY"/>
    <x v="0"/>
    <s v="성진14FW NCAA 5950_08_GY"/>
    <x v="24"/>
    <x v="3"/>
    <x v="0"/>
    <x v="0"/>
    <x v="23"/>
    <x v="24"/>
    <m/>
    <n v="8"/>
    <m/>
    <x v="16"/>
    <x v="0"/>
    <x v="0"/>
    <x v="551"/>
    <x v="3"/>
    <n v="1"/>
    <x v="3"/>
    <x v="33"/>
    <d v="2014-04-21T00:00:00"/>
    <d v="2014-04-30T00:00:00"/>
    <d v="2014-04-29T00:00:00"/>
    <n v="5.9"/>
    <m/>
    <m/>
    <m/>
    <m/>
    <m/>
  </r>
  <r>
    <n v="1"/>
    <s v="14FW NCAA 5950_10_BL"/>
    <n v="1"/>
    <s v="성진14FW NCAA 5950_10_BL"/>
    <x v="2"/>
    <x v="4"/>
    <n v="1"/>
    <s v="14FW NCAA 5950_10_BL"/>
    <x v="0"/>
    <s v="성진14FW NCAA 5950_10_BL"/>
    <x v="28"/>
    <x v="3"/>
    <x v="0"/>
    <x v="0"/>
    <x v="23"/>
    <x v="24"/>
    <m/>
    <n v="9"/>
    <m/>
    <x v="16"/>
    <x v="0"/>
    <x v="0"/>
    <x v="552"/>
    <x v="3"/>
    <n v="1"/>
    <x v="3"/>
    <x v="33"/>
    <d v="2014-04-21T00:00:00"/>
    <d v="2014-04-30T00:00:00"/>
    <d v="2014-04-25T00:00:00"/>
    <n v="5.3"/>
    <m/>
    <m/>
    <m/>
    <m/>
    <m/>
  </r>
  <r>
    <n v="0.5"/>
    <s v="14FW NCAA 5950_05_RD"/>
    <n v="1"/>
    <s v="성진14FW NCAA 5950_05_RD"/>
    <x v="2"/>
    <x v="4"/>
    <n v="0.5"/>
    <s v="14FW NCAA 5950_05_RD"/>
    <x v="0"/>
    <s v="성진14FW NCAA 5950_05_RD"/>
    <x v="28"/>
    <x v="3"/>
    <x v="0"/>
    <x v="0"/>
    <x v="23"/>
    <x v="24"/>
    <m/>
    <n v="10"/>
    <m/>
    <x v="16"/>
    <x v="0"/>
    <x v="0"/>
    <x v="553"/>
    <x v="3"/>
    <n v="0.5"/>
    <x v="3"/>
    <x v="33"/>
    <d v="2014-04-21T00:00:00"/>
    <d v="2014-04-25T00:00:00"/>
    <d v="2014-04-25T00:00:00"/>
    <n v="5.85"/>
    <m/>
    <m/>
    <m/>
    <m/>
    <m/>
  </r>
  <r>
    <n v="0.5"/>
    <s v="14FW NCAA 5950_09_NV"/>
    <n v="1"/>
    <s v="성진14FW NCAA 5950_09_NV"/>
    <x v="2"/>
    <x v="4"/>
    <n v="0.5"/>
    <s v="14FW NCAA 5950_09_NV"/>
    <x v="0"/>
    <s v="성진14FW NCAA 5950_09_NV"/>
    <x v="28"/>
    <x v="3"/>
    <x v="0"/>
    <x v="0"/>
    <x v="23"/>
    <x v="24"/>
    <m/>
    <n v="11"/>
    <m/>
    <x v="16"/>
    <x v="0"/>
    <x v="0"/>
    <x v="554"/>
    <x v="3"/>
    <n v="0.5"/>
    <x v="3"/>
    <x v="33"/>
    <d v="2014-04-21T00:00:00"/>
    <d v="2014-04-25T00:00:00"/>
    <d v="2014-04-25T00:00:00"/>
    <n v="6.2"/>
    <m/>
    <m/>
    <m/>
    <m/>
    <m/>
  </r>
  <r>
    <n v="1"/>
    <s v="14FW NCAA 5950_11_BK"/>
    <n v="1"/>
    <s v="캡보이14FW NCAA 5950_11_BK"/>
    <x v="2"/>
    <x v="4"/>
    <n v="1"/>
    <s v="14FW NCAA 5950_11_BK"/>
    <x v="0"/>
    <s v="캡보이14FW NCAA 5950_11_BK"/>
    <x v="82"/>
    <x v="5"/>
    <x v="0"/>
    <x v="1"/>
    <x v="23"/>
    <x v="24"/>
    <m/>
    <n v="12"/>
    <m/>
    <x v="16"/>
    <x v="0"/>
    <x v="0"/>
    <x v="555"/>
    <x v="3"/>
    <n v="1"/>
    <x v="5"/>
    <x v="33"/>
    <d v="2014-04-14T00:00:00"/>
    <d v="2014-05-19T00:00:00"/>
    <d v="2014-05-19T00:00:00"/>
    <m/>
    <m/>
    <m/>
    <m/>
    <m/>
    <m/>
  </r>
  <r>
    <n v="1"/>
    <s v="14FW NCAA 5950_12_GR.CAMO"/>
    <n v="1"/>
    <s v="캡보이14FW NCAA 5950_12_GR.CAMO"/>
    <x v="2"/>
    <x v="4"/>
    <n v="1"/>
    <s v="14FW NCAA 5950_12_GR.CAMO"/>
    <x v="0"/>
    <s v="캡보이14FW NCAA 5950_12_GR.CAMO"/>
    <x v="82"/>
    <x v="5"/>
    <x v="0"/>
    <x v="1"/>
    <x v="23"/>
    <x v="24"/>
    <m/>
    <n v="13"/>
    <m/>
    <x v="16"/>
    <x v="0"/>
    <x v="0"/>
    <x v="556"/>
    <x v="3"/>
    <n v="1"/>
    <x v="5"/>
    <x v="33"/>
    <d v="2014-04-14T00:00:00"/>
    <d v="2014-05-19T00:00:00"/>
    <d v="2014-05-19T00:00:00"/>
    <m/>
    <m/>
    <m/>
    <m/>
    <m/>
    <m/>
  </r>
  <r>
    <n v="1"/>
    <s v="14FW NCAA 5950_13_CAMO"/>
    <n v="1"/>
    <s v="캡보이14FW NCAA 5950_13_CAMO"/>
    <x v="2"/>
    <x v="4"/>
    <n v="0"/>
    <s v=""/>
    <x v="1"/>
    <s v=""/>
    <x v="82"/>
    <x v="5"/>
    <x v="0"/>
    <x v="1"/>
    <x v="23"/>
    <x v="24"/>
    <m/>
    <n v="14"/>
    <m/>
    <x v="16"/>
    <x v="0"/>
    <x v="0"/>
    <x v="557"/>
    <x v="3"/>
    <n v="1"/>
    <x v="5"/>
    <x v="33"/>
    <d v="2014-04-14T00:00:00"/>
    <d v="2014-05-19T00:00:00"/>
    <m/>
    <m/>
    <m/>
    <m/>
    <m/>
    <m/>
    <m/>
  </r>
  <r>
    <n v="1"/>
    <s v="14FW NCAA 5950_14_BK"/>
    <n v="1"/>
    <s v="캡보이14FW NCAA 5950_14_BK"/>
    <x v="2"/>
    <x v="4"/>
    <n v="1"/>
    <s v="14FW NCAA 5950_14_BK"/>
    <x v="0"/>
    <s v="캡보이14FW NCAA 5950_14_BK"/>
    <x v="82"/>
    <x v="5"/>
    <x v="0"/>
    <x v="1"/>
    <x v="23"/>
    <x v="24"/>
    <m/>
    <n v="15"/>
    <m/>
    <x v="16"/>
    <x v="0"/>
    <x v="0"/>
    <x v="558"/>
    <x v="3"/>
    <n v="1"/>
    <x v="5"/>
    <x v="33"/>
    <d v="2014-04-14T00:00:00"/>
    <d v="2014-05-19T00:00:00"/>
    <d v="2014-05-19T00:00:00"/>
    <m/>
    <m/>
    <m/>
    <m/>
    <m/>
    <m/>
  </r>
  <r>
    <n v="0.5"/>
    <s v="14FW NCAA 5950_05_RD"/>
    <n v="1"/>
    <s v="캡보이14FW NCAA 5950_05_RD"/>
    <x v="2"/>
    <x v="4"/>
    <n v="0.5"/>
    <s v="14FW NCAA 5950_05_RD"/>
    <x v="0"/>
    <s v="캡보이14FW NCAA 5950_05_RD"/>
    <x v="82"/>
    <x v="5"/>
    <x v="0"/>
    <x v="1"/>
    <x v="23"/>
    <x v="24"/>
    <m/>
    <n v="16"/>
    <m/>
    <x v="16"/>
    <x v="0"/>
    <x v="0"/>
    <x v="553"/>
    <x v="3"/>
    <n v="0.5"/>
    <x v="5"/>
    <x v="47"/>
    <d v="2014-04-21T00:00:00"/>
    <d v="2014-05-19T00:00:00"/>
    <d v="2014-05-19T00:00:00"/>
    <m/>
    <m/>
    <m/>
    <m/>
    <m/>
    <m/>
  </r>
  <r>
    <n v="0.5"/>
    <s v="14FW NCAA 5950_09_NV"/>
    <n v="1"/>
    <s v="캡보이14FW NCAA 5950_09_NV"/>
    <x v="2"/>
    <x v="4"/>
    <n v="0.5"/>
    <s v="14FW NCAA 5950_09_NV"/>
    <x v="0"/>
    <s v="캡보이14FW NCAA 5950_09_NV"/>
    <x v="82"/>
    <x v="5"/>
    <x v="0"/>
    <x v="1"/>
    <x v="23"/>
    <x v="24"/>
    <m/>
    <n v="17"/>
    <m/>
    <x v="16"/>
    <x v="0"/>
    <x v="0"/>
    <x v="554"/>
    <x v="3"/>
    <n v="0.5"/>
    <x v="5"/>
    <x v="47"/>
    <d v="2014-04-21T00:00:00"/>
    <d v="2014-05-19T00:00:00"/>
    <d v="2014-05-19T00:00:00"/>
    <m/>
    <m/>
    <m/>
    <m/>
    <m/>
    <m/>
  </r>
  <r>
    <n v="1"/>
    <s v="14FW ELS_01_SNAP_RD"/>
    <n v="1"/>
    <s v="동일모자14FW ELS_01_SNAP_RD"/>
    <x v="0"/>
    <x v="0"/>
    <n v="1"/>
    <s v="14FW ELS_01_SNAP_RD"/>
    <x v="0"/>
    <s v="동일모자14FW ELS_01_SNAP_RD"/>
    <x v="12"/>
    <x v="0"/>
    <x v="1"/>
    <x v="0"/>
    <x v="24"/>
    <x v="25"/>
    <m/>
    <n v="1"/>
    <m/>
    <x v="17"/>
    <x v="2"/>
    <x v="0"/>
    <x v="559"/>
    <x v="3"/>
    <n v="1"/>
    <x v="1"/>
    <x v="1"/>
    <d v="2014-02-21T00:00:00"/>
    <d v="2014-03-20T00:00:00"/>
    <d v="2014-03-05T00:00:00"/>
    <n v="7.85"/>
    <m/>
    <m/>
    <n v="6"/>
    <n v="4"/>
    <m/>
  </r>
  <r>
    <n v="1"/>
    <s v="14FW ELS_02_SNAP_GR"/>
    <n v="1"/>
    <s v="동일모자14FW ELS_02_SNAP_GR"/>
    <x v="0"/>
    <x v="0"/>
    <n v="1"/>
    <s v="14FW ELS_02_SNAP_GR"/>
    <x v="0"/>
    <s v="동일모자14FW ELS_02_SNAP_GR"/>
    <x v="39"/>
    <x v="0"/>
    <x v="0"/>
    <x v="0"/>
    <x v="24"/>
    <x v="25"/>
    <m/>
    <n v="2"/>
    <m/>
    <x v="17"/>
    <x v="2"/>
    <x v="0"/>
    <x v="560"/>
    <x v="3"/>
    <n v="1"/>
    <x v="1"/>
    <x v="1"/>
    <d v="2014-02-21T00:00:00"/>
    <d v="2014-03-20T00:00:00"/>
    <d v="2014-03-14T00:00:00"/>
    <n v="7.55"/>
    <m/>
    <m/>
    <n v="5"/>
    <n v="4"/>
    <m/>
  </r>
  <r>
    <n v="1"/>
    <s v="14FW ELS_03_TROOPER_BK"/>
    <n v="1"/>
    <s v="FOREMOST14FW ELS_03_TROOPER_BK"/>
    <x v="0"/>
    <x v="0"/>
    <n v="1"/>
    <s v="14FW ELS_03_TROOPER_BK"/>
    <x v="0"/>
    <s v="FOREMOST14FW ELS_03_TROOPER_BK"/>
    <x v="31"/>
    <x v="0"/>
    <x v="0"/>
    <x v="0"/>
    <x v="24"/>
    <x v="25"/>
    <m/>
    <n v="3"/>
    <m/>
    <x v="17"/>
    <x v="3"/>
    <x v="0"/>
    <x v="561"/>
    <x v="3"/>
    <n v="1"/>
    <x v="4"/>
    <x v="1"/>
    <d v="2014-02-21T00:00:00"/>
    <d v="2014-04-04T00:00:00"/>
    <d v="2014-03-31T00:00:00"/>
    <n v="6.2"/>
    <m/>
    <m/>
    <n v="2"/>
    <n v="1"/>
    <m/>
  </r>
  <r>
    <n v="1"/>
    <s v="14FW ELS_04_SNAP_BK"/>
    <n v="1"/>
    <s v="동일모자14FW ELS_04_SNAP_BK"/>
    <x v="0"/>
    <x v="0"/>
    <n v="1"/>
    <s v="14FW ELS_04_SNAP_BK"/>
    <x v="0"/>
    <s v="동일모자14FW ELS_04_SNAP_BK"/>
    <x v="12"/>
    <x v="0"/>
    <x v="1"/>
    <x v="0"/>
    <x v="24"/>
    <x v="25"/>
    <m/>
    <n v="4"/>
    <m/>
    <x v="17"/>
    <x v="2"/>
    <x v="0"/>
    <x v="562"/>
    <x v="3"/>
    <n v="1"/>
    <x v="1"/>
    <x v="1"/>
    <d v="2014-02-21T00:00:00"/>
    <d v="2014-03-20T00:00:00"/>
    <d v="2014-03-05T00:00:00"/>
    <n v="7.4"/>
    <m/>
    <m/>
    <n v="4"/>
    <n v="1"/>
    <m/>
  </r>
  <r>
    <n v="1"/>
    <s v="14FW ELS_05_SNAP_PK"/>
    <n v="1"/>
    <s v="동일모자14FW ELS_05_SNAP_PK"/>
    <x v="0"/>
    <x v="0"/>
    <n v="1"/>
    <s v="14FW ELS_05_SNAP_PK"/>
    <x v="0"/>
    <s v="동일모자14FW ELS_05_SNAP_PK"/>
    <x v="12"/>
    <x v="0"/>
    <x v="1"/>
    <x v="0"/>
    <x v="24"/>
    <x v="25"/>
    <m/>
    <n v="5"/>
    <m/>
    <x v="17"/>
    <x v="2"/>
    <x v="0"/>
    <x v="563"/>
    <x v="3"/>
    <n v="1"/>
    <x v="1"/>
    <x v="1"/>
    <d v="2014-02-21T00:00:00"/>
    <d v="2014-03-20T00:00:00"/>
    <d v="2014-03-05T00:00:00"/>
    <n v="7.55"/>
    <m/>
    <m/>
    <n v="5"/>
    <n v="2"/>
    <m/>
  </r>
  <r>
    <n v="1"/>
    <s v="14FW ELS_06_SNAP_RD"/>
    <n v="1"/>
    <s v="성진14FW ELS_06_SNAP_RD"/>
    <x v="0"/>
    <x v="0"/>
    <n v="1"/>
    <s v="14FW ELS_06_SNAP_RD"/>
    <x v="0"/>
    <s v="성진14FW ELS_06_SNAP_RD"/>
    <x v="33"/>
    <x v="0"/>
    <x v="0"/>
    <x v="0"/>
    <x v="24"/>
    <x v="25"/>
    <m/>
    <n v="6"/>
    <m/>
    <x v="17"/>
    <x v="0"/>
    <x v="0"/>
    <x v="564"/>
    <x v="3"/>
    <n v="1"/>
    <x v="3"/>
    <x v="1"/>
    <d v="2014-02-21T00:00:00"/>
    <d v="2014-03-20T00:00:00"/>
    <d v="2014-03-10T00:00:00"/>
    <n v="6.5"/>
    <m/>
    <m/>
    <n v="3"/>
    <n v="2"/>
    <m/>
  </r>
  <r>
    <n v="1"/>
    <s v="14FW ELS_07_SNAP_BK"/>
    <n v="1"/>
    <s v="동일모자14FW ELS_07_SNAP_BK"/>
    <x v="0"/>
    <x v="0"/>
    <n v="1"/>
    <s v="14FW ELS_07_SNAP_BK"/>
    <x v="0"/>
    <s v="동일모자14FW ELS_07_SNAP_BK"/>
    <x v="12"/>
    <x v="0"/>
    <x v="1"/>
    <x v="0"/>
    <x v="24"/>
    <x v="25"/>
    <m/>
    <n v="7"/>
    <m/>
    <x v="17"/>
    <x v="2"/>
    <x v="0"/>
    <x v="565"/>
    <x v="3"/>
    <n v="1"/>
    <x v="1"/>
    <x v="1"/>
    <d v="2014-02-21T00:00:00"/>
    <d v="2014-03-20T00:00:00"/>
    <d v="2014-03-05T00:00:00"/>
    <n v="6.15"/>
    <m/>
    <m/>
    <n v="4"/>
    <n v="1"/>
    <m/>
  </r>
  <r>
    <n v="1"/>
    <s v="14FW ELS_08_CURVED_BL"/>
    <n v="1"/>
    <s v="동일모자14FW ELS_08_CURVED_BL"/>
    <x v="0"/>
    <x v="0"/>
    <n v="1"/>
    <s v="14FW ELS_08_CURVED_BL"/>
    <x v="0"/>
    <s v="동일모자14FW ELS_08_CURVED_BL"/>
    <x v="12"/>
    <x v="0"/>
    <x v="1"/>
    <x v="0"/>
    <x v="24"/>
    <x v="25"/>
    <m/>
    <n v="8"/>
    <m/>
    <x v="17"/>
    <x v="2"/>
    <x v="0"/>
    <x v="566"/>
    <x v="5"/>
    <n v="1"/>
    <x v="1"/>
    <x v="1"/>
    <d v="2014-02-21T00:00:00"/>
    <d v="2014-03-20T00:00:00"/>
    <d v="2014-03-05T00:00:00"/>
    <n v="7.25"/>
    <m/>
    <m/>
    <n v="6"/>
    <n v="6"/>
    <m/>
  </r>
  <r>
    <n v="1"/>
    <s v="14FW ELS_09_SNAP_NV"/>
    <n v="1"/>
    <s v="동일모자14FW ELS_09_SNAP_NV"/>
    <x v="0"/>
    <x v="0"/>
    <n v="1"/>
    <s v="14FW ELS_09_SNAP_NV"/>
    <x v="0"/>
    <s v="동일모자14FW ELS_09_SNAP_NV"/>
    <x v="39"/>
    <x v="0"/>
    <x v="0"/>
    <x v="0"/>
    <x v="24"/>
    <x v="25"/>
    <m/>
    <n v="9"/>
    <m/>
    <x v="17"/>
    <x v="0"/>
    <x v="0"/>
    <x v="567"/>
    <x v="3"/>
    <n v="1"/>
    <x v="1"/>
    <x v="1"/>
    <d v="2014-02-21T00:00:00"/>
    <d v="2014-03-20T00:00:00"/>
    <d v="2014-03-14T00:00:00"/>
    <n v="5.4"/>
    <m/>
    <m/>
    <n v="2"/>
    <n v="2"/>
    <m/>
  </r>
  <r>
    <n v="1"/>
    <s v="14FW ELS_10_SNAP_GR"/>
    <n v="1"/>
    <s v="동일모자14FW ELS_10_SNAP_GR"/>
    <x v="0"/>
    <x v="0"/>
    <n v="1"/>
    <s v="14FW ELS_10_SNAP_GR"/>
    <x v="0"/>
    <s v="동일모자14FW ELS_10_SNAP_GR"/>
    <x v="39"/>
    <x v="0"/>
    <x v="0"/>
    <x v="0"/>
    <x v="24"/>
    <x v="25"/>
    <m/>
    <n v="10"/>
    <m/>
    <x v="17"/>
    <x v="0"/>
    <x v="0"/>
    <x v="568"/>
    <x v="3"/>
    <n v="1"/>
    <x v="1"/>
    <x v="1"/>
    <d v="2014-02-21T00:00:00"/>
    <d v="2014-03-20T00:00:00"/>
    <d v="2014-03-14T00:00:00"/>
    <n v="5.15"/>
    <m/>
    <m/>
    <n v="3"/>
    <n v="2"/>
    <m/>
  </r>
  <r>
    <n v="1"/>
    <s v="14FW ELS_11_SNAP_GY"/>
    <n v="1"/>
    <s v="동일모자14FW ELS_11_SNAP_GY"/>
    <x v="0"/>
    <x v="0"/>
    <n v="1"/>
    <s v="14FW ELS_11_SNAP_GY"/>
    <x v="0"/>
    <s v="동일모자14FW ELS_11_SNAP_GY"/>
    <x v="12"/>
    <x v="0"/>
    <x v="1"/>
    <x v="0"/>
    <x v="24"/>
    <x v="25"/>
    <m/>
    <n v="11"/>
    <m/>
    <x v="17"/>
    <x v="0"/>
    <x v="0"/>
    <x v="569"/>
    <x v="3"/>
    <n v="1"/>
    <x v="1"/>
    <x v="1"/>
    <d v="2014-02-21T00:00:00"/>
    <d v="2014-03-20T00:00:00"/>
    <d v="2014-03-05T00:00:00"/>
    <n v="4.5999999999999996"/>
    <m/>
    <m/>
    <n v="2"/>
    <n v="0"/>
    <m/>
  </r>
  <r>
    <n v="1"/>
    <s v="14FW ELS 12_SNAP_BK"/>
    <n v="1"/>
    <s v="성진14FW ELS 12_SNAP_BK"/>
    <x v="0"/>
    <x v="0"/>
    <n v="1"/>
    <s v="14FW ELS 12_SNAP_BK"/>
    <x v="0"/>
    <s v="성진14FW ELS 12_SNAP_BK"/>
    <x v="32"/>
    <x v="0"/>
    <x v="1"/>
    <x v="0"/>
    <x v="24"/>
    <x v="25"/>
    <m/>
    <n v="12"/>
    <m/>
    <x v="17"/>
    <x v="0"/>
    <x v="0"/>
    <x v="570"/>
    <x v="3"/>
    <n v="1"/>
    <x v="3"/>
    <x v="1"/>
    <d v="2014-02-21T00:00:00"/>
    <d v="2014-03-20T00:00:00"/>
    <d v="2014-03-06T00:00:00"/>
    <n v="5.45"/>
    <m/>
    <m/>
    <n v="2"/>
    <n v="1"/>
    <s v="생산지역 : 방글라"/>
  </r>
  <r>
    <n v="1"/>
    <s v="14FW ELS 13_SNAP_BK"/>
    <n v="1"/>
    <s v="성진14FW ELS 13_SNAP_BK"/>
    <x v="0"/>
    <x v="0"/>
    <n v="1"/>
    <s v="14FW ELS 13_SNAP_BK"/>
    <x v="0"/>
    <s v="성진14FW ELS 13_SNAP_BK"/>
    <x v="5"/>
    <x v="0"/>
    <x v="0"/>
    <x v="0"/>
    <x v="24"/>
    <x v="25"/>
    <m/>
    <n v="13"/>
    <m/>
    <x v="17"/>
    <x v="0"/>
    <x v="0"/>
    <x v="571"/>
    <x v="3"/>
    <n v="1"/>
    <x v="3"/>
    <x v="1"/>
    <d v="2014-02-21T00:00:00"/>
    <d v="2014-03-20T00:00:00"/>
    <d v="2014-03-21T00:00:00"/>
    <n v="5.7"/>
    <m/>
    <m/>
    <n v="3"/>
    <n v="1"/>
    <m/>
  </r>
  <r>
    <n v="1"/>
    <s v="14FW ELS 14_SNAP_GR"/>
    <n v="1"/>
    <s v="성진14FW ELS 14_SNAP_GR"/>
    <x v="0"/>
    <x v="0"/>
    <n v="1"/>
    <s v="14FW ELS 14_SNAP_GR"/>
    <x v="0"/>
    <s v="성진14FW ELS 14_SNAP_GR"/>
    <x v="1"/>
    <x v="0"/>
    <x v="0"/>
    <x v="0"/>
    <x v="24"/>
    <x v="25"/>
    <m/>
    <n v="14"/>
    <m/>
    <x v="17"/>
    <x v="0"/>
    <x v="0"/>
    <x v="572"/>
    <x v="3"/>
    <n v="1"/>
    <x v="3"/>
    <x v="1"/>
    <d v="2014-02-21T00:00:00"/>
    <d v="2014-03-20T00:00:00"/>
    <d v="2014-03-18T00:00:00"/>
    <n v="6.65"/>
    <m/>
    <m/>
    <n v="3"/>
    <n v="1"/>
    <m/>
  </r>
  <r>
    <n v="1"/>
    <s v="14FW ELS 15_SNAP_GY"/>
    <n v="1"/>
    <s v="동일모자14FW ELS 15_SNAP_GY"/>
    <x v="0"/>
    <x v="0"/>
    <n v="1"/>
    <s v="14FW ELS 15_SNAP_GY"/>
    <x v="0"/>
    <s v="동일모자14FW ELS 15_SNAP_GY"/>
    <x v="39"/>
    <x v="0"/>
    <x v="0"/>
    <x v="0"/>
    <x v="24"/>
    <x v="25"/>
    <m/>
    <n v="15"/>
    <m/>
    <x v="17"/>
    <x v="0"/>
    <x v="0"/>
    <x v="573"/>
    <x v="3"/>
    <n v="1"/>
    <x v="1"/>
    <x v="1"/>
    <d v="2014-02-21T00:00:00"/>
    <d v="2014-03-20T00:00:00"/>
    <d v="2014-03-14T00:00:00"/>
    <n v="5.25"/>
    <m/>
    <m/>
    <n v="3"/>
    <n v="2"/>
    <m/>
  </r>
  <r>
    <n v="1"/>
    <s v="14FW ELS 16_SNAP_RD"/>
    <n v="1"/>
    <s v="성진14FW ELS 16_SNAP_RD"/>
    <x v="0"/>
    <x v="0"/>
    <n v="1"/>
    <s v="14FW ELS 16_SNAP_RD"/>
    <x v="0"/>
    <s v="성진14FW ELS 16_SNAP_RD"/>
    <x v="32"/>
    <x v="0"/>
    <x v="1"/>
    <x v="0"/>
    <x v="24"/>
    <x v="25"/>
    <m/>
    <n v="16"/>
    <m/>
    <x v="17"/>
    <x v="0"/>
    <x v="0"/>
    <x v="574"/>
    <x v="3"/>
    <n v="1"/>
    <x v="3"/>
    <x v="1"/>
    <d v="2014-02-21T00:00:00"/>
    <d v="2014-03-20T00:00:00"/>
    <d v="2014-03-06T00:00:00"/>
    <n v="5.25"/>
    <m/>
    <m/>
    <n v="3"/>
    <n v="2"/>
    <s v="생산지역 : 방글라"/>
  </r>
  <r>
    <n v="1"/>
    <s v="14FW ELS 17_SNAP_GR"/>
    <n v="1"/>
    <s v="QF14FW ELS 17_SNAP_GR"/>
    <x v="0"/>
    <x v="0"/>
    <n v="1"/>
    <s v="14FW ELS 17_SNAP_GR"/>
    <x v="0"/>
    <s v="QF14FW ELS 17_SNAP_GR"/>
    <x v="0"/>
    <x v="0"/>
    <x v="0"/>
    <x v="0"/>
    <x v="24"/>
    <x v="25"/>
    <m/>
    <n v="17"/>
    <m/>
    <x v="17"/>
    <x v="0"/>
    <x v="0"/>
    <x v="575"/>
    <x v="3"/>
    <n v="1"/>
    <x v="0"/>
    <x v="1"/>
    <d v="2014-02-21T00:00:00"/>
    <d v="2014-03-20T00:00:00"/>
    <d v="2014-03-13T00:00:00"/>
    <n v="2.5"/>
    <m/>
    <m/>
    <n v="2"/>
    <n v="0"/>
    <m/>
  </r>
  <r>
    <n v="1"/>
    <s v="14FW ELS 18_SNAP_GY"/>
    <n v="1"/>
    <s v="QF14FW ELS 18_SNAP_GY"/>
    <x v="0"/>
    <x v="0"/>
    <n v="1"/>
    <s v="14FW ELS 18_SNAP_GY"/>
    <x v="0"/>
    <s v="QF14FW ELS 18_SNAP_GY"/>
    <x v="0"/>
    <x v="0"/>
    <x v="0"/>
    <x v="0"/>
    <x v="24"/>
    <x v="25"/>
    <m/>
    <n v="18"/>
    <m/>
    <x v="17"/>
    <x v="0"/>
    <x v="0"/>
    <x v="576"/>
    <x v="3"/>
    <n v="1"/>
    <x v="0"/>
    <x v="1"/>
    <d v="2014-02-21T00:00:00"/>
    <d v="2014-03-20T00:00:00"/>
    <d v="2014-03-13T00:00:00"/>
    <n v="3.4"/>
    <m/>
    <m/>
    <n v="3"/>
    <n v="2"/>
    <m/>
  </r>
  <r>
    <n v="1"/>
    <s v="14FW ELS 19_SNAP_YE"/>
    <n v="1"/>
    <s v="성진14FW ELS 19_SNAP_YE"/>
    <x v="0"/>
    <x v="0"/>
    <n v="1"/>
    <s v="14FW ELS 19_SNAP_YE"/>
    <x v="0"/>
    <s v="성진14FW ELS 19_SNAP_YE"/>
    <x v="32"/>
    <x v="0"/>
    <x v="1"/>
    <x v="0"/>
    <x v="24"/>
    <x v="25"/>
    <m/>
    <n v="19"/>
    <m/>
    <x v="17"/>
    <x v="0"/>
    <x v="0"/>
    <x v="577"/>
    <x v="3"/>
    <n v="1"/>
    <x v="3"/>
    <x v="1"/>
    <d v="2014-02-21T00:00:00"/>
    <d v="2014-03-20T00:00:00"/>
    <d v="2014-03-06T00:00:00"/>
    <n v="5.15"/>
    <m/>
    <m/>
    <n v="3"/>
    <n v="2"/>
    <s v="생산지역 : 방글라"/>
  </r>
  <r>
    <n v="1"/>
    <s v="14FW ELS 20_SNAP_NV"/>
    <n v="1"/>
    <s v="성진14FW ELS 20_SNAP_NV"/>
    <x v="0"/>
    <x v="0"/>
    <n v="1"/>
    <s v="14FW ELS 20_SNAP_NV"/>
    <x v="0"/>
    <s v="성진14FW ELS 20_SNAP_NV"/>
    <x v="32"/>
    <x v="0"/>
    <x v="1"/>
    <x v="0"/>
    <x v="24"/>
    <x v="25"/>
    <m/>
    <n v="20"/>
    <m/>
    <x v="17"/>
    <x v="0"/>
    <x v="0"/>
    <x v="578"/>
    <x v="3"/>
    <n v="1"/>
    <x v="3"/>
    <x v="1"/>
    <d v="2014-02-21T00:00:00"/>
    <d v="2014-03-20T00:00:00"/>
    <d v="2014-03-06T00:00:00"/>
    <n v="5.45"/>
    <m/>
    <m/>
    <n v="3"/>
    <n v="1"/>
    <s v="생산지역 : 방글라"/>
  </r>
  <r>
    <n v="1"/>
    <s v="14FW ELS 21_SNAP_BK"/>
    <n v="1"/>
    <s v="성진14FW ELS 21_SNAP_BK"/>
    <x v="0"/>
    <x v="0"/>
    <n v="1"/>
    <s v="14FW ELS 21_SNAP_BK"/>
    <x v="0"/>
    <s v="성진14FW ELS 21_SNAP_BK"/>
    <x v="6"/>
    <x v="0"/>
    <x v="1"/>
    <x v="0"/>
    <x v="24"/>
    <x v="25"/>
    <m/>
    <n v="21"/>
    <m/>
    <x v="17"/>
    <x v="0"/>
    <x v="0"/>
    <x v="579"/>
    <x v="3"/>
    <n v="1"/>
    <x v="3"/>
    <x v="1"/>
    <d v="2014-02-21T00:00:00"/>
    <d v="2014-03-20T00:00:00"/>
    <d v="2014-03-04T00:00:00"/>
    <n v="4.75"/>
    <m/>
    <m/>
    <n v="2"/>
    <n v="1"/>
    <s v="생산지역 : 방글라"/>
  </r>
  <r>
    <n v="1"/>
    <s v="14FW ELS 22_SNAP_YE"/>
    <n v="1"/>
    <s v="성진14FW ELS 22_SNAP_YE"/>
    <x v="0"/>
    <x v="0"/>
    <n v="1"/>
    <s v="14FW ELS 22_SNAP_YE"/>
    <x v="0"/>
    <s v="성진14FW ELS 22_SNAP_YE"/>
    <x v="6"/>
    <x v="0"/>
    <x v="1"/>
    <x v="0"/>
    <x v="24"/>
    <x v="25"/>
    <m/>
    <n v="22"/>
    <m/>
    <x v="17"/>
    <x v="0"/>
    <x v="0"/>
    <x v="580"/>
    <x v="3"/>
    <n v="1"/>
    <x v="3"/>
    <x v="1"/>
    <d v="2014-02-21T00:00:00"/>
    <d v="2014-03-20T00:00:00"/>
    <d v="2014-03-04T00:00:00"/>
    <n v="4.45"/>
    <m/>
    <m/>
    <n v="2"/>
    <n v="2"/>
    <s v="생산지역 : 방글라"/>
  </r>
  <r>
    <n v="1"/>
    <s v="14FW ELS 23_SNAP_D.GY"/>
    <n v="1"/>
    <s v="QF14FW ELS 23_SNAP_D.GY"/>
    <x v="0"/>
    <x v="0"/>
    <n v="1"/>
    <s v="14FW ELS 23_SNAP_D.GY"/>
    <x v="0"/>
    <s v="QF14FW ELS 23_SNAP_D.GY"/>
    <x v="58"/>
    <x v="0"/>
    <x v="0"/>
    <x v="0"/>
    <x v="24"/>
    <x v="25"/>
    <m/>
    <n v="23"/>
    <m/>
    <x v="17"/>
    <x v="2"/>
    <x v="0"/>
    <x v="581"/>
    <x v="3"/>
    <n v="1"/>
    <x v="0"/>
    <x v="1"/>
    <d v="2014-02-21T00:00:00"/>
    <d v="2014-03-20T00:00:00"/>
    <d v="2014-03-17T00:00:00"/>
    <n v="4.5999999999999996"/>
    <m/>
    <s v="1 PC EARCAP 핸디캐리 "/>
    <n v="5"/>
    <n v="5"/>
    <m/>
  </r>
  <r>
    <n v="1"/>
    <s v="14FW ELS 24_SNAP_YE"/>
    <n v="1"/>
    <s v="QF14FW ELS 24_SNAP_YE"/>
    <x v="0"/>
    <x v="0"/>
    <n v="1"/>
    <s v="14FW ELS 24_SNAP_YE"/>
    <x v="0"/>
    <s v="QF14FW ELS 24_SNAP_YE"/>
    <x v="58"/>
    <x v="0"/>
    <x v="0"/>
    <x v="0"/>
    <x v="24"/>
    <x v="25"/>
    <m/>
    <n v="24"/>
    <m/>
    <x v="17"/>
    <x v="2"/>
    <x v="0"/>
    <x v="582"/>
    <x v="3"/>
    <n v="1"/>
    <x v="0"/>
    <x v="1"/>
    <d v="2014-02-21T00:00:00"/>
    <d v="2014-03-20T00:00:00"/>
    <d v="2014-03-17T00:00:00"/>
    <n v="3.5"/>
    <m/>
    <m/>
    <n v="4"/>
    <n v="2"/>
    <m/>
  </r>
  <r>
    <n v="1"/>
    <s v="14FW ELS_25_KNIT_BK"/>
    <n v="1"/>
    <s v="FOREMOST14FW ELS_25_KNIT_BK"/>
    <x v="0"/>
    <x v="0"/>
    <n v="1"/>
    <s v="14FW ELS_25_KNIT_BK"/>
    <x v="0"/>
    <s v="FOREMOST14FW ELS_25_KNIT_BK"/>
    <x v="33"/>
    <x v="0"/>
    <x v="0"/>
    <x v="0"/>
    <x v="24"/>
    <x v="25"/>
    <m/>
    <n v="25"/>
    <m/>
    <x v="17"/>
    <x v="4"/>
    <x v="0"/>
    <x v="583"/>
    <x v="3"/>
    <n v="1"/>
    <x v="4"/>
    <x v="1"/>
    <d v="2014-02-21T00:00:00"/>
    <d v="2014-03-20T00:00:00"/>
    <d v="2014-03-10T00:00:00"/>
    <n v="5.15"/>
    <m/>
    <m/>
    <n v="2"/>
    <n v="2"/>
    <s v="4/2 수정견본 수령"/>
  </r>
  <r>
    <n v="1"/>
    <s v="14FW ELS_26_KNIT_RD"/>
    <n v="1"/>
    <s v="FOREMOST14FW ELS_26_KNIT_RD"/>
    <x v="0"/>
    <x v="0"/>
    <n v="1"/>
    <s v="14FW ELS_26_KNIT_RD"/>
    <x v="0"/>
    <s v="FOREMOST14FW ELS_26_KNIT_RD"/>
    <x v="33"/>
    <x v="0"/>
    <x v="0"/>
    <x v="0"/>
    <x v="24"/>
    <x v="25"/>
    <m/>
    <n v="26"/>
    <m/>
    <x v="17"/>
    <x v="4"/>
    <x v="0"/>
    <x v="584"/>
    <x v="3"/>
    <n v="1"/>
    <x v="4"/>
    <x v="1"/>
    <d v="2014-02-21T00:00:00"/>
    <d v="2014-03-20T00:00:00"/>
    <d v="2014-03-10T00:00:00"/>
    <n v="4.5"/>
    <m/>
    <m/>
    <n v="2"/>
    <n v="2"/>
    <s v="4/1 수정견본 수령"/>
  </r>
  <r>
    <n v="1"/>
    <s v="14FW ELS_27_KNIT_PK"/>
    <n v="1"/>
    <s v="FOREMOST14FW ELS_27_KNIT_PK"/>
    <x v="0"/>
    <x v="0"/>
    <n v="1"/>
    <s v="14FW ELS_27_KNIT_PK"/>
    <x v="0"/>
    <s v="FOREMOST14FW ELS_27_KNIT_PK"/>
    <x v="33"/>
    <x v="0"/>
    <x v="0"/>
    <x v="0"/>
    <x v="24"/>
    <x v="25"/>
    <m/>
    <n v="27"/>
    <m/>
    <x v="17"/>
    <x v="4"/>
    <x v="0"/>
    <x v="585"/>
    <x v="3"/>
    <n v="1"/>
    <x v="4"/>
    <x v="1"/>
    <d v="2014-02-21T00:00:00"/>
    <d v="2014-03-20T00:00:00"/>
    <d v="2014-03-10T00:00:00"/>
    <n v="4.7"/>
    <m/>
    <m/>
    <n v="2"/>
    <n v="2"/>
    <s v="4/2 수정견본 수령"/>
  </r>
  <r>
    <n v="1"/>
    <s v="14FW ELS_28_KNIT_BK"/>
    <n v="1"/>
    <s v="FOREMOST14FW ELS_28_KNIT_BK"/>
    <x v="0"/>
    <x v="0"/>
    <n v="1"/>
    <s v="14FW ELS_28_KNIT_BK"/>
    <x v="0"/>
    <s v="FOREMOST14FW ELS_28_KNIT_BK"/>
    <x v="33"/>
    <x v="0"/>
    <x v="0"/>
    <x v="0"/>
    <x v="24"/>
    <x v="25"/>
    <m/>
    <n v="28"/>
    <m/>
    <x v="17"/>
    <x v="4"/>
    <x v="0"/>
    <x v="586"/>
    <x v="3"/>
    <n v="1"/>
    <x v="4"/>
    <x v="1"/>
    <d v="2014-02-21T00:00:00"/>
    <d v="2014-03-20T00:00:00"/>
    <d v="2014-03-10T00:00:00"/>
    <n v="4.8"/>
    <m/>
    <m/>
    <n v="1"/>
    <n v="1"/>
    <m/>
  </r>
  <r>
    <n v="1"/>
    <s v="14FW ELS_29_KNIT_GY"/>
    <n v="1"/>
    <s v="FOREMOST14FW ELS_29_KNIT_GY"/>
    <x v="0"/>
    <x v="0"/>
    <n v="1"/>
    <s v="14FW ELS_29_KNIT_GY"/>
    <x v="0"/>
    <s v="FOREMOST14FW ELS_29_KNIT_GY"/>
    <x v="33"/>
    <x v="0"/>
    <x v="0"/>
    <x v="0"/>
    <x v="24"/>
    <x v="25"/>
    <m/>
    <n v="29"/>
    <m/>
    <x v="17"/>
    <x v="4"/>
    <x v="0"/>
    <x v="587"/>
    <x v="3"/>
    <n v="1"/>
    <x v="4"/>
    <x v="1"/>
    <d v="2014-02-21T00:00:00"/>
    <d v="2014-03-20T00:00:00"/>
    <d v="2014-03-10T00:00:00"/>
    <n v="4.55"/>
    <m/>
    <m/>
    <n v="1"/>
    <n v="1"/>
    <m/>
  </r>
  <r>
    <n v="1"/>
    <s v="14FW ELS_30_KNIT GLOBE_D.GY"/>
    <n v="1"/>
    <s v="FOREMOST14FW ELS_30_KNIT GLOBE_D.GY"/>
    <x v="0"/>
    <x v="0"/>
    <n v="1"/>
    <s v="14FW ELS_30_KNIT GLOBE_D.GY"/>
    <x v="0"/>
    <s v="FOREMOST14FW ELS_30_KNIT GLOBE_D.GY"/>
    <x v="13"/>
    <x v="0"/>
    <x v="1"/>
    <x v="0"/>
    <x v="25"/>
    <x v="26"/>
    <m/>
    <n v="30"/>
    <m/>
    <x v="17"/>
    <x v="7"/>
    <x v="0"/>
    <x v="588"/>
    <x v="3"/>
    <n v="1"/>
    <x v="4"/>
    <x v="1"/>
    <d v="2014-02-21T00:00:00"/>
    <d v="2014-03-20T00:00:00"/>
    <d v="2014-03-07T00:00:00"/>
    <n v="5.3"/>
    <m/>
    <s v="1PC SAMPLE 발송"/>
    <n v="3"/>
    <n v="3"/>
    <m/>
  </r>
  <r>
    <n v="1"/>
    <s v="14FW ELS_31_KNIT GLOBE_GY"/>
    <n v="1"/>
    <s v="FOREMOST14FW ELS_31_KNIT GLOBE_GY"/>
    <x v="0"/>
    <x v="0"/>
    <n v="1"/>
    <s v="14FW ELS_31_KNIT GLOBE_GY"/>
    <x v="0"/>
    <s v="FOREMOST14FW ELS_31_KNIT GLOBE_GY"/>
    <x v="13"/>
    <x v="0"/>
    <x v="1"/>
    <x v="0"/>
    <x v="25"/>
    <x v="26"/>
    <m/>
    <n v="31"/>
    <m/>
    <x v="17"/>
    <x v="7"/>
    <x v="0"/>
    <x v="589"/>
    <x v="3"/>
    <n v="1"/>
    <x v="4"/>
    <x v="1"/>
    <d v="2014-02-21T00:00:00"/>
    <d v="2014-03-20T00:00:00"/>
    <d v="2014-03-07T00:00:00"/>
    <n v="5.2"/>
    <m/>
    <m/>
    <n v="3"/>
    <n v="3"/>
    <m/>
  </r>
  <r>
    <n v="1"/>
    <s v="14FW ELS_32_KNIT GLOBE_YE"/>
    <n v="1"/>
    <s v="FOREMOST14FW ELS_32_KNIT GLOBE_YE"/>
    <x v="0"/>
    <x v="0"/>
    <n v="1"/>
    <s v="14FW ELS_32_KNIT GLOBE_YE"/>
    <x v="0"/>
    <s v="FOREMOST14FW ELS_32_KNIT GLOBE_YE"/>
    <x v="17"/>
    <x v="3"/>
    <x v="0"/>
    <x v="0"/>
    <x v="25"/>
    <x v="26"/>
    <m/>
    <n v="32"/>
    <m/>
    <x v="17"/>
    <x v="7"/>
    <x v="0"/>
    <x v="590"/>
    <x v="5"/>
    <n v="1"/>
    <x v="4"/>
    <x v="1"/>
    <d v="2014-02-21T00:00:00"/>
    <d v="2014-04-14T00:00:00"/>
    <d v="2014-04-16T00:00:00"/>
    <n v="7.4"/>
    <m/>
    <s v="1 PC SAMPLES 발송"/>
    <n v="4"/>
    <n v="4"/>
    <s v="MOQ : 5,000 PCS / 폴리백 ,장갑몰드 때문에 미니멈수량 못맞추면 Up-charge 발생."/>
  </r>
  <r>
    <n v="1"/>
    <s v="14FW ELS_33_KNIT GLOBE_BK"/>
    <n v="1"/>
    <s v="FOREMOST14FW ELS_33_KNIT GLOBE_BK"/>
    <x v="0"/>
    <x v="0"/>
    <n v="1"/>
    <s v="14FW ELS_33_KNIT GLOBE_BK"/>
    <x v="0"/>
    <s v="FOREMOST14FW ELS_33_KNIT GLOBE_BK"/>
    <x v="17"/>
    <x v="3"/>
    <x v="0"/>
    <x v="0"/>
    <x v="25"/>
    <x v="26"/>
    <m/>
    <n v="33"/>
    <m/>
    <x v="17"/>
    <x v="7"/>
    <x v="0"/>
    <x v="591"/>
    <x v="5"/>
    <n v="1"/>
    <x v="4"/>
    <x v="1"/>
    <d v="2014-02-21T00:00:00"/>
    <d v="2014-04-14T00:00:00"/>
    <d v="2014-04-16T00:00:00"/>
    <n v="7.4"/>
    <m/>
    <m/>
    <n v="4"/>
    <n v="4"/>
    <s v="MOQ : 5,000 PCS / 폴리백 ,장갑몰드 때문에 미니멈수량 못맞추면 Up-charge 발생."/>
  </r>
  <r>
    <n v="1"/>
    <s v="14FW ELS 34_KNIT_BK"/>
    <n v="1"/>
    <s v="FOREMOST14FW ELS 34_KNIT_BK"/>
    <x v="2"/>
    <x v="3"/>
    <n v="1"/>
    <s v="14FW ELS 34_KNIT_BK"/>
    <x v="0"/>
    <s v="FOREMOST14FW ELS 34_KNIT_BK"/>
    <x v="42"/>
    <x v="3"/>
    <x v="0"/>
    <x v="0"/>
    <x v="24"/>
    <x v="25"/>
    <m/>
    <n v="34"/>
    <m/>
    <x v="17"/>
    <x v="4"/>
    <x v="0"/>
    <x v="592"/>
    <x v="3"/>
    <n v="1"/>
    <x v="4"/>
    <x v="18"/>
    <d v="2014-04-04T00:00:00"/>
    <d v="2014-04-18T00:00:00"/>
    <d v="2014-04-08T00:00:00"/>
    <n v="4.5"/>
    <m/>
    <m/>
    <n v="3"/>
    <n v="3"/>
    <s v="YARN MATERIAL :  Acrylic 70%, Wool 30%"/>
  </r>
  <r>
    <n v="1"/>
    <s v="14FW ELS 34_KNIT_NV"/>
    <n v="1"/>
    <s v="FOREMOST14FW ELS 34_KNIT_NV"/>
    <x v="2"/>
    <x v="3"/>
    <n v="1"/>
    <s v="14FW ELS 34_KNIT_NV"/>
    <x v="0"/>
    <s v="FOREMOST14FW ELS 34_KNIT_NV"/>
    <x v="17"/>
    <x v="3"/>
    <x v="0"/>
    <x v="0"/>
    <x v="24"/>
    <x v="25"/>
    <m/>
    <n v="35"/>
    <m/>
    <x v="17"/>
    <x v="4"/>
    <x v="0"/>
    <x v="593"/>
    <x v="3"/>
    <n v="1"/>
    <x v="4"/>
    <x v="18"/>
    <d v="2014-04-04T00:00:00"/>
    <d v="2014-04-18T00:00:00"/>
    <d v="2014-04-16T00:00:00"/>
    <n v="4.5"/>
    <m/>
    <m/>
    <n v="3"/>
    <n v="3"/>
    <s v="YARN MATERIAL :  Acrylic 70%, Wool 30%"/>
  </r>
  <r>
    <n v="1"/>
    <s v="14FW ELS 35_KNIT_BL"/>
    <n v="1"/>
    <s v="FOREMOST14FW ELS 35_KNIT_BL"/>
    <x v="2"/>
    <x v="3"/>
    <n v="1"/>
    <s v="14FW ELS 35_KNIT_BL"/>
    <x v="0"/>
    <s v="FOREMOST14FW ELS 35_KNIT_BL"/>
    <x v="44"/>
    <x v="3"/>
    <x v="0"/>
    <x v="0"/>
    <x v="24"/>
    <x v="25"/>
    <m/>
    <n v="36"/>
    <m/>
    <x v="17"/>
    <x v="4"/>
    <x v="0"/>
    <x v="594"/>
    <x v="3"/>
    <n v="1"/>
    <x v="4"/>
    <x v="18"/>
    <d v="2014-04-04T00:00:00"/>
    <d v="2014-04-18T00:00:00"/>
    <d v="2014-04-11T00:00:00"/>
    <n v="4.25"/>
    <m/>
    <m/>
    <n v="3"/>
    <n v="3"/>
    <s v="YARN MATERIAL :  Acrylic 70%, Wool 30%"/>
  </r>
  <r>
    <n v="1"/>
    <s v="14FW ELS 36_KNIT_GR"/>
    <n v="1"/>
    <s v="FOREMOST14FW ELS 36_KNIT_GR"/>
    <x v="2"/>
    <x v="3"/>
    <n v="1"/>
    <s v="14FW ELS 36_KNIT_GR"/>
    <x v="0"/>
    <s v="FOREMOST14FW ELS 36_KNIT_GR"/>
    <x v="44"/>
    <x v="3"/>
    <x v="0"/>
    <x v="0"/>
    <x v="24"/>
    <x v="25"/>
    <m/>
    <n v="37"/>
    <m/>
    <x v="17"/>
    <x v="4"/>
    <x v="0"/>
    <x v="595"/>
    <x v="3"/>
    <n v="1"/>
    <x v="4"/>
    <x v="18"/>
    <d v="2014-04-04T00:00:00"/>
    <d v="2014-04-18T00:00:00"/>
    <d v="2014-04-11T00:00:00"/>
    <n v="4.25"/>
    <m/>
    <m/>
    <n v="3"/>
    <n v="3"/>
    <s v="YARN MATERIAL :  Acrylic 70%, Wool 30%"/>
  </r>
  <r>
    <n v="1"/>
    <s v="14FW ELS 37_TROOPER_BL_KIDS"/>
    <n v="1"/>
    <s v="동일모자14FW ELS 37_TROOPER_BL_KIDS"/>
    <x v="2"/>
    <x v="3"/>
    <n v="1"/>
    <s v="14FW ELS 37_TROOPER_BL_KIDS"/>
    <x v="0"/>
    <s v="동일모자14FW ELS 37_TROOPER_BL_KIDS"/>
    <x v="15"/>
    <x v="3"/>
    <x v="0"/>
    <x v="0"/>
    <x v="24"/>
    <x v="25"/>
    <m/>
    <n v="38"/>
    <m/>
    <x v="17"/>
    <x v="3"/>
    <x v="0"/>
    <x v="596"/>
    <x v="5"/>
    <n v="1"/>
    <x v="1"/>
    <x v="18"/>
    <d v="2014-04-04T00:00:00"/>
    <d v="2014-04-10T00:00:00"/>
    <d v="2014-04-07T00:00:00"/>
    <n v="8.85"/>
    <m/>
    <m/>
    <n v="5"/>
    <n v="3"/>
    <s v="Sample : OML 55CM"/>
  </r>
  <r>
    <n v="1"/>
    <s v="14FW ELS 37_TROOPER_MT_KIDS"/>
    <n v="1"/>
    <s v="동일모자14FW ELS 37_TROOPER_MT_KIDS"/>
    <x v="2"/>
    <x v="3"/>
    <n v="1"/>
    <s v="14FW ELS 37_TROOPER_MT_KIDS"/>
    <x v="0"/>
    <s v="동일모자14FW ELS 37_TROOPER_MT_KIDS"/>
    <x v="15"/>
    <x v="3"/>
    <x v="0"/>
    <x v="0"/>
    <x v="24"/>
    <x v="25"/>
    <m/>
    <n v="39"/>
    <m/>
    <x v="17"/>
    <x v="3"/>
    <x v="0"/>
    <x v="597"/>
    <x v="5"/>
    <n v="1"/>
    <x v="1"/>
    <x v="18"/>
    <d v="2014-04-04T00:00:00"/>
    <d v="2014-04-10T00:00:00"/>
    <d v="2014-04-07T00:00:00"/>
    <n v="8.85"/>
    <m/>
    <m/>
    <n v="5"/>
    <n v="3"/>
    <s v="Sample : OSM 52CM"/>
  </r>
  <r>
    <n v="1"/>
    <s v="14FW ELS 37_TROOPER_OR_KIDS"/>
    <n v="1"/>
    <s v="동일모자14FW ELS 37_TROOPER_OR_KIDS"/>
    <x v="2"/>
    <x v="3"/>
    <n v="1"/>
    <s v="14FW ELS 37_TROOPER_OR_KIDS"/>
    <x v="0"/>
    <s v="동일모자14FW ELS 37_TROOPER_OR_KIDS"/>
    <x v="15"/>
    <x v="3"/>
    <x v="0"/>
    <x v="0"/>
    <x v="24"/>
    <x v="25"/>
    <m/>
    <n v="40"/>
    <m/>
    <x v="17"/>
    <x v="3"/>
    <x v="0"/>
    <x v="598"/>
    <x v="5"/>
    <n v="1"/>
    <x v="1"/>
    <x v="18"/>
    <d v="2014-04-04T00:00:00"/>
    <d v="2014-04-10T00:00:00"/>
    <d v="2014-04-07T00:00:00"/>
    <n v="8.85"/>
    <m/>
    <m/>
    <n v="5"/>
    <n v="3"/>
    <s v="Sample : OML 55CM"/>
  </r>
  <r>
    <n v="1"/>
    <s v="14FW ELS 38_TROOPER_NV"/>
    <n v="1"/>
    <s v="FOREMOST14FW ELS 38_TROOPER_NV"/>
    <x v="2"/>
    <x v="3"/>
    <n v="1"/>
    <s v="14FW ELS 38_TROOPER_NV"/>
    <x v="0"/>
    <s v="FOREMOST14FW ELS 38_TROOPER_NV"/>
    <x v="20"/>
    <x v="3"/>
    <x v="0"/>
    <x v="0"/>
    <x v="24"/>
    <x v="25"/>
    <m/>
    <n v="41"/>
    <m/>
    <x v="17"/>
    <x v="3"/>
    <x v="0"/>
    <x v="599"/>
    <x v="3"/>
    <n v="1"/>
    <x v="4"/>
    <x v="18"/>
    <d v="2014-04-04T00:00:00"/>
    <d v="2014-04-18T00:00:00"/>
    <d v="2014-04-14T00:00:00"/>
    <m/>
    <m/>
    <m/>
    <n v="3"/>
    <n v="2"/>
    <m/>
  </r>
  <r>
    <n v="1"/>
    <s v="14FW ELS 38_TROOPER_NV_KIDS"/>
    <n v="1"/>
    <s v="FOREMOST14FW ELS 38_TROOPER_NV_KIDS"/>
    <x v="2"/>
    <x v="3"/>
    <n v="1"/>
    <s v="14FW ELS 38_TROOPER_NV_KIDS"/>
    <x v="0"/>
    <s v="FOREMOST14FW ELS 38_TROOPER_NV_KIDS"/>
    <x v="20"/>
    <x v="3"/>
    <x v="0"/>
    <x v="0"/>
    <x v="24"/>
    <x v="25"/>
    <m/>
    <n v="42"/>
    <m/>
    <x v="17"/>
    <x v="3"/>
    <x v="0"/>
    <x v="600"/>
    <x v="5"/>
    <n v="1"/>
    <x v="4"/>
    <x v="18"/>
    <d v="2014-04-04T00:00:00"/>
    <d v="2014-04-18T00:00:00"/>
    <d v="2014-04-14T00:00:00"/>
    <m/>
    <m/>
    <m/>
    <n v="3"/>
    <n v="2"/>
    <s v="Sample : OML 55CM"/>
  </r>
  <r>
    <n v="1"/>
    <s v="14FW ELS 39_WIRE_OR"/>
    <n v="1"/>
    <s v="FOREMOST14FW ELS 39_WIRE_OR"/>
    <x v="2"/>
    <x v="3"/>
    <n v="1"/>
    <s v="14FW ELS 39_WIRE_OR"/>
    <x v="0"/>
    <s v="FOREMOST14FW ELS 39_WIRE_OR"/>
    <x v="42"/>
    <x v="3"/>
    <x v="0"/>
    <x v="0"/>
    <x v="24"/>
    <x v="25"/>
    <m/>
    <n v="43"/>
    <m/>
    <x v="17"/>
    <x v="2"/>
    <x v="0"/>
    <x v="601"/>
    <x v="5"/>
    <n v="1"/>
    <x v="4"/>
    <x v="18"/>
    <d v="2014-04-04T00:00:00"/>
    <d v="2014-04-18T00:00:00"/>
    <d v="2014-04-08T00:00:00"/>
    <n v="4.8499999999999996"/>
    <m/>
    <m/>
    <n v="3"/>
    <n v="1"/>
    <s v="Sample : OML 55CM"/>
  </r>
  <r>
    <n v="1"/>
    <s v="14FW ELS 40_TROOPER_RD"/>
    <n v="1"/>
    <s v="FOREMOST14FW ELS 40_TROOPER_RD"/>
    <x v="2"/>
    <x v="3"/>
    <n v="1"/>
    <s v="14FW ELS 40_TROOPER_RD"/>
    <x v="0"/>
    <s v="FOREMOST14FW ELS 40_TROOPER_RD"/>
    <x v="20"/>
    <x v="3"/>
    <x v="0"/>
    <x v="0"/>
    <x v="24"/>
    <x v="25"/>
    <m/>
    <n v="44"/>
    <m/>
    <x v="17"/>
    <x v="3"/>
    <x v="0"/>
    <x v="602"/>
    <x v="3"/>
    <n v="1"/>
    <x v="4"/>
    <x v="18"/>
    <d v="2014-04-04T00:00:00"/>
    <d v="2014-04-18T00:00:00"/>
    <d v="2014-04-14T00:00:00"/>
    <n v="7.2"/>
    <m/>
    <m/>
    <n v="4"/>
    <n v="3"/>
    <m/>
  </r>
  <r>
    <n v="1"/>
    <s v="14FW ELS 41_SNAP_BL"/>
    <n v="1"/>
    <s v="동일모자14FW ELS 41_SNAP_BL"/>
    <x v="2"/>
    <x v="3"/>
    <n v="1"/>
    <s v="14FW ELS 41_SNAP_BL"/>
    <x v="0"/>
    <s v="동일모자14FW ELS 41_SNAP_BL"/>
    <x v="15"/>
    <x v="3"/>
    <x v="0"/>
    <x v="0"/>
    <x v="24"/>
    <x v="25"/>
    <m/>
    <n v="45"/>
    <m/>
    <x v="17"/>
    <x v="2"/>
    <x v="0"/>
    <x v="603"/>
    <x v="3"/>
    <n v="1"/>
    <x v="1"/>
    <x v="18"/>
    <d v="2014-04-04T00:00:00"/>
    <d v="2014-04-10T00:00:00"/>
    <d v="2014-04-07T00:00:00"/>
    <n v="6.7"/>
    <m/>
    <m/>
    <n v="4"/>
    <n v="2"/>
    <m/>
  </r>
  <r>
    <n v="1"/>
    <s v="14FW ELS 41_SNAP_BL_KIDS"/>
    <n v="1"/>
    <s v="동일모자14FW ELS 41_SNAP_BL_KIDS"/>
    <x v="2"/>
    <x v="3"/>
    <n v="1"/>
    <s v="14FW ELS 41_SNAP_BL_KIDS"/>
    <x v="0"/>
    <s v="동일모자14FW ELS 41_SNAP_BL_KIDS"/>
    <x v="15"/>
    <x v="3"/>
    <x v="0"/>
    <x v="0"/>
    <x v="24"/>
    <x v="25"/>
    <m/>
    <n v="46"/>
    <m/>
    <x v="17"/>
    <x v="2"/>
    <x v="0"/>
    <x v="604"/>
    <x v="5"/>
    <n v="1"/>
    <x v="1"/>
    <x v="18"/>
    <d v="2014-04-04T00:00:00"/>
    <d v="2014-04-10T00:00:00"/>
    <d v="2014-04-07T00:00:00"/>
    <n v="6.55"/>
    <m/>
    <m/>
    <n v="4"/>
    <n v="2"/>
    <s v="Sample : OML 55CM"/>
  </r>
  <r>
    <n v="1"/>
    <s v="14FW ELS 42_SNAP_GY"/>
    <n v="1"/>
    <s v="동일모자14FW ELS 42_SNAP_GY"/>
    <x v="2"/>
    <x v="3"/>
    <n v="1"/>
    <s v="14FW ELS 42_SNAP_GY"/>
    <x v="0"/>
    <s v="동일모자14FW ELS 42_SNAP_GY"/>
    <x v="15"/>
    <x v="3"/>
    <x v="0"/>
    <x v="0"/>
    <x v="24"/>
    <x v="25"/>
    <m/>
    <n v="47"/>
    <m/>
    <x v="17"/>
    <x v="2"/>
    <x v="0"/>
    <x v="605"/>
    <x v="3"/>
    <n v="1"/>
    <x v="1"/>
    <x v="18"/>
    <d v="2014-04-04T00:00:00"/>
    <d v="2014-04-10T00:00:00"/>
    <d v="2014-04-07T00:00:00"/>
    <n v="7.95"/>
    <m/>
    <m/>
    <n v="4"/>
    <n v="3"/>
    <m/>
  </r>
  <r>
    <n v="1"/>
    <s v="14FW ELS_44_SNAP_BK"/>
    <n v="1"/>
    <s v="성진14FW ELS_44_SNAP_BK"/>
    <x v="2"/>
    <x v="3"/>
    <n v="1"/>
    <s v="14FW ELS_44_SNAP_BK"/>
    <x v="0"/>
    <s v="성진14FW ELS_44_SNAP_BK"/>
    <x v="25"/>
    <x v="3"/>
    <x v="0"/>
    <x v="0"/>
    <x v="24"/>
    <x v="25"/>
    <m/>
    <n v="48"/>
    <m/>
    <x v="17"/>
    <x v="2"/>
    <x v="0"/>
    <x v="606"/>
    <x v="3"/>
    <n v="1"/>
    <x v="3"/>
    <x v="18"/>
    <d v="2014-04-04T00:00:00"/>
    <d v="2014-04-18T00:00:00"/>
    <d v="2014-04-22T00:00:00"/>
    <m/>
    <m/>
    <m/>
    <n v="3"/>
    <n v="2"/>
    <m/>
  </r>
  <r>
    <n v="1"/>
    <s v="14FW ELS_45_SNAP_RD"/>
    <n v="1"/>
    <s v="동일모자14FW ELS_45_SNAP_RD"/>
    <x v="2"/>
    <x v="3"/>
    <n v="1"/>
    <s v="14FW ELS_45_SNAP_RD"/>
    <x v="0"/>
    <s v="동일모자14FW ELS_45_SNAP_RD"/>
    <x v="15"/>
    <x v="3"/>
    <x v="0"/>
    <x v="0"/>
    <x v="24"/>
    <x v="25"/>
    <m/>
    <n v="49"/>
    <m/>
    <x v="17"/>
    <x v="2"/>
    <x v="0"/>
    <x v="607"/>
    <x v="3"/>
    <n v="1"/>
    <x v="1"/>
    <x v="18"/>
    <d v="2014-04-04T00:00:00"/>
    <d v="2014-04-10T00:00:00"/>
    <d v="2014-04-07T00:00:00"/>
    <n v="6.9"/>
    <m/>
    <m/>
    <n v="4"/>
    <n v="2"/>
    <s v="KIDS-52CM 같이 만듬"/>
  </r>
  <r>
    <n v="1"/>
    <s v="14FW ELS_46_SNAP_GR"/>
    <n v="1"/>
    <s v="성진14FW ELS_46_SNAP_GR"/>
    <x v="2"/>
    <x v="3"/>
    <n v="1"/>
    <s v="14FW ELS_46_SNAP_GR"/>
    <x v="0"/>
    <s v="성진14FW ELS_46_SNAP_GR"/>
    <x v="25"/>
    <x v="3"/>
    <x v="0"/>
    <x v="0"/>
    <x v="24"/>
    <x v="25"/>
    <m/>
    <n v="50"/>
    <m/>
    <x v="17"/>
    <x v="2"/>
    <x v="0"/>
    <x v="608"/>
    <x v="3"/>
    <n v="1"/>
    <x v="3"/>
    <x v="18"/>
    <d v="2014-04-04T00:00:00"/>
    <d v="2014-04-18T00:00:00"/>
    <d v="2014-04-22T00:00:00"/>
    <m/>
    <m/>
    <m/>
    <n v="3"/>
    <n v="2"/>
    <s v="겉감 : 특수 원단 - 두께가 얇아서 안감하나 대고 작업요망"/>
  </r>
  <r>
    <n v="1"/>
    <s v="14FW ELS_46_SNAP_RD"/>
    <n v="1"/>
    <s v="성진14FW ELS_46_SNAP_RD"/>
    <x v="2"/>
    <x v="3"/>
    <n v="1"/>
    <s v="14FW ELS_46_SNAP_RD"/>
    <x v="0"/>
    <s v="성진14FW ELS_46_SNAP_RD"/>
    <x v="25"/>
    <x v="3"/>
    <x v="0"/>
    <x v="0"/>
    <x v="24"/>
    <x v="25"/>
    <m/>
    <n v="51"/>
    <m/>
    <x v="17"/>
    <x v="2"/>
    <x v="0"/>
    <x v="609"/>
    <x v="3"/>
    <n v="1"/>
    <x v="3"/>
    <x v="18"/>
    <d v="2014-04-04T00:00:00"/>
    <d v="2014-04-18T00:00:00"/>
    <d v="2014-04-22T00:00:00"/>
    <m/>
    <m/>
    <m/>
    <n v="3"/>
    <n v="2"/>
    <s v="겉감 : 특수 원단 - 두께가 얇아서 안감하나 대고 작업요망"/>
  </r>
  <r>
    <n v="1"/>
    <s v="14FW ELS_47_SNAP_PP"/>
    <n v="1"/>
    <s v="동일모자14FW ELS_47_SNAP_PP"/>
    <x v="2"/>
    <x v="3"/>
    <n v="1"/>
    <s v="14FW ELS_47_SNAP_PP"/>
    <x v="0"/>
    <s v="동일모자14FW ELS_47_SNAP_PP"/>
    <x v="15"/>
    <x v="3"/>
    <x v="0"/>
    <x v="0"/>
    <x v="24"/>
    <x v="25"/>
    <m/>
    <n v="52"/>
    <m/>
    <x v="17"/>
    <x v="1"/>
    <x v="0"/>
    <x v="610"/>
    <x v="5"/>
    <n v="1"/>
    <x v="1"/>
    <x v="18"/>
    <d v="2014-04-04T00:00:00"/>
    <d v="2014-04-10T00:00:00"/>
    <d v="2014-04-07T00:00:00"/>
    <n v="7.85"/>
    <m/>
    <m/>
    <n v="4"/>
    <s v="0"/>
    <s v="KIDS-52CM /55CM 같이 만듬"/>
  </r>
  <r>
    <n v="1"/>
    <s v="14FW ELS_48_TROOPER_BK"/>
    <n v="1"/>
    <s v="FOREMOST14FW ELS_48_TROOPER_BK"/>
    <x v="2"/>
    <x v="3"/>
    <n v="1"/>
    <s v="14FW ELS_48_TROOPER_BK"/>
    <x v="0"/>
    <s v="FOREMOST14FW ELS_48_TROOPER_BK"/>
    <x v="17"/>
    <x v="3"/>
    <x v="0"/>
    <x v="0"/>
    <x v="24"/>
    <x v="25"/>
    <m/>
    <n v="53"/>
    <m/>
    <x v="17"/>
    <x v="3"/>
    <x v="0"/>
    <x v="611"/>
    <x v="3"/>
    <n v="1"/>
    <x v="4"/>
    <x v="18"/>
    <d v="2014-04-04T00:00:00"/>
    <d v="2014-04-18T00:00:00"/>
    <d v="2014-04-16T00:00:00"/>
    <n v="8.5"/>
    <m/>
    <m/>
    <n v="2"/>
    <n v="1"/>
    <s v="TRANSFER PRINTING - POLY FABRIC (피치원단 )"/>
  </r>
  <r>
    <n v="1"/>
    <s v="14FW ELS_49_TROOPER_NV"/>
    <n v="1"/>
    <s v="FOREMOST14FW ELS_49_TROOPER_NV"/>
    <x v="2"/>
    <x v="3"/>
    <n v="1"/>
    <s v="14FW ELS_49_TROOPER_NV"/>
    <x v="0"/>
    <s v="FOREMOST14FW ELS_49_TROOPER_NV"/>
    <x v="29"/>
    <x v="3"/>
    <x v="0"/>
    <x v="0"/>
    <x v="24"/>
    <x v="25"/>
    <m/>
    <n v="54"/>
    <m/>
    <x v="17"/>
    <x v="3"/>
    <x v="0"/>
    <x v="612"/>
    <x v="3"/>
    <n v="1"/>
    <x v="4"/>
    <x v="18"/>
    <d v="2014-04-04T00:00:00"/>
    <d v="2014-04-18T00:00:00"/>
    <d v="2014-04-21T00:00:00"/>
    <m/>
    <m/>
    <m/>
    <n v="3"/>
    <n v="3"/>
    <s v="POINT : [4] FLOCKING  on backside"/>
  </r>
  <r>
    <n v="1"/>
    <s v="14FW ELS_50_TROOPER_BK"/>
    <n v="1"/>
    <s v="FOREMOST14FW ELS_50_TROOPER_BK"/>
    <x v="2"/>
    <x v="3"/>
    <n v="1"/>
    <s v="14FW ELS_50_TROOPER_BK"/>
    <x v="0"/>
    <s v="FOREMOST14FW ELS_50_TROOPER_BK"/>
    <x v="44"/>
    <x v="3"/>
    <x v="0"/>
    <x v="0"/>
    <x v="24"/>
    <x v="25"/>
    <m/>
    <n v="55"/>
    <m/>
    <x v="17"/>
    <x v="3"/>
    <x v="0"/>
    <x v="613"/>
    <x v="3"/>
    <n v="1"/>
    <x v="4"/>
    <x v="18"/>
    <d v="2014-04-04T00:00:00"/>
    <d v="2014-04-18T00:00:00"/>
    <d v="2014-04-11T00:00:00"/>
    <n v="5.7"/>
    <m/>
    <m/>
    <n v="3"/>
    <n v="3"/>
    <m/>
  </r>
  <r>
    <n v="1"/>
    <s v="14SS ELS SHOULDER BAG_01_BK"/>
    <n v="1"/>
    <s v="바이칼14SS ELS SHOULDER BAG_01_BK"/>
    <x v="2"/>
    <x v="4"/>
    <n v="1"/>
    <s v="14SS ELS SHOULDER BAG_01_BK"/>
    <x v="0"/>
    <s v="바이칼14SS ELS SHOULDER BAG_01_BK"/>
    <x v="39"/>
    <x v="0"/>
    <x v="0"/>
    <x v="0"/>
    <x v="26"/>
    <x v="27"/>
    <m/>
    <n v="56"/>
    <m/>
    <x v="17"/>
    <x v="17"/>
    <x v="0"/>
    <x v="614"/>
    <x v="3"/>
    <n v="1"/>
    <x v="13"/>
    <x v="10"/>
    <d v="2014-04-07T00:00:00"/>
    <d v="2014-03-17T00:00:00"/>
    <d v="2014-03-14T00:00:00"/>
    <m/>
    <n v="5841"/>
    <m/>
    <n v="2"/>
    <m/>
    <s v="의류원단 재고 사용 / 최소 가격 : \5250 "/>
  </r>
  <r>
    <n v="1"/>
    <s v="14SS ELS SHOULDER BAG_02_YE"/>
    <n v="1"/>
    <s v="바이칼14SS ELS SHOULDER BAG_02_YE"/>
    <x v="2"/>
    <x v="4"/>
    <n v="1"/>
    <s v="14SS ELS SHOULDER BAG_02_YE"/>
    <x v="0"/>
    <s v="바이칼14SS ELS SHOULDER BAG_02_YE"/>
    <x v="39"/>
    <x v="0"/>
    <x v="0"/>
    <x v="0"/>
    <x v="26"/>
    <x v="27"/>
    <m/>
    <n v="57"/>
    <m/>
    <x v="17"/>
    <x v="17"/>
    <x v="0"/>
    <x v="615"/>
    <x v="3"/>
    <n v="1"/>
    <x v="13"/>
    <x v="10"/>
    <d v="2014-04-07T00:00:00"/>
    <d v="2014-03-17T00:00:00"/>
    <d v="2014-03-14T00:00:00"/>
    <m/>
    <n v="5841"/>
    <m/>
    <n v="2"/>
    <m/>
    <s v="의류원단 재고 사용 / 최소 가격 : \5250 "/>
  </r>
  <r>
    <n v="1"/>
    <s v="14SS ELS BACKPACK_07_BK"/>
    <n v="1"/>
    <s v="바이칼14SS ELS BACKPACK_07_BK"/>
    <x v="2"/>
    <x v="4"/>
    <n v="1"/>
    <s v="14SS ELS BACKPACK_07_BK"/>
    <x v="0"/>
    <s v="바이칼14SS ELS BACKPACK_07_BK"/>
    <x v="58"/>
    <x v="0"/>
    <x v="0"/>
    <x v="0"/>
    <x v="26"/>
    <x v="27"/>
    <m/>
    <n v="58"/>
    <m/>
    <x v="17"/>
    <x v="15"/>
    <x v="0"/>
    <x v="616"/>
    <x v="3"/>
    <n v="1"/>
    <x v="13"/>
    <x v="20"/>
    <d v="2014-04-11T00:00:00"/>
    <d v="2014-03-17T00:00:00"/>
    <d v="2014-03-17T00:00:00"/>
    <m/>
    <n v="18250"/>
    <m/>
    <n v="2"/>
    <m/>
    <s v="의류원단 재고 사용 / 최소 가격 : \17,500"/>
  </r>
  <r>
    <n v="1"/>
    <s v="14FW ELS BACKPACK_01_BK"/>
    <n v="1"/>
    <s v="바이칼14FW ELS BACKPACK_01_BK"/>
    <x v="2"/>
    <x v="4"/>
    <n v="1"/>
    <s v="14FW ELS BACKPACK_01_BK"/>
    <x v="0"/>
    <s v="바이칼14FW ELS BACKPACK_01_BK"/>
    <x v="21"/>
    <x v="3"/>
    <x v="0"/>
    <x v="0"/>
    <x v="26"/>
    <x v="27"/>
    <m/>
    <n v="59"/>
    <m/>
    <x v="17"/>
    <x v="15"/>
    <x v="0"/>
    <x v="617"/>
    <x v="3"/>
    <n v="1"/>
    <x v="13"/>
    <x v="48"/>
    <d v="2014-04-14T00:00:00"/>
    <d v="2014-04-10T00:00:00"/>
    <d v="2014-04-01T00:00:00"/>
    <m/>
    <n v="23941"/>
    <m/>
    <n v="2"/>
    <m/>
    <s v="CANCEL"/>
  </r>
  <r>
    <n v="1"/>
    <s v="14FW ELS BACKPACK_02_BK"/>
    <n v="1"/>
    <s v="바이칼14FW ELS BACKPACK_02_BK"/>
    <x v="2"/>
    <x v="4"/>
    <n v="1"/>
    <s v="14FW ELS BACKPACK_02_BK"/>
    <x v="0"/>
    <s v="바이칼14FW ELS BACKPACK_02_BK"/>
    <x v="21"/>
    <x v="3"/>
    <x v="0"/>
    <x v="0"/>
    <x v="26"/>
    <x v="27"/>
    <m/>
    <n v="60"/>
    <m/>
    <x v="17"/>
    <x v="15"/>
    <x v="0"/>
    <x v="618"/>
    <x v="3"/>
    <n v="1"/>
    <x v="13"/>
    <x v="48"/>
    <d v="2014-04-14T00:00:00"/>
    <d v="2014-04-10T00:00:00"/>
    <d v="2014-04-01T00:00:00"/>
    <m/>
    <n v="26198"/>
    <m/>
    <n v="1"/>
    <n v="1"/>
    <s v="CANCEL"/>
  </r>
  <r>
    <n v="1"/>
    <s v="14FW ELS BACKPACK_03_BK"/>
    <n v="1"/>
    <s v="바이칼14FW ELS BACKPACK_03_BK"/>
    <x v="2"/>
    <x v="4"/>
    <n v="1"/>
    <s v="14FW ELS BACKPACK_03_BK"/>
    <x v="0"/>
    <s v="바이칼14FW ELS BACKPACK_03_BK"/>
    <x v="21"/>
    <x v="3"/>
    <x v="0"/>
    <x v="0"/>
    <x v="26"/>
    <x v="27"/>
    <m/>
    <n v="61"/>
    <m/>
    <x v="17"/>
    <x v="15"/>
    <x v="0"/>
    <x v="619"/>
    <x v="3"/>
    <n v="1"/>
    <x v="13"/>
    <x v="48"/>
    <d v="2014-04-14T00:00:00"/>
    <d v="2014-04-10T00:00:00"/>
    <d v="2014-04-01T00:00:00"/>
    <m/>
    <n v="24360"/>
    <m/>
    <n v="2"/>
    <n v="2"/>
    <s v="CANCEL"/>
  </r>
  <r>
    <n v="1"/>
    <s v="14FW ELS BACKPACK_04_PP_KIDS"/>
    <n v="1"/>
    <s v="바이칼14FW ELS BACKPACK_04_PP_KIDS"/>
    <x v="2"/>
    <x v="4"/>
    <n v="1"/>
    <s v="14FW ELS BACKPACK_04_PP_KIDS"/>
    <x v="0"/>
    <s v="바이칼14FW ELS BACKPACK_04_PP_KIDS"/>
    <x v="44"/>
    <x v="3"/>
    <x v="0"/>
    <x v="0"/>
    <x v="26"/>
    <x v="27"/>
    <m/>
    <n v="62"/>
    <m/>
    <x v="17"/>
    <x v="15"/>
    <x v="0"/>
    <x v="620"/>
    <x v="5"/>
    <n v="1"/>
    <x v="13"/>
    <x v="48"/>
    <d v="2014-04-14T00:00:00"/>
    <d v="2014-04-10T00:00:00"/>
    <d v="2014-04-11T00:00:00"/>
    <m/>
    <n v="29547"/>
    <m/>
    <n v="9"/>
    <n v="6"/>
    <s v="수정"/>
  </r>
  <r>
    <n v="1"/>
    <s v="14FW ELS BACKPACK_05_BL_TOD"/>
    <n v="1"/>
    <s v="바이칼14FW ELS BACKPACK_05_BL_TOD"/>
    <x v="2"/>
    <x v="4"/>
    <n v="1"/>
    <s v="14FW ELS BACKPACK_05_BL_TOD"/>
    <x v="0"/>
    <s v="바이칼14FW ELS BACKPACK_05_BL_TOD"/>
    <x v="44"/>
    <x v="3"/>
    <x v="0"/>
    <x v="0"/>
    <x v="26"/>
    <x v="27"/>
    <m/>
    <n v="63"/>
    <m/>
    <x v="17"/>
    <x v="15"/>
    <x v="0"/>
    <x v="621"/>
    <x v="6"/>
    <n v="1"/>
    <x v="13"/>
    <x v="48"/>
    <d v="2014-04-14T00:00:00"/>
    <d v="2014-04-10T00:00:00"/>
    <d v="2014-04-11T00:00:00"/>
    <m/>
    <n v="21891"/>
    <m/>
    <n v="7"/>
    <n v="3"/>
    <s v="ORDER"/>
  </r>
  <r>
    <n v="1"/>
    <s v="14FW ELS_14_SNAP_GR"/>
    <n v="1"/>
    <s v="성진14FW ELS_14_SNAP_GR"/>
    <x v="5"/>
    <x v="4"/>
    <n v="0"/>
    <s v=""/>
    <x v="1"/>
    <s v=""/>
    <x v="63"/>
    <x v="5"/>
    <x v="0"/>
    <x v="0"/>
    <x v="24"/>
    <x v="25"/>
    <m/>
    <n v="64"/>
    <m/>
    <x v="17"/>
    <x v="16"/>
    <x v="0"/>
    <x v="622"/>
    <x v="3"/>
    <n v="1"/>
    <x v="3"/>
    <x v="49"/>
    <d v="2014-05-09T00:00:00"/>
    <d v="2014-05-10T00:00:00"/>
    <m/>
    <m/>
    <m/>
    <m/>
    <n v="3"/>
    <n v="1"/>
    <s v="샘플감 4/15 발송"/>
  </r>
  <r>
    <n v="1"/>
    <s v="14FW ELS_18_SNAP_GY"/>
    <n v="1"/>
    <s v="성진14FW ELS_18_SNAP_GY"/>
    <x v="5"/>
    <x v="4"/>
    <n v="0"/>
    <s v=""/>
    <x v="1"/>
    <s v=""/>
    <x v="63"/>
    <x v="5"/>
    <x v="0"/>
    <x v="0"/>
    <x v="24"/>
    <x v="25"/>
    <m/>
    <n v="65"/>
    <m/>
    <x v="17"/>
    <x v="16"/>
    <x v="0"/>
    <x v="623"/>
    <x v="3"/>
    <n v="1"/>
    <x v="3"/>
    <x v="49"/>
    <d v="2014-05-09T00:00:00"/>
    <d v="2014-05-10T00:00:00"/>
    <m/>
    <m/>
    <m/>
    <m/>
    <n v="2"/>
    <n v="2"/>
    <m/>
  </r>
  <r>
    <n v="1"/>
    <s v="14FW ELS_56_SNAP_BK"/>
    <n v="1"/>
    <s v="동일모자14FW ELS_56_SNAP_BK"/>
    <x v="5"/>
    <x v="4"/>
    <n v="1"/>
    <s v="14FW ELS_56_SNAP_BK"/>
    <x v="0"/>
    <s v="동일모자14FW ELS_56_SNAP_BK"/>
    <x v="24"/>
    <x v="3"/>
    <x v="0"/>
    <x v="0"/>
    <x v="24"/>
    <x v="25"/>
    <m/>
    <n v="66"/>
    <m/>
    <x v="17"/>
    <x v="16"/>
    <x v="0"/>
    <x v="624"/>
    <x v="3"/>
    <n v="1"/>
    <x v="1"/>
    <x v="49"/>
    <d v="2014-05-09T00:00:00"/>
    <d v="2014-05-10T00:00:00"/>
    <d v="2014-04-29T00:00:00"/>
    <n v="5.85"/>
    <m/>
    <m/>
    <n v="2"/>
    <n v="2"/>
    <m/>
  </r>
  <r>
    <n v="1"/>
    <s v="14FW ELS_57_SNAP_BK"/>
    <n v="1"/>
    <s v="동일모자14FW ELS_57_SNAP_BK"/>
    <x v="5"/>
    <x v="4"/>
    <n v="1"/>
    <s v="14FW ELS_57_SNAP_BK"/>
    <x v="0"/>
    <s v="동일모자14FW ELS_57_SNAP_BK"/>
    <x v="24"/>
    <x v="3"/>
    <x v="0"/>
    <x v="0"/>
    <x v="24"/>
    <x v="25"/>
    <m/>
    <n v="67"/>
    <m/>
    <x v="17"/>
    <x v="16"/>
    <x v="0"/>
    <x v="625"/>
    <x v="3"/>
    <n v="1"/>
    <x v="1"/>
    <x v="49"/>
    <d v="2014-05-09T00:00:00"/>
    <d v="2014-05-10T00:00:00"/>
    <d v="2014-04-29T00:00:00"/>
    <n v="5.6"/>
    <m/>
    <m/>
    <n v="1"/>
    <n v="1"/>
    <m/>
  </r>
  <r>
    <n v="1"/>
    <s v="14FW ELS_58_SNAP_BK"/>
    <n v="1"/>
    <s v="동일모자14FW ELS_58_SNAP_BK"/>
    <x v="5"/>
    <x v="4"/>
    <n v="1"/>
    <s v="14FW ELS_58_SNAP_BK"/>
    <x v="0"/>
    <s v="동일모자14FW ELS_58_SNAP_BK"/>
    <x v="24"/>
    <x v="3"/>
    <x v="0"/>
    <x v="0"/>
    <x v="24"/>
    <x v="25"/>
    <m/>
    <n v="68"/>
    <m/>
    <x v="17"/>
    <x v="16"/>
    <x v="0"/>
    <x v="626"/>
    <x v="3"/>
    <n v="1"/>
    <x v="1"/>
    <x v="49"/>
    <d v="2014-05-09T00:00:00"/>
    <d v="2014-05-10T00:00:00"/>
    <d v="2014-04-29T00:00:00"/>
    <n v="5.65"/>
    <m/>
    <m/>
    <n v="1"/>
    <n v="1"/>
    <m/>
  </r>
  <r>
    <n v="1"/>
    <s v="14FW ELS_59_SNAP_BK"/>
    <n v="1"/>
    <s v="동일모자14FW ELS_59_SNAP_BK"/>
    <x v="5"/>
    <x v="4"/>
    <n v="1"/>
    <s v="14FW ELS_59_SNAP_BK"/>
    <x v="0"/>
    <s v="동일모자14FW ELS_59_SNAP_BK"/>
    <x v="24"/>
    <x v="3"/>
    <x v="0"/>
    <x v="0"/>
    <x v="24"/>
    <x v="25"/>
    <m/>
    <n v="69"/>
    <m/>
    <x v="17"/>
    <x v="16"/>
    <x v="0"/>
    <x v="627"/>
    <x v="3"/>
    <n v="1"/>
    <x v="1"/>
    <x v="49"/>
    <d v="2014-05-09T00:00:00"/>
    <d v="2014-05-10T00:00:00"/>
    <d v="2014-04-29T00:00:00"/>
    <n v="5.55"/>
    <m/>
    <m/>
    <n v="2"/>
    <n v="2"/>
    <m/>
  </r>
  <r>
    <n v="1"/>
    <s v="14FW ELS_60_SNAP_GY"/>
    <n v="1"/>
    <s v="동일모자14FW ELS_60_SNAP_GY"/>
    <x v="5"/>
    <x v="4"/>
    <n v="1"/>
    <s v="14FW ELS_60_SNAP_GY"/>
    <x v="0"/>
    <s v="동일모자14FW ELS_60_SNAP_GY"/>
    <x v="24"/>
    <x v="3"/>
    <x v="0"/>
    <x v="0"/>
    <x v="24"/>
    <x v="25"/>
    <m/>
    <n v="70"/>
    <m/>
    <x v="17"/>
    <x v="16"/>
    <x v="0"/>
    <x v="628"/>
    <x v="3"/>
    <n v="1"/>
    <x v="1"/>
    <x v="49"/>
    <d v="2014-05-09T00:00:00"/>
    <d v="2014-05-10T00:00:00"/>
    <d v="2014-04-29T00:00:00"/>
    <n v="5.6"/>
    <m/>
    <m/>
    <n v="2"/>
    <n v="2"/>
    <m/>
  </r>
  <r>
    <n v="1"/>
    <s v="14FW ELS_61_SNAP_GY"/>
    <n v="1"/>
    <s v="동일모자14FW ELS_61_SNAP_GY"/>
    <x v="5"/>
    <x v="4"/>
    <n v="1"/>
    <s v="14FW ELS_61_SNAP_GY"/>
    <x v="0"/>
    <s v="동일모자14FW ELS_61_SNAP_GY"/>
    <x v="24"/>
    <x v="3"/>
    <x v="0"/>
    <x v="0"/>
    <x v="24"/>
    <x v="25"/>
    <m/>
    <n v="71"/>
    <m/>
    <x v="17"/>
    <x v="16"/>
    <x v="0"/>
    <x v="629"/>
    <x v="3"/>
    <n v="1"/>
    <x v="1"/>
    <x v="50"/>
    <d v="2014-05-14T00:00:00"/>
    <d v="2014-05-20T00:00:00"/>
    <d v="2014-04-29T00:00:00"/>
    <n v="6.4"/>
    <m/>
    <m/>
    <n v="3"/>
    <n v="2"/>
    <m/>
  </r>
  <r>
    <n v="1"/>
    <s v="14FW ELS_62_CURVED PK"/>
    <n v="1"/>
    <s v="동일모자14FW ELS_62_CURVED PK"/>
    <x v="5"/>
    <x v="4"/>
    <n v="1"/>
    <s v="14FW ELS_62_CURVED PK"/>
    <x v="0"/>
    <s v="동일모자14FW ELS_62_CURVED PK"/>
    <x v="24"/>
    <x v="3"/>
    <x v="0"/>
    <x v="0"/>
    <x v="24"/>
    <x v="25"/>
    <m/>
    <n v="72"/>
    <m/>
    <x v="17"/>
    <x v="2"/>
    <x v="0"/>
    <x v="630"/>
    <x v="3"/>
    <n v="1"/>
    <x v="1"/>
    <x v="50"/>
    <d v="2014-05-14T00:00:00"/>
    <d v="2014-05-20T00:00:00"/>
    <d v="2014-04-29T00:00:00"/>
    <n v="7.65"/>
    <m/>
    <m/>
    <n v="4"/>
    <n v="4"/>
    <m/>
  </r>
  <r>
    <n v="1"/>
    <s v="14FW ELS_63_SNAP_BK"/>
    <n v="1"/>
    <s v="동일모자14FW ELS_63_SNAP_BK"/>
    <x v="5"/>
    <x v="4"/>
    <n v="1"/>
    <s v="14FW ELS_63_SNAP_BK"/>
    <x v="0"/>
    <s v="동일모자14FW ELS_63_SNAP_BK"/>
    <x v="24"/>
    <x v="3"/>
    <x v="0"/>
    <x v="0"/>
    <x v="24"/>
    <x v="25"/>
    <m/>
    <n v="73"/>
    <m/>
    <x v="17"/>
    <x v="16"/>
    <x v="0"/>
    <x v="631"/>
    <x v="3"/>
    <n v="1"/>
    <x v="1"/>
    <x v="50"/>
    <d v="2014-05-14T00:00:00"/>
    <d v="2014-05-20T00:00:00"/>
    <d v="2014-04-29T00:00:00"/>
    <n v="4.45"/>
    <m/>
    <m/>
    <n v="3"/>
    <n v="1"/>
    <m/>
  </r>
  <r>
    <n v="1"/>
    <s v="14FW ELS_64_SNAP_GY"/>
    <n v="1"/>
    <s v="동일모자14FW ELS_64_SNAP_GY"/>
    <x v="5"/>
    <x v="4"/>
    <n v="1"/>
    <s v="14FW ELS_64_SNAP_GY"/>
    <x v="0"/>
    <s v="동일모자14FW ELS_64_SNAP_GY"/>
    <x v="24"/>
    <x v="3"/>
    <x v="0"/>
    <x v="0"/>
    <x v="24"/>
    <x v="25"/>
    <m/>
    <n v="74"/>
    <m/>
    <x v="17"/>
    <x v="16"/>
    <x v="0"/>
    <x v="632"/>
    <x v="3"/>
    <n v="1"/>
    <x v="1"/>
    <x v="50"/>
    <d v="2014-05-14T00:00:00"/>
    <d v="2014-05-20T00:00:00"/>
    <d v="2014-04-29T00:00:00"/>
    <n v="3.95"/>
    <m/>
    <m/>
    <n v="2"/>
    <n v="1"/>
    <m/>
  </r>
  <r>
    <n v="1"/>
    <s v="14FW ELS_65_SNAP_BK"/>
    <n v="1"/>
    <s v="성진14FW ELS_65_SNAP_BK"/>
    <x v="5"/>
    <x v="4"/>
    <n v="0"/>
    <s v=""/>
    <x v="1"/>
    <s v=""/>
    <x v="70"/>
    <x v="5"/>
    <x v="0"/>
    <x v="0"/>
    <x v="24"/>
    <x v="25"/>
    <m/>
    <n v="75"/>
    <m/>
    <x v="17"/>
    <x v="16"/>
    <x v="0"/>
    <x v="633"/>
    <x v="3"/>
    <n v="1"/>
    <x v="3"/>
    <x v="51"/>
    <d v="2014-05-15T00:00:00"/>
    <d v="2014-05-20T00:00:00"/>
    <m/>
    <m/>
    <m/>
    <m/>
    <n v="2"/>
    <n v="1"/>
    <m/>
  </r>
  <r>
    <n v="1"/>
    <s v="14FW ELS_66_SNAP_BK"/>
    <n v="1"/>
    <s v="QF14FW ELS_66_SNAP_BK"/>
    <x v="5"/>
    <x v="4"/>
    <n v="0"/>
    <s v=""/>
    <x v="1"/>
    <s v=""/>
    <x v="70"/>
    <x v="5"/>
    <x v="0"/>
    <x v="0"/>
    <x v="24"/>
    <x v="25"/>
    <m/>
    <n v="76"/>
    <m/>
    <x v="17"/>
    <x v="16"/>
    <x v="0"/>
    <x v="634"/>
    <x v="3"/>
    <n v="1"/>
    <x v="0"/>
    <x v="50"/>
    <d v="2014-05-14T00:00:00"/>
    <d v="2014-05-20T00:00:00"/>
    <m/>
    <m/>
    <m/>
    <m/>
    <n v="2"/>
    <n v="2"/>
    <m/>
  </r>
  <r>
    <n v="1"/>
    <s v="14FW ELS_67_FITTED_RD"/>
    <n v="1"/>
    <s v="QF14FW ELS_67_FITTED_RD"/>
    <x v="5"/>
    <x v="4"/>
    <n v="0"/>
    <s v=""/>
    <x v="1"/>
    <s v=""/>
    <x v="70"/>
    <x v="5"/>
    <x v="0"/>
    <x v="0"/>
    <x v="24"/>
    <x v="25"/>
    <m/>
    <n v="77"/>
    <m/>
    <x v="17"/>
    <x v="0"/>
    <x v="0"/>
    <x v="635"/>
    <x v="3"/>
    <n v="1"/>
    <x v="0"/>
    <x v="50"/>
    <d v="2014-05-14T00:00:00"/>
    <d v="2014-05-20T00:00:00"/>
    <m/>
    <m/>
    <m/>
    <m/>
    <n v="2"/>
    <n v="2"/>
    <m/>
  </r>
  <r>
    <n v="1"/>
    <s v="14FW ELS_68_FITTED_BK"/>
    <n v="1"/>
    <s v="QF14FW ELS_68_FITTED_BK"/>
    <x v="5"/>
    <x v="4"/>
    <n v="0"/>
    <s v=""/>
    <x v="1"/>
    <s v=""/>
    <x v="70"/>
    <x v="5"/>
    <x v="0"/>
    <x v="0"/>
    <x v="24"/>
    <x v="25"/>
    <m/>
    <n v="78"/>
    <m/>
    <x v="17"/>
    <x v="0"/>
    <x v="0"/>
    <x v="636"/>
    <x v="3"/>
    <n v="1"/>
    <x v="0"/>
    <x v="50"/>
    <d v="2014-05-14T00:00:00"/>
    <d v="2014-05-20T00:00:00"/>
    <m/>
    <m/>
    <m/>
    <m/>
    <n v="1"/>
    <n v="1"/>
    <m/>
  </r>
  <r>
    <n v="1"/>
    <s v="14FW ELS_69_FITTED_BK"/>
    <n v="1"/>
    <s v="QF14FW ELS_69_FITTED_BK"/>
    <x v="5"/>
    <x v="4"/>
    <n v="0"/>
    <s v=""/>
    <x v="1"/>
    <s v=""/>
    <x v="70"/>
    <x v="5"/>
    <x v="0"/>
    <x v="0"/>
    <x v="24"/>
    <x v="25"/>
    <m/>
    <n v="79"/>
    <m/>
    <x v="17"/>
    <x v="0"/>
    <x v="0"/>
    <x v="637"/>
    <x v="3"/>
    <n v="1"/>
    <x v="0"/>
    <x v="50"/>
    <d v="2014-05-14T00:00:00"/>
    <d v="2014-05-20T00:00:00"/>
    <m/>
    <m/>
    <m/>
    <m/>
    <n v="2"/>
    <n v="2"/>
    <m/>
  </r>
  <r>
    <n v="1"/>
    <s v="14FW ELS_70_HAT_BK"/>
    <n v="1"/>
    <s v="FOREMOST14FW ELS_70_HAT_BK"/>
    <x v="5"/>
    <x v="4"/>
    <n v="1"/>
    <s v="14FW ELS_70_HAT_BK"/>
    <x v="0"/>
    <s v="FOREMOST14FW ELS_70_HAT_BK"/>
    <x v="50"/>
    <x v="5"/>
    <x v="0"/>
    <x v="0"/>
    <x v="24"/>
    <x v="25"/>
    <m/>
    <n v="80"/>
    <m/>
    <x v="17"/>
    <x v="9"/>
    <x v="0"/>
    <x v="638"/>
    <x v="3"/>
    <n v="1"/>
    <x v="4"/>
    <x v="51"/>
    <d v="2014-05-15T00:00:00"/>
    <d v="2014-05-20T00:00:00"/>
    <d v="2014-05-12T00:00:00"/>
    <m/>
    <m/>
    <m/>
    <n v="2"/>
    <n v="2"/>
    <s v="샘플감 : 4/18 발송"/>
  </r>
  <r>
    <n v="1"/>
    <s v="14FW ELS_71_HAT_BK"/>
    <n v="1"/>
    <s v="FOREMOST14FW ELS_71_HAT_BK"/>
    <x v="5"/>
    <x v="4"/>
    <n v="1"/>
    <s v="14FW ELS_71_HAT_BK"/>
    <x v="0"/>
    <s v="FOREMOST14FW ELS_71_HAT_BK"/>
    <x v="50"/>
    <x v="5"/>
    <x v="0"/>
    <x v="0"/>
    <x v="24"/>
    <x v="25"/>
    <m/>
    <n v="81"/>
    <m/>
    <x v="17"/>
    <x v="9"/>
    <x v="0"/>
    <x v="639"/>
    <x v="3"/>
    <n v="1"/>
    <x v="4"/>
    <x v="51"/>
    <d v="2014-05-15T00:00:00"/>
    <d v="2014-05-20T00:00:00"/>
    <d v="2014-05-12T00:00:00"/>
    <m/>
    <m/>
    <m/>
    <n v="3"/>
    <n v="2"/>
    <s v="샘플감 : 4/18 발송"/>
  </r>
  <r>
    <n v="1"/>
    <s v="14FW ELS BACKPACK_04_PP_KIDS (REVISED)"/>
    <n v="1"/>
    <s v="바이칼14FW ELS BACKPACK_04_PP_KIDS (REVISED)"/>
    <x v="4"/>
    <x v="4"/>
    <n v="1"/>
    <s v="14FW ELS BACKPACK_04_PP_KIDS (REVISED)"/>
    <x v="0"/>
    <s v="바이칼14FW ELS BACKPACK_04_PP_KIDS (REVISED)"/>
    <x v="66"/>
    <x v="5"/>
    <x v="0"/>
    <x v="0"/>
    <x v="26"/>
    <x v="27"/>
    <m/>
    <n v="82"/>
    <m/>
    <x v="17"/>
    <x v="15"/>
    <x v="0"/>
    <x v="640"/>
    <x v="5"/>
    <n v="1"/>
    <x v="13"/>
    <x v="52"/>
    <d v="2014-05-30T00:00:00"/>
    <d v="2014-05-16T00:00:00"/>
    <d v="2014-05-14T00:00:00"/>
    <m/>
    <n v="22635"/>
    <m/>
    <n v="8"/>
    <m/>
    <m/>
  </r>
  <r>
    <n v="1"/>
    <s v="14FW ELS BACKPACK_05_PK_TOD"/>
    <n v="1"/>
    <s v="바이칼14FW ELS BACKPACK_05_PK_TOD"/>
    <x v="4"/>
    <x v="4"/>
    <n v="1"/>
    <s v="14FW ELS BACKPACK_05_PK_TOD"/>
    <x v="0"/>
    <s v="바이칼14FW ELS BACKPACK_05_PK_TOD"/>
    <x v="66"/>
    <x v="5"/>
    <x v="0"/>
    <x v="0"/>
    <x v="26"/>
    <x v="27"/>
    <m/>
    <n v="83"/>
    <m/>
    <x v="17"/>
    <x v="15"/>
    <x v="0"/>
    <x v="641"/>
    <x v="6"/>
    <n v="1"/>
    <x v="13"/>
    <x v="52"/>
    <d v="2014-05-30T00:00:00"/>
    <d v="2014-05-16T00:00:00"/>
    <d v="2014-05-14T00:00:00"/>
    <m/>
    <n v="19796"/>
    <m/>
    <n v="4"/>
    <m/>
    <m/>
  </r>
  <r>
    <n v="1"/>
    <s v="14FW ELS_72__EAR KNIT_GR_KIDS"/>
    <n v="1"/>
    <s v="FOREMOST14FW ELS_72__EAR KNIT_GR_KIDS"/>
    <x v="4"/>
    <x v="4"/>
    <n v="0"/>
    <s v=""/>
    <x v="1"/>
    <s v=""/>
    <x v="36"/>
    <x v="6"/>
    <x v="0"/>
    <x v="0"/>
    <x v="24"/>
    <x v="25"/>
    <m/>
    <n v="84"/>
    <m/>
    <x v="17"/>
    <x v="3"/>
    <x v="0"/>
    <x v="642"/>
    <x v="5"/>
    <n v="1"/>
    <x v="4"/>
    <x v="53"/>
    <d v="2014-06-16T00:00:00"/>
    <d v="2014-06-16T00:00:00"/>
    <m/>
    <m/>
    <m/>
    <m/>
    <n v="2"/>
    <n v="2"/>
    <m/>
  </r>
  <r>
    <n v="1"/>
    <s v="14FW ELS_73_TROOPER_BK_KIDS"/>
    <n v="1"/>
    <s v="FOREMOST14FW ELS_73_TROOPER_BK_KIDS"/>
    <x v="4"/>
    <x v="4"/>
    <n v="0"/>
    <s v=""/>
    <x v="1"/>
    <s v=""/>
    <x v="36"/>
    <x v="6"/>
    <x v="0"/>
    <x v="0"/>
    <x v="24"/>
    <x v="25"/>
    <m/>
    <n v="85"/>
    <m/>
    <x v="17"/>
    <x v="3"/>
    <x v="0"/>
    <x v="643"/>
    <x v="5"/>
    <n v="1"/>
    <x v="4"/>
    <x v="53"/>
    <d v="2014-06-16T00:00:00"/>
    <d v="2014-06-16T00:00:00"/>
    <m/>
    <m/>
    <m/>
    <m/>
    <n v="2"/>
    <n v="2"/>
    <m/>
  </r>
  <r>
    <n v="1"/>
    <s v="14FW ELS_74__EAR KNIT_BL_KIDS"/>
    <n v="1"/>
    <s v="FOREMOST14FW ELS_74__EAR KNIT_BL_KIDS"/>
    <x v="4"/>
    <x v="4"/>
    <n v="0"/>
    <s v=""/>
    <x v="1"/>
    <s v=""/>
    <x v="36"/>
    <x v="6"/>
    <x v="0"/>
    <x v="0"/>
    <x v="24"/>
    <x v="25"/>
    <m/>
    <n v="86"/>
    <m/>
    <x v="17"/>
    <x v="3"/>
    <x v="0"/>
    <x v="644"/>
    <x v="5"/>
    <n v="1"/>
    <x v="4"/>
    <x v="53"/>
    <d v="2014-06-16T00:00:00"/>
    <d v="2014-06-16T00:00:00"/>
    <m/>
    <m/>
    <m/>
    <m/>
    <n v="4"/>
    <n v="4"/>
    <m/>
  </r>
  <r>
    <n v="1"/>
    <s v="14FW ELS_74__EAR KNIT_PK_KIDS"/>
    <n v="1"/>
    <s v="FOREMOST14FW ELS_74__EAR KNIT_PK_KIDS"/>
    <x v="4"/>
    <x v="4"/>
    <n v="0"/>
    <s v=""/>
    <x v="1"/>
    <s v=""/>
    <x v="36"/>
    <x v="6"/>
    <x v="0"/>
    <x v="0"/>
    <x v="24"/>
    <x v="25"/>
    <m/>
    <n v="87"/>
    <m/>
    <x v="17"/>
    <x v="3"/>
    <x v="0"/>
    <x v="645"/>
    <x v="5"/>
    <n v="1"/>
    <x v="4"/>
    <x v="53"/>
    <d v="2014-06-16T00:00:00"/>
    <d v="2014-06-16T00:00:00"/>
    <m/>
    <m/>
    <m/>
    <m/>
    <n v="4"/>
    <n v="4"/>
    <m/>
  </r>
  <r>
    <n v="1"/>
    <s v="14FW ELS_75_TROOPER_NV_KIDS"/>
    <n v="1"/>
    <s v="FOREMOST14FW ELS_75_TROOPER_NV_KIDS"/>
    <x v="4"/>
    <x v="4"/>
    <n v="0"/>
    <s v=""/>
    <x v="1"/>
    <s v=""/>
    <x v="36"/>
    <x v="6"/>
    <x v="0"/>
    <x v="0"/>
    <x v="24"/>
    <x v="25"/>
    <m/>
    <n v="88"/>
    <m/>
    <x v="17"/>
    <x v="3"/>
    <x v="0"/>
    <x v="646"/>
    <x v="5"/>
    <n v="1"/>
    <x v="4"/>
    <x v="53"/>
    <d v="2014-06-16T00:00:00"/>
    <d v="2014-06-16T00:00:00"/>
    <m/>
    <m/>
    <m/>
    <m/>
    <n v="3"/>
    <n v="3"/>
    <m/>
  </r>
  <r>
    <n v="1"/>
    <s v="14FW ELS_75_TROOPER_PK_KIDS"/>
    <n v="1"/>
    <s v="FOREMOST14FW ELS_75_TROOPER_PK_KIDS"/>
    <x v="4"/>
    <x v="4"/>
    <n v="0"/>
    <s v=""/>
    <x v="1"/>
    <s v=""/>
    <x v="36"/>
    <x v="6"/>
    <x v="0"/>
    <x v="0"/>
    <x v="24"/>
    <x v="25"/>
    <m/>
    <n v="89"/>
    <m/>
    <x v="17"/>
    <x v="3"/>
    <x v="0"/>
    <x v="647"/>
    <x v="5"/>
    <n v="1"/>
    <x v="4"/>
    <x v="53"/>
    <d v="2014-06-16T00:00:00"/>
    <d v="2014-06-16T00:00:00"/>
    <m/>
    <m/>
    <m/>
    <m/>
    <n v="3"/>
    <n v="3"/>
    <m/>
  </r>
  <r>
    <n v="1"/>
    <s v="14FW ELS 76_KNIT_BK"/>
    <n v="1"/>
    <s v="Y&amp;Y14FW ELS 76_KNIT_BK"/>
    <x v="4"/>
    <x v="4"/>
    <n v="0"/>
    <s v=""/>
    <x v="1"/>
    <s v=""/>
    <x v="36"/>
    <x v="6"/>
    <x v="0"/>
    <x v="0"/>
    <x v="24"/>
    <x v="25"/>
    <m/>
    <n v="90"/>
    <m/>
    <x v="17"/>
    <x v="4"/>
    <x v="0"/>
    <x v="648"/>
    <x v="3"/>
    <n v="1"/>
    <x v="7"/>
    <x v="53"/>
    <d v="2014-06-16T00:00:00"/>
    <d v="2014-06-16T00:00:00"/>
    <m/>
    <m/>
    <m/>
    <m/>
    <n v="3"/>
    <n v="3"/>
    <m/>
  </r>
  <r>
    <n v="1"/>
    <s v="14FW ELS 76_KNIT_NV"/>
    <n v="1"/>
    <s v="Y&amp;Y14FW ELS 76_KNIT_NV"/>
    <x v="4"/>
    <x v="4"/>
    <n v="0"/>
    <s v=""/>
    <x v="1"/>
    <s v=""/>
    <x v="36"/>
    <x v="6"/>
    <x v="0"/>
    <x v="0"/>
    <x v="24"/>
    <x v="25"/>
    <m/>
    <n v="91"/>
    <m/>
    <x v="17"/>
    <x v="4"/>
    <x v="0"/>
    <x v="649"/>
    <x v="3"/>
    <n v="1"/>
    <x v="7"/>
    <x v="53"/>
    <d v="2014-06-16T00:00:00"/>
    <d v="2014-06-16T00:00:00"/>
    <m/>
    <m/>
    <m/>
    <m/>
    <n v="3"/>
    <n v="3"/>
    <m/>
  </r>
  <r>
    <n v="1"/>
    <s v="14FW ELS 77_KNIT_PK_KIDS"/>
    <n v="1"/>
    <s v="Y&amp;Y14FW ELS 77_KNIT_PK_KIDS"/>
    <x v="4"/>
    <x v="4"/>
    <n v="0"/>
    <s v=""/>
    <x v="1"/>
    <s v=""/>
    <x v="36"/>
    <x v="6"/>
    <x v="0"/>
    <x v="0"/>
    <x v="24"/>
    <x v="25"/>
    <m/>
    <n v="92"/>
    <m/>
    <x v="17"/>
    <x v="4"/>
    <x v="0"/>
    <x v="650"/>
    <x v="5"/>
    <n v="1"/>
    <x v="7"/>
    <x v="53"/>
    <d v="2014-06-16T00:00:00"/>
    <d v="2014-06-16T00:00:00"/>
    <m/>
    <m/>
    <m/>
    <m/>
    <n v="2"/>
    <n v="2"/>
    <m/>
  </r>
  <r>
    <n v="1"/>
    <s v="14FW ELS 77_KNIT_BL_KIDS"/>
    <n v="1"/>
    <s v="Y&amp;Y14FW ELS 77_KNIT_BL_KIDS"/>
    <x v="4"/>
    <x v="4"/>
    <n v="0"/>
    <s v=""/>
    <x v="1"/>
    <s v=""/>
    <x v="36"/>
    <x v="6"/>
    <x v="0"/>
    <x v="0"/>
    <x v="24"/>
    <x v="25"/>
    <m/>
    <n v="93"/>
    <m/>
    <x v="17"/>
    <x v="4"/>
    <x v="0"/>
    <x v="651"/>
    <x v="5"/>
    <n v="1"/>
    <x v="7"/>
    <x v="53"/>
    <d v="2014-06-16T00:00:00"/>
    <d v="2014-06-16T00:00:00"/>
    <m/>
    <m/>
    <m/>
    <m/>
    <n v="2"/>
    <n v="2"/>
    <m/>
  </r>
  <r>
    <n v="1"/>
    <s v="14FW ELS_78_KNIT_BK"/>
    <n v="1"/>
    <s v="Y&amp;Y14FW ELS_78_KNIT_BK"/>
    <x v="4"/>
    <x v="4"/>
    <n v="0"/>
    <s v=""/>
    <x v="1"/>
    <s v=""/>
    <x v="36"/>
    <x v="6"/>
    <x v="0"/>
    <x v="0"/>
    <x v="24"/>
    <x v="25"/>
    <m/>
    <n v="94"/>
    <m/>
    <x v="17"/>
    <x v="4"/>
    <x v="0"/>
    <x v="652"/>
    <x v="3"/>
    <n v="1"/>
    <x v="7"/>
    <x v="53"/>
    <d v="2014-06-16T00:00:00"/>
    <d v="2014-06-16T00:00:00"/>
    <m/>
    <m/>
    <m/>
    <m/>
    <n v="2"/>
    <n v="1"/>
    <m/>
  </r>
  <r>
    <n v="1"/>
    <s v="14FW H.coustic CAP-01_BK"/>
    <n v="1"/>
    <s v="동일모자14FW H.coustic CAP-01_BK"/>
    <x v="1"/>
    <x v="9"/>
    <n v="1"/>
    <s v="14FW H.coustic CAP-01_BK"/>
    <x v="0"/>
    <s v="동일모자14FW H.coustic CAP-01_BK"/>
    <x v="1"/>
    <x v="0"/>
    <x v="0"/>
    <x v="0"/>
    <x v="27"/>
    <x v="28"/>
    <m/>
    <n v="1"/>
    <m/>
    <x v="18"/>
    <x v="5"/>
    <x v="0"/>
    <x v="653"/>
    <x v="3"/>
    <n v="1"/>
    <x v="1"/>
    <x v="41"/>
    <d v="2014-03-10T00:00:00"/>
    <d v="2014-03-19T00:00:00"/>
    <d v="2014-03-18T00:00:00"/>
    <n v="5.85"/>
    <m/>
    <m/>
    <n v="3"/>
    <n v="2"/>
    <m/>
  </r>
  <r>
    <n v="1"/>
    <s v="14FW H.coustic CAP-02_BK"/>
    <n v="1"/>
    <s v="동일모자14FW H.coustic CAP-02_BK"/>
    <x v="1"/>
    <x v="9"/>
    <n v="1"/>
    <s v="14FW H.coustic CAP-02_BK"/>
    <x v="0"/>
    <s v="동일모자14FW H.coustic CAP-02_BK"/>
    <x v="1"/>
    <x v="0"/>
    <x v="0"/>
    <x v="0"/>
    <x v="27"/>
    <x v="28"/>
    <m/>
    <n v="2"/>
    <m/>
    <x v="18"/>
    <x v="5"/>
    <x v="0"/>
    <x v="654"/>
    <x v="3"/>
    <n v="1"/>
    <x v="1"/>
    <x v="41"/>
    <d v="2014-03-10T00:00:00"/>
    <d v="2014-03-19T00:00:00"/>
    <d v="2014-03-18T00:00:00"/>
    <n v="5.85"/>
    <m/>
    <m/>
    <n v="3"/>
    <n v="2"/>
    <m/>
  </r>
  <r>
    <n v="1"/>
    <s v="14FW H.coustic CAP-03_BK"/>
    <n v="1"/>
    <s v="동일모자14FW H.coustic CAP-03_BK"/>
    <x v="1"/>
    <x v="9"/>
    <n v="1"/>
    <s v="14FW H.coustic CAP-03_BK"/>
    <x v="0"/>
    <s v="동일모자14FW H.coustic CAP-03_BK"/>
    <x v="1"/>
    <x v="0"/>
    <x v="0"/>
    <x v="0"/>
    <x v="27"/>
    <x v="28"/>
    <m/>
    <n v="3"/>
    <m/>
    <x v="18"/>
    <x v="5"/>
    <x v="0"/>
    <x v="655"/>
    <x v="3"/>
    <n v="1"/>
    <x v="1"/>
    <x v="41"/>
    <d v="2014-03-10T00:00:00"/>
    <d v="2014-03-19T00:00:00"/>
    <d v="2014-03-18T00:00:00"/>
    <n v="5.6"/>
    <m/>
    <m/>
    <n v="3"/>
    <n v="2"/>
    <m/>
  </r>
  <r>
    <n v="1"/>
    <s v="14FW H.coustic CAP-04_NY"/>
    <n v="1"/>
    <s v="동일모자14FW H.coustic CAP-04_NY"/>
    <x v="1"/>
    <x v="9"/>
    <n v="1"/>
    <s v="14FW H.coustic CAP-04_NY"/>
    <x v="0"/>
    <s v="동일모자14FW H.coustic CAP-04_NY"/>
    <x v="5"/>
    <x v="0"/>
    <x v="0"/>
    <x v="0"/>
    <x v="27"/>
    <x v="28"/>
    <m/>
    <n v="4"/>
    <m/>
    <x v="18"/>
    <x v="5"/>
    <x v="0"/>
    <x v="656"/>
    <x v="3"/>
    <n v="1"/>
    <x v="1"/>
    <x v="41"/>
    <d v="2014-03-10T00:00:00"/>
    <d v="2014-03-19T00:00:00"/>
    <d v="2014-03-21T00:00:00"/>
    <n v="5.0999999999999996"/>
    <m/>
    <m/>
    <n v="4"/>
    <n v="2"/>
    <m/>
  </r>
  <r>
    <n v="1"/>
    <s v="14FW H.coustic CAP-05_GY"/>
    <n v="1"/>
    <s v="동일모자14FW H.coustic CAP-05_GY"/>
    <x v="1"/>
    <x v="9"/>
    <n v="1"/>
    <s v="14FW H.coustic CAP-05_GY"/>
    <x v="0"/>
    <s v="동일모자14FW H.coustic CAP-05_GY"/>
    <x v="5"/>
    <x v="0"/>
    <x v="0"/>
    <x v="0"/>
    <x v="27"/>
    <x v="28"/>
    <m/>
    <n v="5"/>
    <m/>
    <x v="18"/>
    <x v="5"/>
    <x v="0"/>
    <x v="657"/>
    <x v="3"/>
    <n v="1"/>
    <x v="1"/>
    <x v="41"/>
    <d v="2014-03-10T00:00:00"/>
    <d v="2014-03-19T00:00:00"/>
    <d v="2014-03-21T00:00:00"/>
    <n v="4.8"/>
    <m/>
    <m/>
    <n v="4"/>
    <s v="0"/>
    <m/>
  </r>
  <r>
    <n v="1"/>
    <s v="14FW H.coustic CAP-06_KH"/>
    <n v="1"/>
    <s v="동일모자14FW H.coustic CAP-06_KH"/>
    <x v="1"/>
    <x v="9"/>
    <n v="1"/>
    <s v="14FW H.coustic CAP-06_KH"/>
    <x v="0"/>
    <s v="동일모자14FW H.coustic CAP-06_KH"/>
    <x v="1"/>
    <x v="0"/>
    <x v="0"/>
    <x v="0"/>
    <x v="27"/>
    <x v="28"/>
    <m/>
    <n v="6"/>
    <m/>
    <x v="18"/>
    <x v="5"/>
    <x v="0"/>
    <x v="658"/>
    <x v="3"/>
    <n v="1"/>
    <x v="1"/>
    <x v="41"/>
    <d v="2014-03-10T00:00:00"/>
    <d v="2014-03-19T00:00:00"/>
    <d v="2014-03-18T00:00:00"/>
    <n v="5.6"/>
    <m/>
    <m/>
    <n v="4"/>
    <n v="3"/>
    <m/>
  </r>
  <r>
    <n v="1"/>
    <s v="14FW H.coustic CAP-07_KH"/>
    <n v="1"/>
    <s v="동일모자14FW H.coustic CAP-07_KH"/>
    <x v="1"/>
    <x v="9"/>
    <n v="1"/>
    <s v="14FW H.coustic CAP-07_KH"/>
    <x v="0"/>
    <s v="동일모자14FW H.coustic CAP-07_KH"/>
    <x v="1"/>
    <x v="0"/>
    <x v="0"/>
    <x v="0"/>
    <x v="27"/>
    <x v="28"/>
    <m/>
    <n v="7"/>
    <m/>
    <x v="18"/>
    <x v="5"/>
    <x v="0"/>
    <x v="659"/>
    <x v="3"/>
    <n v="1"/>
    <x v="1"/>
    <x v="41"/>
    <d v="2014-03-10T00:00:00"/>
    <d v="2014-03-19T00:00:00"/>
    <d v="2014-03-18T00:00:00"/>
    <n v="5.5"/>
    <m/>
    <m/>
    <n v="3"/>
    <n v="2"/>
    <m/>
  </r>
  <r>
    <n v="1"/>
    <s v="14FW_ELSTINKO_&#10;DOWN JUMPER_01_RD"/>
    <n v="1"/>
    <s v="대경14FW_ELSTINKO_&#10;DOWN JUMPER_01_RD"/>
    <x v="0"/>
    <x v="6"/>
    <n v="1"/>
    <s v="14FW_ELSTINKO_&#10;DOWN JUMPER_01_RD"/>
    <x v="0"/>
    <s v="대경14FW_ELSTINKO_&#10;DOWN JUMPER_01_RD"/>
    <x v="83"/>
    <x v="1"/>
    <x v="6"/>
    <x v="0"/>
    <x v="28"/>
    <x v="29"/>
    <m/>
    <n v="8"/>
    <m/>
    <x v="17"/>
    <x v="18"/>
    <x v="0"/>
    <x v="660"/>
    <x v="3"/>
    <n v="1"/>
    <x v="15"/>
    <x v="28"/>
    <d v="2014-02-11T00:00:00"/>
    <d v="2014-02-20T00:00:00"/>
    <d v="2014-02-19T00:00:00"/>
    <n v="43.6"/>
    <n v="49638.6"/>
    <s v="1pc"/>
    <m/>
    <m/>
    <s v="연태대풍: 완사입 불가&#10;J&amp;F: MOQ문제로 베트남 진행불가. 중국에서 Target가로 진행불가&#10;우진: \55,892 (-VAT)"/>
  </r>
  <r>
    <n v="1"/>
    <s v="14FW_ELSTINKO_&#10;DOWN JUMPER_02_BK"/>
    <n v="1"/>
    <s v="대경14FW_ELSTINKO_&#10;DOWN JUMPER_02_BK"/>
    <x v="0"/>
    <x v="10"/>
    <n v="1"/>
    <s v="14FW_ELSTINKO_&#10;DOWN JUMPER_02_BK"/>
    <x v="0"/>
    <s v="대경14FW_ELSTINKO_&#10;DOWN JUMPER_02_BK"/>
    <x v="83"/>
    <x v="1"/>
    <x v="6"/>
    <x v="0"/>
    <x v="28"/>
    <x v="29"/>
    <m/>
    <n v="9"/>
    <m/>
    <x v="17"/>
    <x v="18"/>
    <x v="0"/>
    <x v="661"/>
    <x v="3"/>
    <n v="1"/>
    <x v="15"/>
    <x v="54"/>
    <d v="2014-02-01T00:00:00"/>
    <d v="2014-02-20T00:00:00"/>
    <d v="2014-02-19T00:00:00"/>
    <n v="44.37"/>
    <n v="50515.244999999995"/>
    <m/>
    <m/>
    <m/>
    <s v="연태대풍: 완사입 불가&#10;J&amp;F: MOQ문제로 베트남 진행불가. 중국에서 Target가로 진행불가&#10;우진: \56,266 (-VAT)"/>
  </r>
  <r>
    <n v="1"/>
    <s v="14FW_ELSTINKO_&#10;DOWN_JUMPER_03_NV"/>
    <n v="1"/>
    <s v="대경14FW_ELSTINKO_&#10;DOWN_JUMPER_03_NV"/>
    <x v="0"/>
    <x v="6"/>
    <n v="1"/>
    <s v="14FW_ELSTINKO_&#10;DOWN_JUMPER_03_NV"/>
    <x v="0"/>
    <s v="대경14FW_ELSTINKO_&#10;DOWN_JUMPER_03_NV"/>
    <x v="83"/>
    <x v="1"/>
    <x v="6"/>
    <x v="0"/>
    <x v="28"/>
    <x v="29"/>
    <m/>
    <n v="10"/>
    <m/>
    <x v="17"/>
    <x v="18"/>
    <x v="0"/>
    <x v="662"/>
    <x v="3"/>
    <n v="1"/>
    <x v="15"/>
    <x v="28"/>
    <d v="2014-02-11T00:00:00"/>
    <d v="2014-02-20T00:00:00"/>
    <d v="2014-02-19T00:00:00"/>
    <n v="41.62"/>
    <n v="47384.369999999995"/>
    <m/>
    <m/>
    <m/>
    <s v="연태대풍: 완사입 불가&#10;J&amp;F: MOQ문제로 베트남 진행불가. 중국에서 Target가로 진행불가&#10;우진: \53,392 (-VAT)"/>
  </r>
  <r>
    <n v="1"/>
    <s v="14FW_ELSTINKO_&#10;DOWN_JUMPER_04_BK"/>
    <n v="1"/>
    <s v="대경14FW_ELSTINKO_&#10;DOWN_JUMPER_04_BK"/>
    <x v="0"/>
    <x v="6"/>
    <n v="1"/>
    <s v="14FW_ELSTINKO_&#10;DOWN_JUMPER_04_BK"/>
    <x v="0"/>
    <s v="대경14FW_ELSTINKO_&#10;DOWN_JUMPER_04_BK"/>
    <x v="83"/>
    <x v="1"/>
    <x v="6"/>
    <x v="0"/>
    <x v="28"/>
    <x v="29"/>
    <m/>
    <n v="11"/>
    <m/>
    <x v="17"/>
    <x v="18"/>
    <x v="0"/>
    <x v="663"/>
    <x v="3"/>
    <n v="1"/>
    <x v="15"/>
    <x v="28"/>
    <d v="2014-02-11T00:00:00"/>
    <d v="2014-02-20T00:00:00"/>
    <d v="2014-02-19T00:00:00"/>
    <n v="50.24"/>
    <n v="57198.239999999998"/>
    <m/>
    <m/>
    <m/>
    <s v="연태대풍: 완사입 불가&#10;J&amp;F: MOQ문제로 베트남 진행불가. 중국에서 Target가로 진행불가&#10;우진: \56,570 (-VAT)"/>
  </r>
  <r>
    <n v="1"/>
    <s v="14FW_ELSTINKO_&#10;DOWN_JUMPER_03_OR_KIDS"/>
    <n v="1"/>
    <s v="대경14FW_ELSTINKO_&#10;DOWN_JUMPER_03_OR_KIDS"/>
    <x v="0"/>
    <x v="6"/>
    <n v="1"/>
    <s v="14FW_ELSTINKO_&#10;DOWN_JUMPER_03_OR_KIDS"/>
    <x v="0"/>
    <s v="대경14FW_ELSTINKO_&#10;DOWN_JUMPER_03_OR_KIDS"/>
    <x v="83"/>
    <x v="1"/>
    <x v="6"/>
    <x v="0"/>
    <x v="28"/>
    <x v="29"/>
    <m/>
    <n v="12"/>
    <m/>
    <x v="17"/>
    <x v="18"/>
    <x v="0"/>
    <x v="664"/>
    <x v="5"/>
    <n v="1"/>
    <x v="15"/>
    <x v="28"/>
    <d v="2014-02-11T00:00:00"/>
    <d v="2014-02-20T00:00:00"/>
    <d v="2014-02-19T00:00:00"/>
    <n v="40.520000000000003"/>
    <n v="46132.02"/>
    <m/>
    <m/>
    <m/>
    <s v="연태대풍: 완사입 불가&#10;J&amp;F: MOQ문제로 베트남 진행불가. 중국에서 Target가로 진행불가&#10;우진: \48,912 (-VAT)"/>
  </r>
  <r>
    <n v="1"/>
    <s v="14FW VB_MTM_01_BK"/>
    <n v="1"/>
    <s v="아트인드림14FW VB_MTM_01_BK"/>
    <x v="1"/>
    <x v="9"/>
    <n v="1"/>
    <s v="14FW VB_MTM_01_BK"/>
    <x v="0"/>
    <s v="아트인드림14FW VB_MTM_01_BK"/>
    <x v="12"/>
    <x v="0"/>
    <x v="1"/>
    <x v="1"/>
    <x v="29"/>
    <x v="30"/>
    <m/>
    <n v="13"/>
    <m/>
    <x v="13"/>
    <x v="19"/>
    <x v="0"/>
    <x v="665"/>
    <x v="3"/>
    <n v="1"/>
    <x v="16"/>
    <x v="55"/>
    <d v="2014-03-06T00:00:00"/>
    <d v="2014-03-06T00:00:00"/>
    <d v="2014-03-05T00:00:00"/>
    <m/>
    <n v="18600"/>
    <m/>
    <m/>
    <m/>
    <s v="아트 국내견적가: 20,400&#10;대경견적가: $16.00 (=18,216)"/>
  </r>
  <r>
    <n v="1"/>
    <s v="14FW VB_MTM_02_GY"/>
    <n v="1"/>
    <s v="아트인드림14FW VB_MTM_02_GY"/>
    <x v="1"/>
    <x v="9"/>
    <n v="1"/>
    <s v="14FW VB_MTM_02_GY"/>
    <x v="0"/>
    <s v="아트인드림14FW VB_MTM_02_GY"/>
    <x v="32"/>
    <x v="0"/>
    <x v="1"/>
    <x v="1"/>
    <x v="29"/>
    <x v="30"/>
    <m/>
    <n v="14"/>
    <m/>
    <x v="13"/>
    <x v="19"/>
    <x v="0"/>
    <x v="666"/>
    <x v="3"/>
    <n v="1"/>
    <x v="16"/>
    <x v="55"/>
    <d v="2014-03-06T00:00:00"/>
    <d v="2014-03-06T00:00:00"/>
    <d v="2014-03-06T00:00:00"/>
    <m/>
    <n v="17500"/>
    <m/>
    <m/>
    <m/>
    <s v="아트 국내견적가: 19,400&#10;대경견적가: $15.95&#10;(=18,159)"/>
  </r>
  <r>
    <n v="0.5"/>
    <s v="14FW VB_MTM_03_NV"/>
    <n v="0.5"/>
    <s v="아트인드림14FW VB_MTM_03_NV"/>
    <x v="1"/>
    <x v="9"/>
    <n v="0.5"/>
    <s v="14FW VB_MTM_03_NV"/>
    <x v="2"/>
    <s v="아트인드림14FW VB_MTM_03_NV"/>
    <x v="12"/>
    <x v="0"/>
    <x v="1"/>
    <x v="1"/>
    <x v="29"/>
    <x v="30"/>
    <m/>
    <n v="15"/>
    <m/>
    <x v="13"/>
    <x v="19"/>
    <x v="0"/>
    <x v="667"/>
    <x v="3"/>
    <n v="0.5"/>
    <x v="16"/>
    <x v="55"/>
    <d v="2014-03-06T00:00:00"/>
    <d v="2014-03-06T00:00:00"/>
    <d v="2014-03-05T00:00:00"/>
    <m/>
    <n v="18400"/>
    <m/>
    <m/>
    <m/>
    <s v="MPF APPLIQUE OPTION&#10;아트: 국내견적가: 20,300&#10;대경견적가: $14.95&#10;(=17,021)"/>
  </r>
  <r>
    <n v="0.5"/>
    <s v="14FW VB_MTM_03_NV"/>
    <n v="0.5"/>
    <s v="아트인드림14FW VB_MTM_03_NV"/>
    <x v="1"/>
    <x v="9"/>
    <n v="0.5"/>
    <s v="14FW VB_MTM_03_NV"/>
    <x v="2"/>
    <s v="아트인드림14FW VB_MTM_03_NV"/>
    <x v="31"/>
    <x v="0"/>
    <x v="0"/>
    <x v="1"/>
    <x v="29"/>
    <x v="30"/>
    <m/>
    <n v="16"/>
    <m/>
    <x v="13"/>
    <x v="19"/>
    <x v="0"/>
    <x v="667"/>
    <x v="3"/>
    <n v="0.5"/>
    <x v="16"/>
    <x v="55"/>
    <d v="2014-03-06T00:00:00"/>
    <d v="2014-03-06T00:00:00"/>
    <d v="2014-03-31T00:00:00"/>
    <m/>
    <n v="17900"/>
    <m/>
    <m/>
    <m/>
    <s v="FLOCKING OPTION&#10;아트 국내견적가: 18,900&#10;대경견적가: $16.90&#10;(=19,241)"/>
  </r>
  <r>
    <n v="1"/>
    <s v="14FW_VB_DOWN JUMPER_01_GY"/>
    <n v="1"/>
    <s v="대경14FW_VB_DOWN JUMPER_01_GY"/>
    <x v="1"/>
    <x v="9"/>
    <n v="1"/>
    <s v="14FW_VB_DOWN JUMPER_01_GY"/>
    <x v="0"/>
    <s v="대경14FW_VB_DOWN JUMPER_01_GY"/>
    <x v="5"/>
    <x v="0"/>
    <x v="0"/>
    <x v="0"/>
    <x v="29"/>
    <x v="30"/>
    <m/>
    <n v="17"/>
    <m/>
    <x v="13"/>
    <x v="18"/>
    <x v="0"/>
    <x v="668"/>
    <x v="3"/>
    <n v="1"/>
    <x v="15"/>
    <x v="41"/>
    <d v="2014-03-10T00:00:00"/>
    <d v="2014-03-21T00:00:00"/>
    <d v="2014-03-21T00:00:00"/>
    <n v="44.2"/>
    <n v="50321.7"/>
    <m/>
    <m/>
    <m/>
    <m/>
  </r>
  <r>
    <n v="1"/>
    <s v="14FW ELSTINKO_HOOD_01_GR_KIDS"/>
    <n v="1"/>
    <s v="EVERGREEN14FW ELSTINKO_HOOD_01_GR_KIDS"/>
    <x v="1"/>
    <x v="7"/>
    <n v="1"/>
    <s v="14FW ELSTINKO_HOOD_01_GR_KIDS"/>
    <x v="0"/>
    <s v="EVERGREEN14FW ELSTINKO_HOOD_01_GR_KIDS"/>
    <x v="58"/>
    <x v="0"/>
    <x v="0"/>
    <x v="0"/>
    <x v="28"/>
    <x v="29"/>
    <m/>
    <n v="18"/>
    <m/>
    <x v="17"/>
    <x v="20"/>
    <x v="0"/>
    <x v="669"/>
    <x v="5"/>
    <n v="1"/>
    <x v="17"/>
    <x v="32"/>
    <d v="2014-03-25T00:00:00"/>
    <d v="2014-03-17T00:00:00"/>
    <d v="2014-03-17T00:00:00"/>
    <n v="13.8"/>
    <m/>
    <m/>
    <m/>
    <m/>
    <m/>
  </r>
  <r>
    <n v="1"/>
    <s v="14FW ELSTINKO_HOOD_01_GY"/>
    <n v="1"/>
    <s v="EVERGREEN14FW ELSTINKO_HOOD_01_GY"/>
    <x v="1"/>
    <x v="7"/>
    <n v="1"/>
    <s v="14FW ELSTINKO_HOOD_01_GY"/>
    <x v="0"/>
    <s v="EVERGREEN14FW ELSTINKO_HOOD_01_GY"/>
    <x v="58"/>
    <x v="0"/>
    <x v="0"/>
    <x v="0"/>
    <x v="28"/>
    <x v="29"/>
    <m/>
    <n v="19"/>
    <m/>
    <x v="17"/>
    <x v="20"/>
    <x v="0"/>
    <x v="670"/>
    <x v="3"/>
    <n v="1"/>
    <x v="17"/>
    <x v="32"/>
    <d v="2014-03-25T00:00:00"/>
    <d v="2014-03-17T00:00:00"/>
    <d v="2014-03-17T00:00:00"/>
    <n v="16.8"/>
    <m/>
    <m/>
    <m/>
    <m/>
    <m/>
  </r>
  <r>
    <n v="1"/>
    <s v="14FW ELSTINKO_HOOD_02_GY"/>
    <n v="1"/>
    <s v="대경14FW ELSTINKO_HOOD_02_GY"/>
    <x v="1"/>
    <x v="2"/>
    <n v="1"/>
    <s v="14FW ELSTINKO_HOOD_02_GY"/>
    <x v="0"/>
    <s v="대경14FW ELSTINKO_HOOD_02_GY"/>
    <x v="5"/>
    <x v="0"/>
    <x v="0"/>
    <x v="0"/>
    <x v="28"/>
    <x v="29"/>
    <m/>
    <n v="20"/>
    <m/>
    <x v="17"/>
    <x v="20"/>
    <x v="0"/>
    <x v="671"/>
    <x v="3"/>
    <n v="1"/>
    <x v="15"/>
    <x v="14"/>
    <d v="2014-03-19T00:00:00"/>
    <d v="2014-03-21T00:00:00"/>
    <d v="2014-03-21T00:00:00"/>
    <n v="16.75"/>
    <n v="19069.875"/>
    <m/>
    <m/>
    <m/>
    <m/>
  </r>
  <r>
    <n v="1"/>
    <s v="14FW ELSTINKO_HOOD_03_BK"/>
    <n v="1"/>
    <s v="아트인드림14FW ELSTINKO_HOOD_03_BK"/>
    <x v="1"/>
    <x v="2"/>
    <n v="1"/>
    <s v="14FW ELSTINKO_HOOD_03_BK"/>
    <x v="0"/>
    <s v="아트인드림14FW ELSTINKO_HOOD_03_BK"/>
    <x v="2"/>
    <x v="0"/>
    <x v="0"/>
    <x v="1"/>
    <x v="28"/>
    <x v="29"/>
    <m/>
    <n v="21"/>
    <m/>
    <x v="17"/>
    <x v="20"/>
    <x v="0"/>
    <x v="672"/>
    <x v="3"/>
    <n v="1"/>
    <x v="16"/>
    <x v="14"/>
    <d v="2014-03-12T00:00:00"/>
    <d v="2014-03-19T00:00:00"/>
    <d v="2014-03-19T00:00:00"/>
    <m/>
    <n v="23458"/>
    <m/>
    <m/>
    <m/>
    <s v="HEAT TRANSFER PRINT"/>
  </r>
  <r>
    <n v="1"/>
    <s v="14FW ELSTINKO_HOOD_03_YE_KIDS"/>
    <n v="1"/>
    <s v="아트인드림14FW ELSTINKO_HOOD_03_YE_KIDS"/>
    <x v="1"/>
    <x v="2"/>
    <n v="1"/>
    <s v="14FW ELSTINKO_HOOD_03_YE_KIDS"/>
    <x v="0"/>
    <s v="아트인드림14FW ELSTINKO_HOOD_03_YE_KIDS"/>
    <x v="9"/>
    <x v="0"/>
    <x v="0"/>
    <x v="1"/>
    <x v="28"/>
    <x v="29"/>
    <m/>
    <n v="22"/>
    <m/>
    <x v="17"/>
    <x v="20"/>
    <x v="0"/>
    <x v="673"/>
    <x v="5"/>
    <n v="1"/>
    <x v="16"/>
    <x v="14"/>
    <d v="2014-03-12T00:00:00"/>
    <d v="2014-03-19T00:00:00"/>
    <d v="2014-03-24T00:00:00"/>
    <m/>
    <n v="21202"/>
    <m/>
    <m/>
    <m/>
    <s v="HEAT TRANSFER PRINT&#10;TRIM 시장구매원단"/>
  </r>
  <r>
    <n v="1"/>
    <s v="14FW ELSTINKO_HOOD_04_PP_KIDS"/>
    <n v="1"/>
    <s v="아트인드림14FW ELSTINKO_HOOD_04_PP_KIDS"/>
    <x v="1"/>
    <x v="2"/>
    <n v="1"/>
    <s v="14FW ELSTINKO_HOOD_04_PP_KIDS"/>
    <x v="0"/>
    <s v="아트인드림14FW ELSTINKO_HOOD_04_PP_KIDS"/>
    <x v="9"/>
    <x v="0"/>
    <x v="0"/>
    <x v="1"/>
    <x v="28"/>
    <x v="29"/>
    <m/>
    <n v="23"/>
    <m/>
    <x v="17"/>
    <x v="20"/>
    <x v="0"/>
    <x v="674"/>
    <x v="5"/>
    <n v="1"/>
    <x v="16"/>
    <x v="14"/>
    <d v="2014-03-12T00:00:00"/>
    <d v="2014-03-19T00:00:00"/>
    <d v="2014-03-24T00:00:00"/>
    <m/>
    <n v="21202"/>
    <m/>
    <m/>
    <m/>
    <s v="TRIM 시장구매원단"/>
  </r>
  <r>
    <n v="1"/>
    <s v="14FW ELSTINKO_HOODZIP_01_MT_KIDS"/>
    <n v="1"/>
    <s v="대경14FW ELSTINKO_HOODZIP_01_MT_KIDS"/>
    <x v="1"/>
    <x v="2"/>
    <n v="1"/>
    <s v="14FW ELSTINKO_HOODZIP_01_MT_KIDS"/>
    <x v="0"/>
    <s v="대경14FW ELSTINKO_HOODZIP_01_MT_KIDS"/>
    <x v="5"/>
    <x v="0"/>
    <x v="0"/>
    <x v="0"/>
    <x v="28"/>
    <x v="29"/>
    <m/>
    <n v="24"/>
    <m/>
    <x v="17"/>
    <x v="21"/>
    <x v="0"/>
    <x v="675"/>
    <x v="5"/>
    <n v="1"/>
    <x v="15"/>
    <x v="14"/>
    <d v="2014-03-19T00:00:00"/>
    <d v="2014-03-21T00:00:00"/>
    <d v="2014-03-21T00:00:00"/>
    <n v="21.5"/>
    <n v="24477.749999999996"/>
    <m/>
    <m/>
    <m/>
    <m/>
  </r>
  <r>
    <n v="1"/>
    <s v="14FW ELSTINKO_HOODZIP_02_GY_KIDS"/>
    <n v="1"/>
    <s v="대경14FW ELSTINKO_HOODZIP_02_GY_KIDS"/>
    <x v="1"/>
    <x v="2"/>
    <n v="1"/>
    <s v="14FW ELSTINKO_HOODZIP_02_GY_KIDS"/>
    <x v="0"/>
    <s v="대경14FW ELSTINKO_HOODZIP_02_GY_KIDS"/>
    <x v="5"/>
    <x v="0"/>
    <x v="0"/>
    <x v="0"/>
    <x v="28"/>
    <x v="29"/>
    <m/>
    <n v="25"/>
    <m/>
    <x v="17"/>
    <x v="21"/>
    <x v="0"/>
    <x v="676"/>
    <x v="5"/>
    <n v="1"/>
    <x v="15"/>
    <x v="14"/>
    <d v="2014-03-19T00:00:00"/>
    <d v="2014-03-21T00:00:00"/>
    <d v="2014-03-21T00:00:00"/>
    <n v="21.05"/>
    <n v="23965.424999999999"/>
    <m/>
    <m/>
    <m/>
    <m/>
  </r>
  <r>
    <n v="1"/>
    <s v="14SS ELSTINKO_MTM_01_GY_KIDS"/>
    <n v="1"/>
    <s v="아트인드림14SS ELSTINKO_MTM_01_GY_KIDS"/>
    <x v="1"/>
    <x v="2"/>
    <n v="1"/>
    <s v="14SS ELSTINKO_MTM_01_GY_KIDS"/>
    <x v="0"/>
    <s v="아트인드림14SS ELSTINKO_MTM_01_GY_KIDS"/>
    <x v="79"/>
    <x v="0"/>
    <x v="0"/>
    <x v="1"/>
    <x v="28"/>
    <x v="29"/>
    <m/>
    <n v="26"/>
    <m/>
    <x v="17"/>
    <x v="19"/>
    <x v="0"/>
    <x v="677"/>
    <x v="5"/>
    <n v="1"/>
    <x v="16"/>
    <x v="14"/>
    <d v="2014-03-12T00:00:00"/>
    <d v="2014-03-19T00:00:00"/>
    <d v="2014-03-25T00:00:00"/>
    <m/>
    <n v="17451"/>
    <m/>
    <m/>
    <m/>
    <s v="쿠션지 &#10;HEAT TRANFER PRINT ON FUR"/>
  </r>
  <r>
    <n v="1"/>
    <s v="14SS ELSTINKO_MTM_01_NV"/>
    <n v="1"/>
    <s v="아트인드림14SS ELSTINKO_MTM_01_NV"/>
    <x v="1"/>
    <x v="2"/>
    <n v="1"/>
    <s v="14SS ELSTINKO_MTM_01_NV"/>
    <x v="0"/>
    <s v="아트인드림14SS ELSTINKO_MTM_01_NV"/>
    <x v="79"/>
    <x v="0"/>
    <x v="0"/>
    <x v="1"/>
    <x v="28"/>
    <x v="29"/>
    <m/>
    <n v="27"/>
    <m/>
    <x v="17"/>
    <x v="19"/>
    <x v="0"/>
    <x v="678"/>
    <x v="3"/>
    <n v="1"/>
    <x v="16"/>
    <x v="14"/>
    <d v="2014-03-12T00:00:00"/>
    <d v="2014-03-19T00:00:00"/>
    <d v="2014-03-25T00:00:00"/>
    <m/>
    <n v="27035"/>
    <m/>
    <m/>
    <m/>
    <s v="쿠션지&#10;HEAT TRANFER PRINT ON FUR"/>
  </r>
  <r>
    <n v="1"/>
    <s v="14SS ELSTINKO_MTM_02_BUR"/>
    <n v="1"/>
    <s v="아트인드림14SS ELSTINKO_MTM_02_BUR"/>
    <x v="1"/>
    <x v="2"/>
    <n v="1"/>
    <s v="14SS ELSTINKO_MTM_02_BUR"/>
    <x v="0"/>
    <s v="아트인드림14SS ELSTINKO_MTM_02_BUR"/>
    <x v="79"/>
    <x v="0"/>
    <x v="0"/>
    <x v="1"/>
    <x v="28"/>
    <x v="29"/>
    <m/>
    <n v="28"/>
    <m/>
    <x v="17"/>
    <x v="19"/>
    <x v="0"/>
    <x v="679"/>
    <x v="3"/>
    <n v="1"/>
    <x v="16"/>
    <x v="14"/>
    <d v="2014-03-12T00:00:00"/>
    <d v="2014-03-19T00:00:00"/>
    <d v="2014-03-25T00:00:00"/>
    <m/>
    <n v="21073"/>
    <m/>
    <m/>
    <m/>
    <s v="백기모"/>
  </r>
  <r>
    <n v="1"/>
    <s v="14SS ELSTINKO_MTM_02_GY_KIDS"/>
    <n v="1"/>
    <s v="EVERGREEN14SS ELSTINKO_MTM_02_GY_KIDS"/>
    <x v="1"/>
    <x v="7"/>
    <n v="1"/>
    <s v="14SS ELSTINKO_MTM_02_GY_KIDS"/>
    <x v="0"/>
    <s v="EVERGREEN14SS ELSTINKO_MTM_02_GY_KIDS"/>
    <x v="58"/>
    <x v="0"/>
    <x v="0"/>
    <x v="0"/>
    <x v="28"/>
    <x v="29"/>
    <m/>
    <n v="29"/>
    <m/>
    <x v="17"/>
    <x v="19"/>
    <x v="0"/>
    <x v="680"/>
    <x v="5"/>
    <n v="1"/>
    <x v="17"/>
    <x v="32"/>
    <d v="2014-03-25T00:00:00"/>
    <d v="2014-03-17T00:00:00"/>
    <d v="2014-03-17T00:00:00"/>
    <n v="12.5"/>
    <m/>
    <m/>
    <m/>
    <m/>
    <m/>
  </r>
  <r>
    <n v="1"/>
    <s v="14SS ELSTINKO_MTM_03_GY"/>
    <n v="1"/>
    <s v="대경14SS ELSTINKO_MTM_03_GY"/>
    <x v="1"/>
    <x v="2"/>
    <n v="1"/>
    <s v="14SS ELSTINKO_MTM_03_GY"/>
    <x v="0"/>
    <s v="대경14SS ELSTINKO_MTM_03_GY"/>
    <x v="5"/>
    <x v="0"/>
    <x v="0"/>
    <x v="0"/>
    <x v="28"/>
    <x v="29"/>
    <m/>
    <n v="30"/>
    <m/>
    <x v="17"/>
    <x v="19"/>
    <x v="0"/>
    <x v="681"/>
    <x v="3"/>
    <n v="1"/>
    <x v="15"/>
    <x v="14"/>
    <d v="2014-03-19T00:00:00"/>
    <d v="2014-03-21T00:00:00"/>
    <d v="2014-03-21T00:00:00"/>
    <n v="15.75"/>
    <n v="17931.375"/>
    <m/>
    <m/>
    <m/>
    <s v="백기모"/>
  </r>
  <r>
    <n v="1"/>
    <s v="14SS ELSTINKO_MTM_03_YE_KIDS"/>
    <n v="1"/>
    <s v="EVERGREEN14SS ELSTINKO_MTM_03_YE_KIDS"/>
    <x v="1"/>
    <x v="7"/>
    <n v="1"/>
    <s v="14SS ELSTINKO_MTM_03_YE_KIDS"/>
    <x v="0"/>
    <s v="EVERGREEN14SS ELSTINKO_MTM_03_YE_KIDS"/>
    <x v="58"/>
    <x v="0"/>
    <x v="0"/>
    <x v="0"/>
    <x v="28"/>
    <x v="29"/>
    <m/>
    <n v="31"/>
    <m/>
    <x v="17"/>
    <x v="19"/>
    <x v="0"/>
    <x v="682"/>
    <x v="5"/>
    <n v="1"/>
    <x v="17"/>
    <x v="32"/>
    <d v="2014-03-25T00:00:00"/>
    <d v="2014-03-17T00:00:00"/>
    <d v="2014-03-17T00:00:00"/>
    <n v="12.5"/>
    <m/>
    <m/>
    <m/>
    <m/>
    <m/>
  </r>
  <r>
    <n v="1"/>
    <s v="14FW ELSTINKO_HOODZIP_03_BK"/>
    <n v="1"/>
    <s v="대경14FW ELSTINKO_HOODZIP_03_BK"/>
    <x v="1"/>
    <x v="2"/>
    <n v="1"/>
    <s v="14FW ELSTINKO_HOODZIP_03_BK"/>
    <x v="0"/>
    <s v="대경14FW ELSTINKO_HOODZIP_03_BK"/>
    <x v="5"/>
    <x v="0"/>
    <x v="0"/>
    <x v="0"/>
    <x v="28"/>
    <x v="29"/>
    <m/>
    <n v="32"/>
    <m/>
    <x v="17"/>
    <x v="21"/>
    <x v="0"/>
    <x v="683"/>
    <x v="3"/>
    <n v="1"/>
    <x v="15"/>
    <x v="14"/>
    <d v="2014-03-19T00:00:00"/>
    <d v="2014-03-21T00:00:00"/>
    <d v="2014-03-21T00:00:00"/>
    <n v="25.7"/>
    <n v="29259.449999999997"/>
    <m/>
    <m/>
    <m/>
    <s v="PU FABRIC ON SLV&#10;아트견적 동시의뢰"/>
  </r>
  <r>
    <n v="1"/>
    <s v="14FW_ELSTINKO_JUMPER_01_BK_KIDS"/>
    <n v="1"/>
    <s v="대경14FW_ELSTINKO_JUMPER_01_BK_KIDS"/>
    <x v="1"/>
    <x v="2"/>
    <n v="1"/>
    <s v="14FW_ELSTINKO_JUMPER_01_BK_KIDS"/>
    <x v="0"/>
    <s v="대경14FW_ELSTINKO_JUMPER_01_BK_KIDS"/>
    <x v="5"/>
    <x v="0"/>
    <x v="0"/>
    <x v="0"/>
    <x v="28"/>
    <x v="29"/>
    <m/>
    <n v="33"/>
    <m/>
    <x v="17"/>
    <x v="18"/>
    <x v="0"/>
    <x v="684"/>
    <x v="5"/>
    <n v="1"/>
    <x v="15"/>
    <x v="14"/>
    <d v="2014-03-19T00:00:00"/>
    <d v="2014-03-21T00:00:00"/>
    <d v="2014-03-21T00:00:00"/>
    <n v="33.75"/>
    <n v="38424.375"/>
    <m/>
    <m/>
    <m/>
    <s v="PU FABRIC ON SLV&#10;아트견적 동시의뢰"/>
  </r>
  <r>
    <n v="1"/>
    <s v="14FW_ELSTINKO_JUMPER_02_RD_KIDS"/>
    <n v="1"/>
    <s v="대경14FW_ELSTINKO_JUMPER_02_RD_KIDS"/>
    <x v="1"/>
    <x v="2"/>
    <n v="1"/>
    <s v="14FW_ELSTINKO_JUMPER_02_RD_KIDS"/>
    <x v="0"/>
    <s v="대경14FW_ELSTINKO_JUMPER_02_RD_KIDS"/>
    <x v="5"/>
    <x v="0"/>
    <x v="0"/>
    <x v="0"/>
    <x v="28"/>
    <x v="29"/>
    <m/>
    <n v="34"/>
    <m/>
    <x v="17"/>
    <x v="18"/>
    <x v="0"/>
    <x v="685"/>
    <x v="5"/>
    <n v="1"/>
    <x v="15"/>
    <x v="14"/>
    <d v="2014-03-19T00:00:00"/>
    <d v="2014-03-21T00:00:00"/>
    <d v="2014-03-21T00:00:00"/>
    <n v="31.05"/>
    <n v="35350.424999999996"/>
    <m/>
    <m/>
    <m/>
    <s v="아트견적 동시의뢰"/>
  </r>
  <r>
    <n v="1"/>
    <s v="14FW ELSTINKO_MTM_07_BK"/>
    <n v="1"/>
    <s v="대경14FW ELSTINKO_MTM_07_BK"/>
    <x v="1"/>
    <x v="2"/>
    <n v="1"/>
    <s v="14FW ELSTINKO_MTM_07_BK"/>
    <x v="0"/>
    <s v="대경14FW ELSTINKO_MTM_07_BK"/>
    <x v="5"/>
    <x v="0"/>
    <x v="0"/>
    <x v="0"/>
    <x v="28"/>
    <x v="29"/>
    <m/>
    <n v="35"/>
    <m/>
    <x v="17"/>
    <x v="19"/>
    <x v="0"/>
    <x v="686"/>
    <x v="3"/>
    <n v="1"/>
    <x v="15"/>
    <x v="14"/>
    <d v="2014-03-19T00:00:00"/>
    <d v="2014-03-21T00:00:00"/>
    <d v="2014-03-21T00:00:00"/>
    <n v="16.2"/>
    <n v="18443.699999999997"/>
    <m/>
    <m/>
    <m/>
    <s v="시장구매원단&#10;아트견적 동시의뢰"/>
  </r>
  <r>
    <n v="1"/>
    <s v="14FW ELSTINKO_MTM_08_BK"/>
    <n v="1"/>
    <s v="아트인드림14FW ELSTINKO_MTM_08_BK"/>
    <x v="1"/>
    <x v="2"/>
    <n v="1"/>
    <s v="14FW ELSTINKO_MTM_08_BK"/>
    <x v="0"/>
    <s v="아트인드림14FW ELSTINKO_MTM_08_BK"/>
    <x v="79"/>
    <x v="0"/>
    <x v="0"/>
    <x v="1"/>
    <x v="28"/>
    <x v="29"/>
    <m/>
    <n v="36"/>
    <m/>
    <x v="17"/>
    <x v="19"/>
    <x v="0"/>
    <x v="687"/>
    <x v="3"/>
    <n v="1"/>
    <x v="16"/>
    <x v="14"/>
    <d v="2014-03-12T00:00:00"/>
    <d v="2014-03-21T00:00:00"/>
    <d v="2014-03-25T00:00:00"/>
    <m/>
    <n v="20731"/>
    <m/>
    <m/>
    <m/>
    <s v="대경 견적 동시의뢰"/>
  </r>
  <r>
    <n v="1"/>
    <s v="14FW ELSTINKO_MTM_06_BK"/>
    <n v="1"/>
    <s v="대경14FW ELSTINKO_MTM_06_BK"/>
    <x v="1"/>
    <x v="2"/>
    <n v="1"/>
    <s v="14FW ELSTINKO_MTM_06_BK"/>
    <x v="0"/>
    <s v="대경14FW ELSTINKO_MTM_06_BK"/>
    <x v="5"/>
    <x v="0"/>
    <x v="0"/>
    <x v="0"/>
    <x v="28"/>
    <x v="29"/>
    <m/>
    <n v="37"/>
    <m/>
    <x v="17"/>
    <x v="19"/>
    <x v="0"/>
    <x v="688"/>
    <x v="3"/>
    <n v="1"/>
    <x v="15"/>
    <x v="14"/>
    <d v="2014-03-19T00:00:00"/>
    <d v="2014-03-21T00:00:00"/>
    <d v="2014-03-21T00:00:00"/>
    <n v="17.5"/>
    <n v="19923.75"/>
    <m/>
    <m/>
    <m/>
    <s v="아트견적 동시의뢰"/>
  </r>
  <r>
    <n v="1"/>
    <s v="14FW ELSTINKO_MTM_06_GY"/>
    <n v="1"/>
    <s v="대경14FW ELSTINKO_MTM_06_GY"/>
    <x v="1"/>
    <x v="2"/>
    <n v="1"/>
    <s v="14FW ELSTINKO_MTM_06_GY"/>
    <x v="0"/>
    <s v="대경14FW ELSTINKO_MTM_06_GY"/>
    <x v="5"/>
    <x v="0"/>
    <x v="0"/>
    <x v="0"/>
    <x v="28"/>
    <x v="29"/>
    <m/>
    <n v="38"/>
    <m/>
    <x v="17"/>
    <x v="19"/>
    <x v="0"/>
    <x v="689"/>
    <x v="3"/>
    <n v="1"/>
    <x v="15"/>
    <x v="14"/>
    <d v="2014-03-19T00:00:00"/>
    <d v="2014-03-21T00:00:00"/>
    <d v="2014-03-21T00:00:00"/>
    <n v="17.5"/>
    <n v="19923.75"/>
    <m/>
    <m/>
    <m/>
    <s v="아트견적 동시의뢰"/>
  </r>
  <r>
    <n v="1"/>
    <s v="14FW ELSTINKO_HOOD_05_BK"/>
    <n v="1"/>
    <s v="EVERGREEN14FW ELSTINKO_HOOD_05_BK"/>
    <x v="1"/>
    <x v="7"/>
    <n v="1"/>
    <s v="14FW ELSTINKO_HOOD_05_BK"/>
    <x v="0"/>
    <s v="EVERGREEN14FW ELSTINKO_HOOD_05_BK"/>
    <x v="58"/>
    <x v="0"/>
    <x v="0"/>
    <x v="0"/>
    <x v="28"/>
    <x v="29"/>
    <m/>
    <n v="39"/>
    <m/>
    <x v="17"/>
    <x v="20"/>
    <x v="0"/>
    <x v="690"/>
    <x v="3"/>
    <n v="1"/>
    <x v="17"/>
    <x v="32"/>
    <d v="2014-03-25T00:00:00"/>
    <d v="2014-03-17T00:00:00"/>
    <d v="2014-03-17T00:00:00"/>
    <n v="15.5"/>
    <m/>
    <m/>
    <m/>
    <m/>
    <m/>
  </r>
  <r>
    <n v="1"/>
    <s v="14FW ELSTINKO_HOODZIP_08_BK"/>
    <n v="1"/>
    <s v="아트인드림14FW ELSTINKO_HOODZIP_08_BK"/>
    <x v="1"/>
    <x v="7"/>
    <n v="1"/>
    <s v="14FW ELSTINKO_HOODZIP_08_BK"/>
    <x v="0"/>
    <s v="아트인드림14FW ELSTINKO_HOODZIP_08_BK"/>
    <x v="79"/>
    <x v="0"/>
    <x v="0"/>
    <x v="1"/>
    <x v="28"/>
    <x v="29"/>
    <m/>
    <n v="40"/>
    <m/>
    <x v="17"/>
    <x v="21"/>
    <x v="0"/>
    <x v="691"/>
    <x v="3"/>
    <n v="1"/>
    <x v="16"/>
    <x v="56"/>
    <d v="2014-03-20T00:00:00"/>
    <d v="2014-03-27T00:00:00"/>
    <d v="2014-03-25T00:00:00"/>
    <m/>
    <n v="28654"/>
    <m/>
    <m/>
    <m/>
    <m/>
  </r>
  <r>
    <n v="1"/>
    <s v="14FW ELSTINKO_HOODZIP_09_BK"/>
    <n v="1"/>
    <s v="piafield14FW ELSTINKO_HOODZIP_09_BK"/>
    <x v="1"/>
    <x v="7"/>
    <n v="1"/>
    <s v="14FW ELSTINKO_HOODZIP_09_BK"/>
    <x v="0"/>
    <s v="piafield14FW ELSTINKO_HOODZIP_09_BK"/>
    <x v="9"/>
    <x v="0"/>
    <x v="0"/>
    <x v="0"/>
    <x v="28"/>
    <x v="29"/>
    <m/>
    <n v="41"/>
    <m/>
    <x v="17"/>
    <x v="21"/>
    <x v="0"/>
    <x v="692"/>
    <x v="3"/>
    <n v="1"/>
    <x v="18"/>
    <x v="56"/>
    <d v="2014-03-27T00:00:00"/>
    <d v="2014-03-27T00:00:00"/>
    <d v="2014-03-24T00:00:00"/>
    <m/>
    <n v="23450"/>
    <m/>
    <m/>
    <m/>
    <m/>
  </r>
  <r>
    <n v="1"/>
    <s v="14FW ELSTINKO_ RAGLAN HOOD_07_BK"/>
    <n v="1"/>
    <s v="piafield14FW ELSTINKO_ RAGLAN HOOD_07_BK"/>
    <x v="1"/>
    <x v="7"/>
    <n v="1"/>
    <s v="14FW ELSTINKO_ RAGLAN HOOD_07_BK"/>
    <x v="0"/>
    <s v="piafield14FW ELSTINKO_ RAGLAN HOOD_07_BK"/>
    <x v="9"/>
    <x v="0"/>
    <x v="0"/>
    <x v="0"/>
    <x v="28"/>
    <x v="29"/>
    <m/>
    <n v="42"/>
    <m/>
    <x v="17"/>
    <x v="20"/>
    <x v="0"/>
    <x v="693"/>
    <x v="3"/>
    <n v="1"/>
    <x v="18"/>
    <x v="56"/>
    <d v="2014-03-27T00:00:00"/>
    <d v="2014-03-27T00:00:00"/>
    <d v="2014-03-24T00:00:00"/>
    <m/>
    <n v="16180"/>
    <m/>
    <m/>
    <m/>
    <m/>
  </r>
  <r>
    <n v="1"/>
    <s v="14FW ELSTINKO_MTM_10_BK"/>
    <n v="1"/>
    <s v="piafield14FW ELSTINKO_MTM_10_BK"/>
    <x v="1"/>
    <x v="7"/>
    <n v="1"/>
    <s v="14FW ELSTINKO_MTM_10_BK"/>
    <x v="0"/>
    <s v="piafield14FW ELSTINKO_MTM_10_BK"/>
    <x v="9"/>
    <x v="0"/>
    <x v="0"/>
    <x v="0"/>
    <x v="28"/>
    <x v="29"/>
    <m/>
    <n v="43"/>
    <m/>
    <x v="17"/>
    <x v="19"/>
    <x v="0"/>
    <x v="694"/>
    <x v="3"/>
    <n v="1"/>
    <x v="18"/>
    <x v="56"/>
    <d v="2014-03-27T00:00:00"/>
    <d v="2014-03-27T00:00:00"/>
    <d v="2014-03-24T00:00:00"/>
    <m/>
    <n v="16180"/>
    <m/>
    <m/>
    <m/>
    <m/>
  </r>
  <r>
    <n v="1"/>
    <s v="14FW ELSTINKO_MTM_11_BK"/>
    <n v="1"/>
    <s v="piafield14FW ELSTINKO_MTM_11_BK"/>
    <x v="1"/>
    <x v="7"/>
    <n v="1"/>
    <s v="14FW ELSTINKO_MTM_11_BK"/>
    <x v="0"/>
    <s v="piafield14FW ELSTINKO_MTM_11_BK"/>
    <x v="9"/>
    <x v="0"/>
    <x v="0"/>
    <x v="0"/>
    <x v="28"/>
    <x v="29"/>
    <m/>
    <n v="44"/>
    <m/>
    <x v="17"/>
    <x v="19"/>
    <x v="0"/>
    <x v="695"/>
    <x v="3"/>
    <n v="1"/>
    <x v="18"/>
    <x v="56"/>
    <d v="2014-03-27T00:00:00"/>
    <d v="2014-03-27T00:00:00"/>
    <d v="2014-03-24T00:00:00"/>
    <m/>
    <n v="16180"/>
    <m/>
    <m/>
    <m/>
    <m/>
  </r>
  <r>
    <n v="1"/>
    <s v="14FW H.coustic CAP-08_BK"/>
    <n v="1"/>
    <s v="동일모자14FW H.coustic CAP-08_BK"/>
    <x v="1"/>
    <x v="7"/>
    <n v="1"/>
    <s v="14FW H.coustic CAP-08_BK"/>
    <x v="0"/>
    <s v="동일모자14FW H.coustic CAP-08_BK"/>
    <x v="43"/>
    <x v="3"/>
    <x v="0"/>
    <x v="0"/>
    <x v="27"/>
    <x v="28"/>
    <m/>
    <n v="45"/>
    <m/>
    <x v="18"/>
    <x v="5"/>
    <x v="0"/>
    <x v="696"/>
    <x v="3"/>
    <n v="1"/>
    <x v="1"/>
    <x v="16"/>
    <d v="2014-03-26T00:00:00"/>
    <d v="2014-04-03T00:00:00"/>
    <d v="2014-04-03T00:00:00"/>
    <n v="5.9"/>
    <m/>
    <m/>
    <n v="2"/>
    <n v="1"/>
    <m/>
  </r>
  <r>
    <n v="1"/>
    <s v="14FW H.coustic CAP-09_NV"/>
    <n v="1"/>
    <s v="동일모자14FW H.coustic CAP-09_NV"/>
    <x v="1"/>
    <x v="7"/>
    <n v="1"/>
    <s v="14FW H.coustic CAP-09_NV"/>
    <x v="0"/>
    <s v="동일모자14FW H.coustic CAP-09_NV"/>
    <x v="43"/>
    <x v="3"/>
    <x v="0"/>
    <x v="0"/>
    <x v="27"/>
    <x v="28"/>
    <m/>
    <n v="46"/>
    <m/>
    <x v="18"/>
    <x v="5"/>
    <x v="0"/>
    <x v="697"/>
    <x v="3"/>
    <n v="1"/>
    <x v="1"/>
    <x v="16"/>
    <d v="2014-03-26T00:00:00"/>
    <d v="2014-04-03T00:00:00"/>
    <d v="2014-04-03T00:00:00"/>
    <n v="6.4"/>
    <m/>
    <m/>
    <n v="3"/>
    <n v="2"/>
    <m/>
  </r>
  <r>
    <n v="1"/>
    <s v="14FW H.coustic CAP-10_KH"/>
    <n v="1"/>
    <s v="동일모자14FW H.coustic CAP-10_KH"/>
    <x v="1"/>
    <x v="7"/>
    <n v="1"/>
    <s v="14FW H.coustic CAP-10_KH"/>
    <x v="0"/>
    <s v="동일모자14FW H.coustic CAP-10_KH"/>
    <x v="43"/>
    <x v="3"/>
    <x v="0"/>
    <x v="0"/>
    <x v="27"/>
    <x v="28"/>
    <m/>
    <n v="47"/>
    <m/>
    <x v="18"/>
    <x v="5"/>
    <x v="0"/>
    <x v="698"/>
    <x v="3"/>
    <n v="1"/>
    <x v="1"/>
    <x v="16"/>
    <d v="2014-03-26T00:00:00"/>
    <d v="2014-04-03T00:00:00"/>
    <d v="2014-04-03T00:00:00"/>
    <n v="5.6"/>
    <m/>
    <m/>
    <n v="3"/>
    <n v="2"/>
    <m/>
  </r>
  <r>
    <n v="1"/>
    <s v="14FW H.coustic CAP-11_BK"/>
    <n v="1"/>
    <s v="동일모자14FW H.coustic CAP-11_BK"/>
    <x v="1"/>
    <x v="7"/>
    <n v="1"/>
    <s v="14FW H.coustic CAP-11_BK"/>
    <x v="0"/>
    <s v="동일모자14FW H.coustic CAP-11_BK"/>
    <x v="43"/>
    <x v="3"/>
    <x v="0"/>
    <x v="0"/>
    <x v="27"/>
    <x v="28"/>
    <m/>
    <n v="48"/>
    <m/>
    <x v="18"/>
    <x v="5"/>
    <x v="0"/>
    <x v="699"/>
    <x v="3"/>
    <n v="1"/>
    <x v="1"/>
    <x v="16"/>
    <d v="2014-03-26T00:00:00"/>
    <d v="2014-04-03T00:00:00"/>
    <d v="2014-04-03T00:00:00"/>
    <n v="5.8"/>
    <m/>
    <m/>
    <n v="3"/>
    <n v="2"/>
    <m/>
  </r>
  <r>
    <n v="1"/>
    <s v="14FW H.coustic CAP-12_GY"/>
    <n v="1"/>
    <s v="동일모자14FW H.coustic CAP-12_GY"/>
    <x v="1"/>
    <x v="7"/>
    <n v="1"/>
    <s v="14FW H.coustic CAP-12_GY"/>
    <x v="0"/>
    <s v="동일모자14FW H.coustic CAP-12_GY"/>
    <x v="43"/>
    <x v="3"/>
    <x v="0"/>
    <x v="0"/>
    <x v="27"/>
    <x v="28"/>
    <m/>
    <n v="49"/>
    <m/>
    <x v="18"/>
    <x v="5"/>
    <x v="0"/>
    <x v="700"/>
    <x v="3"/>
    <n v="1"/>
    <x v="1"/>
    <x v="16"/>
    <d v="2014-03-26T00:00:00"/>
    <d v="2014-04-03T00:00:00"/>
    <d v="2014-04-03T00:00:00"/>
    <n v="5.8"/>
    <m/>
    <m/>
    <n v="3"/>
    <n v="2"/>
    <m/>
  </r>
  <r>
    <n v="1"/>
    <s v="14FW H.coustic CAP-13_BK"/>
    <n v="1"/>
    <s v="동일모자14FW H.coustic CAP-13_BK"/>
    <x v="1"/>
    <x v="7"/>
    <n v="1"/>
    <s v="14FW H.coustic CAP-13_BK"/>
    <x v="0"/>
    <s v="동일모자14FW H.coustic CAP-13_BK"/>
    <x v="43"/>
    <x v="3"/>
    <x v="0"/>
    <x v="0"/>
    <x v="27"/>
    <x v="28"/>
    <m/>
    <n v="50"/>
    <m/>
    <x v="18"/>
    <x v="5"/>
    <x v="0"/>
    <x v="701"/>
    <x v="3"/>
    <n v="1"/>
    <x v="1"/>
    <x v="16"/>
    <d v="2014-03-26T00:00:00"/>
    <d v="2014-04-03T00:00:00"/>
    <d v="2014-04-03T00:00:00"/>
    <n v="5.35"/>
    <m/>
    <m/>
    <n v="3"/>
    <n v="2"/>
    <m/>
  </r>
  <r>
    <n v="1"/>
    <s v="14FW_ELSTINKO_DOWN_JUMPER_05_RD_KIDS"/>
    <n v="1"/>
    <s v="대경14FW_ELSTINKO_DOWN_JUMPER_05_RD_KIDS"/>
    <x v="2"/>
    <x v="3"/>
    <n v="1"/>
    <s v="14FW_ELSTINKO_DOWN_JUMPER_05_RD_KIDS"/>
    <x v="0"/>
    <s v="대경14FW_ELSTINKO_DOWN_JUMPER_05_RD_KIDS"/>
    <x v="5"/>
    <x v="0"/>
    <x v="0"/>
    <x v="0"/>
    <x v="28"/>
    <x v="29"/>
    <m/>
    <n v="51"/>
    <m/>
    <x v="17"/>
    <x v="18"/>
    <x v="0"/>
    <x v="702"/>
    <x v="5"/>
    <n v="1"/>
    <x v="15"/>
    <x v="17"/>
    <d v="2014-03-31T00:00:00"/>
    <d v="2014-03-21T00:00:00"/>
    <d v="2014-03-21T00:00:00"/>
    <m/>
    <n v="0"/>
    <m/>
    <m/>
    <m/>
    <m/>
  </r>
  <r>
    <n v="1"/>
    <s v="14FW ELSTINKO_MTM_12_PK_KIDS"/>
    <n v="1"/>
    <s v="대경14FW ELSTINKO_MTM_12_PK_KIDS"/>
    <x v="2"/>
    <x v="4"/>
    <n v="1"/>
    <s v="14FW ELSTINKO_MTM_12_PK_KIDS"/>
    <x v="0"/>
    <s v="대경14FW ELSTINKO_MTM_12_PK_KIDS"/>
    <x v="5"/>
    <x v="0"/>
    <x v="0"/>
    <x v="0"/>
    <x v="28"/>
    <x v="29"/>
    <m/>
    <n v="52"/>
    <m/>
    <x v="17"/>
    <x v="19"/>
    <x v="0"/>
    <x v="703"/>
    <x v="5"/>
    <n v="1"/>
    <x v="15"/>
    <x v="57"/>
    <d v="2014-04-08T00:00:00"/>
    <d v="2014-03-21T00:00:00"/>
    <d v="2014-03-21T00:00:00"/>
    <n v="12.75"/>
    <n v="14515.874999999998"/>
    <m/>
    <m/>
    <m/>
    <m/>
  </r>
  <r>
    <n v="1"/>
    <s v="14FW ELSTINKO_MTM_13_RE_KIDS"/>
    <n v="1"/>
    <s v="EVERGREEN14FW ELSTINKO_MTM_13_RE_KIDS"/>
    <x v="2"/>
    <x v="4"/>
    <n v="1"/>
    <s v="14FW ELSTINKO_MTM_13_RE_KIDS"/>
    <x v="0"/>
    <s v="EVERGREEN14FW ELSTINKO_MTM_13_RE_KIDS"/>
    <x v="5"/>
    <x v="0"/>
    <x v="0"/>
    <x v="0"/>
    <x v="28"/>
    <x v="29"/>
    <m/>
    <n v="53"/>
    <m/>
    <x v="17"/>
    <x v="19"/>
    <x v="0"/>
    <x v="704"/>
    <x v="5"/>
    <n v="1"/>
    <x v="17"/>
    <x v="57"/>
    <d v="2014-04-08T00:00:00"/>
    <d v="2014-03-21T00:00:00"/>
    <d v="2014-03-21T00:00:00"/>
    <n v="12.8"/>
    <m/>
    <m/>
    <m/>
    <m/>
    <s v="대경 동시의뢰&#10;대경것만 들어왔음"/>
  </r>
  <r>
    <n v="1"/>
    <s v="14FW ELSTINKO_MTM_14_NY_KIDS"/>
    <n v="1"/>
    <s v="EVERGREEN14FW ELSTINKO_MTM_14_NY_KIDS"/>
    <x v="2"/>
    <x v="4"/>
    <n v="1"/>
    <s v="14FW ELSTINKO_MTM_14_NY_KIDS"/>
    <x v="0"/>
    <s v="EVERGREEN14FW ELSTINKO_MTM_14_NY_KIDS"/>
    <x v="10"/>
    <x v="0"/>
    <x v="0"/>
    <x v="0"/>
    <x v="28"/>
    <x v="29"/>
    <m/>
    <n v="54"/>
    <m/>
    <x v="17"/>
    <x v="19"/>
    <x v="0"/>
    <x v="705"/>
    <x v="5"/>
    <n v="1"/>
    <x v="17"/>
    <x v="57"/>
    <d v="2014-04-08T00:00:00"/>
    <d v="2014-04-11T00:00:00"/>
    <d v="2014-03-27T00:00:00"/>
    <n v="13"/>
    <m/>
    <m/>
    <m/>
    <m/>
    <s v="아트 동시의뢰"/>
  </r>
  <r>
    <n v="1"/>
    <s v="14FW ELSTINKO_HOOD_15_PK_KIDS"/>
    <n v="1"/>
    <s v="아트인드림14FW ELSTINKO_HOOD_15_PK_KIDS"/>
    <x v="2"/>
    <x v="4"/>
    <n v="1"/>
    <s v="14FW ELSTINKO_HOOD_15_PK_KIDS"/>
    <x v="0"/>
    <s v="아트인드림14FW ELSTINKO_HOOD_15_PK_KIDS"/>
    <x v="9"/>
    <x v="0"/>
    <x v="0"/>
    <x v="1"/>
    <x v="28"/>
    <x v="29"/>
    <m/>
    <n v="55"/>
    <m/>
    <x v="17"/>
    <x v="20"/>
    <x v="0"/>
    <x v="706"/>
    <x v="5"/>
    <n v="1"/>
    <x v="16"/>
    <x v="57"/>
    <d v="2014-04-01T00:00:00"/>
    <d v="2014-04-11T00:00:00"/>
    <d v="2014-03-24T00:00:00"/>
    <m/>
    <n v="20432"/>
    <m/>
    <m/>
    <m/>
    <m/>
  </r>
  <r>
    <n v="1"/>
    <s v="14FW ELSTINKO_PANTS_01_BK"/>
    <n v="1"/>
    <s v="아트인드림14FW ELSTINKO_PANTS_01_BK"/>
    <x v="2"/>
    <x v="4"/>
    <n v="1"/>
    <s v="14FW ELSTINKO_PANTS_01_BK"/>
    <x v="0"/>
    <s v="아트인드림14FW ELSTINKO_PANTS_01_BK"/>
    <x v="9"/>
    <x v="0"/>
    <x v="0"/>
    <x v="1"/>
    <x v="28"/>
    <x v="29"/>
    <m/>
    <n v="56"/>
    <m/>
    <x v="17"/>
    <x v="22"/>
    <x v="0"/>
    <x v="707"/>
    <x v="3"/>
    <n v="1"/>
    <x v="16"/>
    <x v="57"/>
    <d v="2014-04-01T00:00:00"/>
    <d v="2014-04-11T00:00:00"/>
    <d v="2014-03-24T00:00:00"/>
    <m/>
    <n v="23111"/>
    <m/>
    <m/>
    <m/>
    <m/>
  </r>
  <r>
    <n v="1"/>
    <s v="14FW ELSTINKO_PANTS_02_BK"/>
    <n v="1"/>
    <s v="아트인드림14FW ELSTINKO_PANTS_02_BK"/>
    <x v="2"/>
    <x v="4"/>
    <n v="1"/>
    <s v="14FW ELSTINKO_PANTS_02_BK"/>
    <x v="0"/>
    <s v="아트인드림14FW ELSTINKO_PANTS_02_BK"/>
    <x v="9"/>
    <x v="0"/>
    <x v="0"/>
    <x v="1"/>
    <x v="28"/>
    <x v="29"/>
    <m/>
    <n v="57"/>
    <m/>
    <x v="17"/>
    <x v="22"/>
    <x v="0"/>
    <x v="708"/>
    <x v="3"/>
    <n v="1"/>
    <x v="16"/>
    <x v="57"/>
    <d v="2014-04-01T00:00:00"/>
    <d v="2014-04-11T00:00:00"/>
    <d v="2014-03-24T00:00:00"/>
    <m/>
    <n v="23583"/>
    <m/>
    <m/>
    <m/>
    <m/>
  </r>
  <r>
    <n v="1"/>
    <s v="14FW ELSTINKO_PANTS_03_BK"/>
    <n v="1"/>
    <s v="EVERGREEN14FW ELSTINKO_PANTS_03_BK"/>
    <x v="2"/>
    <x v="4"/>
    <n v="1"/>
    <s v="14FW ELSTINKO_PANTS_03_BK"/>
    <x v="0"/>
    <s v="EVERGREEN14FW ELSTINKO_PANTS_03_BK"/>
    <x v="10"/>
    <x v="0"/>
    <x v="0"/>
    <x v="0"/>
    <x v="28"/>
    <x v="29"/>
    <m/>
    <n v="58"/>
    <m/>
    <x v="17"/>
    <x v="22"/>
    <x v="0"/>
    <x v="709"/>
    <x v="5"/>
    <n v="1"/>
    <x v="17"/>
    <x v="57"/>
    <d v="2014-04-08T00:00:00"/>
    <d v="2014-04-11T00:00:00"/>
    <d v="2014-03-27T00:00:00"/>
    <m/>
    <m/>
    <m/>
    <m/>
    <m/>
    <s v="아트인드림&#10;동시의뢰"/>
  </r>
  <r>
    <n v="1"/>
    <s v="14FW ELSTINKO_LEGGINGS_01_RD"/>
    <n v="1"/>
    <s v="아트인드림14FW ELSTINKO_LEGGINGS_01_RD"/>
    <x v="2"/>
    <x v="4"/>
    <n v="1"/>
    <s v="14FW ELSTINKO_LEGGINGS_01_RD"/>
    <x v="0"/>
    <s v="아트인드림14FW ELSTINKO_LEGGINGS_01_RD"/>
    <x v="9"/>
    <x v="0"/>
    <x v="0"/>
    <x v="1"/>
    <x v="28"/>
    <x v="29"/>
    <m/>
    <n v="59"/>
    <m/>
    <x v="17"/>
    <x v="22"/>
    <x v="0"/>
    <x v="710"/>
    <x v="3"/>
    <n v="1"/>
    <x v="16"/>
    <x v="57"/>
    <d v="2014-04-01T00:00:00"/>
    <d v="2014-04-11T00:00:00"/>
    <d v="2014-03-24T00:00:00"/>
    <m/>
    <n v="11535"/>
    <m/>
    <m/>
    <m/>
    <m/>
  </r>
  <r>
    <n v="1"/>
    <s v="14FW_PLAYBOY_HOODZIP _01_BK"/>
    <n v="1"/>
    <s v="EVERGREEN14FW_PLAYBOY_HOODZIP _01_BK"/>
    <x v="2"/>
    <x v="4"/>
    <n v="1"/>
    <s v="14FW_PLAYBOY_HOODZIP _01_BK"/>
    <x v="0"/>
    <s v="EVERGREEN14FW_PLAYBOY_HOODZIP _01_BK"/>
    <x v="10"/>
    <x v="0"/>
    <x v="0"/>
    <x v="0"/>
    <x v="30"/>
    <x v="31"/>
    <m/>
    <n v="60"/>
    <m/>
    <x v="4"/>
    <x v="21"/>
    <x v="0"/>
    <x v="711"/>
    <x v="3"/>
    <n v="1"/>
    <x v="17"/>
    <x v="20"/>
    <d v="2014-04-11T00:00:00"/>
    <d v="2014-04-11T00:00:00"/>
    <d v="2014-03-27T00:00:00"/>
    <m/>
    <m/>
    <m/>
    <m/>
    <m/>
    <s v="피아필드 동시의뢰"/>
  </r>
  <r>
    <n v="1"/>
    <s v="14FW_PLAYBOY_HOOD _01_BK"/>
    <n v="1"/>
    <s v="EVERGREEN14FW_PLAYBOY_HOOD _01_BK"/>
    <x v="2"/>
    <x v="4"/>
    <n v="1"/>
    <s v="14FW_PLAYBOY_HOOD _01_BK"/>
    <x v="0"/>
    <s v="EVERGREEN14FW_PLAYBOY_HOOD _01_BK"/>
    <x v="10"/>
    <x v="0"/>
    <x v="0"/>
    <x v="0"/>
    <x v="30"/>
    <x v="31"/>
    <m/>
    <n v="61"/>
    <m/>
    <x v="4"/>
    <x v="20"/>
    <x v="0"/>
    <x v="712"/>
    <x v="3"/>
    <n v="1"/>
    <x v="17"/>
    <x v="20"/>
    <d v="2014-04-11T00:00:00"/>
    <d v="2014-04-11T00:00:00"/>
    <d v="2014-03-27T00:00:00"/>
    <m/>
    <m/>
    <m/>
    <m/>
    <m/>
    <s v="피아필드 동시의뢰"/>
  </r>
  <r>
    <n v="1"/>
    <s v="14FW_PLAYBOY_HOOD _01_WH"/>
    <n v="1"/>
    <s v="EVERGREEN14FW_PLAYBOY_HOOD _01_WH"/>
    <x v="2"/>
    <x v="4"/>
    <n v="1"/>
    <s v="14FW_PLAYBOY_HOOD _01_WH"/>
    <x v="0"/>
    <s v="EVERGREEN14FW_PLAYBOY_HOOD _01_WH"/>
    <x v="84"/>
    <x v="0"/>
    <x v="1"/>
    <x v="0"/>
    <x v="30"/>
    <x v="31"/>
    <m/>
    <n v="62"/>
    <m/>
    <x v="4"/>
    <x v="20"/>
    <x v="0"/>
    <x v="713"/>
    <x v="3"/>
    <n v="1"/>
    <x v="17"/>
    <x v="20"/>
    <d v="2014-04-11T00:00:00"/>
    <d v="2014-04-11T00:00:00"/>
    <d v="2014-03-02T00:00:00"/>
    <m/>
    <m/>
    <m/>
    <m/>
    <m/>
    <s v="피아필드 동시의뢰"/>
  </r>
  <r>
    <n v="1"/>
    <s v="14SS_PLAYBOY_MTM_01_BK"/>
    <n v="1"/>
    <s v="EVERGREEN14SS_PLAYBOY_MTM_01_BK"/>
    <x v="2"/>
    <x v="4"/>
    <n v="1"/>
    <s v="14SS_PLAYBOY_MTM_01_BK"/>
    <x v="0"/>
    <s v="EVERGREEN14SS_PLAYBOY_MTM_01_BK"/>
    <x v="10"/>
    <x v="0"/>
    <x v="0"/>
    <x v="0"/>
    <x v="30"/>
    <x v="31"/>
    <m/>
    <n v="63"/>
    <m/>
    <x v="4"/>
    <x v="19"/>
    <x v="0"/>
    <x v="714"/>
    <x v="3"/>
    <n v="1"/>
    <x v="17"/>
    <x v="20"/>
    <d v="2014-04-11T00:00:00"/>
    <d v="2014-04-11T00:00:00"/>
    <d v="2014-03-27T00:00:00"/>
    <m/>
    <m/>
    <m/>
    <m/>
    <m/>
    <s v="피아필드 동시의뢰"/>
  </r>
  <r>
    <n v="1"/>
    <s v="14SS_PLAYBOY_MTM_02_WH"/>
    <n v="1"/>
    <s v="piafield14SS_PLAYBOY_MTM_02_WH"/>
    <x v="2"/>
    <x v="4"/>
    <n v="1"/>
    <s v="14SS_PLAYBOY_MTM_02_WH"/>
    <x v="0"/>
    <s v="piafield14SS_PLAYBOY_MTM_02_WH"/>
    <x v="9"/>
    <x v="0"/>
    <x v="0"/>
    <x v="0"/>
    <x v="30"/>
    <x v="31"/>
    <m/>
    <n v="64"/>
    <m/>
    <x v="4"/>
    <x v="19"/>
    <x v="0"/>
    <x v="715"/>
    <x v="3"/>
    <n v="1"/>
    <x v="18"/>
    <x v="20"/>
    <d v="2014-04-11T00:00:00"/>
    <d v="2014-04-11T00:00:00"/>
    <d v="2014-03-24T00:00:00"/>
    <m/>
    <n v="16180"/>
    <m/>
    <m/>
    <m/>
    <m/>
  </r>
  <r>
    <n v="1"/>
    <s v="14FW_PLAYBOY_MTM_03_BK"/>
    <n v="1"/>
    <s v="piafield14FW_PLAYBOY_MTM_03_BK"/>
    <x v="2"/>
    <x v="4"/>
    <n v="1"/>
    <s v="14FW_PLAYBOY_MTM_03_BK"/>
    <x v="0"/>
    <s v="piafield14FW_PLAYBOY_MTM_03_BK"/>
    <x v="20"/>
    <x v="3"/>
    <x v="0"/>
    <x v="0"/>
    <x v="30"/>
    <x v="31"/>
    <m/>
    <n v="65"/>
    <m/>
    <x v="4"/>
    <x v="19"/>
    <x v="0"/>
    <x v="716"/>
    <x v="3"/>
    <n v="1"/>
    <x v="18"/>
    <x v="58"/>
    <d v="2014-04-16T00:00:00"/>
    <d v="2014-04-11T00:00:00"/>
    <d v="2014-04-14T00:00:00"/>
    <m/>
    <n v="16180"/>
    <m/>
    <m/>
    <m/>
    <m/>
  </r>
  <r>
    <n v="1"/>
    <s v="14FW PLAYBOY_MUSTANG_01_BK"/>
    <n v="1"/>
    <s v="유건14FW PLAYBOY_MUSTANG_01_BK"/>
    <x v="2"/>
    <x v="4"/>
    <n v="1"/>
    <s v="14FW PLAYBOY_MUSTANG_01_BK"/>
    <x v="0"/>
    <s v="유건14FW PLAYBOY_MUSTANG_01_BK"/>
    <x v="5"/>
    <x v="0"/>
    <x v="0"/>
    <x v="0"/>
    <x v="30"/>
    <x v="31"/>
    <m/>
    <n v="66"/>
    <m/>
    <x v="4"/>
    <x v="18"/>
    <x v="0"/>
    <x v="717"/>
    <x v="3"/>
    <n v="1"/>
    <x v="19"/>
    <x v="48"/>
    <d v="2014-03-27T00:00:00"/>
    <d v="2014-04-11T00:00:00"/>
    <d v="2014-03-21T00:00:00"/>
    <m/>
    <m/>
    <m/>
    <m/>
    <m/>
    <m/>
  </r>
  <r>
    <n v="1"/>
    <s v="14FW PLAYBOY_MUSTANG_02_BK"/>
    <n v="1"/>
    <s v="유건14FW PLAYBOY_MUSTANG_02_BK"/>
    <x v="2"/>
    <x v="4"/>
    <n v="1"/>
    <s v="14FW PLAYBOY_MUSTANG_02_BK"/>
    <x v="0"/>
    <s v="유건14FW PLAYBOY_MUSTANG_02_BK"/>
    <x v="5"/>
    <x v="0"/>
    <x v="0"/>
    <x v="0"/>
    <x v="30"/>
    <x v="31"/>
    <m/>
    <n v="67"/>
    <m/>
    <x v="4"/>
    <x v="18"/>
    <x v="0"/>
    <x v="718"/>
    <x v="3"/>
    <n v="1"/>
    <x v="19"/>
    <x v="48"/>
    <d v="2014-03-27T00:00:00"/>
    <d v="2014-04-11T00:00:00"/>
    <d v="2014-03-21T00:00:00"/>
    <m/>
    <m/>
    <m/>
    <m/>
    <m/>
    <m/>
  </r>
  <r>
    <n v="1"/>
    <s v="14FW - ELSTINKO - HD16- MI - KIDS"/>
    <n v="1"/>
    <s v="piafield14FW - ELSTINKO - HD16- MI - KIDS"/>
    <x v="2"/>
    <x v="4"/>
    <n v="1"/>
    <s v="14FW - ELSTINKO - HD16- MI - KIDS"/>
    <x v="0"/>
    <s v="piafield14FW - ELSTINKO - HD16- MI - KIDS"/>
    <x v="9"/>
    <x v="0"/>
    <x v="0"/>
    <x v="0"/>
    <x v="28"/>
    <x v="29"/>
    <m/>
    <n v="68"/>
    <m/>
    <x v="17"/>
    <x v="20"/>
    <x v="0"/>
    <x v="719"/>
    <x v="5"/>
    <n v="1"/>
    <x v="18"/>
    <x v="48"/>
    <d v="2014-04-11T00:00:00"/>
    <d v="2014-04-11T00:00:00"/>
    <d v="2014-03-24T00:00:00"/>
    <m/>
    <n v="14360"/>
    <m/>
    <m/>
    <m/>
    <m/>
  </r>
  <r>
    <n v="1"/>
    <s v="14FW - ELSTINKO - HD17- Y6 - KIDS"/>
    <n v="1"/>
    <s v="piafield14FW - ELSTINKO - HD17- Y6 - KIDS"/>
    <x v="2"/>
    <x v="4"/>
    <n v="1"/>
    <s v="14FW - ELSTINKO - HD17- Y6 - KIDS"/>
    <x v="0"/>
    <s v="piafield14FW - ELSTINKO - HD17- Y6 - KIDS"/>
    <x v="9"/>
    <x v="0"/>
    <x v="0"/>
    <x v="0"/>
    <x v="28"/>
    <x v="29"/>
    <m/>
    <n v="69"/>
    <m/>
    <x v="17"/>
    <x v="20"/>
    <x v="0"/>
    <x v="720"/>
    <x v="5"/>
    <n v="1"/>
    <x v="18"/>
    <x v="48"/>
    <d v="2014-04-14T00:00:00"/>
    <d v="2014-04-11T00:00:00"/>
    <d v="2014-03-24T00:00:00"/>
    <m/>
    <n v="14360"/>
    <m/>
    <m/>
    <m/>
    <m/>
  </r>
  <r>
    <n v="1"/>
    <s v="14FW - ELSTINKO - HD18- GR - KIDS"/>
    <n v="1"/>
    <s v="piafield14FW - ELSTINKO - HD18- GR - KIDS"/>
    <x v="2"/>
    <x v="4"/>
    <n v="1"/>
    <s v="14FW - ELSTINKO - HD18- GR - KIDS"/>
    <x v="0"/>
    <s v="piafield14FW - ELSTINKO - HD18- GR - KIDS"/>
    <x v="9"/>
    <x v="0"/>
    <x v="0"/>
    <x v="0"/>
    <x v="28"/>
    <x v="29"/>
    <m/>
    <n v="70"/>
    <m/>
    <x v="17"/>
    <x v="20"/>
    <x v="0"/>
    <x v="721"/>
    <x v="5"/>
    <n v="1"/>
    <x v="18"/>
    <x v="48"/>
    <d v="2014-04-14T00:00:00"/>
    <d v="2014-04-11T00:00:00"/>
    <d v="2014-03-24T00:00:00"/>
    <m/>
    <n v="14360"/>
    <m/>
    <m/>
    <m/>
    <m/>
  </r>
  <r>
    <n v="1"/>
    <s v="14FW - ELSTINKO - HD19- Pi - KIDS"/>
    <n v="1"/>
    <s v="piafield14FW - ELSTINKO - HD19- Pi - KIDS"/>
    <x v="2"/>
    <x v="4"/>
    <n v="1"/>
    <s v="14FW - ELSTINKO - HD19- Pi - KIDS"/>
    <x v="0"/>
    <s v="piafield14FW - ELSTINKO - HD19- Pi - KIDS"/>
    <x v="79"/>
    <x v="0"/>
    <x v="0"/>
    <x v="0"/>
    <x v="28"/>
    <x v="29"/>
    <m/>
    <n v="71"/>
    <m/>
    <x v="17"/>
    <x v="20"/>
    <x v="0"/>
    <x v="722"/>
    <x v="5"/>
    <n v="1"/>
    <x v="18"/>
    <x v="48"/>
    <d v="2014-04-14T00:00:00"/>
    <d v="2014-04-11T00:00:00"/>
    <d v="2014-03-25T00:00:00"/>
    <m/>
    <n v="14360"/>
    <m/>
    <m/>
    <m/>
    <m/>
  </r>
  <r>
    <n v="1"/>
    <s v="14FW - ELSTINKO - HD20- CA - KIDS"/>
    <n v="1"/>
    <s v="piafield14FW - ELSTINKO - HD20- CA - KIDS"/>
    <x v="2"/>
    <x v="4"/>
    <n v="1"/>
    <s v="14FW - ELSTINKO - HD20- CA - KIDS"/>
    <x v="0"/>
    <s v="piafield14FW - ELSTINKO - HD20- CA - KIDS"/>
    <x v="9"/>
    <x v="0"/>
    <x v="0"/>
    <x v="0"/>
    <x v="28"/>
    <x v="29"/>
    <m/>
    <n v="72"/>
    <m/>
    <x v="17"/>
    <x v="20"/>
    <x v="0"/>
    <x v="723"/>
    <x v="5"/>
    <n v="1"/>
    <x v="18"/>
    <x v="48"/>
    <d v="2014-04-14T00:00:00"/>
    <d v="2014-04-11T00:00:00"/>
    <d v="2014-03-24T00:00:00"/>
    <m/>
    <n v="14360"/>
    <m/>
    <m/>
    <m/>
    <m/>
  </r>
  <r>
    <n v="1"/>
    <s v="14FW - ELSTINKO - MTM15- BL - KIDS"/>
    <n v="1"/>
    <s v="piafield14FW - ELSTINKO - MTM15- BL - KIDS"/>
    <x v="2"/>
    <x v="4"/>
    <n v="1"/>
    <s v="14FW - ELSTINKO - MTM15- BL - KIDS"/>
    <x v="0"/>
    <s v="piafield14FW - ELSTINKO - MTM15- BL - KIDS"/>
    <x v="9"/>
    <x v="0"/>
    <x v="0"/>
    <x v="0"/>
    <x v="28"/>
    <x v="29"/>
    <m/>
    <n v="73"/>
    <m/>
    <x v="17"/>
    <x v="19"/>
    <x v="0"/>
    <x v="724"/>
    <x v="5"/>
    <n v="1"/>
    <x v="18"/>
    <x v="48"/>
    <d v="2014-04-14T00:00:00"/>
    <d v="2014-04-11T00:00:00"/>
    <d v="2014-03-24T00:00:00"/>
    <m/>
    <n v="12540"/>
    <m/>
    <m/>
    <m/>
    <m/>
  </r>
  <r>
    <n v="1"/>
    <s v="14FW - ELSTINKO - MTM15- RE - KIDS"/>
    <n v="1"/>
    <s v="piafield14FW - ELSTINKO - MTM15- RE - KIDS"/>
    <x v="2"/>
    <x v="4"/>
    <n v="1"/>
    <s v="14FW - ELSTINKO - MTM15- RE - KIDS"/>
    <x v="0"/>
    <s v="piafield14FW - ELSTINKO - MTM15- RE - KIDS"/>
    <x v="9"/>
    <x v="0"/>
    <x v="0"/>
    <x v="0"/>
    <x v="28"/>
    <x v="29"/>
    <m/>
    <n v="74"/>
    <m/>
    <x v="17"/>
    <x v="19"/>
    <x v="0"/>
    <x v="725"/>
    <x v="5"/>
    <n v="1"/>
    <x v="18"/>
    <x v="48"/>
    <d v="2014-04-14T00:00:00"/>
    <d v="2014-04-11T00:00:00"/>
    <d v="2014-03-24T00:00:00"/>
    <m/>
    <n v="12540"/>
    <m/>
    <m/>
    <m/>
    <m/>
  </r>
  <r>
    <n v="1"/>
    <s v="14FW - ELSTINKO - MTM16- GR - KIDS"/>
    <n v="1"/>
    <s v="piafield14FW - ELSTINKO - MTM16- GR - KIDS"/>
    <x v="2"/>
    <x v="4"/>
    <n v="1"/>
    <s v="14FW - ELSTINKO - MTM16- GR - KIDS"/>
    <x v="0"/>
    <s v="piafield14FW - ELSTINKO - MTM16- GR - KIDS"/>
    <x v="9"/>
    <x v="0"/>
    <x v="0"/>
    <x v="0"/>
    <x v="28"/>
    <x v="29"/>
    <m/>
    <n v="75"/>
    <m/>
    <x v="17"/>
    <x v="19"/>
    <x v="0"/>
    <x v="726"/>
    <x v="5"/>
    <n v="1"/>
    <x v="18"/>
    <x v="48"/>
    <d v="2014-04-14T00:00:00"/>
    <d v="2014-04-11T00:00:00"/>
    <d v="2014-03-24T00:00:00"/>
    <m/>
    <n v="12540"/>
    <m/>
    <m/>
    <m/>
    <m/>
  </r>
  <r>
    <n v="1"/>
    <s v="14FW - ELSTINKO - MTM17- YO - KIDS"/>
    <n v="1"/>
    <s v="piafield14FW - ELSTINKO - MTM17- YO - KIDS"/>
    <x v="2"/>
    <x v="4"/>
    <n v="1"/>
    <s v="14FW - ELSTINKO - MTM17- YO - KIDS"/>
    <x v="0"/>
    <s v="piafield14FW - ELSTINKO - MTM17- YO - KIDS"/>
    <x v="79"/>
    <x v="0"/>
    <x v="0"/>
    <x v="0"/>
    <x v="28"/>
    <x v="29"/>
    <m/>
    <n v="76"/>
    <m/>
    <x v="17"/>
    <x v="19"/>
    <x v="0"/>
    <x v="727"/>
    <x v="5"/>
    <n v="1"/>
    <x v="18"/>
    <x v="48"/>
    <d v="2014-04-14T00:00:00"/>
    <d v="2014-04-11T00:00:00"/>
    <d v="2014-03-25T00:00:00"/>
    <m/>
    <n v="12540"/>
    <m/>
    <m/>
    <m/>
    <m/>
  </r>
  <r>
    <n v="1"/>
    <s v="14FW - ELSTINKO - MTM18- PI - KIDS"/>
    <n v="1"/>
    <s v="piafield14FW - ELSTINKO - MTM18- PI - KIDS"/>
    <x v="2"/>
    <x v="4"/>
    <n v="1"/>
    <s v="14FW - ELSTINKO - MTM18- PI - KIDS"/>
    <x v="0"/>
    <s v="piafield14FW - ELSTINKO - MTM18- PI - KIDS"/>
    <x v="9"/>
    <x v="0"/>
    <x v="0"/>
    <x v="0"/>
    <x v="28"/>
    <x v="29"/>
    <m/>
    <n v="77"/>
    <m/>
    <x v="17"/>
    <x v="19"/>
    <x v="0"/>
    <x v="728"/>
    <x v="5"/>
    <n v="1"/>
    <x v="18"/>
    <x v="48"/>
    <d v="2014-04-14T00:00:00"/>
    <d v="2014-04-11T00:00:00"/>
    <d v="2014-03-24T00:00:00"/>
    <m/>
    <n v="12540"/>
    <m/>
    <m/>
    <m/>
    <m/>
  </r>
  <r>
    <n v="1"/>
    <s v="14FW - ELSTINKO - MTM19- GR - KIDS"/>
    <n v="1"/>
    <s v="piafield14FW - ELSTINKO - MTM19- GR - KIDS"/>
    <x v="2"/>
    <x v="4"/>
    <n v="1"/>
    <s v="14FW - ELSTINKO - MTM19- GR - KIDS"/>
    <x v="0"/>
    <s v="piafield14FW - ELSTINKO - MTM19- GR - KIDS"/>
    <x v="79"/>
    <x v="0"/>
    <x v="0"/>
    <x v="0"/>
    <x v="28"/>
    <x v="29"/>
    <m/>
    <n v="78"/>
    <m/>
    <x v="17"/>
    <x v="19"/>
    <x v="0"/>
    <x v="729"/>
    <x v="5"/>
    <n v="1"/>
    <x v="18"/>
    <x v="48"/>
    <d v="2014-04-14T00:00:00"/>
    <d v="2014-04-11T00:00:00"/>
    <d v="2014-03-25T00:00:00"/>
    <m/>
    <n v="12540"/>
    <m/>
    <m/>
    <m/>
    <m/>
  </r>
  <r>
    <n v="1"/>
    <s v="14FW - ELSTINKO - MTM20- BK - KIDS"/>
    <n v="1"/>
    <s v="piafield14FW - ELSTINKO - MTM20- BK - KIDS"/>
    <x v="2"/>
    <x v="4"/>
    <n v="1"/>
    <s v="14FW - ELSTINKO - MTM20- BK - KIDS"/>
    <x v="0"/>
    <s v="piafield14FW - ELSTINKO - MTM20- BK - KIDS"/>
    <x v="9"/>
    <x v="0"/>
    <x v="0"/>
    <x v="0"/>
    <x v="28"/>
    <x v="29"/>
    <m/>
    <n v="79"/>
    <m/>
    <x v="17"/>
    <x v="19"/>
    <x v="0"/>
    <x v="730"/>
    <x v="5"/>
    <n v="1"/>
    <x v="18"/>
    <x v="48"/>
    <d v="2014-04-14T00:00:00"/>
    <d v="2014-04-11T00:00:00"/>
    <d v="2014-03-24T00:00:00"/>
    <m/>
    <n v="12540"/>
    <m/>
    <m/>
    <m/>
    <m/>
  </r>
  <r>
    <n v="1"/>
    <s v="14FW - ELSTINKO - MTM21-&#10;WH - KIDS"/>
    <n v="1"/>
    <s v="아트인드림14FW - ELSTINKO - MTM21-&#10;WH - KIDS"/>
    <x v="2"/>
    <x v="4"/>
    <n v="0"/>
    <s v=""/>
    <x v="1"/>
    <s v=""/>
    <x v="44"/>
    <x v="3"/>
    <x v="0"/>
    <x v="1"/>
    <x v="28"/>
    <x v="29"/>
    <m/>
    <n v="80"/>
    <m/>
    <x v="17"/>
    <x v="19"/>
    <x v="0"/>
    <x v="731"/>
    <x v="5"/>
    <n v="1"/>
    <x v="16"/>
    <x v="48"/>
    <d v="2014-04-07T00:00:00"/>
    <d v="2014-04-11T00:00:00"/>
    <m/>
    <m/>
    <n v="16090"/>
    <m/>
    <m/>
    <m/>
    <s v="네오플레AIR원단"/>
  </r>
  <r>
    <n v="1"/>
    <s v="14FW - ELSTINKO - MTM21-&#10;OR - KIDS"/>
    <n v="1"/>
    <s v="아트인드림14FW - ELSTINKO - MTM21-&#10;OR - KIDS"/>
    <x v="2"/>
    <x v="4"/>
    <n v="1"/>
    <s v="14FW - ELSTINKO - MTM21-&#10;OR - KIDS"/>
    <x v="0"/>
    <s v="아트인드림14FW - ELSTINKO - MTM21-&#10;OR - KIDS"/>
    <x v="79"/>
    <x v="0"/>
    <x v="0"/>
    <x v="1"/>
    <x v="28"/>
    <x v="29"/>
    <m/>
    <n v="81"/>
    <m/>
    <x v="17"/>
    <x v="19"/>
    <x v="0"/>
    <x v="732"/>
    <x v="5"/>
    <n v="1"/>
    <x v="16"/>
    <x v="48"/>
    <d v="2014-04-07T00:00:00"/>
    <d v="2014-04-11T00:00:00"/>
    <d v="2014-03-25T00:00:00"/>
    <m/>
    <n v="16090"/>
    <m/>
    <m/>
    <m/>
    <s v="네오플레AIR원단"/>
  </r>
  <r>
    <n v="1"/>
    <s v="14FW - ELSTINKO - MTM21-&#10;BL - KIDS"/>
    <n v="1"/>
    <s v="아트인드림14FW - ELSTINKO - MTM21-&#10;BL - KIDS"/>
    <x v="2"/>
    <x v="4"/>
    <n v="0"/>
    <s v=""/>
    <x v="1"/>
    <s v=""/>
    <x v="44"/>
    <x v="3"/>
    <x v="0"/>
    <x v="1"/>
    <x v="28"/>
    <x v="29"/>
    <m/>
    <n v="82"/>
    <m/>
    <x v="17"/>
    <x v="19"/>
    <x v="0"/>
    <x v="733"/>
    <x v="5"/>
    <n v="1"/>
    <x v="16"/>
    <x v="48"/>
    <d v="2014-04-07T00:00:00"/>
    <d v="2014-04-11T00:00:00"/>
    <m/>
    <m/>
    <n v="16090"/>
    <m/>
    <m/>
    <m/>
    <s v="네오플레AIR원단"/>
  </r>
  <r>
    <n v="1"/>
    <s v="14FW - ELSTINKO - MTM22-WH"/>
    <n v="1"/>
    <s v="아트인드림14FW - ELSTINKO - MTM22-WH"/>
    <x v="2"/>
    <x v="4"/>
    <n v="0"/>
    <s v=""/>
    <x v="1"/>
    <s v=""/>
    <x v="4"/>
    <x v="0"/>
    <x v="0"/>
    <x v="1"/>
    <x v="28"/>
    <x v="29"/>
    <m/>
    <n v="83"/>
    <m/>
    <x v="17"/>
    <x v="19"/>
    <x v="0"/>
    <x v="734"/>
    <x v="3"/>
    <n v="1"/>
    <x v="16"/>
    <x v="48"/>
    <d v="2014-04-07T00:00:00"/>
    <d v="2014-03-28T00:00:00"/>
    <m/>
    <m/>
    <n v="22413"/>
    <m/>
    <m/>
    <m/>
    <s v="네오플레AIR원단"/>
  </r>
  <r>
    <n v="1"/>
    <s v="14FW - ELSTINKO - MTM22-OR"/>
    <n v="1"/>
    <s v="아트인드림14FW - ELSTINKO - MTM22-OR"/>
    <x v="2"/>
    <x v="4"/>
    <n v="0"/>
    <s v=""/>
    <x v="1"/>
    <s v=""/>
    <x v="44"/>
    <x v="3"/>
    <x v="0"/>
    <x v="1"/>
    <x v="28"/>
    <x v="29"/>
    <m/>
    <n v="84"/>
    <m/>
    <x v="17"/>
    <x v="19"/>
    <x v="0"/>
    <x v="735"/>
    <x v="3"/>
    <n v="1"/>
    <x v="16"/>
    <x v="48"/>
    <d v="2014-04-07T00:00:00"/>
    <d v="2014-04-11T00:00:00"/>
    <m/>
    <m/>
    <n v="22413"/>
    <m/>
    <m/>
    <m/>
    <s v="네오플레AIR원단"/>
  </r>
  <r>
    <n v="1"/>
    <s v="14FW - ELSTINKO - MTM22-BL"/>
    <n v="1"/>
    <s v="아트인드림14FW - ELSTINKO - MTM22-BL"/>
    <x v="2"/>
    <x v="4"/>
    <n v="0"/>
    <s v=""/>
    <x v="1"/>
    <s v=""/>
    <x v="44"/>
    <x v="3"/>
    <x v="0"/>
    <x v="1"/>
    <x v="28"/>
    <x v="29"/>
    <m/>
    <n v="85"/>
    <m/>
    <x v="17"/>
    <x v="19"/>
    <x v="0"/>
    <x v="736"/>
    <x v="3"/>
    <n v="1"/>
    <x v="16"/>
    <x v="48"/>
    <d v="2014-04-07T00:00:00"/>
    <d v="2014-04-11T00:00:00"/>
    <m/>
    <m/>
    <n v="22413"/>
    <m/>
    <m/>
    <m/>
    <s v="네오플레AIR원단"/>
  </r>
  <r>
    <n v="1"/>
    <s v="14FW - ELSTINKO -MTM23- BK - KIDS"/>
    <n v="1"/>
    <s v="아트인드림14FW - ELSTINKO -MTM23- BK - KIDS"/>
    <x v="2"/>
    <x v="4"/>
    <n v="1"/>
    <s v="14FW - ELSTINKO -MTM23- BK - KIDS"/>
    <x v="0"/>
    <s v="아트인드림14FW - ELSTINKO -MTM23- BK - KIDS"/>
    <x v="79"/>
    <x v="0"/>
    <x v="0"/>
    <x v="1"/>
    <x v="28"/>
    <x v="29"/>
    <m/>
    <n v="86"/>
    <m/>
    <x v="17"/>
    <x v="19"/>
    <x v="0"/>
    <x v="737"/>
    <x v="5"/>
    <n v="1"/>
    <x v="16"/>
    <x v="48"/>
    <d v="2014-04-07T00:00:00"/>
    <d v="2014-04-11T00:00:00"/>
    <d v="2014-03-25T00:00:00"/>
    <m/>
    <n v="15572"/>
    <m/>
    <m/>
    <m/>
    <s v="네오플레AIR원단"/>
  </r>
  <r>
    <n v="1"/>
    <s v="14FW - ELSTINKO -MTM23- BK"/>
    <n v="1"/>
    <s v="아트인드림14FW - ELSTINKO -MTM23- BK"/>
    <x v="2"/>
    <x v="4"/>
    <n v="1"/>
    <s v="14FW - ELSTINKO -MTM23- BK"/>
    <x v="0"/>
    <s v="아트인드림14FW - ELSTINKO -MTM23- BK"/>
    <x v="79"/>
    <x v="0"/>
    <x v="0"/>
    <x v="1"/>
    <x v="28"/>
    <x v="29"/>
    <m/>
    <n v="87"/>
    <m/>
    <x v="17"/>
    <x v="19"/>
    <x v="0"/>
    <x v="738"/>
    <x v="3"/>
    <n v="1"/>
    <x v="16"/>
    <x v="48"/>
    <d v="2014-04-07T00:00:00"/>
    <d v="2014-04-11T00:00:00"/>
    <d v="2014-03-25T00:00:00"/>
    <m/>
    <n v="22103"/>
    <m/>
    <m/>
    <m/>
    <s v="네오플레AIR원단"/>
  </r>
  <r>
    <n v="1"/>
    <s v="14FW - ELSTINKO - MTM25- BK -KIDS"/>
    <n v="1"/>
    <s v="아트인드림14FW - ELSTINKO - MTM25- BK -KIDS"/>
    <x v="2"/>
    <x v="4"/>
    <n v="0"/>
    <s v=""/>
    <x v="1"/>
    <s v=""/>
    <x v="44"/>
    <x v="3"/>
    <x v="0"/>
    <x v="1"/>
    <x v="28"/>
    <x v="29"/>
    <m/>
    <n v="88"/>
    <m/>
    <x v="17"/>
    <x v="19"/>
    <x v="0"/>
    <x v="739"/>
    <x v="5"/>
    <n v="1"/>
    <x v="16"/>
    <x v="48"/>
    <d v="2014-04-07T00:00:00"/>
    <d v="2014-04-11T00:00:00"/>
    <m/>
    <m/>
    <n v="16309"/>
    <m/>
    <m/>
    <m/>
    <s v="네오플레AIR원단"/>
  </r>
  <r>
    <n v="1"/>
    <s v="14FW - ELSTINKO -OP01- BK -KIDS"/>
    <n v="1"/>
    <s v="아트인드림14FW - ELSTINKO -OP01- BK -KIDS"/>
    <x v="2"/>
    <x v="4"/>
    <n v="1"/>
    <s v="14FW - ELSTINKO -OP01- BK -KIDS"/>
    <x v="0"/>
    <s v="아트인드림14FW - ELSTINKO -OP01- BK -KIDS"/>
    <x v="9"/>
    <x v="0"/>
    <x v="0"/>
    <x v="1"/>
    <x v="28"/>
    <x v="29"/>
    <m/>
    <n v="89"/>
    <m/>
    <x v="17"/>
    <x v="23"/>
    <x v="0"/>
    <x v="740"/>
    <x v="5"/>
    <n v="1"/>
    <x v="16"/>
    <x v="48"/>
    <d v="2014-04-07T00:00:00"/>
    <d v="2014-04-11T00:00:00"/>
    <d v="2014-03-24T00:00:00"/>
    <m/>
    <n v="15584"/>
    <m/>
    <m/>
    <m/>
    <s v="네오플레AIR원단"/>
  </r>
  <r>
    <n v="1"/>
    <s v="14FW PLAYBOY_HOOD_02_BK"/>
    <n v="1"/>
    <s v="아트인드림14FW PLAYBOY_HOOD_02_BK"/>
    <x v="2"/>
    <x v="4"/>
    <n v="1"/>
    <s v="14FW PLAYBOY_HOOD_02_BK"/>
    <x v="0"/>
    <s v="아트인드림14FW PLAYBOY_HOOD_02_BK"/>
    <x v="79"/>
    <x v="0"/>
    <x v="0"/>
    <x v="1"/>
    <x v="30"/>
    <x v="31"/>
    <m/>
    <n v="90"/>
    <m/>
    <x v="4"/>
    <x v="20"/>
    <x v="0"/>
    <x v="741"/>
    <x v="3"/>
    <n v="1"/>
    <x v="16"/>
    <x v="22"/>
    <d v="2014-04-08T00:00:00"/>
    <d v="2014-04-11T00:00:00"/>
    <d v="2014-03-25T00:00:00"/>
    <m/>
    <n v="26090"/>
    <s v="1pc"/>
    <m/>
    <m/>
    <m/>
  </r>
  <r>
    <n v="1"/>
    <s v="14FW_PLAYBOY_HOOD _03_BK"/>
    <n v="1"/>
    <s v="EVERGREEN14FW_PLAYBOY_HOOD _03_BK"/>
    <x v="2"/>
    <x v="4"/>
    <n v="1"/>
    <s v="14FW_PLAYBOY_HOOD _03_BK"/>
    <x v="0"/>
    <s v="EVERGREEN14FW_PLAYBOY_HOOD _03_BK"/>
    <x v="14"/>
    <x v="3"/>
    <x v="0"/>
    <x v="0"/>
    <x v="30"/>
    <x v="31"/>
    <m/>
    <n v="91"/>
    <m/>
    <x v="4"/>
    <x v="20"/>
    <x v="0"/>
    <x v="742"/>
    <x v="3"/>
    <n v="1"/>
    <x v="17"/>
    <x v="58"/>
    <d v="2014-04-16T00:00:00"/>
    <d v="2014-04-11T00:00:00"/>
    <d v="2014-04-04T00:00:00"/>
    <m/>
    <m/>
    <m/>
    <m/>
    <m/>
    <m/>
  </r>
  <r>
    <n v="1"/>
    <s v="14FW PLAYBOY_LEGGINGS_01_BK"/>
    <n v="1"/>
    <s v="piafield14FW PLAYBOY_LEGGINGS_01_BK"/>
    <x v="2"/>
    <x v="4"/>
    <n v="1"/>
    <s v="14FW PLAYBOY_LEGGINGS_01_BK"/>
    <x v="0"/>
    <s v="piafield14FW PLAYBOY_LEGGINGS_01_BK"/>
    <x v="20"/>
    <x v="3"/>
    <x v="0"/>
    <x v="0"/>
    <x v="30"/>
    <x v="31"/>
    <m/>
    <n v="92"/>
    <m/>
    <x v="4"/>
    <x v="22"/>
    <x v="0"/>
    <x v="743"/>
    <x v="3"/>
    <n v="1"/>
    <x v="18"/>
    <x v="58"/>
    <d v="2014-04-16T00:00:00"/>
    <d v="2014-04-11T00:00:00"/>
    <d v="2014-04-14T00:00:00"/>
    <m/>
    <n v="7500"/>
    <m/>
    <m/>
    <m/>
    <m/>
  </r>
  <r>
    <n v="1"/>
    <s v="14FW PLAYBOY_LEGGINGS_02_BK"/>
    <n v="1"/>
    <s v="piafield14FW PLAYBOY_LEGGINGS_02_BK"/>
    <x v="2"/>
    <x v="4"/>
    <n v="0"/>
    <s v=""/>
    <x v="1"/>
    <s v=""/>
    <x v="44"/>
    <x v="3"/>
    <x v="0"/>
    <x v="0"/>
    <x v="30"/>
    <x v="31"/>
    <m/>
    <n v="93"/>
    <m/>
    <x v="4"/>
    <x v="22"/>
    <x v="0"/>
    <x v="744"/>
    <x v="3"/>
    <n v="1"/>
    <x v="18"/>
    <x v="58"/>
    <d v="2014-04-16T00:00:00"/>
    <d v="2014-04-11T00:00:00"/>
    <m/>
    <m/>
    <n v="7500"/>
    <m/>
    <m/>
    <m/>
    <s v="3/19 사장님 캔슬"/>
  </r>
  <r>
    <n v="1"/>
    <s v="14FW PLAYBOY_LEGGINGS_03_BK"/>
    <n v="1"/>
    <s v="piafield14FW PLAYBOY_LEGGINGS_03_BK"/>
    <x v="2"/>
    <x v="4"/>
    <n v="1"/>
    <s v="14FW PLAYBOY_LEGGINGS_03_BK"/>
    <x v="0"/>
    <s v="piafield14FW PLAYBOY_LEGGINGS_03_BK"/>
    <x v="20"/>
    <x v="3"/>
    <x v="0"/>
    <x v="0"/>
    <x v="30"/>
    <x v="31"/>
    <m/>
    <n v="94"/>
    <m/>
    <x v="4"/>
    <x v="22"/>
    <x v="0"/>
    <x v="745"/>
    <x v="3"/>
    <n v="1"/>
    <x v="18"/>
    <x v="58"/>
    <d v="2014-04-16T00:00:00"/>
    <d v="2014-04-11T00:00:00"/>
    <d v="2014-04-14T00:00:00"/>
    <m/>
    <n v="7500"/>
    <m/>
    <m/>
    <m/>
    <m/>
  </r>
  <r>
    <n v="1"/>
    <s v="14FW PLAYBOY_LEGGINGS_04_BK"/>
    <n v="1"/>
    <s v="piafield14FW PLAYBOY_LEGGINGS_04_BK"/>
    <x v="2"/>
    <x v="4"/>
    <n v="1"/>
    <s v="14FW PLAYBOY_LEGGINGS_04_BK"/>
    <x v="0"/>
    <s v="piafield14FW PLAYBOY_LEGGINGS_04_BK"/>
    <x v="20"/>
    <x v="3"/>
    <x v="0"/>
    <x v="0"/>
    <x v="30"/>
    <x v="31"/>
    <m/>
    <n v="95"/>
    <m/>
    <x v="4"/>
    <x v="22"/>
    <x v="0"/>
    <x v="746"/>
    <x v="3"/>
    <n v="1"/>
    <x v="18"/>
    <x v="58"/>
    <d v="2014-04-16T00:00:00"/>
    <d v="2014-04-11T00:00:00"/>
    <d v="2014-04-14T00:00:00"/>
    <m/>
    <n v="7000"/>
    <m/>
    <m/>
    <m/>
    <m/>
  </r>
  <r>
    <n v="1"/>
    <s v="14FW_PLAYBOY_MTM_04_NY"/>
    <n v="1"/>
    <s v="대경14FW_PLAYBOY_MTM_04_NY"/>
    <x v="2"/>
    <x v="4"/>
    <n v="1"/>
    <s v="14FW_PLAYBOY_MTM_04_NY"/>
    <x v="0"/>
    <s v="대경14FW_PLAYBOY_MTM_04_NY"/>
    <x v="42"/>
    <x v="3"/>
    <x v="0"/>
    <x v="0"/>
    <x v="30"/>
    <x v="31"/>
    <m/>
    <n v="96"/>
    <m/>
    <x v="4"/>
    <x v="19"/>
    <x v="0"/>
    <x v="747"/>
    <x v="3"/>
    <n v="1"/>
    <x v="15"/>
    <x v="22"/>
    <d v="2014-04-15T00:00:00"/>
    <d v="2014-04-11T00:00:00"/>
    <d v="2014-04-08T00:00:00"/>
    <n v="16.5"/>
    <m/>
    <m/>
    <m/>
    <m/>
    <m/>
  </r>
  <r>
    <n v="1"/>
    <s v="14FW_PLAYBOY_MTM_05_BK"/>
    <n v="1"/>
    <s v="EVERGREEN14FW_PLAYBOY_MTM_05_BK"/>
    <x v="2"/>
    <x v="4"/>
    <n v="1"/>
    <s v="14FW_PLAYBOY_MTM_05_BK"/>
    <x v="0"/>
    <s v="EVERGREEN14FW_PLAYBOY_MTM_05_BK"/>
    <x v="14"/>
    <x v="3"/>
    <x v="0"/>
    <x v="0"/>
    <x v="30"/>
    <x v="31"/>
    <m/>
    <n v="97"/>
    <m/>
    <x v="4"/>
    <x v="19"/>
    <x v="0"/>
    <x v="748"/>
    <x v="3"/>
    <n v="1"/>
    <x v="17"/>
    <x v="58"/>
    <d v="2014-04-16T00:00:00"/>
    <d v="2014-04-11T00:00:00"/>
    <d v="2014-04-04T00:00:00"/>
    <m/>
    <m/>
    <m/>
    <m/>
    <m/>
    <m/>
  </r>
  <r>
    <n v="1"/>
    <s v="14FW_PLAYBOY_MTM_05_GY"/>
    <n v="1"/>
    <s v="EVERGREEN14FW_PLAYBOY_MTM_05_GY"/>
    <x v="2"/>
    <x v="4"/>
    <n v="1"/>
    <s v="14FW_PLAYBOY_MTM_05_GY"/>
    <x v="0"/>
    <s v="EVERGREEN14FW_PLAYBOY_MTM_05_GY"/>
    <x v="14"/>
    <x v="3"/>
    <x v="0"/>
    <x v="0"/>
    <x v="30"/>
    <x v="31"/>
    <m/>
    <n v="98"/>
    <m/>
    <x v="4"/>
    <x v="19"/>
    <x v="0"/>
    <x v="749"/>
    <x v="3"/>
    <n v="1"/>
    <x v="17"/>
    <x v="58"/>
    <d v="2014-04-16T00:00:00"/>
    <d v="2014-04-11T00:00:00"/>
    <d v="2014-04-04T00:00:00"/>
    <m/>
    <m/>
    <m/>
    <m/>
    <m/>
    <m/>
  </r>
  <r>
    <n v="1"/>
    <s v="14FW_PLAYBOY_PANTS _01_BK"/>
    <n v="1"/>
    <s v="아트인드림14FW_PLAYBOY_PANTS _01_BK"/>
    <x v="2"/>
    <x v="4"/>
    <n v="1"/>
    <s v="14FW_PLAYBOY_PANTS _01_BK"/>
    <x v="0"/>
    <s v="아트인드림14FW_PLAYBOY_PANTS _01_BK"/>
    <x v="79"/>
    <x v="0"/>
    <x v="0"/>
    <x v="1"/>
    <x v="30"/>
    <x v="31"/>
    <m/>
    <n v="99"/>
    <m/>
    <x v="4"/>
    <x v="22"/>
    <x v="0"/>
    <x v="750"/>
    <x v="3"/>
    <n v="1"/>
    <x v="16"/>
    <x v="22"/>
    <d v="2014-04-08T00:00:00"/>
    <d v="2014-04-11T00:00:00"/>
    <d v="2014-03-25T00:00:00"/>
    <m/>
    <n v="19179"/>
    <m/>
    <m/>
    <m/>
    <m/>
  </r>
  <r>
    <n v="1"/>
    <s v="14FW_PLAYBOY_PANTS _01_GR"/>
    <n v="1"/>
    <s v="아트인드림14FW_PLAYBOY_PANTS _01_GR"/>
    <x v="2"/>
    <x v="4"/>
    <n v="1"/>
    <s v="14FW_PLAYBOY_PANTS _01_GR"/>
    <x v="0"/>
    <s v="아트인드림14FW_PLAYBOY_PANTS _01_GR"/>
    <x v="79"/>
    <x v="0"/>
    <x v="0"/>
    <x v="1"/>
    <x v="30"/>
    <x v="31"/>
    <m/>
    <n v="100"/>
    <m/>
    <x v="4"/>
    <x v="22"/>
    <x v="0"/>
    <x v="751"/>
    <x v="3"/>
    <n v="1"/>
    <x v="16"/>
    <x v="22"/>
    <d v="2014-04-08T00:00:00"/>
    <d v="2014-04-11T00:00:00"/>
    <d v="2014-03-25T00:00:00"/>
    <m/>
    <n v="19179"/>
    <m/>
    <m/>
    <m/>
    <m/>
  </r>
  <r>
    <n v="1"/>
    <s v="14FW_PLAYBOY_HOODZIP _02_BK"/>
    <n v="1"/>
    <s v="EVERGREEN14FW_PLAYBOY_HOODZIP _02_BK"/>
    <x v="2"/>
    <x v="4"/>
    <n v="1"/>
    <s v="14FW_PLAYBOY_HOODZIP _02_BK"/>
    <x v="0"/>
    <s v="EVERGREEN14FW_PLAYBOY_HOODZIP _02_BK"/>
    <x v="14"/>
    <x v="3"/>
    <x v="0"/>
    <x v="0"/>
    <x v="30"/>
    <x v="31"/>
    <m/>
    <n v="101"/>
    <m/>
    <x v="4"/>
    <x v="21"/>
    <x v="0"/>
    <x v="752"/>
    <x v="3"/>
    <n v="1"/>
    <x v="17"/>
    <x v="58"/>
    <d v="2014-04-16T00:00:00"/>
    <d v="2014-04-11T00:00:00"/>
    <d v="2014-04-04T00:00:00"/>
    <m/>
    <m/>
    <m/>
    <m/>
    <m/>
    <m/>
  </r>
  <r>
    <n v="1"/>
    <s v="14FW_PLAYBOY_HOODZIP _03_BK"/>
    <n v="1"/>
    <s v="대경14FW_PLAYBOY_HOODZIP _03_BK"/>
    <x v="2"/>
    <x v="4"/>
    <n v="1"/>
    <s v="14FW_PLAYBOY_HOODZIP _03_BK"/>
    <x v="0"/>
    <s v="대경14FW_PLAYBOY_HOODZIP _03_BK"/>
    <x v="42"/>
    <x v="3"/>
    <x v="0"/>
    <x v="0"/>
    <x v="30"/>
    <x v="31"/>
    <m/>
    <n v="102"/>
    <m/>
    <x v="4"/>
    <x v="21"/>
    <x v="0"/>
    <x v="753"/>
    <x v="3"/>
    <n v="1"/>
    <x v="15"/>
    <x v="22"/>
    <d v="2014-04-15T00:00:00"/>
    <d v="2014-04-11T00:00:00"/>
    <d v="2014-04-08T00:00:00"/>
    <n v="26.7"/>
    <m/>
    <m/>
    <m/>
    <m/>
    <m/>
  </r>
  <r>
    <n v="1"/>
    <s v="14FW_URBAN SWAGGER_HOOD_02_BK"/>
    <n v="1"/>
    <s v="대경14FW_URBAN SWAGGER_HOOD_02_BK"/>
    <x v="2"/>
    <x v="4"/>
    <n v="1"/>
    <s v="14FW_URBAN SWAGGER_HOOD_02_BK"/>
    <x v="0"/>
    <s v="대경14FW_URBAN SWAGGER_HOOD_02_BK"/>
    <x v="15"/>
    <x v="3"/>
    <x v="0"/>
    <x v="0"/>
    <x v="31"/>
    <x v="32"/>
    <m/>
    <n v="103"/>
    <m/>
    <x v="14"/>
    <x v="20"/>
    <x v="0"/>
    <x v="754"/>
    <x v="3"/>
    <n v="1"/>
    <x v="15"/>
    <x v="22"/>
    <d v="2014-04-15T00:00:00"/>
    <d v="2014-04-11T00:00:00"/>
    <d v="2014-04-07T00:00:00"/>
    <n v="17.3"/>
    <m/>
    <m/>
    <m/>
    <m/>
    <s v="아트인드림 동시의뢰"/>
  </r>
  <r>
    <n v="1"/>
    <s v="14FW_URBAN SWAGGER_HOOD_01_GR"/>
    <n v="1"/>
    <s v="아트인드림14FW_URBAN SWAGGER_HOOD_01_GR"/>
    <x v="2"/>
    <x v="4"/>
    <n v="1"/>
    <s v="14FW_URBAN SWAGGER_HOOD_01_GR"/>
    <x v="0"/>
    <s v="아트인드림14FW_URBAN SWAGGER_HOOD_01_GR"/>
    <x v="79"/>
    <x v="0"/>
    <x v="0"/>
    <x v="1"/>
    <x v="31"/>
    <x v="32"/>
    <m/>
    <n v="104"/>
    <m/>
    <x v="14"/>
    <x v="20"/>
    <x v="0"/>
    <x v="755"/>
    <x v="3"/>
    <n v="1"/>
    <x v="16"/>
    <x v="22"/>
    <d v="2014-04-08T00:00:00"/>
    <d v="2014-04-11T00:00:00"/>
    <d v="2014-03-25T00:00:00"/>
    <m/>
    <n v="34029"/>
    <s v="1pc"/>
    <m/>
    <m/>
    <m/>
  </r>
  <r>
    <n v="1"/>
    <s v="14FW_URBAN SWAGGER_HOOD ZIP_01_BK"/>
    <n v="1"/>
    <s v="대경14FW_URBAN SWAGGER_HOOD ZIP_01_BK"/>
    <x v="2"/>
    <x v="4"/>
    <n v="1"/>
    <s v="14FW_URBAN SWAGGER_HOOD ZIP_01_BK"/>
    <x v="0"/>
    <s v="대경14FW_URBAN SWAGGER_HOOD ZIP_01_BK"/>
    <x v="42"/>
    <x v="3"/>
    <x v="0"/>
    <x v="0"/>
    <x v="31"/>
    <x v="32"/>
    <m/>
    <n v="105"/>
    <m/>
    <x v="14"/>
    <x v="21"/>
    <x v="0"/>
    <x v="756"/>
    <x v="3"/>
    <n v="1"/>
    <x v="15"/>
    <x v="22"/>
    <d v="2014-04-15T00:00:00"/>
    <d v="2014-04-11T00:00:00"/>
    <d v="2014-04-08T00:00:00"/>
    <n v="25.8"/>
    <m/>
    <s v="1pc"/>
    <m/>
    <m/>
    <m/>
  </r>
  <r>
    <n v="1"/>
    <s v="14FW_URBAN SWAGGER_HOODZIP_02_BK"/>
    <n v="1"/>
    <s v="아트인드림14FW_URBAN SWAGGER_HOODZIP_02_BK"/>
    <x v="2"/>
    <x v="4"/>
    <n v="1"/>
    <s v="14FW_URBAN SWAGGER_HOODZIP_02_BK"/>
    <x v="0"/>
    <s v="아트인드림14FW_URBAN SWAGGER_HOODZIP_02_BK"/>
    <x v="79"/>
    <x v="0"/>
    <x v="0"/>
    <x v="1"/>
    <x v="31"/>
    <x v="32"/>
    <m/>
    <n v="106"/>
    <m/>
    <x v="14"/>
    <x v="21"/>
    <x v="0"/>
    <x v="757"/>
    <x v="3"/>
    <n v="1"/>
    <x v="16"/>
    <x v="22"/>
    <d v="2014-04-08T00:00:00"/>
    <d v="2014-04-11T00:00:00"/>
    <d v="2014-03-25T00:00:00"/>
    <m/>
    <n v="35397"/>
    <m/>
    <m/>
    <m/>
    <m/>
  </r>
  <r>
    <n v="1"/>
    <s v="14FW_URBAN SWAGGER_MTM_01_RD"/>
    <n v="1"/>
    <s v="대경14FW_URBAN SWAGGER_MTM_01_RD"/>
    <x v="2"/>
    <x v="4"/>
    <n v="1"/>
    <s v="14FW_URBAN SWAGGER_MTM_01_RD"/>
    <x v="0"/>
    <s v="대경14FW_URBAN SWAGGER_MTM_01_RD"/>
    <x v="42"/>
    <x v="3"/>
    <x v="0"/>
    <x v="0"/>
    <x v="31"/>
    <x v="32"/>
    <m/>
    <n v="107"/>
    <m/>
    <x v="14"/>
    <x v="19"/>
    <x v="0"/>
    <x v="758"/>
    <x v="3"/>
    <n v="1"/>
    <x v="15"/>
    <x v="22"/>
    <d v="2014-04-15T00:00:00"/>
    <d v="2014-04-11T00:00:00"/>
    <d v="2014-04-08T00:00:00"/>
    <n v="15.75"/>
    <m/>
    <s v="1pc"/>
    <m/>
    <m/>
    <m/>
  </r>
  <r>
    <n v="1"/>
    <s v="14FW_URBAN SWAGGER_MTM_02_BK"/>
    <n v="1"/>
    <s v="아트인드림14FW_URBAN SWAGGER_MTM_02_BK"/>
    <x v="2"/>
    <x v="4"/>
    <n v="1"/>
    <s v="14FW_URBAN SWAGGER_MTM_02_BK"/>
    <x v="0"/>
    <s v="아트인드림14FW_URBAN SWAGGER_MTM_02_BK"/>
    <x v="79"/>
    <x v="0"/>
    <x v="0"/>
    <x v="1"/>
    <x v="31"/>
    <x v="32"/>
    <m/>
    <n v="108"/>
    <m/>
    <x v="14"/>
    <x v="19"/>
    <x v="0"/>
    <x v="759"/>
    <x v="3"/>
    <n v="1"/>
    <x v="16"/>
    <x v="22"/>
    <d v="2014-04-08T00:00:00"/>
    <d v="2014-04-11T00:00:00"/>
    <d v="2014-03-25T00:00:00"/>
    <m/>
    <n v="25978"/>
    <m/>
    <m/>
    <m/>
    <m/>
  </r>
  <r>
    <n v="1"/>
    <s v="14FW_URBAN SWAGGER_JUMPER_01_BK"/>
    <n v="1"/>
    <s v="대경14FW_URBAN SWAGGER_JUMPER_01_BK"/>
    <x v="2"/>
    <x v="4"/>
    <n v="1"/>
    <s v="14FW_URBAN SWAGGER_JUMPER_01_BK"/>
    <x v="0"/>
    <s v="대경14FW_URBAN SWAGGER_JUMPER_01_BK"/>
    <x v="42"/>
    <x v="3"/>
    <x v="0"/>
    <x v="0"/>
    <x v="31"/>
    <x v="32"/>
    <m/>
    <n v="109"/>
    <m/>
    <x v="14"/>
    <x v="18"/>
    <x v="0"/>
    <x v="760"/>
    <x v="3"/>
    <n v="1"/>
    <x v="15"/>
    <x v="22"/>
    <d v="2014-04-15T00:00:00"/>
    <d v="2014-04-11T00:00:00"/>
    <d v="2014-04-08T00:00:00"/>
    <n v="32.5"/>
    <m/>
    <m/>
    <m/>
    <m/>
    <m/>
  </r>
  <r>
    <n v="1"/>
    <s v="14FW_URBAN SWAGGER_JUMPER_02_BK"/>
    <n v="1"/>
    <s v="대경14FW_URBAN SWAGGER_JUMPER_02_BK"/>
    <x v="2"/>
    <x v="4"/>
    <n v="1"/>
    <s v="14FW_URBAN SWAGGER_JUMPER_02_BK"/>
    <x v="0"/>
    <s v="대경14FW_URBAN SWAGGER_JUMPER_02_BK"/>
    <x v="42"/>
    <x v="3"/>
    <x v="0"/>
    <x v="0"/>
    <x v="31"/>
    <x v="32"/>
    <m/>
    <n v="110"/>
    <m/>
    <x v="14"/>
    <x v="18"/>
    <x v="0"/>
    <x v="761"/>
    <x v="3"/>
    <n v="1"/>
    <x v="15"/>
    <x v="22"/>
    <d v="2014-04-15T00:00:00"/>
    <d v="2014-04-11T00:00:00"/>
    <d v="2014-04-08T00:00:00"/>
    <n v="39.5"/>
    <m/>
    <m/>
    <m/>
    <m/>
    <m/>
  </r>
  <r>
    <n v="1"/>
    <s v="14FW_PLAYBOY_JUMPER _01_BK"/>
    <n v="1"/>
    <s v="대경14FW_PLAYBOY_JUMPER _01_BK"/>
    <x v="2"/>
    <x v="4"/>
    <n v="1"/>
    <s v="14FW_PLAYBOY_JUMPER _01_BK"/>
    <x v="0"/>
    <s v="대경14FW_PLAYBOY_JUMPER _01_BK"/>
    <x v="42"/>
    <x v="3"/>
    <x v="0"/>
    <x v="0"/>
    <x v="30"/>
    <x v="31"/>
    <m/>
    <n v="111"/>
    <m/>
    <x v="4"/>
    <x v="18"/>
    <x v="0"/>
    <x v="762"/>
    <x v="3"/>
    <n v="1"/>
    <x v="15"/>
    <x v="22"/>
    <d v="2014-04-15T00:00:00"/>
    <d v="2014-04-11T00:00:00"/>
    <d v="2014-04-08T00:00:00"/>
    <n v="44.75"/>
    <m/>
    <m/>
    <m/>
    <m/>
    <m/>
  </r>
  <r>
    <n v="1"/>
    <s v="14FW_PLAYBOY_JUMPER _02_BK"/>
    <n v="1"/>
    <s v="대경14FW_PLAYBOY_JUMPER _02_BK"/>
    <x v="2"/>
    <x v="4"/>
    <n v="1"/>
    <s v="14FW_PLAYBOY_JUMPER _02_BK"/>
    <x v="0"/>
    <s v="대경14FW_PLAYBOY_JUMPER _02_BK"/>
    <x v="42"/>
    <x v="3"/>
    <x v="0"/>
    <x v="0"/>
    <x v="30"/>
    <x v="31"/>
    <m/>
    <n v="112"/>
    <m/>
    <x v="4"/>
    <x v="18"/>
    <x v="0"/>
    <x v="763"/>
    <x v="3"/>
    <n v="1"/>
    <x v="15"/>
    <x v="22"/>
    <d v="2014-04-15T00:00:00"/>
    <d v="2014-04-11T00:00:00"/>
    <d v="2014-04-08T00:00:00"/>
    <n v="58.5"/>
    <m/>
    <m/>
    <m/>
    <m/>
    <m/>
  </r>
  <r>
    <n v="1"/>
    <s v="14FW_PLAYBOY_JUMPER_03_BK"/>
    <n v="1"/>
    <s v="대경14FW_PLAYBOY_JUMPER_03_BK"/>
    <x v="2"/>
    <x v="4"/>
    <n v="1"/>
    <s v="14FW_PLAYBOY_JUMPER_03_BK"/>
    <x v="0"/>
    <s v="대경14FW_PLAYBOY_JUMPER_03_BK"/>
    <x v="42"/>
    <x v="3"/>
    <x v="0"/>
    <x v="0"/>
    <x v="30"/>
    <x v="31"/>
    <m/>
    <n v="113"/>
    <m/>
    <x v="4"/>
    <x v="18"/>
    <x v="0"/>
    <x v="764"/>
    <x v="3"/>
    <n v="1"/>
    <x v="15"/>
    <x v="22"/>
    <d v="2014-04-15T00:00:00"/>
    <d v="2014-04-11T00:00:00"/>
    <d v="2014-04-08T00:00:00"/>
    <n v="33.5"/>
    <m/>
    <m/>
    <m/>
    <m/>
    <m/>
  </r>
  <r>
    <n v="1"/>
    <s v="14FW_ELSTINKO_VEST_RED_01_KIDS"/>
    <n v="1"/>
    <s v="대경14FW_ELSTINKO_VEST_RED_01_KIDS"/>
    <x v="2"/>
    <x v="4"/>
    <n v="1"/>
    <s v="14FW_ELSTINKO_VEST_RED_01_KIDS"/>
    <x v="0"/>
    <s v="대경14FW_ELSTINKO_VEST_RED_01_KIDS"/>
    <x v="42"/>
    <x v="3"/>
    <x v="0"/>
    <x v="0"/>
    <x v="28"/>
    <x v="29"/>
    <m/>
    <n v="114"/>
    <m/>
    <x v="17"/>
    <x v="24"/>
    <x v="0"/>
    <x v="765"/>
    <x v="5"/>
    <n v="1"/>
    <x v="15"/>
    <x v="6"/>
    <d v="2014-04-17T00:00:00"/>
    <d v="2014-04-11T00:00:00"/>
    <d v="2014-04-08T00:00:00"/>
    <n v="21.2"/>
    <m/>
    <s v="참고샘플 1pc"/>
    <m/>
    <m/>
    <m/>
  </r>
  <r>
    <n v="1"/>
    <s v="14FW ELSTINKO_ &#10;ROMPER_01_GRAY_BABY"/>
    <n v="1"/>
    <s v="아트인드림14FW ELSTINKO_ &#10;ROMPER_01_GRAY_BABY"/>
    <x v="2"/>
    <x v="4"/>
    <n v="1"/>
    <s v="14FW ELSTINKO_ &#10;ROMPER_01_GRAY_BABY"/>
    <x v="0"/>
    <s v="아트인드림14FW ELSTINKO_ &#10;ROMPER_01_GRAY_BABY"/>
    <x v="15"/>
    <x v="3"/>
    <x v="0"/>
    <x v="1"/>
    <x v="28"/>
    <x v="29"/>
    <m/>
    <n v="115"/>
    <m/>
    <x v="17"/>
    <x v="10"/>
    <x v="0"/>
    <x v="766"/>
    <x v="5"/>
    <n v="1"/>
    <x v="16"/>
    <x v="59"/>
    <d v="2014-04-11T00:00:00"/>
    <d v="2014-04-11T00:00:00"/>
    <d v="2014-04-07T00:00:00"/>
    <m/>
    <m/>
    <m/>
    <m/>
    <m/>
    <m/>
  </r>
  <r>
    <n v="1"/>
    <s v="14FW_ELSTINKO_&#10;ROMPER_02_STAR_BABY"/>
    <n v="1"/>
    <s v="아트인드림14FW_ELSTINKO_&#10;ROMPER_02_STAR_BABY"/>
    <x v="2"/>
    <x v="4"/>
    <n v="1"/>
    <s v="14FW_ELSTINKO_&#10;ROMPER_02_STAR_BABY"/>
    <x v="0"/>
    <s v="아트인드림14FW_ELSTINKO_&#10;ROMPER_02_STAR_BABY"/>
    <x v="15"/>
    <x v="3"/>
    <x v="0"/>
    <x v="1"/>
    <x v="28"/>
    <x v="29"/>
    <m/>
    <n v="116"/>
    <m/>
    <x v="17"/>
    <x v="10"/>
    <x v="0"/>
    <x v="767"/>
    <x v="5"/>
    <n v="1"/>
    <x v="16"/>
    <x v="59"/>
    <d v="2014-04-11T00:00:00"/>
    <d v="2014-04-11T00:00:00"/>
    <d v="2014-04-07T00:00:00"/>
    <m/>
    <m/>
    <m/>
    <m/>
    <m/>
    <m/>
  </r>
  <r>
    <n v="1"/>
    <s v="14FW_ELSTINKO_&#10;ROMPER_03_DOT_BABY"/>
    <n v="1"/>
    <s v="아트인드림14FW_ELSTINKO_&#10;ROMPER_03_DOT_BABY"/>
    <x v="2"/>
    <x v="4"/>
    <n v="1"/>
    <s v="14FW_ELSTINKO_&#10;ROMPER_03_DOT_BABY"/>
    <x v="0"/>
    <s v="아트인드림14FW_ELSTINKO_&#10;ROMPER_03_DOT_BABY"/>
    <x v="15"/>
    <x v="3"/>
    <x v="0"/>
    <x v="1"/>
    <x v="28"/>
    <x v="29"/>
    <m/>
    <n v="117"/>
    <m/>
    <x v="17"/>
    <x v="10"/>
    <x v="0"/>
    <x v="768"/>
    <x v="5"/>
    <n v="1"/>
    <x v="16"/>
    <x v="59"/>
    <d v="2014-04-11T00:00:00"/>
    <d v="2014-04-11T00:00:00"/>
    <d v="2014-04-07T00:00:00"/>
    <m/>
    <m/>
    <m/>
    <m/>
    <m/>
    <m/>
  </r>
  <r>
    <n v="1"/>
    <s v="14FW_ELSTINKO_&#10;ROMPER_04_ZEBRA_BABY"/>
    <n v="1"/>
    <s v="아트인드림14FW_ELSTINKO_&#10;ROMPER_04_ZEBRA_BABY"/>
    <x v="2"/>
    <x v="4"/>
    <n v="1"/>
    <s v="14FW_ELSTINKO_&#10;ROMPER_04_ZEBRA_BABY"/>
    <x v="0"/>
    <s v="아트인드림14FW_ELSTINKO_&#10;ROMPER_04_ZEBRA_BABY"/>
    <x v="15"/>
    <x v="3"/>
    <x v="0"/>
    <x v="1"/>
    <x v="28"/>
    <x v="29"/>
    <m/>
    <n v="118"/>
    <m/>
    <x v="17"/>
    <x v="10"/>
    <x v="0"/>
    <x v="769"/>
    <x v="5"/>
    <n v="1"/>
    <x v="16"/>
    <x v="59"/>
    <d v="2014-04-11T00:00:00"/>
    <d v="2014-04-11T00:00:00"/>
    <d v="2014-04-07T00:00:00"/>
    <m/>
    <m/>
    <m/>
    <m/>
    <m/>
    <m/>
  </r>
  <r>
    <n v="1"/>
    <s v="14FW_ELSTINKO_ROMPER_05_EBONY_BABY"/>
    <n v="1"/>
    <s v="대경14FW_ELSTINKO_ROMPER_05_EBONY_BABY"/>
    <x v="2"/>
    <x v="4"/>
    <n v="1"/>
    <s v="14FW_ELSTINKO_ROMPER_05_EBONY_BABY"/>
    <x v="0"/>
    <s v="대경14FW_ELSTINKO_ROMPER_05_EBONY_BABY"/>
    <x v="20"/>
    <x v="3"/>
    <x v="0"/>
    <x v="0"/>
    <x v="28"/>
    <x v="29"/>
    <m/>
    <n v="119"/>
    <m/>
    <x v="17"/>
    <x v="10"/>
    <x v="0"/>
    <x v="770"/>
    <x v="5"/>
    <n v="1"/>
    <x v="15"/>
    <x v="59"/>
    <d v="2014-04-18T00:00:00"/>
    <d v="2014-04-21T00:00:00"/>
    <d v="2014-04-14T00:00:00"/>
    <n v="28"/>
    <m/>
    <m/>
    <m/>
    <m/>
    <m/>
  </r>
  <r>
    <n v="1"/>
    <s v="14FW - ELSTINKO - LG02- BK -KIDS"/>
    <n v="1"/>
    <s v="아트인드림14FW - ELSTINKO - LG02- BK -KIDS"/>
    <x v="2"/>
    <x v="4"/>
    <n v="1"/>
    <s v="14FW - ELSTINKO - LG02- BK -KIDS"/>
    <x v="0"/>
    <s v="아트인드림14FW - ELSTINKO - LG02- BK -KIDS"/>
    <x v="15"/>
    <x v="3"/>
    <x v="0"/>
    <x v="1"/>
    <x v="28"/>
    <x v="29"/>
    <m/>
    <n v="120"/>
    <m/>
    <x v="17"/>
    <x v="22"/>
    <x v="0"/>
    <x v="771"/>
    <x v="5"/>
    <n v="1"/>
    <x v="16"/>
    <x v="33"/>
    <d v="2014-04-14T00:00:00"/>
    <d v="2014-04-21T00:00:00"/>
    <d v="2014-04-07T00:00:00"/>
    <m/>
    <m/>
    <m/>
    <m/>
    <m/>
    <s v="시장기모원단"/>
  </r>
  <r>
    <n v="1"/>
    <s v="14FW - ELSTINKO - LG03- MI -KIDS"/>
    <n v="1"/>
    <s v="아트인드림14FW - ELSTINKO - LG03- MI -KIDS"/>
    <x v="2"/>
    <x v="4"/>
    <n v="1"/>
    <s v="14FW - ELSTINKO - LG03- MI -KIDS"/>
    <x v="0"/>
    <s v="아트인드림14FW - ELSTINKO - LG03- MI -KIDS"/>
    <x v="15"/>
    <x v="3"/>
    <x v="0"/>
    <x v="1"/>
    <x v="28"/>
    <x v="29"/>
    <m/>
    <n v="121"/>
    <m/>
    <x v="17"/>
    <x v="22"/>
    <x v="0"/>
    <x v="772"/>
    <x v="5"/>
    <n v="1"/>
    <x v="16"/>
    <x v="33"/>
    <d v="2014-04-14T00:00:00"/>
    <d v="2014-04-21T00:00:00"/>
    <d v="2014-04-07T00:00:00"/>
    <m/>
    <m/>
    <m/>
    <m/>
    <m/>
    <s v="시장기모원단"/>
  </r>
  <r>
    <n v="1"/>
    <s v="14FW - ELSTINKO - HZ04- WH -KIDS"/>
    <n v="1"/>
    <s v="EVERGREEN14FW - ELSTINKO - HZ04- WH -KIDS"/>
    <x v="5"/>
    <x v="4"/>
    <n v="1"/>
    <s v="14FW - ELSTINKO - HZ04- WH -KIDS"/>
    <x v="0"/>
    <s v="EVERGREEN14FW - ELSTINKO - HZ04- WH -KIDS"/>
    <x v="51"/>
    <x v="3"/>
    <x v="0"/>
    <x v="0"/>
    <x v="28"/>
    <x v="29"/>
    <m/>
    <n v="122"/>
    <m/>
    <x v="17"/>
    <x v="21"/>
    <x v="0"/>
    <x v="773"/>
    <x v="5"/>
    <n v="1"/>
    <x v="17"/>
    <x v="60"/>
    <d v="2014-04-29T00:00:00"/>
    <d v="2014-04-21T00:00:00"/>
    <d v="2014-04-10T00:00:00"/>
    <m/>
    <m/>
    <m/>
    <m/>
    <m/>
    <s v="시장덤브링원단"/>
  </r>
  <r>
    <n v="0.5"/>
    <s v="14FW - ELSTINKO - HZ05- P4.N9 -KIDS"/>
    <n v="0.5"/>
    <s v="EVERGREEN14FW - ELSTINKO - HZ05- P4.N9 -KIDS"/>
    <x v="5"/>
    <x v="4"/>
    <n v="0.5"/>
    <s v="14FW - ELSTINKO - HZ05- P4.N9 -KIDS"/>
    <x v="2"/>
    <s v="EVERGREEN14FW - ELSTINKO - HZ05- P4.N9 -KIDS"/>
    <x v="51"/>
    <x v="3"/>
    <x v="0"/>
    <x v="0"/>
    <x v="28"/>
    <x v="29"/>
    <m/>
    <n v="123"/>
    <m/>
    <x v="17"/>
    <x v="21"/>
    <x v="0"/>
    <x v="774"/>
    <x v="5"/>
    <n v="0.5"/>
    <x v="17"/>
    <x v="60"/>
    <d v="2014-04-29T00:00:00"/>
    <d v="2014-04-21T00:00:00"/>
    <d v="2014-04-10T00:00:00"/>
    <m/>
    <m/>
    <m/>
    <m/>
    <m/>
    <s v="시장덤브링원단"/>
  </r>
  <r>
    <n v="0.5"/>
    <s v="14FW - ELSTINKO - HZ05- P4.N9 -KIDS"/>
    <n v="0.5"/>
    <s v="EVERGREEN14FW - ELSTINKO - HZ05- P4.N9 -KIDS"/>
    <x v="5"/>
    <x v="4"/>
    <n v="0.5"/>
    <s v="14FW - ELSTINKO - HZ05- P4.N9 -KIDS"/>
    <x v="2"/>
    <s v="EVERGREEN14FW - ELSTINKO - HZ05- P4.N9 -KIDS"/>
    <x v="51"/>
    <x v="3"/>
    <x v="0"/>
    <x v="0"/>
    <x v="28"/>
    <x v="29"/>
    <m/>
    <n v="124"/>
    <m/>
    <x v="17"/>
    <x v="21"/>
    <x v="0"/>
    <x v="774"/>
    <x v="5"/>
    <n v="0.5"/>
    <x v="17"/>
    <x v="60"/>
    <d v="2014-04-29T00:00:00"/>
    <d v="2014-04-21T00:00:00"/>
    <d v="2014-04-10T00:00:00"/>
    <m/>
    <m/>
    <m/>
    <m/>
    <m/>
    <s v="시장덤브링원단"/>
  </r>
  <r>
    <n v="1"/>
    <s v="14FW_PLAYBOY_&#10;HOODZIP _04_BK"/>
    <n v="1"/>
    <s v="대경14FW_PLAYBOY_&#10;HOODZIP _04_BK"/>
    <x v="5"/>
    <x v="4"/>
    <n v="1"/>
    <s v="14FW_PLAYBOY_&#10;HOODZIP _04_BK"/>
    <x v="0"/>
    <s v="대경14FW_PLAYBOY_&#10;HOODZIP _04_BK"/>
    <x v="20"/>
    <x v="3"/>
    <x v="0"/>
    <x v="0"/>
    <x v="30"/>
    <x v="31"/>
    <m/>
    <n v="125"/>
    <m/>
    <x v="4"/>
    <x v="21"/>
    <x v="0"/>
    <x v="775"/>
    <x v="3"/>
    <n v="1"/>
    <x v="15"/>
    <x v="35"/>
    <d v="2014-05-05T00:00:00"/>
    <d v="2014-04-11T00:00:00"/>
    <d v="2014-04-14T00:00:00"/>
    <n v="21.95"/>
    <m/>
    <m/>
    <m/>
    <m/>
    <s v="기모담보루 승화전사"/>
  </r>
  <r>
    <n v="1"/>
    <s v="14FW_PLAYBOY_&#10;MTM_06_BK"/>
    <n v="1"/>
    <s v="대경14FW_PLAYBOY_&#10;MTM_06_BK"/>
    <x v="5"/>
    <x v="4"/>
    <n v="1"/>
    <s v="14FW_PLAYBOY_&#10;MTM_06_BK"/>
    <x v="0"/>
    <s v="대경14FW_PLAYBOY_&#10;MTM_06_BK"/>
    <x v="20"/>
    <x v="3"/>
    <x v="0"/>
    <x v="0"/>
    <x v="30"/>
    <x v="31"/>
    <m/>
    <n v="126"/>
    <m/>
    <x v="4"/>
    <x v="19"/>
    <x v="0"/>
    <x v="776"/>
    <x v="3"/>
    <n v="1"/>
    <x v="15"/>
    <x v="35"/>
    <d v="2014-05-05T00:00:00"/>
    <d v="2014-04-11T00:00:00"/>
    <d v="2014-04-14T00:00:00"/>
    <n v="14.35"/>
    <m/>
    <m/>
    <m/>
    <m/>
    <s v="전사+FLOCKING 기법"/>
  </r>
  <r>
    <m/>
    <m/>
    <m/>
    <m/>
    <x v="6"/>
    <x v="11"/>
    <m/>
    <m/>
    <x v="3"/>
    <m/>
    <x v="85"/>
    <x v="9"/>
    <x v="7"/>
    <x v="3"/>
    <x v="32"/>
    <x v="9"/>
    <m/>
    <m/>
    <m/>
    <x v="19"/>
    <x v="25"/>
    <x v="1"/>
    <x v="777"/>
    <x v="2"/>
    <m/>
    <x v="20"/>
    <x v="8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1" cacheId="47" applyNumberFormats="0" applyBorderFormats="0" applyFontFormats="0" applyPatternFormats="0" applyAlignmentFormats="0" applyWidthHeightFormats="1" dataCaption="데이터" updatedVersion="3" asteriskTotals="1" showMemberPropertyTips="0" useAutoFormatting="1" itemPrintTitles="1" createdVersion="1" indent="0" compact="0" compactData="0" gridDropZones="1">
  <location ref="AA4:AF169" firstHeaderRow="1" firstDataRow="2" firstDataCol="3" rowPageCount="1" colPageCount="1"/>
  <pivotFields count="38"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54">
        <item m="1" x="40"/>
        <item x="28"/>
        <item x="26"/>
        <item x="25"/>
        <item m="1" x="39"/>
        <item m="1" x="49"/>
        <item m="1" x="36"/>
        <item m="1" x="42"/>
        <item x="30"/>
        <item m="1" x="45"/>
        <item x="6"/>
        <item m="1" x="33"/>
        <item m="1" x="34"/>
        <item m="1" x="37"/>
        <item m="1" x="35"/>
        <item m="1" x="46"/>
        <item x="12"/>
        <item x="32"/>
        <item m="1" x="48"/>
        <item m="1" x="41"/>
        <item m="1" x="52"/>
        <item m="1" x="50"/>
        <item m="1" x="47"/>
        <item m="1" x="43"/>
        <item x="5"/>
        <item x="10"/>
        <item x="24"/>
        <item x="0"/>
        <item x="11"/>
        <item m="1" x="38"/>
        <item x="4"/>
        <item x="19"/>
        <item x="16"/>
        <item x="9"/>
        <item x="23"/>
        <item x="20"/>
        <item m="1" x="51"/>
        <item x="1"/>
        <item x="13"/>
        <item m="1" x="44"/>
        <item x="27"/>
        <item x="18"/>
        <item x="29"/>
        <item x="2"/>
        <item x="3"/>
        <item x="14"/>
        <item x="21"/>
        <item x="7"/>
        <item x="15"/>
        <item x="31"/>
        <item x="8"/>
        <item x="17"/>
        <item x="22"/>
        <item t="default"/>
      </items>
    </pivotField>
    <pivotField compact="0" outline="0" subtotalTop="0" showAll="0" includeNewItemsInFilter="1" defaultSubtotal="0"/>
    <pivotField compact="0" outline="0" subtotalTop="0" multipleItemSelectionAllowed="1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>
      <items count="27">
        <item x="10"/>
        <item x="9"/>
        <item x="17"/>
        <item x="18"/>
        <item x="5"/>
        <item x="4"/>
        <item x="0"/>
        <item x="13"/>
        <item x="1"/>
        <item x="19"/>
        <item m="1" x="23"/>
        <item m="1" x="22"/>
        <item x="8"/>
        <item x="7"/>
        <item x="14"/>
        <item x="16"/>
        <item m="1" x="21"/>
        <item m="1" x="20"/>
        <item m="1" x="25"/>
        <item m="1" x="24"/>
        <item x="12"/>
        <item x="2"/>
        <item x="3"/>
        <item x="11"/>
        <item x="15"/>
        <item x="6"/>
        <item t="default"/>
      </items>
    </pivotField>
    <pivotField axis="axisRow" compact="0" outline="0" subtotalTop="0" showAll="0" includeNewItemsInFilter="1" defaultSubtotal="0">
      <items count="41">
        <item x="1"/>
        <item x="15"/>
        <item x="0"/>
        <item m="1" x="29"/>
        <item x="5"/>
        <item x="9"/>
        <item x="2"/>
        <item x="8"/>
        <item x="21"/>
        <item x="6"/>
        <item x="18"/>
        <item x="20"/>
        <item x="19"/>
        <item x="3"/>
        <item x="25"/>
        <item m="1" x="36"/>
        <item x="7"/>
        <item x="4"/>
        <item m="1" x="39"/>
        <item m="1" x="28"/>
        <item x="14"/>
        <item m="1" x="35"/>
        <item x="22"/>
        <item m="1" x="40"/>
        <item m="1" x="31"/>
        <item m="1" x="34"/>
        <item m="1" x="27"/>
        <item m="1" x="37"/>
        <item m="1" x="32"/>
        <item m="1" x="26"/>
        <item m="1" x="38"/>
        <item x="11"/>
        <item x="12"/>
        <item m="1" x="30"/>
        <item x="17"/>
        <item x="13"/>
        <item m="1" x="33"/>
        <item x="23"/>
        <item x="10"/>
        <item x="24"/>
        <item x="16"/>
      </items>
    </pivotField>
    <pivotField axis="axisPage" compact="0" outline="0" subtotalTop="0" multipleItemSelectionAllowed="1" showAll="0" includeNewItemsInFilter="1" defaultSubtotal="0">
      <items count="4">
        <item m="1" x="3"/>
        <item x="0"/>
        <item h="1" m="1" x="2"/>
        <item h="1" x="1"/>
      </items>
    </pivotField>
    <pivotField compact="0" outline="0" subtotalTop="0" showAll="0" includeNewItemsInFilter="1" defaultSubtotal="0">
      <items count="783">
        <item x="777"/>
        <item m="1" x="778"/>
        <item m="1" x="782"/>
        <item m="1" x="781"/>
        <item m="1" x="780"/>
        <item m="1" x="779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2"/>
        <item x="3"/>
        <item x="4"/>
        <item x="5"/>
        <item x="6"/>
        <item x="7"/>
        <item x="8"/>
        <item x="22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653"/>
        <item x="654"/>
        <item x="655"/>
        <item x="656"/>
        <item x="657"/>
        <item x="658"/>
        <item x="659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660"/>
        <item x="661"/>
        <item x="662"/>
        <item x="663"/>
        <item x="664"/>
        <item x="665"/>
        <item x="666"/>
        <item x="667"/>
        <item x="668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379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195"/>
        <item x="196"/>
        <item x="197"/>
        <item x="198"/>
        <item x="199"/>
        <item x="200"/>
        <item x="201"/>
        <item x="380"/>
        <item x="381"/>
        <item x="382"/>
        <item x="383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384"/>
        <item x="385"/>
        <item x="386"/>
        <item x="387"/>
        <item x="388"/>
        <item x="389"/>
        <item x="3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391"/>
        <item x="392"/>
        <item x="393"/>
        <item x="394"/>
        <item x="395"/>
        <item x="396"/>
        <item x="703"/>
        <item x="704"/>
        <item x="705"/>
        <item x="706"/>
        <item x="707"/>
        <item x="708"/>
        <item x="709"/>
        <item x="710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397"/>
        <item x="398"/>
        <item x="399"/>
        <item x="400"/>
        <item x="614"/>
        <item x="615"/>
        <item x="616"/>
        <item x="617"/>
        <item x="618"/>
        <item x="619"/>
        <item x="620"/>
        <item x="621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91"/>
        <item x="92"/>
        <item x="93"/>
        <item x="297"/>
        <item x="298"/>
        <item x="299"/>
        <item x="300"/>
        <item x="301"/>
        <item x="302"/>
        <item x="303"/>
        <item x="304"/>
        <item x="305"/>
        <item x="401"/>
        <item x="402"/>
        <item x="765"/>
        <item x="766"/>
        <item x="767"/>
        <item x="768"/>
        <item x="769"/>
        <item x="770"/>
        <item x="771"/>
        <item x="772"/>
        <item x="773"/>
        <item x="774"/>
        <item x="94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119"/>
        <item x="418"/>
        <item x="419"/>
        <item x="420"/>
        <item x="421"/>
        <item x="422"/>
        <item x="423"/>
        <item x="775"/>
        <item x="776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424"/>
        <item x="425"/>
        <item x="426"/>
        <item x="427"/>
        <item x="428"/>
        <item x="429"/>
        <item x="430"/>
        <item x="431"/>
        <item x="432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0"/>
        <item x="1"/>
        <item x="131"/>
        <item x="132"/>
        <item x="133"/>
        <item x="134"/>
        <item x="135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</items>
    </pivotField>
    <pivotField axis="axisRow" compact="0" outline="0" subtotalTop="0" showAll="0" includeNewItemsInFilter="1">
      <items count="8">
        <item x="3"/>
        <item x="5"/>
        <item x="6"/>
        <item h="1" x="2"/>
        <item x="4"/>
        <item x="0"/>
        <item x="1"/>
        <item t="default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 count="3">
    <field x="23"/>
    <field x="14"/>
    <field x="20"/>
  </rowFields>
  <rowItems count="164">
    <i>
      <x/>
      <x v="1"/>
      <x v="8"/>
    </i>
    <i r="2">
      <x v="10"/>
    </i>
    <i r="2">
      <x v="11"/>
    </i>
    <i r="2">
      <x v="12"/>
    </i>
    <i r="2">
      <x v="22"/>
    </i>
    <i t="default" r="1">
      <x v="1"/>
    </i>
    <i r="1">
      <x v="2"/>
      <x v="1"/>
    </i>
    <i r="2">
      <x v="34"/>
    </i>
    <i t="default" r="1">
      <x v="2"/>
    </i>
    <i r="1">
      <x v="3"/>
      <x v="16"/>
    </i>
    <i t="default" r="1">
      <x v="3"/>
    </i>
    <i r="1">
      <x v="8"/>
      <x v="8"/>
    </i>
    <i r="2">
      <x v="10"/>
    </i>
    <i r="2">
      <x v="11"/>
    </i>
    <i r="2">
      <x v="12"/>
    </i>
    <i r="2">
      <x v="22"/>
    </i>
    <i t="default" r="1">
      <x v="8"/>
    </i>
    <i r="1">
      <x v="10"/>
      <x v="16"/>
    </i>
    <i r="2">
      <x v="31"/>
    </i>
    <i t="default" r="1">
      <x v="10"/>
    </i>
    <i r="1">
      <x v="16"/>
      <x v="32"/>
    </i>
    <i t="default" r="1">
      <x v="16"/>
    </i>
    <i r="1">
      <x v="24"/>
      <x/>
    </i>
    <i r="2">
      <x v="4"/>
    </i>
    <i r="2">
      <x v="6"/>
    </i>
    <i r="2">
      <x v="7"/>
    </i>
    <i r="2">
      <x v="9"/>
    </i>
    <i r="2">
      <x v="13"/>
    </i>
    <i r="2">
      <x v="17"/>
    </i>
    <i t="default" r="1">
      <x v="24"/>
    </i>
    <i r="1">
      <x v="25"/>
      <x v="5"/>
    </i>
    <i r="2">
      <x v="17"/>
    </i>
    <i t="default" r="1">
      <x v="25"/>
    </i>
    <i r="1">
      <x v="26"/>
      <x v="2"/>
    </i>
    <i r="2">
      <x v="5"/>
    </i>
    <i r="2">
      <x v="6"/>
    </i>
    <i r="2">
      <x v="13"/>
    </i>
    <i r="2">
      <x v="17"/>
    </i>
    <i r="2">
      <x v="40"/>
    </i>
    <i t="default" r="1">
      <x v="26"/>
    </i>
    <i r="1">
      <x v="28"/>
      <x/>
    </i>
    <i r="2">
      <x v="4"/>
    </i>
    <i r="2">
      <x v="6"/>
    </i>
    <i t="default" r="1">
      <x v="28"/>
    </i>
    <i r="1">
      <x v="30"/>
      <x v="2"/>
    </i>
    <i t="default" r="1">
      <x v="30"/>
    </i>
    <i r="1">
      <x v="31"/>
      <x/>
    </i>
    <i r="2">
      <x v="13"/>
    </i>
    <i t="default" r="1">
      <x v="31"/>
    </i>
    <i r="1">
      <x v="33"/>
      <x/>
    </i>
    <i r="2">
      <x v="2"/>
    </i>
    <i r="2">
      <x v="4"/>
    </i>
    <i r="2">
      <x v="6"/>
    </i>
    <i t="default" r="1">
      <x v="33"/>
    </i>
    <i r="1">
      <x v="34"/>
      <x v="2"/>
    </i>
    <i t="default" r="1">
      <x v="34"/>
    </i>
    <i r="1">
      <x v="35"/>
      <x v="2"/>
    </i>
    <i r="2">
      <x v="13"/>
    </i>
    <i r="2">
      <x v="17"/>
    </i>
    <i r="2">
      <x v="40"/>
    </i>
    <i t="default" r="1">
      <x v="35"/>
    </i>
    <i r="1">
      <x v="38"/>
      <x/>
    </i>
    <i r="2">
      <x v="5"/>
    </i>
    <i r="2">
      <x v="13"/>
    </i>
    <i t="default" r="1">
      <x v="38"/>
    </i>
    <i r="1">
      <x v="40"/>
      <x v="4"/>
    </i>
    <i t="default" r="1">
      <x v="40"/>
    </i>
    <i r="1">
      <x v="41"/>
      <x v="2"/>
    </i>
    <i t="default" r="1">
      <x v="41"/>
    </i>
    <i r="1">
      <x v="42"/>
      <x v="10"/>
    </i>
    <i r="2">
      <x v="12"/>
    </i>
    <i t="default" r="1">
      <x v="42"/>
    </i>
    <i r="1">
      <x v="46"/>
      <x v="2"/>
    </i>
    <i r="2">
      <x v="40"/>
    </i>
    <i t="default" r="1">
      <x v="46"/>
    </i>
    <i r="1">
      <x v="47"/>
      <x v="2"/>
    </i>
    <i r="2">
      <x v="6"/>
    </i>
    <i t="default" r="1">
      <x v="47"/>
    </i>
    <i r="1">
      <x v="48"/>
      <x v="32"/>
    </i>
    <i t="default" r="1">
      <x v="48"/>
    </i>
    <i r="1">
      <x v="49"/>
      <x v="8"/>
    </i>
    <i r="2">
      <x v="10"/>
    </i>
    <i r="2">
      <x v="11"/>
    </i>
    <i r="2">
      <x v="12"/>
    </i>
    <i t="default" r="1">
      <x v="49"/>
    </i>
    <i r="1">
      <x v="50"/>
      <x v="38"/>
    </i>
    <i t="default" r="1">
      <x v="50"/>
    </i>
    <i r="1">
      <x v="51"/>
      <x v="1"/>
    </i>
    <i t="default" r="1">
      <x v="51"/>
    </i>
    <i r="1">
      <x v="52"/>
      <x v="1"/>
    </i>
    <i t="default" r="1">
      <x v="52"/>
    </i>
    <i t="default">
      <x/>
    </i>
    <i>
      <x v="1"/>
      <x v="1"/>
      <x v="8"/>
    </i>
    <i r="2">
      <x v="10"/>
    </i>
    <i r="2">
      <x v="11"/>
    </i>
    <i r="2">
      <x v="12"/>
    </i>
    <i r="2">
      <x v="22"/>
    </i>
    <i r="2">
      <x v="37"/>
    </i>
    <i r="2">
      <x v="38"/>
    </i>
    <i r="2">
      <x v="39"/>
    </i>
    <i t="default" r="1">
      <x v="1"/>
    </i>
    <i r="1">
      <x v="2"/>
      <x v="1"/>
    </i>
    <i t="default" r="1">
      <x v="2"/>
    </i>
    <i r="1">
      <x v="3"/>
      <x v="16"/>
    </i>
    <i t="default" r="1">
      <x v="3"/>
    </i>
    <i r="1">
      <x v="16"/>
      <x v="20"/>
    </i>
    <i r="2">
      <x v="32"/>
    </i>
    <i t="default" r="1">
      <x v="16"/>
    </i>
    <i r="1">
      <x v="25"/>
      <x/>
    </i>
    <i r="2">
      <x v="5"/>
    </i>
    <i r="2">
      <x v="13"/>
    </i>
    <i r="2">
      <x v="17"/>
    </i>
    <i t="default" r="1">
      <x v="25"/>
    </i>
    <i r="1">
      <x v="26"/>
      <x/>
    </i>
    <i r="2">
      <x v="6"/>
    </i>
    <i r="2">
      <x v="13"/>
    </i>
    <i r="2">
      <x v="17"/>
    </i>
    <i t="default" r="1">
      <x v="26"/>
    </i>
    <i r="1">
      <x v="32"/>
      <x v="1"/>
    </i>
    <i t="default" r="1">
      <x v="32"/>
    </i>
    <i r="1">
      <x v="45"/>
      <x/>
    </i>
    <i r="2">
      <x v="6"/>
    </i>
    <i r="2">
      <x v="17"/>
    </i>
    <i r="2">
      <x v="35"/>
    </i>
    <i t="default" r="1">
      <x v="45"/>
    </i>
    <i r="1">
      <x v="51"/>
      <x v="1"/>
    </i>
    <i t="default" r="1">
      <x v="51"/>
    </i>
    <i t="default">
      <x v="1"/>
    </i>
    <i>
      <x v="2"/>
      <x v="2"/>
      <x v="1"/>
    </i>
    <i t="default" r="1">
      <x v="2"/>
    </i>
    <i t="default">
      <x v="2"/>
    </i>
    <i>
      <x v="4"/>
      <x v="10"/>
      <x v="31"/>
    </i>
    <i t="default" r="1">
      <x v="10"/>
    </i>
    <i r="1">
      <x v="24"/>
      <x v="5"/>
    </i>
    <i r="2">
      <x v="6"/>
    </i>
    <i r="2">
      <x v="9"/>
    </i>
    <i r="2">
      <x v="17"/>
    </i>
    <i t="default" r="1">
      <x v="24"/>
    </i>
    <i r="1">
      <x v="47"/>
      <x v="6"/>
    </i>
    <i r="2">
      <x v="13"/>
    </i>
    <i t="default" r="1">
      <x v="47"/>
    </i>
    <i r="1">
      <x v="50"/>
      <x v="38"/>
    </i>
    <i t="default" r="1">
      <x v="50"/>
    </i>
    <i t="default">
      <x v="4"/>
    </i>
    <i>
      <x v="5"/>
      <x v="27"/>
      <x/>
    </i>
    <i r="2">
      <x v="2"/>
    </i>
    <i r="2">
      <x v="6"/>
    </i>
    <i r="2">
      <x v="17"/>
    </i>
    <i t="default" r="1">
      <x v="27"/>
    </i>
    <i r="1">
      <x v="37"/>
      <x/>
    </i>
    <i r="2">
      <x v="6"/>
    </i>
    <i r="2">
      <x v="13"/>
    </i>
    <i t="default" r="1">
      <x v="37"/>
    </i>
    <i r="1">
      <x v="43"/>
      <x v="2"/>
    </i>
    <i t="default" r="1">
      <x v="43"/>
    </i>
    <i r="1">
      <x v="44"/>
      <x v="2"/>
    </i>
    <i t="default" r="1">
      <x v="44"/>
    </i>
    <i t="default">
      <x v="5"/>
    </i>
    <i>
      <x v="6"/>
      <x v="27"/>
      <x v="2"/>
    </i>
    <i r="2">
      <x v="6"/>
    </i>
    <i r="2">
      <x v="17"/>
    </i>
    <i t="default" r="1">
      <x v="27"/>
    </i>
    <i t="default"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1" hier="-1"/>
  </pageFields>
  <dataFields count="3">
    <dataField name=" 실발주샘플수" fld="0" baseField="0" baseItem="0"/>
    <dataField name=" 실입고샘플수" fld="6" baseField="0" baseItem="0" numFmtId="3"/>
    <dataField name=" 미입고샘플수" fld="36" baseField="0" baseItem="0" numFmtId="3"/>
  </dataFields>
  <formats count="45">
    <format dxfId="860">
      <pivotArea field="19" type="button" dataOnly="0" labelOnly="1" outline="0"/>
    </format>
    <format dxfId="859">
      <pivotArea field="22" type="button" dataOnly="0" labelOnly="1" outline="0"/>
    </format>
    <format dxfId="858">
      <pivotArea dataOnly="0" labelOnly="1" grandCol="1" outline="0" fieldPosition="0"/>
    </format>
    <format dxfId="857">
      <pivotArea field="22" type="button" dataOnly="0" labelOnly="1" outline="0"/>
    </format>
    <format dxfId="856">
      <pivotArea dataOnly="0" labelOnly="1" grandCol="1" outline="0" fieldPosition="0"/>
    </format>
    <format dxfId="855">
      <pivotArea field="22" type="button" dataOnly="0" labelOnly="1" outline="0"/>
    </format>
    <format dxfId="854">
      <pivotArea type="origin" dataOnly="0" labelOnly="1" outline="0" offset="A2" fieldPosition="0"/>
    </format>
    <format dxfId="853">
      <pivotArea outline="0" fieldPosition="0">
        <references count="1">
          <reference field="4294967294" count="1">
            <x v="1"/>
          </reference>
        </references>
      </pivotArea>
    </format>
    <format dxfId="852">
      <pivotArea field="19" type="button" dataOnly="0" labelOnly="1" outline="0"/>
    </format>
    <format dxfId="85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50">
      <pivotArea field="19" type="button" dataOnly="0" labelOnly="1" outline="0"/>
    </format>
    <format dxfId="84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48">
      <pivotArea type="all" dataOnly="0" outline="0" fieldPosition="0"/>
    </format>
    <format dxfId="847">
      <pivotArea field="19" type="button" dataOnly="0" labelOnly="1" outline="0"/>
    </format>
    <format dxfId="846">
      <pivotArea dataOnly="0" grandRow="1" outline="0" fieldPosition="0"/>
    </format>
    <format dxfId="845">
      <pivotArea dataOnly="0" grandRow="1" outline="0" fieldPosition="0"/>
    </format>
    <format dxfId="844">
      <pivotArea field="14" type="button" dataOnly="0" labelOnly="1" outline="0" axis="axisRow" fieldPosition="1"/>
    </format>
    <format dxfId="843">
      <pivotArea field="20" type="button" dataOnly="0" labelOnly="1" outline="0" axis="axisRow" fieldPosition="2"/>
    </format>
    <format dxfId="84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41">
      <pivotArea dataOnly="0" outline="0" fieldPosition="0">
        <references count="1">
          <reference field="14" count="0" defaultSubtotal="1"/>
        </references>
      </pivotArea>
    </format>
    <format dxfId="840">
      <pivotArea type="all" dataOnly="0" outline="0" fieldPosition="0"/>
    </format>
    <format dxfId="839">
      <pivotArea outline="0" fieldPosition="0">
        <references count="1">
          <reference field="4294967294" count="1">
            <x v="2"/>
          </reference>
        </references>
      </pivotArea>
    </format>
    <format dxfId="838">
      <pivotArea field="14" type="button" dataOnly="0" labelOnly="1" outline="0" axis="axisRow" fieldPosition="1"/>
    </format>
    <format dxfId="837">
      <pivotArea field="20" type="button" dataOnly="0" labelOnly="1" outline="0" axis="axisRow" fieldPosition="2"/>
    </format>
    <format dxfId="83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35">
      <pivotArea outline="0" fieldPosition="0">
        <references count="3">
          <reference field="4294967294" count="1" selected="0">
            <x v="2"/>
          </reference>
          <reference field="14" count="1" selected="0">
            <x v="4"/>
          </reference>
          <reference field="20" count="4" selected="0">
            <x v="0"/>
            <x v="2"/>
            <x v="6"/>
            <x v="17"/>
          </reference>
        </references>
      </pivotArea>
    </format>
    <format dxfId="834">
      <pivotArea outline="0" fieldPosition="0">
        <references count="3">
          <reference field="4294967294" count="1" selected="0">
            <x v="2"/>
          </reference>
          <reference field="14" count="1" selected="0">
            <x v="4"/>
          </reference>
          <reference field="20" count="4" selected="0">
            <x v="0"/>
            <x v="2"/>
            <x v="6"/>
            <x v="17"/>
          </reference>
        </references>
      </pivotArea>
    </format>
    <format dxfId="833">
      <pivotArea outline="0" fieldPosition="0">
        <references count="3">
          <reference field="4294967294" count="1" selected="0">
            <x v="2"/>
          </reference>
          <reference field="14" count="1" selected="0">
            <x v="1"/>
          </reference>
          <reference field="20" count="7" selected="0">
            <x v="8"/>
            <x v="10"/>
            <x v="11"/>
            <x v="12"/>
            <x v="21"/>
            <x v="22"/>
            <x v="24"/>
          </reference>
        </references>
      </pivotArea>
    </format>
    <format dxfId="832">
      <pivotArea outline="0" fieldPosition="0">
        <references count="3">
          <reference field="4294967294" count="1" selected="0">
            <x v="2"/>
          </reference>
          <reference field="14" count="1" selected="0">
            <x v="5"/>
          </reference>
          <reference field="20" count="4" selected="0">
            <x v="0"/>
            <x v="4"/>
            <x v="6"/>
            <x v="13"/>
          </reference>
        </references>
      </pivotArea>
    </format>
    <format dxfId="831">
      <pivotArea outline="0" fieldPosition="0">
        <references count="3">
          <reference field="4294967294" count="1" selected="0">
            <x v="2"/>
          </reference>
          <reference field="14" count="1" selected="0">
            <x v="6"/>
          </reference>
          <reference field="20" count="1" selected="0">
            <x v="0"/>
          </reference>
        </references>
      </pivotArea>
    </format>
    <format dxfId="830">
      <pivotArea outline="0" fieldPosition="0">
        <references count="3">
          <reference field="4294967294" count="1" selected="0">
            <x v="2"/>
          </reference>
          <reference field="14" count="1" selected="0">
            <x v="9"/>
          </reference>
          <reference field="20" count="9" selected="0">
            <x v="0"/>
            <x v="4"/>
            <x v="6"/>
            <x v="7"/>
            <x v="9"/>
            <x v="13"/>
            <x v="15"/>
            <x v="17"/>
            <x v="18"/>
          </reference>
        </references>
      </pivotArea>
    </format>
    <format dxfId="829">
      <pivotArea outline="0" fieldPosition="0">
        <references count="3">
          <reference field="4294967294" count="1" selected="0">
            <x v="2"/>
          </reference>
          <reference field="14" count="1" selected="0">
            <x v="10"/>
          </reference>
          <reference field="20" count="2" selected="0">
            <x v="16"/>
            <x v="20"/>
          </reference>
        </references>
      </pivotArea>
    </format>
    <format dxfId="828">
      <pivotArea outline="0" fieldPosition="0">
        <references count="3">
          <reference field="4294967294" count="1" selected="0">
            <x v="2"/>
          </reference>
          <reference field="14" count="1" selected="0">
            <x v="14"/>
          </reference>
          <reference field="20" count="5" selected="0">
            <x v="0"/>
            <x v="4"/>
            <x v="6"/>
            <x v="9"/>
            <x v="13"/>
          </reference>
        </references>
      </pivotArea>
    </format>
    <format dxfId="827">
      <pivotArea outline="0" fieldPosition="0">
        <references count="3">
          <reference field="4294967294" count="1" selected="0">
            <x v="2"/>
          </reference>
          <reference field="14" count="1" selected="0">
            <x v="15"/>
          </reference>
          <reference field="20" count="3" selected="0">
            <x v="6"/>
            <x v="15"/>
            <x v="17"/>
          </reference>
        </references>
      </pivotArea>
    </format>
    <format dxfId="826">
      <pivotArea outline="0" fieldPosition="0">
        <references count="3">
          <reference field="4294967294" count="1" selected="0">
            <x v="2"/>
          </reference>
          <reference field="14" count="1" selected="0">
            <x v="16"/>
          </reference>
          <reference field="20" count="2" selected="0">
            <x v="16"/>
            <x v="20"/>
          </reference>
        </references>
      </pivotArea>
    </format>
    <format dxfId="825">
      <pivotArea outline="0" fieldPosition="0">
        <references count="1">
          <reference field="23" count="1" selected="0" defaultSubtotal="1">
            <x v="0"/>
          </reference>
        </references>
      </pivotArea>
    </format>
    <format dxfId="824">
      <pivotArea outline="0" fieldPosition="0">
        <references count="1">
          <reference field="23" count="1" selected="0" defaultSubtotal="1">
            <x v="1"/>
          </reference>
        </references>
      </pivotArea>
    </format>
    <format dxfId="823">
      <pivotArea outline="0" fieldPosition="0">
        <references count="1">
          <reference field="23" count="1" selected="0" defaultSubtotal="1">
            <x v="2"/>
          </reference>
        </references>
      </pivotArea>
    </format>
    <format dxfId="822">
      <pivotArea outline="0" fieldPosition="0">
        <references count="1">
          <reference field="23" count="1" selected="0" defaultSubtotal="1">
            <x v="3"/>
          </reference>
        </references>
      </pivotArea>
    </format>
    <format dxfId="821">
      <pivotArea field="23" type="button" dataOnly="0" labelOnly="1" outline="0" axis="axisRow" fieldPosition="0"/>
    </format>
    <format dxfId="820">
      <pivotArea dataOnly="0" labelOnly="1" outline="0" fieldPosition="0">
        <references count="1">
          <reference field="23" count="1" defaultSubtotal="1">
            <x v="0"/>
          </reference>
        </references>
      </pivotArea>
    </format>
    <format dxfId="819">
      <pivotArea dataOnly="0" labelOnly="1" outline="0" fieldPosition="0">
        <references count="1">
          <reference field="23" count="1" defaultSubtotal="1">
            <x v="1"/>
          </reference>
        </references>
      </pivotArea>
    </format>
    <format dxfId="818">
      <pivotArea dataOnly="0" labelOnly="1" outline="0" fieldPosition="0">
        <references count="1">
          <reference field="23" count="1" defaultSubtotal="1">
            <x v="2"/>
          </reference>
        </references>
      </pivotArea>
    </format>
    <format dxfId="817">
      <pivotArea dataOnly="0" labelOnly="1" outline="0" fieldPosition="0">
        <references count="1">
          <reference field="23" count="1" defaultSubtotal="1">
            <x v="3"/>
          </reference>
        </references>
      </pivotArea>
    </format>
    <format dxfId="816">
      <pivotArea dataOnly="0" outline="0" fieldPosition="0">
        <references count="1">
          <reference field="23" count="0" defaultSubtotal="1"/>
        </references>
      </pivotArea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피벗 테이블3" cacheId="47" applyNumberFormats="0" applyBorderFormats="0" applyFontFormats="0" applyPatternFormats="0" applyAlignmentFormats="0" applyWidthHeightFormats="1" dataCaption="데이터" updatedVersion="3" asteriskTotals="1" showMemberPropertyTips="0" useAutoFormatting="1" itemPrintTitles="1" createdVersion="1" indent="0" compact="0" compactData="0" gridDropZones="1">
  <location ref="AK6:AU36" firstHeaderRow="1" firstDataRow="2" firstDataCol="3" rowPageCount="2" colPageCount="1"/>
  <pivotFields count="38"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>
      <items count="17">
        <item m="1" x="15"/>
        <item m="1" x="16"/>
        <item m="1" x="7"/>
        <item h="1" x="6"/>
        <item x="3"/>
        <item m="1" x="8"/>
        <item m="1" x="9"/>
        <item m="1" x="10"/>
        <item m="1" x="11"/>
        <item m="1" x="13"/>
        <item m="1" x="12"/>
        <item m="1" x="14"/>
        <item x="0"/>
        <item x="1"/>
        <item x="2"/>
        <item x="5"/>
        <item x="4"/>
      </items>
    </pivotField>
    <pivotField axis="axisRow" compact="0" outline="0" subtotalTop="0" showAll="0" includeNewItemsInFilter="1" sortType="ascending" defaultSubtotal="0">
      <items count="23">
        <item h="1" m="1" x="16"/>
        <item h="1" m="1" x="17"/>
        <item h="1" m="1" x="18"/>
        <item h="1" m="1" x="19"/>
        <item h="1" m="1" x="20"/>
        <item h="1" m="1" x="21"/>
        <item h="1" m="1" x="22"/>
        <item h="1" m="1" x="14"/>
        <item h="1" m="1" x="12"/>
        <item h="1" m="1" x="15"/>
        <item h="1" m="1" x="13"/>
        <item x="10"/>
        <item x="6"/>
        <item x="0"/>
        <item x="8"/>
        <item h="1" x="1"/>
        <item h="1" x="9"/>
        <item h="1" x="2"/>
        <item h="1" x="7"/>
        <item h="1" x="3"/>
        <item h="1" x="4"/>
        <item x="5"/>
        <item h="1" x="11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>
      <items count="277">
        <item x="30"/>
        <item m="1" x="251"/>
        <item m="1" x="110"/>
        <item m="1" x="225"/>
        <item m="1" x="195"/>
        <item m="1" x="222"/>
        <item m="1" x="162"/>
        <item m="1" x="212"/>
        <item m="1" x="263"/>
        <item m="1" x="152"/>
        <item m="1" x="202"/>
        <item m="1" x="93"/>
        <item m="1" x="174"/>
        <item m="1" x="256"/>
        <item m="1" x="144"/>
        <item m="1" x="159"/>
        <item m="1" x="242"/>
        <item m="1" x="99"/>
        <item m="1" x="151"/>
        <item m="1" x="233"/>
        <item m="1" x="121"/>
        <item m="1" x="199"/>
        <item m="1" x="90"/>
        <item m="1" x="142"/>
        <item m="1" x="114"/>
        <item m="1" x="275"/>
        <item m="1" x="134"/>
        <item m="1" x="185"/>
        <item m="1" x="265"/>
        <item m="1" x="206"/>
        <item m="1" x="111"/>
        <item m="1" x="163"/>
        <item m="1" x="245"/>
        <item m="1" x="131"/>
        <item m="1" x="213"/>
        <item m="1" x="103"/>
        <item m="1" x="124"/>
        <item x="85"/>
        <item m="1" x="102"/>
        <item m="1" x="153"/>
        <item m="1" x="115"/>
        <item m="1" x="253"/>
        <item m="1" x="107"/>
        <item m="1" x="190"/>
        <item m="1" x="238"/>
        <item m="1" x="94"/>
        <item m="1" x="126"/>
        <item m="1" x="139"/>
        <item m="1" x="117"/>
        <item m="1" x="223"/>
        <item m="1" x="186"/>
        <item m="1" x="203"/>
        <item m="1" x="136"/>
        <item m="1" x="216"/>
        <item m="1" x="180"/>
        <item m="1" x="91"/>
        <item m="1" x="145"/>
        <item m="1" x="226"/>
        <item m="1" x="86"/>
        <item m="1" x="101"/>
        <item m="1" x="268"/>
        <item m="1" x="193"/>
        <item m="1" x="272"/>
        <item m="1" x="171"/>
        <item m="1" x="219"/>
        <item m="1" x="235"/>
        <item m="1" x="108"/>
        <item m="1" x="227"/>
        <item m="1" x="217"/>
        <item m="1" x="276"/>
        <item m="1" x="166"/>
        <item m="1" x="207"/>
        <item m="1" x="127"/>
        <item m="1" x="258"/>
        <item m="1" x="196"/>
        <item m="1" x="236"/>
        <item m="1" x="137"/>
        <item m="1" x="228"/>
        <item m="1" x="191"/>
        <item m="1" x="143"/>
        <item m="1" x="239"/>
        <item m="1" x="248"/>
        <item m="1" x="135"/>
        <item m="1" x="266"/>
        <item m="1" x="243"/>
        <item m="1" x="154"/>
        <item m="1" x="146"/>
        <item m="1" x="119"/>
        <item m="1" x="175"/>
        <item m="1" x="95"/>
        <item m="1" x="182"/>
        <item m="1" x="231"/>
        <item m="1" x="269"/>
        <item m="1" x="160"/>
        <item m="1" x="129"/>
        <item m="1" x="234"/>
        <item m="1" x="169"/>
        <item m="1" x="156"/>
        <item m="1" x="140"/>
        <item m="1" x="112"/>
        <item m="1" x="149"/>
        <item m="1" x="178"/>
        <item m="1" x="259"/>
        <item m="1" x="260"/>
        <item m="1" x="273"/>
        <item m="1" x="246"/>
        <item m="1" x="97"/>
        <item m="1" x="188"/>
        <item m="1" x="252"/>
        <item m="1" x="164"/>
        <item m="1" x="109"/>
        <item m="1" x="132"/>
        <item m="1" x="88"/>
        <item m="1" x="167"/>
        <item m="1" x="220"/>
        <item m="1" x="130"/>
        <item m="1" x="87"/>
        <item m="1" x="147"/>
        <item m="1" x="229"/>
        <item m="1" x="138"/>
        <item m="1" x="122"/>
        <item m="1" x="267"/>
        <item m="1" x="92"/>
        <item m="1" x="179"/>
        <item m="1" x="208"/>
        <item m="1" x="270"/>
        <item m="1" x="194"/>
        <item m="1" x="116"/>
        <item m="1" x="181"/>
        <item m="1" x="261"/>
        <item m="1" x="244"/>
        <item m="1" x="197"/>
        <item m="1" x="170"/>
        <item m="1" x="100"/>
        <item m="1" x="210"/>
        <item m="1" x="187"/>
        <item m="1" x="254"/>
        <item m="1" x="98"/>
        <item m="1" x="150"/>
        <item m="1" x="240"/>
        <item m="1" x="200"/>
        <item m="1" x="198"/>
        <item m="1" x="224"/>
        <item m="1" x="118"/>
        <item m="1" x="120"/>
        <item m="1" x="89"/>
        <item m="1" x="172"/>
        <item m="1" x="141"/>
        <item m="1" x="214"/>
        <item m="1" x="247"/>
        <item m="1" x="96"/>
        <item m="1" x="209"/>
        <item m="1" x="183"/>
        <item m="1" x="232"/>
        <item m="1" x="264"/>
        <item m="1" x="128"/>
        <item m="1" x="133"/>
        <item m="1" x="125"/>
        <item m="1" x="221"/>
        <item m="1" x="271"/>
        <item m="1" x="113"/>
        <item m="1" x="274"/>
        <item m="1" x="161"/>
        <item m="1" x="201"/>
        <item m="1" x="104"/>
        <item m="1" x="204"/>
        <item m="1" x="123"/>
        <item m="1" x="155"/>
        <item m="1" x="176"/>
        <item m="1" x="189"/>
        <item m="1" x="262"/>
        <item m="1" x="211"/>
        <item m="1" x="192"/>
        <item m="1" x="237"/>
        <item m="1" x="165"/>
        <item m="1" x="215"/>
        <item m="1" x="218"/>
        <item x="7"/>
        <item x="33"/>
        <item x="45"/>
        <item x="40"/>
        <item x="11"/>
        <item x="32"/>
        <item m="1" x="168"/>
        <item m="1" x="148"/>
        <item m="1" x="105"/>
        <item m="1" x="230"/>
        <item m="1" x="205"/>
        <item x="77"/>
        <item m="1" x="177"/>
        <item m="1" x="257"/>
        <item m="1" x="249"/>
        <item x="58"/>
        <item x="1"/>
        <item x="2"/>
        <item x="78"/>
        <item x="5"/>
        <item m="1" x="157"/>
        <item m="1" x="241"/>
        <item x="9"/>
        <item x="79"/>
        <item x="47"/>
        <item x="10"/>
        <item x="3"/>
        <item x="41"/>
        <item x="0"/>
        <item x="39"/>
        <item x="57"/>
        <item x="83"/>
        <item x="12"/>
        <item x="13"/>
        <item m="1" x="173"/>
        <item m="1" x="255"/>
        <item x="76"/>
        <item x="21"/>
        <item x="6"/>
        <item x="22"/>
        <item m="1" x="106"/>
        <item x="31"/>
        <item x="15"/>
        <item x="14"/>
        <item x="19"/>
        <item x="44"/>
        <item x="51"/>
        <item m="1" x="184"/>
        <item x="42"/>
        <item x="69"/>
        <item m="1" x="158"/>
        <item x="8"/>
        <item x="26"/>
        <item x="4"/>
        <item x="29"/>
        <item x="52"/>
        <item x="43"/>
        <item x="27"/>
        <item x="46"/>
        <item x="80"/>
        <item x="84"/>
        <item x="59"/>
        <item x="61"/>
        <item x="62"/>
        <item x="18"/>
        <item x="53"/>
        <item x="49"/>
        <item x="63"/>
        <item x="64"/>
        <item x="50"/>
        <item x="65"/>
        <item x="66"/>
        <item x="34"/>
        <item x="55"/>
        <item x="67"/>
        <item x="68"/>
        <item x="16"/>
        <item x="17"/>
        <item x="20"/>
        <item x="28"/>
        <item x="25"/>
        <item x="48"/>
        <item m="1" x="250"/>
        <item x="73"/>
        <item x="70"/>
        <item x="24"/>
        <item x="23"/>
        <item x="35"/>
        <item x="36"/>
        <item x="37"/>
        <item x="38"/>
        <item x="54"/>
        <item x="56"/>
        <item x="60"/>
        <item x="71"/>
        <item x="72"/>
        <item x="74"/>
        <item x="75"/>
        <item x="81"/>
        <item x="82"/>
      </items>
    </pivotField>
    <pivotField compact="0" outline="0" subtotalTop="0" showAll="0" includeNewItemsInFilter="1" defaultSubtotal="0">
      <items count="28">
        <item m="1" x="20"/>
        <item m="1" x="14"/>
        <item m="1" x="22"/>
        <item m="1" x="17"/>
        <item m="1" x="24"/>
        <item m="1" x="19"/>
        <item x="9"/>
        <item m="1" x="26"/>
        <item m="1" x="27"/>
        <item m="1" x="10"/>
        <item m="1" x="11"/>
        <item m="1" x="12"/>
        <item x="4"/>
        <item x="2"/>
        <item m="1" x="16"/>
        <item m="1" x="13"/>
        <item m="1" x="15"/>
        <item m="1" x="18"/>
        <item m="1" x="21"/>
        <item m="1" x="23"/>
        <item m="1" x="25"/>
        <item x="1"/>
        <item x="7"/>
        <item x="0"/>
        <item x="3"/>
        <item x="5"/>
        <item x="8"/>
        <item x="6"/>
      </items>
    </pivotField>
    <pivotField axis="axisCol" compact="0" outline="0" subtotalTop="0" showAll="0" includeNewItemsInFilter="1" defaultSubtotal="0">
      <items count="21">
        <item m="1" x="18"/>
        <item m="1" x="19"/>
        <item m="1" x="20"/>
        <item m="1" x="13"/>
        <item m="1" x="8"/>
        <item m="1" x="14"/>
        <item m="1" x="9"/>
        <item m="1" x="15"/>
        <item m="1" x="10"/>
        <item m="1" x="16"/>
        <item m="1" x="11"/>
        <item m="1" x="17"/>
        <item m="1" x="12"/>
        <item x="7"/>
        <item x="0"/>
        <item x="1"/>
        <item x="2"/>
        <item x="6"/>
        <item x="4"/>
        <item x="5"/>
        <item x="3"/>
      </items>
    </pivotField>
    <pivotField axis="axisRow" compact="0" outline="0" subtotalTop="0" showAll="0" includeNewItemsInFilter="1" defaultSubtotal="0">
      <items count="4">
        <item x="1"/>
        <item x="0"/>
        <item x="2"/>
        <item x="3"/>
      </items>
    </pivotField>
    <pivotField compact="0" outline="0" subtotalTop="0" showAll="0" includeNewItemsInFilter="1">
      <items count="54">
        <item m="1" x="40"/>
        <item x="28"/>
        <item x="26"/>
        <item x="25"/>
        <item m="1" x="39"/>
        <item m="1" x="49"/>
        <item m="1" x="36"/>
        <item m="1" x="42"/>
        <item x="30"/>
        <item m="1" x="45"/>
        <item x="6"/>
        <item m="1" x="33"/>
        <item m="1" x="34"/>
        <item m="1" x="37"/>
        <item m="1" x="35"/>
        <item m="1" x="46"/>
        <item x="12"/>
        <item h="1" x="32"/>
        <item m="1" x="48"/>
        <item m="1" x="41"/>
        <item m="1" x="52"/>
        <item m="1" x="50"/>
        <item m="1" x="47"/>
        <item m="1" x="43"/>
        <item x="5"/>
        <item x="10"/>
        <item x="24"/>
        <item x="0"/>
        <item x="11"/>
        <item m="1" x="38"/>
        <item x="4"/>
        <item x="19"/>
        <item x="16"/>
        <item x="9"/>
        <item x="23"/>
        <item x="20"/>
        <item m="1" x="51"/>
        <item x="1"/>
        <item x="13"/>
        <item m="1" x="44"/>
        <item x="27"/>
        <item x="18"/>
        <item x="29"/>
        <item x="2"/>
        <item x="3"/>
        <item x="14"/>
        <item x="21"/>
        <item x="7"/>
        <item x="15"/>
        <item x="31"/>
        <item x="8"/>
        <item x="17"/>
        <item x="22"/>
        <item t="default"/>
      </items>
    </pivotField>
    <pivotField axis="axisRow" compact="0" outline="0" subtotalTop="0" showAll="0" includeNewItemsInFilter="1" sortType="ascending">
      <items count="38">
        <item x="14"/>
        <item x="10"/>
        <item x="12"/>
        <item x="7"/>
        <item x="18"/>
        <item x="8"/>
        <item x="25"/>
        <item x="26"/>
        <item x="27"/>
        <item x="29"/>
        <item x="28"/>
        <item x="2"/>
        <item x="5"/>
        <item x="6"/>
        <item m="1" x="36"/>
        <item x="11"/>
        <item x="13"/>
        <item x="17"/>
        <item x="3"/>
        <item x="19"/>
        <item x="24"/>
        <item x="16"/>
        <item x="4"/>
        <item m="1" x="34"/>
        <item x="31"/>
        <item x="15"/>
        <item x="0"/>
        <item m="1" x="33"/>
        <item x="21"/>
        <item x="23"/>
        <item x="32"/>
        <item x="20"/>
        <item x="30"/>
        <item x="1"/>
        <item x="22"/>
        <item m="1" x="35"/>
        <item x="9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>
      <items count="27">
        <item x="10"/>
        <item x="9"/>
        <item x="17"/>
        <item x="18"/>
        <item x="5"/>
        <item x="4"/>
        <item x="0"/>
        <item x="13"/>
        <item x="1"/>
        <item h="1" x="19"/>
        <item m="1" x="23"/>
        <item m="1" x="22"/>
        <item x="8"/>
        <item x="7"/>
        <item x="14"/>
        <item x="16"/>
        <item m="1" x="21"/>
        <item m="1" x="20"/>
        <item m="1" x="25"/>
        <item m="1" x="24"/>
        <item x="12"/>
        <item x="2"/>
        <item x="3"/>
        <item x="11"/>
        <item x="15"/>
        <item x="6"/>
        <item t="default"/>
      </items>
    </pivotField>
    <pivotField compact="0" outline="0" subtotalTop="0" showAll="0" includeNewItemsInFilter="1">
      <items count="42">
        <item x="1"/>
        <item x="15"/>
        <item m="1" x="29"/>
        <item x="0"/>
        <item x="9"/>
        <item x="5"/>
        <item x="2"/>
        <item x="8"/>
        <item x="18"/>
        <item x="21"/>
        <item x="6"/>
        <item x="20"/>
        <item x="19"/>
        <item x="3"/>
        <item x="25"/>
        <item m="1" x="36"/>
        <item x="7"/>
        <item x="4"/>
        <item m="1" x="39"/>
        <item m="1" x="28"/>
        <item x="14"/>
        <item m="1" x="35"/>
        <item x="22"/>
        <item m="1" x="40"/>
        <item m="1" x="31"/>
        <item m="1" x="34"/>
        <item m="1" x="27"/>
        <item m="1" x="37"/>
        <item m="1" x="32"/>
        <item m="1" x="26"/>
        <item m="1" x="38"/>
        <item x="11"/>
        <item x="12"/>
        <item m="1" x="30"/>
        <item x="17"/>
        <item x="13"/>
        <item m="1" x="33"/>
        <item x="23"/>
        <item x="10"/>
        <item x="24"/>
        <item x="16"/>
        <item t="default"/>
      </items>
    </pivotField>
    <pivotField axis="axisPage" compact="0" outline="0" subtotalTop="0" multipleItemSelectionAllowed="1" showAll="0" includeNewItemsInFilter="1" defaultSubtotal="0">
      <items count="4">
        <item m="1" x="3"/>
        <item x="0"/>
        <item m="1" x="2"/>
        <item h="1" x="1"/>
      </items>
    </pivotField>
    <pivotField compact="0" outline="0" subtotalTop="0" showAll="0" includeNewItemsInFilter="1" defaultSubtotal="0">
      <items count="783">
        <item x="777"/>
        <item m="1" x="778"/>
        <item m="1" x="782"/>
        <item m="1" x="781"/>
        <item m="1" x="780"/>
        <item m="1" x="779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2"/>
        <item x="3"/>
        <item x="4"/>
        <item x="5"/>
        <item x="6"/>
        <item x="7"/>
        <item x="8"/>
        <item x="22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653"/>
        <item x="654"/>
        <item x="655"/>
        <item x="656"/>
        <item x="657"/>
        <item x="658"/>
        <item x="659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660"/>
        <item x="661"/>
        <item x="662"/>
        <item x="663"/>
        <item x="664"/>
        <item x="665"/>
        <item x="666"/>
        <item x="667"/>
        <item x="668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379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195"/>
        <item x="196"/>
        <item x="197"/>
        <item x="198"/>
        <item x="199"/>
        <item x="200"/>
        <item x="201"/>
        <item x="380"/>
        <item x="381"/>
        <item x="382"/>
        <item x="383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384"/>
        <item x="385"/>
        <item x="386"/>
        <item x="387"/>
        <item x="388"/>
        <item x="389"/>
        <item x="3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391"/>
        <item x="392"/>
        <item x="393"/>
        <item x="394"/>
        <item x="395"/>
        <item x="396"/>
        <item x="703"/>
        <item x="704"/>
        <item x="705"/>
        <item x="706"/>
        <item x="707"/>
        <item x="708"/>
        <item x="709"/>
        <item x="710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397"/>
        <item x="398"/>
        <item x="399"/>
        <item x="400"/>
        <item x="614"/>
        <item x="615"/>
        <item x="616"/>
        <item x="617"/>
        <item x="618"/>
        <item x="619"/>
        <item x="620"/>
        <item x="621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91"/>
        <item x="92"/>
        <item x="93"/>
        <item x="297"/>
        <item x="298"/>
        <item x="299"/>
        <item x="300"/>
        <item x="301"/>
        <item x="302"/>
        <item x="303"/>
        <item x="304"/>
        <item x="305"/>
        <item x="401"/>
        <item x="402"/>
        <item x="765"/>
        <item x="766"/>
        <item x="767"/>
        <item x="768"/>
        <item x="769"/>
        <item x="770"/>
        <item x="771"/>
        <item x="772"/>
        <item x="773"/>
        <item x="774"/>
        <item x="94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119"/>
        <item x="418"/>
        <item x="419"/>
        <item x="420"/>
        <item x="421"/>
        <item x="422"/>
        <item x="423"/>
        <item x="775"/>
        <item x="776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424"/>
        <item x="425"/>
        <item x="426"/>
        <item x="427"/>
        <item x="428"/>
        <item x="429"/>
        <item x="430"/>
        <item x="431"/>
        <item x="432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0"/>
        <item x="1"/>
        <item x="131"/>
        <item x="132"/>
        <item x="133"/>
        <item x="134"/>
        <item x="135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</items>
    </pivotField>
    <pivotField axis="axisPage" compact="0" outline="0" subtotalTop="0" multipleItemSelectionAllowed="1" showAll="0" includeNewItemsInFilter="1" defaultSubtotal="0">
      <items count="7">
        <item x="3"/>
        <item x="5"/>
        <item x="6"/>
        <item x="4"/>
        <item h="1" x="2"/>
        <item x="0"/>
        <item x="1"/>
      </items>
    </pivotField>
    <pivotField compact="0" outline="0" subtotalTop="0" showAll="0" includeNewItemsInFilter="1" defaultSubtotal="0"/>
    <pivotField compact="0" outline="0" subtotalTop="0" showAll="0" includeNewItemsInFilter="1">
      <items count="23">
        <item x="1"/>
        <item x="3"/>
        <item x="4"/>
        <item x="0"/>
        <item x="20"/>
        <item m="1" x="21"/>
        <item x="6"/>
        <item x="2"/>
        <item x="5"/>
        <item x="14"/>
        <item x="15"/>
        <item x="16"/>
        <item x="7"/>
        <item x="8"/>
        <item x="9"/>
        <item x="17"/>
        <item x="18"/>
        <item x="10"/>
        <item x="13"/>
        <item x="19"/>
        <item x="11"/>
        <item x="12"/>
        <item t="default"/>
      </items>
    </pivotField>
    <pivotField compact="0" outline="0" subtotalTop="0" showAll="0" includeNewItemsInFilter="1" defaultSubtotal="0">
      <items count="172">
        <item m="1" x="80"/>
        <item m="1" x="110"/>
        <item m="1" x="141"/>
        <item m="1" x="123"/>
        <item m="1" x="146"/>
        <item m="1" x="79"/>
        <item m="1" x="126"/>
        <item m="1" x="64"/>
        <item m="1" x="108"/>
        <item m="1" x="138"/>
        <item m="1" x="77"/>
        <item m="1" x="167"/>
        <item m="1" x="101"/>
        <item m="1" x="134"/>
        <item m="1" x="115"/>
        <item m="1" x="161"/>
        <item m="1" x="97"/>
        <item m="1" x="130"/>
        <item m="1" x="67"/>
        <item m="1" x="112"/>
        <item m="1" x="158"/>
        <item m="1" x="99"/>
        <item m="1" x="82"/>
        <item m="1" x="70"/>
        <item m="1" x="95"/>
        <item m="1" x="148"/>
        <item m="1" x="81"/>
        <item m="1" x="128"/>
        <item m="1" x="91"/>
        <item x="8"/>
        <item m="1" x="124"/>
        <item m="1" x="73"/>
        <item m="1" x="117"/>
        <item m="1" x="136"/>
        <item m="1" x="170"/>
        <item m="1" x="164"/>
        <item m="1" x="139"/>
        <item m="1" x="102"/>
        <item m="1" x="71"/>
        <item m="1" x="85"/>
        <item m="1" x="131"/>
        <item m="1" x="135"/>
        <item m="1" x="150"/>
        <item m="1" x="61"/>
        <item m="1" x="143"/>
        <item m="1" x="125"/>
        <item m="1" x="87"/>
        <item m="1" x="119"/>
        <item m="1" x="165"/>
        <item m="1" x="153"/>
        <item m="1" x="154"/>
        <item m="1" x="142"/>
        <item m="1" x="104"/>
        <item m="1" x="127"/>
        <item m="1" x="72"/>
        <item m="1" x="116"/>
        <item m="1" x="151"/>
        <item m="1" x="155"/>
        <item m="1" x="88"/>
        <item m="1" x="162"/>
        <item m="1" x="106"/>
        <item m="1" x="144"/>
        <item m="1" x="159"/>
        <item m="1" x="62"/>
        <item m="1" x="133"/>
        <item m="1" x="114"/>
        <item m="1" x="96"/>
        <item m="1" x="171"/>
        <item m="1" x="160"/>
        <item m="1" x="83"/>
        <item m="1" x="149"/>
        <item m="1" x="137"/>
        <item m="1" x="105"/>
        <item m="1" x="74"/>
        <item m="1" x="100"/>
        <item m="1" x="118"/>
        <item m="1" x="98"/>
        <item m="1" x="132"/>
        <item m="1" x="68"/>
        <item m="1" x="113"/>
        <item m="1" x="93"/>
        <item m="1" x="109"/>
        <item m="1" x="156"/>
        <item m="1" x="90"/>
        <item m="1" x="121"/>
        <item m="1" x="65"/>
        <item m="1" x="86"/>
        <item m="1" x="168"/>
        <item m="1" x="103"/>
        <item m="1" x="92"/>
        <item m="1" x="145"/>
        <item m="1" x="107"/>
        <item m="1" x="63"/>
        <item m="1" x="76"/>
        <item m="1" x="166"/>
        <item m="1" x="89"/>
        <item m="1" x="84"/>
        <item m="1" x="129"/>
        <item m="1" x="66"/>
        <item m="1" x="111"/>
        <item m="1" x="78"/>
        <item m="1" x="69"/>
        <item m="1" x="94"/>
        <item m="1" x="152"/>
        <item m="1" x="120"/>
        <item m="1" x="147"/>
        <item m="1" x="169"/>
        <item m="1" x="122"/>
        <item m="1" x="140"/>
        <item m="1" x="163"/>
        <item x="12"/>
        <item x="27"/>
        <item x="28"/>
        <item x="29"/>
        <item x="0"/>
        <item x="30"/>
        <item x="1"/>
        <item m="1" x="157"/>
        <item x="40"/>
        <item x="41"/>
        <item x="13"/>
        <item x="54"/>
        <item x="9"/>
        <item x="2"/>
        <item x="3"/>
        <item x="14"/>
        <item x="4"/>
        <item x="55"/>
        <item x="31"/>
        <item x="15"/>
        <item x="16"/>
        <item x="32"/>
        <item x="17"/>
        <item x="56"/>
        <item x="5"/>
        <item x="42"/>
        <item m="1" x="75"/>
        <item x="10"/>
        <item x="18"/>
        <item x="19"/>
        <item x="20"/>
        <item x="21"/>
        <item x="57"/>
        <item x="48"/>
        <item x="22"/>
        <item x="6"/>
        <item x="58"/>
        <item x="59"/>
        <item x="33"/>
        <item x="7"/>
        <item x="34"/>
        <item x="60"/>
        <item x="23"/>
        <item x="35"/>
        <item x="24"/>
        <item x="25"/>
        <item x="36"/>
        <item x="49"/>
        <item x="50"/>
        <item x="51"/>
        <item x="47"/>
        <item x="11"/>
        <item x="26"/>
        <item x="37"/>
        <item x="38"/>
        <item x="39"/>
        <item x="43"/>
        <item x="44"/>
        <item x="45"/>
        <item x="46"/>
        <item x="52"/>
        <item x="53"/>
      </items>
    </pivotField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 count="3">
    <field x="15"/>
    <field x="13"/>
    <field x="5"/>
  </rowFields>
  <rowItems count="29">
    <i>
      <x/>
      <x v="1"/>
      <x v="14"/>
    </i>
    <i t="default">
      <x/>
    </i>
    <i>
      <x v="1"/>
      <x v="1"/>
      <x v="12"/>
    </i>
    <i t="default">
      <x v="1"/>
    </i>
    <i>
      <x v="2"/>
      <x v="1"/>
      <x v="13"/>
    </i>
    <i t="default">
      <x v="2"/>
    </i>
    <i>
      <x v="6"/>
      <x v="1"/>
      <x v="13"/>
    </i>
    <i t="default">
      <x v="6"/>
    </i>
    <i>
      <x v="7"/>
      <x v="1"/>
      <x v="13"/>
    </i>
    <i t="default">
      <x v="7"/>
    </i>
    <i>
      <x v="9"/>
      <x v="1"/>
      <x v="11"/>
    </i>
    <i r="2">
      <x v="12"/>
    </i>
    <i t="default">
      <x v="9"/>
    </i>
    <i>
      <x v="12"/>
      <x v="1"/>
      <x v="12"/>
    </i>
    <i t="default">
      <x v="12"/>
    </i>
    <i>
      <x v="15"/>
      <x v="1"/>
      <x v="12"/>
    </i>
    <i r="2">
      <x v="13"/>
    </i>
    <i t="default">
      <x v="15"/>
    </i>
    <i>
      <x v="16"/>
      <x v="1"/>
      <x v="13"/>
    </i>
    <i t="default">
      <x v="16"/>
    </i>
    <i>
      <x v="19"/>
      <x/>
      <x v="12"/>
    </i>
    <i t="default">
      <x v="19"/>
    </i>
    <i>
      <x v="22"/>
      <x v="1"/>
      <x v="12"/>
    </i>
    <i t="default">
      <x v="22"/>
    </i>
    <i>
      <x v="26"/>
      <x v="1"/>
      <x v="13"/>
    </i>
    <i t="default">
      <x v="26"/>
    </i>
    <i>
      <x v="31"/>
      <x v="1"/>
      <x v="13"/>
    </i>
    <i t="default">
      <x v="31"/>
    </i>
    <i t="grand">
      <x/>
    </i>
  </rowItems>
  <colFields count="1">
    <field x="12"/>
  </colFields>
  <colItems count="8"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pageFields count="2">
    <pageField fld="21" hier="-1"/>
    <pageField fld="23" hier="-1"/>
  </pageFields>
  <dataFields count="1">
    <dataField name=" 실발주샘플수" fld="0" baseField="0" baseItem="0" numFmtId="3"/>
  </dataFields>
  <formats count="62">
    <format dxfId="344">
      <pivotArea field="19" type="button" dataOnly="0" labelOnly="1" outline="0"/>
    </format>
    <format dxfId="343">
      <pivotArea field="22" type="button" dataOnly="0" labelOnly="1" outline="0"/>
    </format>
    <format dxfId="342">
      <pivotArea field="22" type="button" dataOnly="0" labelOnly="1" outline="0"/>
    </format>
    <format dxfId="341">
      <pivotArea field="22" type="button" dataOnly="0" labelOnly="1" outline="0"/>
    </format>
    <format dxfId="340">
      <pivotArea type="origin" dataOnly="0" labelOnly="1" outline="0" offset="A2" fieldPosition="0"/>
    </format>
    <format dxfId="339">
      <pivotArea field="19" type="button" dataOnly="0" labelOnly="1" outline="0"/>
    </format>
    <format dxfId="338">
      <pivotArea field="19" type="button" dataOnly="0" labelOnly="1" outline="0"/>
    </format>
    <format dxfId="337">
      <pivotArea type="all" dataOnly="0" outline="0" fieldPosition="0"/>
    </format>
    <format dxfId="336">
      <pivotArea field="19" type="button" dataOnly="0" labelOnly="1" outline="0"/>
    </format>
    <format dxfId="335">
      <pivotArea dataOnly="0" grandRow="1" outline="0" fieldPosition="0"/>
    </format>
    <format dxfId="334">
      <pivotArea dataOnly="0" grandRow="1" outline="0" fieldPosition="0"/>
    </format>
    <format dxfId="333">
      <pivotArea field="14" type="button" dataOnly="0" labelOnly="1" outline="0"/>
    </format>
    <format dxfId="332">
      <pivotArea field="20" type="button" dataOnly="0" labelOnly="1" outline="0"/>
    </format>
    <format dxfId="331">
      <pivotArea field="14" type="button" dataOnly="0" labelOnly="1" outline="0"/>
    </format>
    <format dxfId="330">
      <pivotArea field="20" type="button" dataOnly="0" labelOnly="1" outline="0"/>
    </format>
    <format dxfId="329">
      <pivotArea field="22" type="button" dataOnly="0" labelOnly="1" outline="0"/>
    </format>
    <format dxfId="328">
      <pivotArea field="26" type="button" dataOnly="0" labelOnly="1" outline="0"/>
    </format>
    <format dxfId="327">
      <pivotArea field="10" type="button" dataOnly="0" labelOnly="1" outline="0"/>
    </format>
    <format dxfId="326">
      <pivotArea field="14" type="button" dataOnly="0" labelOnly="1" outline="0"/>
    </format>
    <format dxfId="325">
      <pivotArea field="20" type="button" dataOnly="0" labelOnly="1" outline="0"/>
    </format>
    <format dxfId="324">
      <pivotArea field="22" type="button" dataOnly="0" labelOnly="1" outline="0"/>
    </format>
    <format dxfId="323">
      <pivotArea field="25" type="button" dataOnly="0" labelOnly="1" outline="0"/>
    </format>
    <format dxfId="322">
      <pivotArea field="26" type="button" dataOnly="0" labelOnly="1" outline="0"/>
    </format>
    <format dxfId="321">
      <pivotArea field="10" type="button" dataOnly="0" labelOnly="1" outline="0"/>
    </format>
    <format dxfId="320">
      <pivotArea field="22" type="button" dataOnly="0" labelOnly="1" outline="0"/>
    </format>
    <format dxfId="319">
      <pivotArea field="25" type="button" dataOnly="0" labelOnly="1" outline="0"/>
    </format>
    <format dxfId="318">
      <pivotArea field="26" type="button" dataOnly="0" labelOnly="1" outline="0"/>
    </format>
    <format dxfId="317">
      <pivotArea field="10" type="button" dataOnly="0" labelOnly="1" outline="0"/>
    </format>
    <format dxfId="316">
      <pivotArea type="all" dataOnly="0" outline="0" fieldPosition="0"/>
    </format>
    <format dxfId="315">
      <pivotArea field="14" type="button" dataOnly="0" labelOnly="1" outline="0"/>
    </format>
    <format dxfId="314">
      <pivotArea field="14" type="button" dataOnly="0" labelOnly="1" outline="0"/>
    </format>
    <format dxfId="313">
      <pivotArea field="14" type="button" dataOnly="0" labelOnly="1" outline="0"/>
    </format>
    <format dxfId="312">
      <pivotArea field="20" type="button" dataOnly="0" labelOnly="1" outline="0"/>
    </format>
    <format dxfId="311">
      <pivotArea dataOnly="0" labelOnly="1" grandCol="1" outline="0" fieldPosition="0"/>
    </format>
    <format dxfId="310">
      <pivotArea field="14" type="button" dataOnly="0" labelOnly="1" outline="0"/>
    </format>
    <format dxfId="309">
      <pivotArea field="20" type="button" dataOnly="0" labelOnly="1" outline="0"/>
    </format>
    <format dxfId="308">
      <pivotArea dataOnly="0" labelOnly="1" grandCol="1" outline="0" fieldPosition="0"/>
    </format>
    <format dxfId="307">
      <pivotArea field="14" type="button" dataOnly="0" labelOnly="1" outline="0"/>
    </format>
    <format dxfId="306">
      <pivotArea field="20" type="button" dataOnly="0" labelOnly="1" outline="0"/>
    </format>
    <format dxfId="305">
      <pivotArea field="4" type="button" dataOnly="0" labelOnly="1" outline="0"/>
    </format>
    <format dxfId="304">
      <pivotArea dataOnly="0" labelOnly="1" grandCol="1" outline="0" fieldPosition="0"/>
    </format>
    <format dxfId="303">
      <pivotArea field="4" type="button" dataOnly="0" labelOnly="1" outline="0"/>
    </format>
    <format dxfId="302">
      <pivotArea outline="0" fieldPosition="0"/>
    </format>
    <format dxfId="301">
      <pivotArea field="11" type="button" dataOnly="0" labelOnly="1" outline="0"/>
    </format>
    <format dxfId="300">
      <pivotArea type="topRight" dataOnly="0" labelOnly="1" outline="0" fieldPosition="0"/>
    </format>
    <format dxfId="299">
      <pivotArea dataOnly="0" labelOnly="1" grandCol="1" outline="0" fieldPosition="0"/>
    </format>
    <format dxfId="298">
      <pivotArea outline="0" fieldPosition="0"/>
    </format>
    <format dxfId="297">
      <pivotArea field="11" type="button" dataOnly="0" labelOnly="1" outline="0"/>
    </format>
    <format dxfId="296">
      <pivotArea type="topRight" dataOnly="0" labelOnly="1" outline="0" fieldPosition="0"/>
    </format>
    <format dxfId="295">
      <pivotArea dataOnly="0" labelOnly="1" grandCol="1" outline="0" fieldPosition="0"/>
    </format>
    <format dxfId="294">
      <pivotArea dataOnly="0" labelOnly="1" grandRow="1" outline="0" fieldPosition="0"/>
    </format>
    <format dxfId="293">
      <pivotArea field="15" type="button" dataOnly="0" labelOnly="1" outline="0" axis="axisRow" fieldPosition="0"/>
    </format>
    <format dxfId="292">
      <pivotArea field="5" type="button" dataOnly="0" labelOnly="1" outline="0" axis="axisRow" fieldPosition="2"/>
    </format>
    <format dxfId="291">
      <pivotArea dataOnly="0" labelOnly="1" grandCol="1" outline="0" fieldPosition="0"/>
    </format>
    <format dxfId="290">
      <pivotArea dataOnly="0" outline="0" fieldPosition="0">
        <references count="1">
          <reference field="15" count="0" defaultSubtotal="1"/>
        </references>
      </pivotArea>
    </format>
    <format dxfId="289">
      <pivotArea field="15" type="button" dataOnly="0" labelOnly="1" outline="0" axis="axisRow" fieldPosition="0"/>
    </format>
    <format dxfId="288">
      <pivotArea field="5" type="button" dataOnly="0" labelOnly="1" outline="0" axis="axisRow" fieldPosition="2"/>
    </format>
    <format dxfId="287">
      <pivotArea dataOnly="0" labelOnly="1" grandCol="1" outline="0" fieldPosition="0"/>
    </format>
    <format dxfId="286">
      <pivotArea field="23" type="button" dataOnly="0" labelOnly="1" outline="0" axis="axisPage" fieldPosition="1"/>
    </format>
    <format dxfId="285">
      <pivotArea field="21" type="button" dataOnly="0" labelOnly="1" outline="0" axis="axisPage" fieldPosition="0"/>
    </format>
    <format dxfId="284">
      <pivotArea field="13" type="button" dataOnly="0" labelOnly="1" outline="0" axis="axisRow" fieldPosition="1"/>
    </format>
    <format dxfId="283">
      <pivotArea outline="0" fieldPosition="0">
        <references count="1">
          <reference field="4294967294" count="1">
            <x v="0"/>
          </reference>
        </references>
      </pivotArea>
    </format>
  </format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피벗 테이블5" cacheId="47" applyNumberFormats="0" applyBorderFormats="0" applyFontFormats="0" applyPatternFormats="0" applyAlignmentFormats="0" applyWidthHeightFormats="1" dataCaption="데이터" updatedVersion="3" asteriskTotals="1" showMemberPropertyTips="0" useAutoFormatting="1" itemPrintTitles="1" createdVersion="1" indent="0" compact="0" compactData="0" gridDropZones="1">
  <location ref="DP6:DW26" firstHeaderRow="1" firstDataRow="2" firstDataCol="1" rowPageCount="2" colPageCount="1"/>
  <pivotFields count="38"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>
      <items count="17">
        <item m="1" x="15"/>
        <item m="1" x="16"/>
        <item m="1" x="7"/>
        <item h="1" x="6"/>
        <item x="3"/>
        <item m="1" x="8"/>
        <item m="1" x="9"/>
        <item m="1" x="10"/>
        <item m="1" x="11"/>
        <item m="1" x="13"/>
        <item m="1" x="12"/>
        <item m="1" x="14"/>
        <item x="0"/>
        <item x="1"/>
        <item x="2"/>
        <item x="5"/>
        <item x="4"/>
      </items>
    </pivotField>
    <pivotField compact="0" outline="0" subtotalTop="0" showAll="0" includeNewItemsInFilter="1" sortType="ascending" defaultSubtotal="0">
      <items count="23">
        <item m="1" x="16"/>
        <item m="1" x="17"/>
        <item m="1" x="18"/>
        <item m="1" x="19"/>
        <item m="1" x="20"/>
        <item m="1" x="21"/>
        <item m="1" x="22"/>
        <item m="1" x="14"/>
        <item m="1" x="12"/>
        <item m="1" x="15"/>
        <item m="1" x="13"/>
        <item x="10"/>
        <item x="6"/>
        <item x="0"/>
        <item x="8"/>
        <item x="1"/>
        <item x="9"/>
        <item x="2"/>
        <item x="7"/>
        <item x="3"/>
        <item x="4"/>
        <item x="5"/>
        <item h="1" x="11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>
      <items count="277">
        <item x="30"/>
        <item m="1" x="251"/>
        <item m="1" x="110"/>
        <item m="1" x="225"/>
        <item m="1" x="195"/>
        <item m="1" x="222"/>
        <item m="1" x="162"/>
        <item m="1" x="212"/>
        <item m="1" x="263"/>
        <item m="1" x="152"/>
        <item m="1" x="202"/>
        <item m="1" x="93"/>
        <item m="1" x="174"/>
        <item m="1" x="256"/>
        <item m="1" x="144"/>
        <item m="1" x="159"/>
        <item m="1" x="242"/>
        <item m="1" x="99"/>
        <item m="1" x="151"/>
        <item m="1" x="233"/>
        <item m="1" x="121"/>
        <item m="1" x="199"/>
        <item m="1" x="90"/>
        <item m="1" x="142"/>
        <item m="1" x="114"/>
        <item m="1" x="275"/>
        <item m="1" x="134"/>
        <item m="1" x="185"/>
        <item m="1" x="265"/>
        <item m="1" x="206"/>
        <item m="1" x="111"/>
        <item m="1" x="163"/>
        <item m="1" x="245"/>
        <item m="1" x="131"/>
        <item m="1" x="213"/>
        <item m="1" x="103"/>
        <item m="1" x="124"/>
        <item x="85"/>
        <item m="1" x="102"/>
        <item m="1" x="153"/>
        <item m="1" x="115"/>
        <item m="1" x="253"/>
        <item m="1" x="107"/>
        <item m="1" x="190"/>
        <item m="1" x="238"/>
        <item m="1" x="94"/>
        <item m="1" x="126"/>
        <item m="1" x="139"/>
        <item m="1" x="117"/>
        <item m="1" x="223"/>
        <item m="1" x="186"/>
        <item m="1" x="203"/>
        <item m="1" x="136"/>
        <item m="1" x="216"/>
        <item m="1" x="180"/>
        <item m="1" x="91"/>
        <item m="1" x="145"/>
        <item m="1" x="226"/>
        <item m="1" x="86"/>
        <item m="1" x="101"/>
        <item m="1" x="268"/>
        <item m="1" x="193"/>
        <item m="1" x="272"/>
        <item m="1" x="171"/>
        <item m="1" x="219"/>
        <item m="1" x="235"/>
        <item m="1" x="108"/>
        <item m="1" x="227"/>
        <item m="1" x="217"/>
        <item m="1" x="276"/>
        <item m="1" x="166"/>
        <item m="1" x="207"/>
        <item m="1" x="127"/>
        <item m="1" x="258"/>
        <item m="1" x="196"/>
        <item m="1" x="236"/>
        <item m="1" x="137"/>
        <item m="1" x="228"/>
        <item m="1" x="191"/>
        <item m="1" x="143"/>
        <item m="1" x="239"/>
        <item m="1" x="248"/>
        <item m="1" x="135"/>
        <item m="1" x="266"/>
        <item m="1" x="243"/>
        <item m="1" x="154"/>
        <item m="1" x="146"/>
        <item m="1" x="119"/>
        <item m="1" x="175"/>
        <item m="1" x="95"/>
        <item m="1" x="182"/>
        <item m="1" x="231"/>
        <item m="1" x="269"/>
        <item m="1" x="160"/>
        <item m="1" x="129"/>
        <item m="1" x="234"/>
        <item m="1" x="169"/>
        <item m="1" x="156"/>
        <item m="1" x="140"/>
        <item m="1" x="112"/>
        <item m="1" x="149"/>
        <item m="1" x="178"/>
        <item m="1" x="259"/>
        <item m="1" x="260"/>
        <item m="1" x="273"/>
        <item m="1" x="246"/>
        <item m="1" x="97"/>
        <item m="1" x="188"/>
        <item m="1" x="252"/>
        <item m="1" x="164"/>
        <item m="1" x="109"/>
        <item m="1" x="132"/>
        <item m="1" x="88"/>
        <item m="1" x="167"/>
        <item m="1" x="220"/>
        <item m="1" x="130"/>
        <item m="1" x="87"/>
        <item m="1" x="147"/>
        <item m="1" x="229"/>
        <item m="1" x="138"/>
        <item m="1" x="122"/>
        <item m="1" x="267"/>
        <item m="1" x="92"/>
        <item m="1" x="179"/>
        <item m="1" x="208"/>
        <item m="1" x="270"/>
        <item m="1" x="194"/>
        <item m="1" x="116"/>
        <item m="1" x="181"/>
        <item m="1" x="261"/>
        <item m="1" x="244"/>
        <item m="1" x="197"/>
        <item m="1" x="170"/>
        <item m="1" x="100"/>
        <item m="1" x="210"/>
        <item m="1" x="187"/>
        <item m="1" x="254"/>
        <item m="1" x="98"/>
        <item m="1" x="150"/>
        <item m="1" x="240"/>
        <item m="1" x="200"/>
        <item m="1" x="198"/>
        <item m="1" x="224"/>
        <item m="1" x="118"/>
        <item m="1" x="120"/>
        <item m="1" x="89"/>
        <item m="1" x="172"/>
        <item m="1" x="141"/>
        <item m="1" x="214"/>
        <item m="1" x="247"/>
        <item m="1" x="96"/>
        <item m="1" x="209"/>
        <item m="1" x="183"/>
        <item m="1" x="232"/>
        <item m="1" x="264"/>
        <item m="1" x="128"/>
        <item m="1" x="133"/>
        <item m="1" x="125"/>
        <item m="1" x="221"/>
        <item m="1" x="271"/>
        <item m="1" x="113"/>
        <item m="1" x="274"/>
        <item m="1" x="161"/>
        <item m="1" x="201"/>
        <item m="1" x="104"/>
        <item m="1" x="204"/>
        <item m="1" x="123"/>
        <item m="1" x="155"/>
        <item m="1" x="176"/>
        <item m="1" x="189"/>
        <item m="1" x="262"/>
        <item m="1" x="211"/>
        <item m="1" x="192"/>
        <item m="1" x="237"/>
        <item m="1" x="165"/>
        <item m="1" x="215"/>
        <item m="1" x="218"/>
        <item x="7"/>
        <item x="33"/>
        <item x="45"/>
        <item x="40"/>
        <item x="11"/>
        <item x="32"/>
        <item m="1" x="168"/>
        <item m="1" x="148"/>
        <item m="1" x="105"/>
        <item m="1" x="230"/>
        <item m="1" x="205"/>
        <item x="77"/>
        <item m="1" x="177"/>
        <item m="1" x="257"/>
        <item m="1" x="249"/>
        <item x="58"/>
        <item x="1"/>
        <item x="2"/>
        <item x="78"/>
        <item x="5"/>
        <item m="1" x="157"/>
        <item m="1" x="241"/>
        <item x="9"/>
        <item x="79"/>
        <item x="47"/>
        <item x="10"/>
        <item x="3"/>
        <item x="41"/>
        <item x="0"/>
        <item x="39"/>
        <item x="57"/>
        <item x="83"/>
        <item x="12"/>
        <item x="13"/>
        <item m="1" x="173"/>
        <item m="1" x="255"/>
        <item x="76"/>
        <item x="21"/>
        <item x="6"/>
        <item x="22"/>
        <item m="1" x="106"/>
        <item x="31"/>
        <item x="15"/>
        <item x="14"/>
        <item x="19"/>
        <item x="44"/>
        <item x="51"/>
        <item m="1" x="184"/>
        <item x="42"/>
        <item x="69"/>
        <item m="1" x="158"/>
        <item x="8"/>
        <item x="26"/>
        <item x="4"/>
        <item x="29"/>
        <item x="52"/>
        <item x="43"/>
        <item x="27"/>
        <item x="46"/>
        <item x="80"/>
        <item x="84"/>
        <item x="59"/>
        <item x="61"/>
        <item x="62"/>
        <item x="18"/>
        <item x="53"/>
        <item x="49"/>
        <item x="63"/>
        <item x="64"/>
        <item x="50"/>
        <item x="65"/>
        <item x="66"/>
        <item x="34"/>
        <item x="55"/>
        <item x="67"/>
        <item x="68"/>
        <item x="16"/>
        <item x="17"/>
        <item x="20"/>
        <item x="28"/>
        <item x="25"/>
        <item x="48"/>
        <item m="1" x="250"/>
        <item x="73"/>
        <item x="70"/>
        <item x="24"/>
        <item x="23"/>
        <item x="35"/>
        <item x="36"/>
        <item x="37"/>
        <item x="38"/>
        <item x="54"/>
        <item x="56"/>
        <item x="60"/>
        <item x="71"/>
        <item x="72"/>
        <item x="74"/>
        <item x="75"/>
        <item x="81"/>
        <item x="82"/>
      </items>
    </pivotField>
    <pivotField compact="0" outline="0" subtotalTop="0" showAll="0" includeNewItemsInFilter="1" defaultSubtotal="0">
      <items count="28">
        <item m="1" x="20"/>
        <item m="1" x="14"/>
        <item m="1" x="22"/>
        <item m="1" x="17"/>
        <item m="1" x="24"/>
        <item m="1" x="19"/>
        <item x="9"/>
        <item m="1" x="26"/>
        <item m="1" x="27"/>
        <item m="1" x="10"/>
        <item m="1" x="11"/>
        <item m="1" x="12"/>
        <item x="4"/>
        <item x="2"/>
        <item m="1" x="16"/>
        <item m="1" x="13"/>
        <item m="1" x="15"/>
        <item m="1" x="18"/>
        <item m="1" x="21"/>
        <item m="1" x="23"/>
        <item m="1" x="25"/>
        <item x="1"/>
        <item x="7"/>
        <item x="0"/>
        <item x="3"/>
        <item x="5"/>
        <item x="8"/>
        <item x="6"/>
      </items>
    </pivotField>
    <pivotField axis="axisCol" compact="0" outline="0" subtotalTop="0" showAll="0" includeNewItemsInFilter="1" defaultSubtotal="0">
      <items count="21">
        <item m="1" x="18"/>
        <item m="1" x="19"/>
        <item m="1" x="20"/>
        <item m="1" x="13"/>
        <item m="1" x="8"/>
        <item m="1" x="14"/>
        <item m="1" x="9"/>
        <item m="1" x="15"/>
        <item m="1" x="10"/>
        <item m="1" x="16"/>
        <item m="1" x="11"/>
        <item m="1" x="17"/>
        <item m="1" x="12"/>
        <item x="7"/>
        <item x="0"/>
        <item x="1"/>
        <item x="2"/>
        <item x="6"/>
        <item x="4"/>
        <item x="5"/>
        <item x="3"/>
      </items>
    </pivotField>
    <pivotField compact="0" outline="0" subtotalTop="0" showAll="0" includeNewItemsInFilter="1" defaultSubtotal="0">
      <items count="4">
        <item x="1"/>
        <item x="0"/>
        <item x="2"/>
        <item x="3"/>
      </items>
    </pivotField>
    <pivotField compact="0" outline="0" subtotalTop="0" showAll="0" includeNewItemsInFilter="1">
      <items count="54">
        <item m="1" x="40"/>
        <item x="28"/>
        <item x="26"/>
        <item x="25"/>
        <item m="1" x="39"/>
        <item m="1" x="49"/>
        <item m="1" x="36"/>
        <item m="1" x="42"/>
        <item x="30"/>
        <item m="1" x="45"/>
        <item x="6"/>
        <item m="1" x="33"/>
        <item m="1" x="34"/>
        <item m="1" x="37"/>
        <item m="1" x="35"/>
        <item m="1" x="46"/>
        <item x="12"/>
        <item h="1" x="32"/>
        <item m="1" x="48"/>
        <item m="1" x="41"/>
        <item m="1" x="52"/>
        <item m="1" x="50"/>
        <item m="1" x="47"/>
        <item m="1" x="43"/>
        <item x="5"/>
        <item x="10"/>
        <item x="24"/>
        <item x="0"/>
        <item x="11"/>
        <item m="1" x="38"/>
        <item x="4"/>
        <item x="19"/>
        <item x="16"/>
        <item x="9"/>
        <item x="23"/>
        <item x="20"/>
        <item m="1" x="51"/>
        <item x="1"/>
        <item x="13"/>
        <item m="1" x="44"/>
        <item x="27"/>
        <item x="18"/>
        <item x="29"/>
        <item x="2"/>
        <item x="3"/>
        <item x="14"/>
        <item x="21"/>
        <item x="7"/>
        <item x="15"/>
        <item x="31"/>
        <item x="8"/>
        <item x="17"/>
        <item x="22"/>
        <item t="default"/>
      </items>
    </pivotField>
    <pivotField axis="axisRow" compact="0" outline="0" subtotalTop="0" showAll="0" includeNewItemsInFilter="1" sortType="ascending">
      <items count="38">
        <item x="14"/>
        <item x="10"/>
        <item x="12"/>
        <item x="7"/>
        <item x="18"/>
        <item x="8"/>
        <item x="25"/>
        <item x="26"/>
        <item x="27"/>
        <item x="29"/>
        <item x="28"/>
        <item x="2"/>
        <item x="5"/>
        <item x="6"/>
        <item m="1" x="36"/>
        <item x="11"/>
        <item x="13"/>
        <item x="17"/>
        <item x="3"/>
        <item x="19"/>
        <item x="24"/>
        <item x="16"/>
        <item x="4"/>
        <item m="1" x="34"/>
        <item x="31"/>
        <item x="15"/>
        <item x="0"/>
        <item m="1" x="33"/>
        <item x="21"/>
        <item x="23"/>
        <item x="32"/>
        <item x="20"/>
        <item x="30"/>
        <item x="1"/>
        <item x="22"/>
        <item m="1" x="35"/>
        <item x="9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>
      <items count="27">
        <item x="10"/>
        <item x="9"/>
        <item x="17"/>
        <item x="18"/>
        <item x="5"/>
        <item x="4"/>
        <item x="0"/>
        <item x="13"/>
        <item x="1"/>
        <item h="1" x="19"/>
        <item m="1" x="23"/>
        <item m="1" x="22"/>
        <item x="8"/>
        <item x="7"/>
        <item x="14"/>
        <item x="16"/>
        <item m="1" x="21"/>
        <item m="1" x="20"/>
        <item m="1" x="25"/>
        <item m="1" x="24"/>
        <item x="12"/>
        <item x="2"/>
        <item x="3"/>
        <item x="11"/>
        <item x="15"/>
        <item x="6"/>
        <item t="default"/>
      </items>
    </pivotField>
    <pivotField compact="0" outline="0" subtotalTop="0" showAll="0" includeNewItemsInFilter="1">
      <items count="42">
        <item x="1"/>
        <item x="15"/>
        <item m="1" x="29"/>
        <item x="0"/>
        <item x="9"/>
        <item x="5"/>
        <item x="2"/>
        <item x="8"/>
        <item x="18"/>
        <item x="21"/>
        <item x="6"/>
        <item x="20"/>
        <item x="19"/>
        <item x="3"/>
        <item x="25"/>
        <item m="1" x="36"/>
        <item x="7"/>
        <item x="4"/>
        <item m="1" x="39"/>
        <item m="1" x="28"/>
        <item x="14"/>
        <item m="1" x="35"/>
        <item x="22"/>
        <item m="1" x="40"/>
        <item m="1" x="31"/>
        <item m="1" x="34"/>
        <item m="1" x="27"/>
        <item m="1" x="37"/>
        <item m="1" x="32"/>
        <item m="1" x="26"/>
        <item m="1" x="38"/>
        <item x="11"/>
        <item x="12"/>
        <item m="1" x="30"/>
        <item x="17"/>
        <item x="13"/>
        <item m="1" x="33"/>
        <item x="23"/>
        <item x="10"/>
        <item x="24"/>
        <item x="16"/>
        <item t="default"/>
      </items>
    </pivotField>
    <pivotField axis="axisPage" compact="0" outline="0" subtotalTop="0" multipleItemSelectionAllowed="1" showAll="0" includeNewItemsInFilter="1" defaultSubtotal="0">
      <items count="4">
        <item m="1" x="3"/>
        <item x="0"/>
        <item h="1" m="1" x="2"/>
        <item h="1" x="1"/>
      </items>
    </pivotField>
    <pivotField compact="0" outline="0" subtotalTop="0" showAll="0" includeNewItemsInFilter="1" defaultSubtotal="0">
      <items count="783">
        <item x="777"/>
        <item m="1" x="778"/>
        <item m="1" x="782"/>
        <item m="1" x="781"/>
        <item m="1" x="780"/>
        <item m="1" x="779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2"/>
        <item x="3"/>
        <item x="4"/>
        <item x="5"/>
        <item x="6"/>
        <item x="7"/>
        <item x="8"/>
        <item x="22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653"/>
        <item x="654"/>
        <item x="655"/>
        <item x="656"/>
        <item x="657"/>
        <item x="658"/>
        <item x="659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660"/>
        <item x="661"/>
        <item x="662"/>
        <item x="663"/>
        <item x="664"/>
        <item x="665"/>
        <item x="666"/>
        <item x="667"/>
        <item x="668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379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195"/>
        <item x="196"/>
        <item x="197"/>
        <item x="198"/>
        <item x="199"/>
        <item x="200"/>
        <item x="201"/>
        <item x="380"/>
        <item x="381"/>
        <item x="382"/>
        <item x="383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384"/>
        <item x="385"/>
        <item x="386"/>
        <item x="387"/>
        <item x="388"/>
        <item x="389"/>
        <item x="3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391"/>
        <item x="392"/>
        <item x="393"/>
        <item x="394"/>
        <item x="395"/>
        <item x="396"/>
        <item x="703"/>
        <item x="704"/>
        <item x="705"/>
        <item x="706"/>
        <item x="707"/>
        <item x="708"/>
        <item x="709"/>
        <item x="710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397"/>
        <item x="398"/>
        <item x="399"/>
        <item x="400"/>
        <item x="614"/>
        <item x="615"/>
        <item x="616"/>
        <item x="617"/>
        <item x="618"/>
        <item x="619"/>
        <item x="620"/>
        <item x="621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91"/>
        <item x="92"/>
        <item x="93"/>
        <item x="297"/>
        <item x="298"/>
        <item x="299"/>
        <item x="300"/>
        <item x="301"/>
        <item x="302"/>
        <item x="303"/>
        <item x="304"/>
        <item x="305"/>
        <item x="401"/>
        <item x="402"/>
        <item x="765"/>
        <item x="766"/>
        <item x="767"/>
        <item x="768"/>
        <item x="769"/>
        <item x="770"/>
        <item x="771"/>
        <item x="772"/>
        <item x="773"/>
        <item x="774"/>
        <item x="94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119"/>
        <item x="418"/>
        <item x="419"/>
        <item x="420"/>
        <item x="421"/>
        <item x="422"/>
        <item x="423"/>
        <item x="775"/>
        <item x="776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424"/>
        <item x="425"/>
        <item x="426"/>
        <item x="427"/>
        <item x="428"/>
        <item x="429"/>
        <item x="430"/>
        <item x="431"/>
        <item x="432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0"/>
        <item x="1"/>
        <item x="131"/>
        <item x="132"/>
        <item x="133"/>
        <item x="134"/>
        <item x="135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</items>
    </pivotField>
    <pivotField axis="axisPage" compact="0" outline="0" subtotalTop="0" multipleItemSelectionAllowed="1" showAll="0" includeNewItemsInFilter="1" defaultSubtotal="0">
      <items count="7">
        <item h="1" x="3"/>
        <item x="5"/>
        <item x="6"/>
        <item x="4"/>
        <item h="1" x="2"/>
        <item x="0"/>
        <item x="1"/>
      </items>
    </pivotField>
    <pivotField compact="0" outline="0" subtotalTop="0" showAll="0" includeNewItemsInFilter="1" defaultSubtotal="0"/>
    <pivotField compact="0" outline="0" subtotalTop="0" showAll="0" includeNewItemsInFilter="1">
      <items count="23">
        <item x="1"/>
        <item x="3"/>
        <item x="4"/>
        <item x="0"/>
        <item x="20"/>
        <item m="1" x="21"/>
        <item x="6"/>
        <item x="2"/>
        <item x="5"/>
        <item x="14"/>
        <item x="15"/>
        <item x="16"/>
        <item x="7"/>
        <item x="8"/>
        <item x="9"/>
        <item x="17"/>
        <item x="18"/>
        <item x="10"/>
        <item x="13"/>
        <item x="19"/>
        <item x="11"/>
        <item x="12"/>
        <item t="default"/>
      </items>
    </pivotField>
    <pivotField compact="0" outline="0" subtotalTop="0" showAll="0" includeNewItemsInFilter="1" defaultSubtotal="0">
      <items count="172">
        <item m="1" x="80"/>
        <item m="1" x="110"/>
        <item m="1" x="141"/>
        <item m="1" x="123"/>
        <item m="1" x="146"/>
        <item m="1" x="79"/>
        <item m="1" x="126"/>
        <item m="1" x="64"/>
        <item m="1" x="108"/>
        <item m="1" x="138"/>
        <item m="1" x="77"/>
        <item m="1" x="167"/>
        <item m="1" x="101"/>
        <item m="1" x="134"/>
        <item m="1" x="115"/>
        <item m="1" x="161"/>
        <item m="1" x="97"/>
        <item m="1" x="130"/>
        <item m="1" x="67"/>
        <item m="1" x="112"/>
        <item m="1" x="158"/>
        <item m="1" x="99"/>
        <item m="1" x="82"/>
        <item m="1" x="70"/>
        <item m="1" x="95"/>
        <item m="1" x="148"/>
        <item m="1" x="81"/>
        <item m="1" x="128"/>
        <item m="1" x="91"/>
        <item x="8"/>
        <item m="1" x="124"/>
        <item m="1" x="73"/>
        <item m="1" x="117"/>
        <item m="1" x="136"/>
        <item m="1" x="170"/>
        <item m="1" x="164"/>
        <item m="1" x="139"/>
        <item m="1" x="102"/>
        <item m="1" x="71"/>
        <item m="1" x="85"/>
        <item m="1" x="131"/>
        <item m="1" x="135"/>
        <item m="1" x="150"/>
        <item m="1" x="61"/>
        <item m="1" x="143"/>
        <item m="1" x="125"/>
        <item m="1" x="87"/>
        <item m="1" x="119"/>
        <item m="1" x="165"/>
        <item m="1" x="153"/>
        <item m="1" x="154"/>
        <item m="1" x="142"/>
        <item m="1" x="104"/>
        <item m="1" x="127"/>
        <item m="1" x="72"/>
        <item m="1" x="116"/>
        <item m="1" x="151"/>
        <item m="1" x="155"/>
        <item m="1" x="88"/>
        <item m="1" x="162"/>
        <item m="1" x="106"/>
        <item m="1" x="144"/>
        <item m="1" x="159"/>
        <item m="1" x="62"/>
        <item m="1" x="133"/>
        <item m="1" x="114"/>
        <item m="1" x="96"/>
        <item m="1" x="171"/>
        <item m="1" x="160"/>
        <item m="1" x="83"/>
        <item m="1" x="149"/>
        <item m="1" x="137"/>
        <item m="1" x="105"/>
        <item m="1" x="74"/>
        <item m="1" x="100"/>
        <item m="1" x="118"/>
        <item m="1" x="98"/>
        <item m="1" x="132"/>
        <item m="1" x="68"/>
        <item m="1" x="113"/>
        <item m="1" x="93"/>
        <item m="1" x="109"/>
        <item m="1" x="156"/>
        <item m="1" x="90"/>
        <item m="1" x="121"/>
        <item m="1" x="65"/>
        <item m="1" x="86"/>
        <item m="1" x="168"/>
        <item m="1" x="103"/>
        <item m="1" x="92"/>
        <item m="1" x="145"/>
        <item m="1" x="107"/>
        <item m="1" x="63"/>
        <item m="1" x="76"/>
        <item m="1" x="166"/>
        <item m="1" x="89"/>
        <item m="1" x="84"/>
        <item m="1" x="129"/>
        <item m="1" x="66"/>
        <item m="1" x="111"/>
        <item m="1" x="78"/>
        <item m="1" x="69"/>
        <item m="1" x="94"/>
        <item m="1" x="152"/>
        <item m="1" x="120"/>
        <item m="1" x="147"/>
        <item m="1" x="169"/>
        <item m="1" x="122"/>
        <item m="1" x="140"/>
        <item m="1" x="163"/>
        <item x="12"/>
        <item x="27"/>
        <item x="28"/>
        <item x="29"/>
        <item x="0"/>
        <item x="30"/>
        <item x="1"/>
        <item m="1" x="157"/>
        <item x="40"/>
        <item x="41"/>
        <item x="13"/>
        <item x="54"/>
        <item x="9"/>
        <item x="2"/>
        <item x="3"/>
        <item x="14"/>
        <item x="4"/>
        <item x="55"/>
        <item x="31"/>
        <item x="15"/>
        <item x="16"/>
        <item x="32"/>
        <item x="17"/>
        <item x="56"/>
        <item x="5"/>
        <item x="42"/>
        <item m="1" x="75"/>
        <item x="10"/>
        <item x="18"/>
        <item x="19"/>
        <item x="20"/>
        <item x="21"/>
        <item x="57"/>
        <item x="48"/>
        <item x="22"/>
        <item x="6"/>
        <item x="58"/>
        <item x="59"/>
        <item x="33"/>
        <item x="7"/>
        <item x="34"/>
        <item x="60"/>
        <item x="23"/>
        <item x="35"/>
        <item x="24"/>
        <item x="25"/>
        <item x="36"/>
        <item x="49"/>
        <item x="50"/>
        <item x="51"/>
        <item x="47"/>
        <item x="11"/>
        <item x="26"/>
        <item x="37"/>
        <item x="38"/>
        <item x="39"/>
        <item x="43"/>
        <item x="44"/>
        <item x="45"/>
        <item x="46"/>
        <item x="52"/>
        <item x="53"/>
      </items>
    </pivotField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 count="1">
    <field x="15"/>
  </rowFields>
  <rowItems count="19"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5"/>
    </i>
    <i>
      <x v="16"/>
    </i>
    <i>
      <x v="17"/>
    </i>
    <i>
      <x v="18"/>
    </i>
    <i>
      <x v="25"/>
    </i>
    <i>
      <x v="26"/>
    </i>
    <i>
      <x v="33"/>
    </i>
    <i>
      <x v="36"/>
    </i>
    <i t="grand">
      <x/>
    </i>
  </rowItems>
  <colFields count="1">
    <field x="12"/>
  </colFields>
  <colItems count="7">
    <i>
      <x v="14"/>
    </i>
    <i>
      <x v="15"/>
    </i>
    <i>
      <x v="16"/>
    </i>
    <i>
      <x v="17"/>
    </i>
    <i>
      <x v="18"/>
    </i>
    <i>
      <x v="20"/>
    </i>
    <i t="grand">
      <x/>
    </i>
  </colItems>
  <pageFields count="2">
    <pageField fld="21" hier="-1"/>
    <pageField fld="23" hier="-1"/>
  </pageFields>
  <dataFields count="1">
    <dataField name=" 실발주샘플수" fld="0" baseField="0" baseItem="0" numFmtId="3"/>
  </dataFields>
  <formats count="62">
    <format dxfId="406">
      <pivotArea field="19" type="button" dataOnly="0" labelOnly="1" outline="0"/>
    </format>
    <format dxfId="405">
      <pivotArea field="22" type="button" dataOnly="0" labelOnly="1" outline="0"/>
    </format>
    <format dxfId="404">
      <pivotArea field="22" type="button" dataOnly="0" labelOnly="1" outline="0"/>
    </format>
    <format dxfId="403">
      <pivotArea field="22" type="button" dataOnly="0" labelOnly="1" outline="0"/>
    </format>
    <format dxfId="402">
      <pivotArea type="origin" dataOnly="0" labelOnly="1" outline="0" offset="A2" fieldPosition="0"/>
    </format>
    <format dxfId="401">
      <pivotArea field="19" type="button" dataOnly="0" labelOnly="1" outline="0"/>
    </format>
    <format dxfId="400">
      <pivotArea field="19" type="button" dataOnly="0" labelOnly="1" outline="0"/>
    </format>
    <format dxfId="399">
      <pivotArea type="all" dataOnly="0" outline="0" fieldPosition="0"/>
    </format>
    <format dxfId="398">
      <pivotArea field="19" type="button" dataOnly="0" labelOnly="1" outline="0"/>
    </format>
    <format dxfId="397">
      <pivotArea dataOnly="0" grandRow="1" outline="0" fieldPosition="0"/>
    </format>
    <format dxfId="396">
      <pivotArea dataOnly="0" grandRow="1" outline="0" fieldPosition="0"/>
    </format>
    <format dxfId="395">
      <pivotArea field="14" type="button" dataOnly="0" labelOnly="1" outline="0"/>
    </format>
    <format dxfId="394">
      <pivotArea field="20" type="button" dataOnly="0" labelOnly="1" outline="0"/>
    </format>
    <format dxfId="393">
      <pivotArea field="14" type="button" dataOnly="0" labelOnly="1" outline="0"/>
    </format>
    <format dxfId="392">
      <pivotArea field="20" type="button" dataOnly="0" labelOnly="1" outline="0"/>
    </format>
    <format dxfId="391">
      <pivotArea field="22" type="button" dataOnly="0" labelOnly="1" outline="0"/>
    </format>
    <format dxfId="390">
      <pivotArea field="26" type="button" dataOnly="0" labelOnly="1" outline="0"/>
    </format>
    <format dxfId="389">
      <pivotArea field="10" type="button" dataOnly="0" labelOnly="1" outline="0"/>
    </format>
    <format dxfId="388">
      <pivotArea field="14" type="button" dataOnly="0" labelOnly="1" outline="0"/>
    </format>
    <format dxfId="387">
      <pivotArea field="20" type="button" dataOnly="0" labelOnly="1" outline="0"/>
    </format>
    <format dxfId="386">
      <pivotArea field="22" type="button" dataOnly="0" labelOnly="1" outline="0"/>
    </format>
    <format dxfId="385">
      <pivotArea field="25" type="button" dataOnly="0" labelOnly="1" outline="0"/>
    </format>
    <format dxfId="384">
      <pivotArea field="26" type="button" dataOnly="0" labelOnly="1" outline="0"/>
    </format>
    <format dxfId="383">
      <pivotArea field="10" type="button" dataOnly="0" labelOnly="1" outline="0"/>
    </format>
    <format dxfId="382">
      <pivotArea field="22" type="button" dataOnly="0" labelOnly="1" outline="0"/>
    </format>
    <format dxfId="381">
      <pivotArea field="25" type="button" dataOnly="0" labelOnly="1" outline="0"/>
    </format>
    <format dxfId="380">
      <pivotArea field="26" type="button" dataOnly="0" labelOnly="1" outline="0"/>
    </format>
    <format dxfId="379">
      <pivotArea field="10" type="button" dataOnly="0" labelOnly="1" outline="0"/>
    </format>
    <format dxfId="378">
      <pivotArea type="all" dataOnly="0" outline="0" fieldPosition="0"/>
    </format>
    <format dxfId="377">
      <pivotArea field="14" type="button" dataOnly="0" labelOnly="1" outline="0"/>
    </format>
    <format dxfId="376">
      <pivotArea field="14" type="button" dataOnly="0" labelOnly="1" outline="0"/>
    </format>
    <format dxfId="375">
      <pivotArea field="14" type="button" dataOnly="0" labelOnly="1" outline="0"/>
    </format>
    <format dxfId="374">
      <pivotArea field="20" type="button" dataOnly="0" labelOnly="1" outline="0"/>
    </format>
    <format dxfId="373">
      <pivotArea dataOnly="0" labelOnly="1" grandCol="1" outline="0" fieldPosition="0"/>
    </format>
    <format dxfId="372">
      <pivotArea field="14" type="button" dataOnly="0" labelOnly="1" outline="0"/>
    </format>
    <format dxfId="371">
      <pivotArea field="20" type="button" dataOnly="0" labelOnly="1" outline="0"/>
    </format>
    <format dxfId="370">
      <pivotArea dataOnly="0" labelOnly="1" grandCol="1" outline="0" fieldPosition="0"/>
    </format>
    <format dxfId="369">
      <pivotArea field="14" type="button" dataOnly="0" labelOnly="1" outline="0"/>
    </format>
    <format dxfId="368">
      <pivotArea field="20" type="button" dataOnly="0" labelOnly="1" outline="0"/>
    </format>
    <format dxfId="367">
      <pivotArea field="4" type="button" dataOnly="0" labelOnly="1" outline="0"/>
    </format>
    <format dxfId="366">
      <pivotArea dataOnly="0" labelOnly="1" grandCol="1" outline="0" fieldPosition="0"/>
    </format>
    <format dxfId="365">
      <pivotArea field="4" type="button" dataOnly="0" labelOnly="1" outline="0"/>
    </format>
    <format dxfId="364">
      <pivotArea outline="0" fieldPosition="0"/>
    </format>
    <format dxfId="363">
      <pivotArea field="11" type="button" dataOnly="0" labelOnly="1" outline="0"/>
    </format>
    <format dxfId="362">
      <pivotArea type="topRight" dataOnly="0" labelOnly="1" outline="0" fieldPosition="0"/>
    </format>
    <format dxfId="361">
      <pivotArea dataOnly="0" labelOnly="1" grandCol="1" outline="0" fieldPosition="0"/>
    </format>
    <format dxfId="360">
      <pivotArea outline="0" fieldPosition="0"/>
    </format>
    <format dxfId="359">
      <pivotArea field="11" type="button" dataOnly="0" labelOnly="1" outline="0"/>
    </format>
    <format dxfId="358">
      <pivotArea type="topRight" dataOnly="0" labelOnly="1" outline="0" fieldPosition="0"/>
    </format>
    <format dxfId="357">
      <pivotArea dataOnly="0" labelOnly="1" grandCol="1" outline="0" fieldPosition="0"/>
    </format>
    <format dxfId="356">
      <pivotArea dataOnly="0" labelOnly="1" grandRow="1" outline="0" fieldPosition="0"/>
    </format>
    <format dxfId="355">
      <pivotArea field="15" type="button" dataOnly="0" labelOnly="1" outline="0" axis="axisRow" fieldPosition="0"/>
    </format>
    <format dxfId="354">
      <pivotArea field="5" type="button" dataOnly="0" labelOnly="1" outline="0"/>
    </format>
    <format dxfId="353">
      <pivotArea dataOnly="0" labelOnly="1" grandCol="1" outline="0" fieldPosition="0"/>
    </format>
    <format dxfId="352">
      <pivotArea dataOnly="0" outline="0" fieldPosition="0">
        <references count="1">
          <reference field="15" count="0" defaultSubtotal="1"/>
        </references>
      </pivotArea>
    </format>
    <format dxfId="351">
      <pivotArea field="15" type="button" dataOnly="0" labelOnly="1" outline="0" axis="axisRow" fieldPosition="0"/>
    </format>
    <format dxfId="350">
      <pivotArea field="5" type="button" dataOnly="0" labelOnly="1" outline="0"/>
    </format>
    <format dxfId="349">
      <pivotArea dataOnly="0" labelOnly="1" grandCol="1" outline="0" fieldPosition="0"/>
    </format>
    <format dxfId="348">
      <pivotArea field="21" type="button" dataOnly="0" labelOnly="1" outline="0" axis="axisPage" fieldPosition="0"/>
    </format>
    <format dxfId="347">
      <pivotArea field="23" type="button" dataOnly="0" labelOnly="1" outline="0" axis="axisPage" fieldPosition="1"/>
    </format>
    <format dxfId="346">
      <pivotArea field="13" type="button" dataOnly="0" labelOnly="1" outline="0"/>
    </format>
    <format dxfId="345">
      <pivotArea outline="0" fieldPosition="0">
        <references count="1">
          <reference field="4294967294" count="1">
            <x v="0"/>
          </reference>
        </references>
      </pivotArea>
    </format>
  </formats>
  <pivotTableStyleInfo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피벗 테이블1" cacheId="47" applyNumberFormats="0" applyBorderFormats="0" applyFontFormats="0" applyPatternFormats="0" applyAlignmentFormats="0" applyWidthHeightFormats="1" dataCaption="데이터" updatedVersion="3" asteriskTotals="1" showMemberPropertyTips="0" useAutoFormatting="1" itemPrintTitles="1" createdVersion="1" indent="0" compact="0" compactData="0" gridDropZones="1">
  <location ref="BO6:BX63" firstHeaderRow="1" firstDataRow="2" firstDataCol="3" rowPageCount="2" colPageCount="1"/>
  <pivotFields count="38"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>
      <items count="17">
        <item m="1" x="15"/>
        <item m="1" x="16"/>
        <item m="1" x="7"/>
        <item h="1" x="6"/>
        <item x="3"/>
        <item m="1" x="8"/>
        <item m="1" x="9"/>
        <item m="1" x="10"/>
        <item m="1" x="11"/>
        <item m="1" x="13"/>
        <item m="1" x="12"/>
        <item m="1" x="14"/>
        <item x="0"/>
        <item x="1"/>
        <item x="2"/>
        <item x="5"/>
        <item x="4"/>
      </items>
    </pivotField>
    <pivotField axis="axisRow" compact="0" outline="0" subtotalTop="0" showAll="0" includeNewItemsInFilter="1" sortType="ascending" defaultSubtotal="0">
      <items count="23">
        <item m="1" x="16"/>
        <item m="1" x="17"/>
        <item m="1" x="18"/>
        <item m="1" x="19"/>
        <item m="1" x="20"/>
        <item m="1" x="21"/>
        <item m="1" x="22"/>
        <item m="1" x="14"/>
        <item m="1" x="12"/>
        <item m="1" x="15"/>
        <item m="1" x="13"/>
        <item x="10"/>
        <item x="6"/>
        <item x="0"/>
        <item x="8"/>
        <item x="1"/>
        <item x="9"/>
        <item x="2"/>
        <item x="7"/>
        <item x="3"/>
        <item x="4"/>
        <item x="5"/>
        <item h="1" x="11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>
      <items count="277">
        <item x="30"/>
        <item m="1" x="251"/>
        <item m="1" x="110"/>
        <item m="1" x="225"/>
        <item m="1" x="195"/>
        <item m="1" x="222"/>
        <item m="1" x="162"/>
        <item m="1" x="212"/>
        <item m="1" x="263"/>
        <item m="1" x="152"/>
        <item m="1" x="202"/>
        <item m="1" x="93"/>
        <item m="1" x="174"/>
        <item m="1" x="256"/>
        <item m="1" x="144"/>
        <item m="1" x="159"/>
        <item m="1" x="242"/>
        <item m="1" x="99"/>
        <item m="1" x="151"/>
        <item m="1" x="233"/>
        <item m="1" x="121"/>
        <item m="1" x="199"/>
        <item m="1" x="90"/>
        <item m="1" x="142"/>
        <item m="1" x="114"/>
        <item m="1" x="275"/>
        <item m="1" x="134"/>
        <item m="1" x="185"/>
        <item m="1" x="265"/>
        <item m="1" x="206"/>
        <item m="1" x="111"/>
        <item m="1" x="163"/>
        <item m="1" x="245"/>
        <item m="1" x="131"/>
        <item m="1" x="213"/>
        <item m="1" x="103"/>
        <item m="1" x="124"/>
        <item x="85"/>
        <item m="1" x="102"/>
        <item m="1" x="153"/>
        <item m="1" x="115"/>
        <item m="1" x="253"/>
        <item m="1" x="107"/>
        <item m="1" x="190"/>
        <item m="1" x="238"/>
        <item m="1" x="94"/>
        <item m="1" x="126"/>
        <item m="1" x="139"/>
        <item m="1" x="117"/>
        <item m="1" x="223"/>
        <item m="1" x="186"/>
        <item m="1" x="203"/>
        <item m="1" x="136"/>
        <item m="1" x="216"/>
        <item m="1" x="180"/>
        <item m="1" x="91"/>
        <item m="1" x="145"/>
        <item m="1" x="226"/>
        <item m="1" x="86"/>
        <item m="1" x="101"/>
        <item m="1" x="268"/>
        <item m="1" x="193"/>
        <item m="1" x="272"/>
        <item m="1" x="171"/>
        <item m="1" x="219"/>
        <item m="1" x="235"/>
        <item m="1" x="108"/>
        <item m="1" x="227"/>
        <item m="1" x="217"/>
        <item m="1" x="276"/>
        <item m="1" x="166"/>
        <item m="1" x="207"/>
        <item m="1" x="127"/>
        <item m="1" x="258"/>
        <item m="1" x="196"/>
        <item m="1" x="236"/>
        <item m="1" x="137"/>
        <item m="1" x="228"/>
        <item m="1" x="191"/>
        <item m="1" x="143"/>
        <item m="1" x="239"/>
        <item m="1" x="248"/>
        <item m="1" x="135"/>
        <item m="1" x="266"/>
        <item m="1" x="243"/>
        <item m="1" x="154"/>
        <item m="1" x="146"/>
        <item m="1" x="119"/>
        <item m="1" x="175"/>
        <item m="1" x="95"/>
        <item m="1" x="182"/>
        <item m="1" x="231"/>
        <item m="1" x="269"/>
        <item m="1" x="160"/>
        <item m="1" x="129"/>
        <item m="1" x="234"/>
        <item m="1" x="169"/>
        <item m="1" x="156"/>
        <item m="1" x="140"/>
        <item m="1" x="112"/>
        <item m="1" x="149"/>
        <item m="1" x="178"/>
        <item m="1" x="259"/>
        <item m="1" x="260"/>
        <item m="1" x="273"/>
        <item m="1" x="246"/>
        <item m="1" x="97"/>
        <item m="1" x="188"/>
        <item m="1" x="252"/>
        <item m="1" x="164"/>
        <item m="1" x="109"/>
        <item m="1" x="132"/>
        <item m="1" x="88"/>
        <item m="1" x="167"/>
        <item m="1" x="220"/>
        <item m="1" x="130"/>
        <item m="1" x="87"/>
        <item m="1" x="147"/>
        <item m="1" x="229"/>
        <item m="1" x="138"/>
        <item m="1" x="122"/>
        <item m="1" x="267"/>
        <item m="1" x="92"/>
        <item m="1" x="179"/>
        <item m="1" x="208"/>
        <item m="1" x="270"/>
        <item m="1" x="194"/>
        <item m="1" x="116"/>
        <item m="1" x="181"/>
        <item m="1" x="261"/>
        <item m="1" x="244"/>
        <item m="1" x="197"/>
        <item m="1" x="170"/>
        <item m="1" x="100"/>
        <item m="1" x="210"/>
        <item m="1" x="187"/>
        <item m="1" x="254"/>
        <item m="1" x="98"/>
        <item m="1" x="150"/>
        <item m="1" x="240"/>
        <item m="1" x="200"/>
        <item m="1" x="198"/>
        <item m="1" x="224"/>
        <item m="1" x="118"/>
        <item m="1" x="120"/>
        <item m="1" x="89"/>
        <item m="1" x="172"/>
        <item m="1" x="141"/>
        <item m="1" x="214"/>
        <item m="1" x="247"/>
        <item m="1" x="96"/>
        <item m="1" x="209"/>
        <item m="1" x="183"/>
        <item m="1" x="232"/>
        <item m="1" x="264"/>
        <item m="1" x="128"/>
        <item m="1" x="133"/>
        <item m="1" x="125"/>
        <item m="1" x="221"/>
        <item m="1" x="271"/>
        <item m="1" x="113"/>
        <item m="1" x="274"/>
        <item m="1" x="161"/>
        <item m="1" x="201"/>
        <item m="1" x="104"/>
        <item m="1" x="204"/>
        <item m="1" x="123"/>
        <item m="1" x="155"/>
        <item m="1" x="176"/>
        <item m="1" x="189"/>
        <item m="1" x="262"/>
        <item m="1" x="211"/>
        <item m="1" x="192"/>
        <item m="1" x="237"/>
        <item m="1" x="165"/>
        <item m="1" x="215"/>
        <item m="1" x="218"/>
        <item x="7"/>
        <item x="33"/>
        <item x="45"/>
        <item x="40"/>
        <item x="11"/>
        <item x="32"/>
        <item m="1" x="168"/>
        <item m="1" x="148"/>
        <item m="1" x="105"/>
        <item m="1" x="230"/>
        <item m="1" x="205"/>
        <item x="77"/>
        <item m="1" x="177"/>
        <item m="1" x="257"/>
        <item m="1" x="249"/>
        <item x="58"/>
        <item x="1"/>
        <item x="2"/>
        <item x="78"/>
        <item x="5"/>
        <item m="1" x="157"/>
        <item m="1" x="241"/>
        <item x="9"/>
        <item x="79"/>
        <item x="47"/>
        <item x="10"/>
        <item x="3"/>
        <item x="41"/>
        <item x="0"/>
        <item x="39"/>
        <item x="57"/>
        <item x="83"/>
        <item x="12"/>
        <item x="13"/>
        <item m="1" x="173"/>
        <item m="1" x="255"/>
        <item x="76"/>
        <item x="21"/>
        <item x="6"/>
        <item x="22"/>
        <item m="1" x="106"/>
        <item x="31"/>
        <item x="15"/>
        <item x="14"/>
        <item x="19"/>
        <item x="44"/>
        <item x="51"/>
        <item m="1" x="184"/>
        <item x="42"/>
        <item x="69"/>
        <item m="1" x="158"/>
        <item x="8"/>
        <item x="26"/>
        <item x="4"/>
        <item x="29"/>
        <item x="52"/>
        <item x="43"/>
        <item x="27"/>
        <item x="46"/>
        <item x="80"/>
        <item x="84"/>
        <item x="59"/>
        <item x="61"/>
        <item x="62"/>
        <item x="18"/>
        <item x="53"/>
        <item x="49"/>
        <item x="63"/>
        <item x="64"/>
        <item x="50"/>
        <item x="65"/>
        <item x="66"/>
        <item x="34"/>
        <item x="55"/>
        <item x="67"/>
        <item x="68"/>
        <item x="16"/>
        <item x="17"/>
        <item x="20"/>
        <item x="28"/>
        <item x="25"/>
        <item x="48"/>
        <item m="1" x="250"/>
        <item x="73"/>
        <item x="70"/>
        <item x="24"/>
        <item x="23"/>
        <item x="35"/>
        <item x="36"/>
        <item x="37"/>
        <item x="38"/>
        <item x="54"/>
        <item x="56"/>
        <item x="60"/>
        <item x="71"/>
        <item x="72"/>
        <item x="74"/>
        <item x="75"/>
        <item x="81"/>
        <item x="82"/>
      </items>
    </pivotField>
    <pivotField compact="0" outline="0" subtotalTop="0" showAll="0" includeNewItemsInFilter="1" defaultSubtotal="0">
      <items count="28">
        <item m="1" x="20"/>
        <item m="1" x="14"/>
        <item m="1" x="22"/>
        <item m="1" x="17"/>
        <item m="1" x="24"/>
        <item m="1" x="19"/>
        <item x="9"/>
        <item m="1" x="26"/>
        <item m="1" x="27"/>
        <item m="1" x="10"/>
        <item m="1" x="11"/>
        <item m="1" x="12"/>
        <item x="4"/>
        <item x="2"/>
        <item m="1" x="16"/>
        <item m="1" x="13"/>
        <item m="1" x="15"/>
        <item m="1" x="18"/>
        <item m="1" x="21"/>
        <item m="1" x="23"/>
        <item m="1" x="25"/>
        <item x="1"/>
        <item x="7"/>
        <item x="0"/>
        <item x="3"/>
        <item x="5"/>
        <item x="8"/>
        <item x="6"/>
      </items>
    </pivotField>
    <pivotField axis="axisCol" compact="0" outline="0" subtotalTop="0" showAll="0" includeNewItemsInFilter="1" defaultSubtotal="0">
      <items count="21">
        <item m="1" x="18"/>
        <item m="1" x="19"/>
        <item m="1" x="20"/>
        <item m="1" x="13"/>
        <item m="1" x="8"/>
        <item m="1" x="14"/>
        <item m="1" x="9"/>
        <item m="1" x="15"/>
        <item m="1" x="10"/>
        <item m="1" x="16"/>
        <item m="1" x="11"/>
        <item m="1" x="17"/>
        <item m="1" x="12"/>
        <item x="7"/>
        <item x="0"/>
        <item x="1"/>
        <item x="2"/>
        <item x="6"/>
        <item x="4"/>
        <item x="5"/>
        <item x="3"/>
      </items>
    </pivotField>
    <pivotField axis="axisRow" compact="0" outline="0" subtotalTop="0" showAll="0" includeNewItemsInFilter="1" defaultSubtotal="0">
      <items count="4">
        <item x="1"/>
        <item x="0"/>
        <item x="2"/>
        <item x="3"/>
      </items>
    </pivotField>
    <pivotField compact="0" outline="0" subtotalTop="0" showAll="0" includeNewItemsInFilter="1">
      <items count="54">
        <item m="1" x="40"/>
        <item x="28"/>
        <item x="26"/>
        <item x="25"/>
        <item m="1" x="39"/>
        <item m="1" x="49"/>
        <item m="1" x="36"/>
        <item m="1" x="42"/>
        <item x="30"/>
        <item m="1" x="45"/>
        <item x="6"/>
        <item m="1" x="33"/>
        <item m="1" x="34"/>
        <item m="1" x="37"/>
        <item m="1" x="35"/>
        <item m="1" x="46"/>
        <item x="12"/>
        <item h="1" x="32"/>
        <item m="1" x="48"/>
        <item m="1" x="41"/>
        <item m="1" x="52"/>
        <item m="1" x="50"/>
        <item m="1" x="47"/>
        <item m="1" x="43"/>
        <item x="5"/>
        <item x="10"/>
        <item x="24"/>
        <item x="0"/>
        <item x="11"/>
        <item m="1" x="38"/>
        <item x="4"/>
        <item x="19"/>
        <item x="16"/>
        <item x="9"/>
        <item x="23"/>
        <item x="20"/>
        <item m="1" x="51"/>
        <item x="1"/>
        <item x="13"/>
        <item m="1" x="44"/>
        <item x="27"/>
        <item x="18"/>
        <item x="29"/>
        <item x="2"/>
        <item x="3"/>
        <item x="14"/>
        <item x="21"/>
        <item x="7"/>
        <item x="15"/>
        <item x="31"/>
        <item x="8"/>
        <item x="17"/>
        <item x="22"/>
        <item t="default"/>
      </items>
    </pivotField>
    <pivotField axis="axisRow" compact="0" outline="0" subtotalTop="0" showAll="0" includeNewItemsInFilter="1" sortType="ascending">
      <items count="38">
        <item x="14"/>
        <item x="10"/>
        <item x="12"/>
        <item x="7"/>
        <item x="18"/>
        <item x="8"/>
        <item x="25"/>
        <item x="26"/>
        <item x="27"/>
        <item x="29"/>
        <item x="28"/>
        <item x="2"/>
        <item x="5"/>
        <item x="6"/>
        <item m="1" x="36"/>
        <item x="11"/>
        <item x="13"/>
        <item x="17"/>
        <item x="3"/>
        <item x="19"/>
        <item x="24"/>
        <item x="16"/>
        <item x="4"/>
        <item m="1" x="34"/>
        <item x="31"/>
        <item x="15"/>
        <item x="0"/>
        <item m="1" x="33"/>
        <item x="21"/>
        <item x="23"/>
        <item x="32"/>
        <item x="20"/>
        <item x="30"/>
        <item x="1"/>
        <item x="22"/>
        <item m="1" x="35"/>
        <item x="9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>
      <items count="27">
        <item x="10"/>
        <item x="9"/>
        <item x="17"/>
        <item x="18"/>
        <item x="5"/>
        <item x="4"/>
        <item x="0"/>
        <item x="13"/>
        <item x="1"/>
        <item h="1" x="19"/>
        <item m="1" x="23"/>
        <item m="1" x="22"/>
        <item x="8"/>
        <item x="7"/>
        <item x="14"/>
        <item x="16"/>
        <item m="1" x="21"/>
        <item m="1" x="20"/>
        <item m="1" x="25"/>
        <item m="1" x="24"/>
        <item x="12"/>
        <item x="2"/>
        <item x="3"/>
        <item x="11"/>
        <item x="15"/>
        <item x="6"/>
        <item t="default"/>
      </items>
    </pivotField>
    <pivotField compact="0" outline="0" subtotalTop="0" showAll="0" includeNewItemsInFilter="1">
      <items count="42">
        <item x="1"/>
        <item x="15"/>
        <item m="1" x="29"/>
        <item x="0"/>
        <item x="9"/>
        <item x="5"/>
        <item x="2"/>
        <item x="8"/>
        <item x="18"/>
        <item x="21"/>
        <item x="6"/>
        <item x="20"/>
        <item x="19"/>
        <item x="3"/>
        <item x="25"/>
        <item m="1" x="36"/>
        <item x="7"/>
        <item x="4"/>
        <item m="1" x="39"/>
        <item m="1" x="28"/>
        <item x="14"/>
        <item m="1" x="35"/>
        <item x="22"/>
        <item m="1" x="40"/>
        <item m="1" x="31"/>
        <item m="1" x="34"/>
        <item m="1" x="27"/>
        <item m="1" x="37"/>
        <item m="1" x="32"/>
        <item m="1" x="26"/>
        <item m="1" x="38"/>
        <item x="11"/>
        <item x="12"/>
        <item m="1" x="30"/>
        <item x="17"/>
        <item x="13"/>
        <item m="1" x="33"/>
        <item x="23"/>
        <item x="10"/>
        <item x="24"/>
        <item x="16"/>
        <item t="default"/>
      </items>
    </pivotField>
    <pivotField axis="axisPage" compact="0" outline="0" subtotalTop="0" multipleItemSelectionAllowed="1" showAll="0" includeNewItemsInFilter="1" defaultSubtotal="0">
      <items count="4">
        <item m="1" x="3"/>
        <item x="0"/>
        <item h="1" m="1" x="2"/>
        <item h="1" x="1"/>
      </items>
    </pivotField>
    <pivotField compact="0" outline="0" subtotalTop="0" showAll="0" includeNewItemsInFilter="1" defaultSubtotal="0">
      <items count="783">
        <item x="777"/>
        <item m="1" x="778"/>
        <item m="1" x="782"/>
        <item m="1" x="781"/>
        <item m="1" x="780"/>
        <item m="1" x="779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2"/>
        <item x="3"/>
        <item x="4"/>
        <item x="5"/>
        <item x="6"/>
        <item x="7"/>
        <item x="8"/>
        <item x="22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653"/>
        <item x="654"/>
        <item x="655"/>
        <item x="656"/>
        <item x="657"/>
        <item x="658"/>
        <item x="659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660"/>
        <item x="661"/>
        <item x="662"/>
        <item x="663"/>
        <item x="664"/>
        <item x="665"/>
        <item x="666"/>
        <item x="667"/>
        <item x="668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379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195"/>
        <item x="196"/>
        <item x="197"/>
        <item x="198"/>
        <item x="199"/>
        <item x="200"/>
        <item x="201"/>
        <item x="380"/>
        <item x="381"/>
        <item x="382"/>
        <item x="383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384"/>
        <item x="385"/>
        <item x="386"/>
        <item x="387"/>
        <item x="388"/>
        <item x="389"/>
        <item x="3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391"/>
        <item x="392"/>
        <item x="393"/>
        <item x="394"/>
        <item x="395"/>
        <item x="396"/>
        <item x="703"/>
        <item x="704"/>
        <item x="705"/>
        <item x="706"/>
        <item x="707"/>
        <item x="708"/>
        <item x="709"/>
        <item x="710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397"/>
        <item x="398"/>
        <item x="399"/>
        <item x="400"/>
        <item x="614"/>
        <item x="615"/>
        <item x="616"/>
        <item x="617"/>
        <item x="618"/>
        <item x="619"/>
        <item x="620"/>
        <item x="621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91"/>
        <item x="92"/>
        <item x="93"/>
        <item x="297"/>
        <item x="298"/>
        <item x="299"/>
        <item x="300"/>
        <item x="301"/>
        <item x="302"/>
        <item x="303"/>
        <item x="304"/>
        <item x="305"/>
        <item x="401"/>
        <item x="402"/>
        <item x="765"/>
        <item x="766"/>
        <item x="767"/>
        <item x="768"/>
        <item x="769"/>
        <item x="770"/>
        <item x="771"/>
        <item x="772"/>
        <item x="773"/>
        <item x="774"/>
        <item x="94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119"/>
        <item x="418"/>
        <item x="419"/>
        <item x="420"/>
        <item x="421"/>
        <item x="422"/>
        <item x="423"/>
        <item x="775"/>
        <item x="776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424"/>
        <item x="425"/>
        <item x="426"/>
        <item x="427"/>
        <item x="428"/>
        <item x="429"/>
        <item x="430"/>
        <item x="431"/>
        <item x="432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0"/>
        <item x="1"/>
        <item x="131"/>
        <item x="132"/>
        <item x="133"/>
        <item x="134"/>
        <item x="135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</items>
    </pivotField>
    <pivotField axis="axisPage" compact="0" outline="0" subtotalTop="0" multipleItemSelectionAllowed="1" showAll="0" includeNewItemsInFilter="1" defaultSubtotal="0">
      <items count="7">
        <item h="1" x="3"/>
        <item x="5"/>
        <item x="6"/>
        <item x="4"/>
        <item h="1" x="2"/>
        <item x="0"/>
        <item x="1"/>
      </items>
    </pivotField>
    <pivotField compact="0" outline="0" subtotalTop="0" showAll="0" includeNewItemsInFilter="1" defaultSubtotal="0"/>
    <pivotField compact="0" outline="0" subtotalTop="0" showAll="0" includeNewItemsInFilter="1">
      <items count="23">
        <item x="1"/>
        <item x="3"/>
        <item x="4"/>
        <item x="0"/>
        <item x="20"/>
        <item m="1" x="21"/>
        <item x="6"/>
        <item x="2"/>
        <item x="5"/>
        <item x="14"/>
        <item x="15"/>
        <item x="16"/>
        <item x="7"/>
        <item x="8"/>
        <item x="9"/>
        <item x="17"/>
        <item x="18"/>
        <item x="10"/>
        <item x="13"/>
        <item x="19"/>
        <item x="11"/>
        <item x="12"/>
        <item t="default"/>
      </items>
    </pivotField>
    <pivotField compact="0" outline="0" subtotalTop="0" showAll="0" includeNewItemsInFilter="1" defaultSubtotal="0">
      <items count="172">
        <item m="1" x="80"/>
        <item m="1" x="110"/>
        <item m="1" x="141"/>
        <item m="1" x="123"/>
        <item m="1" x="146"/>
        <item m="1" x="79"/>
        <item m="1" x="126"/>
        <item m="1" x="64"/>
        <item m="1" x="108"/>
        <item m="1" x="138"/>
        <item m="1" x="77"/>
        <item m="1" x="167"/>
        <item m="1" x="101"/>
        <item m="1" x="134"/>
        <item m="1" x="115"/>
        <item m="1" x="161"/>
        <item m="1" x="97"/>
        <item m="1" x="130"/>
        <item m="1" x="67"/>
        <item m="1" x="112"/>
        <item m="1" x="158"/>
        <item m="1" x="99"/>
        <item m="1" x="82"/>
        <item m="1" x="70"/>
        <item m="1" x="95"/>
        <item m="1" x="148"/>
        <item m="1" x="81"/>
        <item m="1" x="128"/>
        <item m="1" x="91"/>
        <item x="8"/>
        <item m="1" x="124"/>
        <item m="1" x="73"/>
        <item m="1" x="117"/>
        <item m="1" x="136"/>
        <item m="1" x="170"/>
        <item m="1" x="164"/>
        <item m="1" x="139"/>
        <item m="1" x="102"/>
        <item m="1" x="71"/>
        <item m="1" x="85"/>
        <item m="1" x="131"/>
        <item m="1" x="135"/>
        <item m="1" x="150"/>
        <item m="1" x="61"/>
        <item m="1" x="143"/>
        <item m="1" x="125"/>
        <item m="1" x="87"/>
        <item m="1" x="119"/>
        <item m="1" x="165"/>
        <item m="1" x="153"/>
        <item m="1" x="154"/>
        <item m="1" x="142"/>
        <item m="1" x="104"/>
        <item m="1" x="127"/>
        <item m="1" x="72"/>
        <item m="1" x="116"/>
        <item m="1" x="151"/>
        <item m="1" x="155"/>
        <item m="1" x="88"/>
        <item m="1" x="162"/>
        <item m="1" x="106"/>
        <item m="1" x="144"/>
        <item m="1" x="159"/>
        <item m="1" x="62"/>
        <item m="1" x="133"/>
        <item m="1" x="114"/>
        <item m="1" x="96"/>
        <item m="1" x="171"/>
        <item m="1" x="160"/>
        <item m="1" x="83"/>
        <item m="1" x="149"/>
        <item m="1" x="137"/>
        <item m="1" x="105"/>
        <item m="1" x="74"/>
        <item m="1" x="100"/>
        <item m="1" x="118"/>
        <item m="1" x="98"/>
        <item m="1" x="132"/>
        <item m="1" x="68"/>
        <item m="1" x="113"/>
        <item m="1" x="93"/>
        <item m="1" x="109"/>
        <item m="1" x="156"/>
        <item m="1" x="90"/>
        <item m="1" x="121"/>
        <item m="1" x="65"/>
        <item m="1" x="86"/>
        <item m="1" x="168"/>
        <item m="1" x="103"/>
        <item m="1" x="92"/>
        <item m="1" x="145"/>
        <item m="1" x="107"/>
        <item m="1" x="63"/>
        <item m="1" x="76"/>
        <item m="1" x="166"/>
        <item m="1" x="89"/>
        <item m="1" x="84"/>
        <item m="1" x="129"/>
        <item m="1" x="66"/>
        <item m="1" x="111"/>
        <item m="1" x="78"/>
        <item m="1" x="69"/>
        <item m="1" x="94"/>
        <item m="1" x="152"/>
        <item m="1" x="120"/>
        <item m="1" x="147"/>
        <item m="1" x="169"/>
        <item m="1" x="122"/>
        <item m="1" x="140"/>
        <item m="1" x="163"/>
        <item x="12"/>
        <item x="27"/>
        <item x="28"/>
        <item x="29"/>
        <item x="0"/>
        <item x="30"/>
        <item x="1"/>
        <item m="1" x="157"/>
        <item x="40"/>
        <item x="41"/>
        <item x="13"/>
        <item x="54"/>
        <item x="9"/>
        <item x="2"/>
        <item x="3"/>
        <item x="14"/>
        <item x="4"/>
        <item x="55"/>
        <item x="31"/>
        <item x="15"/>
        <item x="16"/>
        <item x="32"/>
        <item x="17"/>
        <item x="56"/>
        <item x="5"/>
        <item x="42"/>
        <item m="1" x="75"/>
        <item x="10"/>
        <item x="18"/>
        <item x="19"/>
        <item x="20"/>
        <item x="21"/>
        <item x="57"/>
        <item x="48"/>
        <item x="22"/>
        <item x="6"/>
        <item x="58"/>
        <item x="59"/>
        <item x="33"/>
        <item x="7"/>
        <item x="34"/>
        <item x="60"/>
        <item x="23"/>
        <item x="35"/>
        <item x="24"/>
        <item x="25"/>
        <item x="36"/>
        <item x="49"/>
        <item x="50"/>
        <item x="51"/>
        <item x="47"/>
        <item x="11"/>
        <item x="26"/>
        <item x="37"/>
        <item x="38"/>
        <item x="39"/>
        <item x="43"/>
        <item x="44"/>
        <item x="45"/>
        <item x="46"/>
        <item x="52"/>
        <item x="53"/>
      </items>
    </pivotField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 count="3">
    <field x="15"/>
    <field x="13"/>
    <field x="5"/>
  </rowFields>
  <rowItems count="56">
    <i>
      <x v="3"/>
      <x/>
      <x v="20"/>
    </i>
    <i r="1">
      <x v="1"/>
      <x v="20"/>
    </i>
    <i t="default">
      <x v="3"/>
    </i>
    <i>
      <x v="4"/>
      <x v="1"/>
      <x v="20"/>
    </i>
    <i t="default">
      <x v="4"/>
    </i>
    <i>
      <x v="5"/>
      <x v="1"/>
      <x v="20"/>
    </i>
    <i t="default">
      <x v="5"/>
    </i>
    <i>
      <x v="6"/>
      <x v="1"/>
      <x v="13"/>
    </i>
    <i r="2">
      <x v="19"/>
    </i>
    <i r="2">
      <x v="20"/>
    </i>
    <i t="default">
      <x v="6"/>
    </i>
    <i>
      <x v="7"/>
      <x v="1"/>
      <x v="13"/>
    </i>
    <i t="default">
      <x v="7"/>
    </i>
    <i>
      <x v="8"/>
      <x v="1"/>
      <x v="20"/>
    </i>
    <i t="default">
      <x v="8"/>
    </i>
    <i>
      <x v="9"/>
      <x/>
      <x v="17"/>
    </i>
    <i r="2">
      <x v="20"/>
    </i>
    <i r="1">
      <x v="1"/>
      <x v="12"/>
    </i>
    <i r="2">
      <x v="17"/>
    </i>
    <i r="2">
      <x v="18"/>
    </i>
    <i r="2">
      <x v="19"/>
    </i>
    <i r="2">
      <x v="20"/>
    </i>
    <i t="default">
      <x v="9"/>
    </i>
    <i>
      <x v="11"/>
      <x/>
      <x v="15"/>
    </i>
    <i t="default">
      <x v="11"/>
    </i>
    <i>
      <x v="12"/>
      <x v="1"/>
      <x v="18"/>
    </i>
    <i r="2">
      <x v="19"/>
    </i>
    <i r="2">
      <x v="20"/>
    </i>
    <i t="default">
      <x v="12"/>
    </i>
    <i>
      <x v="13"/>
      <x v="1"/>
      <x v="20"/>
    </i>
    <i t="default">
      <x v="13"/>
    </i>
    <i>
      <x v="15"/>
      <x v="1"/>
      <x v="12"/>
    </i>
    <i r="2">
      <x v="13"/>
    </i>
    <i r="2">
      <x v="20"/>
    </i>
    <i r="1">
      <x v="2"/>
      <x v="20"/>
    </i>
    <i t="default">
      <x v="15"/>
    </i>
    <i>
      <x v="16"/>
      <x v="1"/>
      <x v="13"/>
    </i>
    <i r="2">
      <x v="20"/>
    </i>
    <i t="default">
      <x v="16"/>
    </i>
    <i>
      <x v="17"/>
      <x v="1"/>
      <x v="20"/>
    </i>
    <i t="default">
      <x v="17"/>
    </i>
    <i>
      <x v="18"/>
      <x/>
      <x v="17"/>
    </i>
    <i t="default">
      <x v="18"/>
    </i>
    <i>
      <x v="25"/>
      <x v="1"/>
      <x v="18"/>
    </i>
    <i r="2">
      <x v="19"/>
    </i>
    <i r="2">
      <x v="20"/>
    </i>
    <i t="default">
      <x v="25"/>
    </i>
    <i>
      <x v="26"/>
      <x v="1"/>
      <x v="13"/>
    </i>
    <i r="2">
      <x v="19"/>
    </i>
    <i r="2">
      <x v="20"/>
    </i>
    <i t="default">
      <x v="26"/>
    </i>
    <i>
      <x v="33"/>
      <x v="1"/>
      <x v="15"/>
    </i>
    <i t="default">
      <x v="33"/>
    </i>
    <i>
      <x v="36"/>
      <x v="1"/>
      <x v="20"/>
    </i>
    <i t="default">
      <x v="36"/>
    </i>
    <i t="grand">
      <x/>
    </i>
  </rowItems>
  <colFields count="1">
    <field x="12"/>
  </colFields>
  <colItems count="7">
    <i>
      <x v="14"/>
    </i>
    <i>
      <x v="15"/>
    </i>
    <i>
      <x v="16"/>
    </i>
    <i>
      <x v="17"/>
    </i>
    <i>
      <x v="18"/>
    </i>
    <i>
      <x v="20"/>
    </i>
    <i t="grand">
      <x/>
    </i>
  </colItems>
  <pageFields count="2">
    <pageField fld="21" hier="-1"/>
    <pageField fld="23" hier="-1"/>
  </pageFields>
  <dataFields count="1">
    <dataField name=" 실발주샘플수" fld="0" baseField="0" baseItem="0" numFmtId="3"/>
  </dataFields>
  <formats count="62">
    <format dxfId="468">
      <pivotArea field="19" type="button" dataOnly="0" labelOnly="1" outline="0"/>
    </format>
    <format dxfId="467">
      <pivotArea field="22" type="button" dataOnly="0" labelOnly="1" outline="0"/>
    </format>
    <format dxfId="466">
      <pivotArea field="22" type="button" dataOnly="0" labelOnly="1" outline="0"/>
    </format>
    <format dxfId="465">
      <pivotArea field="22" type="button" dataOnly="0" labelOnly="1" outline="0"/>
    </format>
    <format dxfId="464">
      <pivotArea type="origin" dataOnly="0" labelOnly="1" outline="0" offset="A2" fieldPosition="0"/>
    </format>
    <format dxfId="463">
      <pivotArea field="19" type="button" dataOnly="0" labelOnly="1" outline="0"/>
    </format>
    <format dxfId="462">
      <pivotArea field="19" type="button" dataOnly="0" labelOnly="1" outline="0"/>
    </format>
    <format dxfId="461">
      <pivotArea type="all" dataOnly="0" outline="0" fieldPosition="0"/>
    </format>
    <format dxfId="460">
      <pivotArea field="19" type="button" dataOnly="0" labelOnly="1" outline="0"/>
    </format>
    <format dxfId="459">
      <pivotArea dataOnly="0" grandRow="1" outline="0" fieldPosition="0"/>
    </format>
    <format dxfId="458">
      <pivotArea dataOnly="0" grandRow="1" outline="0" fieldPosition="0"/>
    </format>
    <format dxfId="457">
      <pivotArea field="14" type="button" dataOnly="0" labelOnly="1" outline="0"/>
    </format>
    <format dxfId="456">
      <pivotArea field="20" type="button" dataOnly="0" labelOnly="1" outline="0"/>
    </format>
    <format dxfId="455">
      <pivotArea field="14" type="button" dataOnly="0" labelOnly="1" outline="0"/>
    </format>
    <format dxfId="454">
      <pivotArea field="20" type="button" dataOnly="0" labelOnly="1" outline="0"/>
    </format>
    <format dxfId="453">
      <pivotArea field="22" type="button" dataOnly="0" labelOnly="1" outline="0"/>
    </format>
    <format dxfId="452">
      <pivotArea field="26" type="button" dataOnly="0" labelOnly="1" outline="0"/>
    </format>
    <format dxfId="451">
      <pivotArea field="10" type="button" dataOnly="0" labelOnly="1" outline="0"/>
    </format>
    <format dxfId="450">
      <pivotArea field="14" type="button" dataOnly="0" labelOnly="1" outline="0"/>
    </format>
    <format dxfId="449">
      <pivotArea field="20" type="button" dataOnly="0" labelOnly="1" outline="0"/>
    </format>
    <format dxfId="448">
      <pivotArea field="22" type="button" dataOnly="0" labelOnly="1" outline="0"/>
    </format>
    <format dxfId="447">
      <pivotArea field="25" type="button" dataOnly="0" labelOnly="1" outline="0"/>
    </format>
    <format dxfId="446">
      <pivotArea field="26" type="button" dataOnly="0" labelOnly="1" outline="0"/>
    </format>
    <format dxfId="445">
      <pivotArea field="10" type="button" dataOnly="0" labelOnly="1" outline="0"/>
    </format>
    <format dxfId="444">
      <pivotArea field="22" type="button" dataOnly="0" labelOnly="1" outline="0"/>
    </format>
    <format dxfId="443">
      <pivotArea field="25" type="button" dataOnly="0" labelOnly="1" outline="0"/>
    </format>
    <format dxfId="442">
      <pivotArea field="26" type="button" dataOnly="0" labelOnly="1" outline="0"/>
    </format>
    <format dxfId="441">
      <pivotArea field="10" type="button" dataOnly="0" labelOnly="1" outline="0"/>
    </format>
    <format dxfId="440">
      <pivotArea type="all" dataOnly="0" outline="0" fieldPosition="0"/>
    </format>
    <format dxfId="439">
      <pivotArea field="14" type="button" dataOnly="0" labelOnly="1" outline="0"/>
    </format>
    <format dxfId="438">
      <pivotArea field="14" type="button" dataOnly="0" labelOnly="1" outline="0"/>
    </format>
    <format dxfId="437">
      <pivotArea field="14" type="button" dataOnly="0" labelOnly="1" outline="0"/>
    </format>
    <format dxfId="436">
      <pivotArea field="20" type="button" dataOnly="0" labelOnly="1" outline="0"/>
    </format>
    <format dxfId="435">
      <pivotArea dataOnly="0" labelOnly="1" grandCol="1" outline="0" fieldPosition="0"/>
    </format>
    <format dxfId="434">
      <pivotArea field="14" type="button" dataOnly="0" labelOnly="1" outline="0"/>
    </format>
    <format dxfId="433">
      <pivotArea field="20" type="button" dataOnly="0" labelOnly="1" outline="0"/>
    </format>
    <format dxfId="432">
      <pivotArea dataOnly="0" labelOnly="1" grandCol="1" outline="0" fieldPosition="0"/>
    </format>
    <format dxfId="431">
      <pivotArea field="14" type="button" dataOnly="0" labelOnly="1" outline="0"/>
    </format>
    <format dxfId="430">
      <pivotArea field="20" type="button" dataOnly="0" labelOnly="1" outline="0"/>
    </format>
    <format dxfId="429">
      <pivotArea field="4" type="button" dataOnly="0" labelOnly="1" outline="0"/>
    </format>
    <format dxfId="428">
      <pivotArea dataOnly="0" labelOnly="1" grandCol="1" outline="0" fieldPosition="0"/>
    </format>
    <format dxfId="427">
      <pivotArea field="4" type="button" dataOnly="0" labelOnly="1" outline="0"/>
    </format>
    <format dxfId="426">
      <pivotArea outline="0" fieldPosition="0"/>
    </format>
    <format dxfId="425">
      <pivotArea field="11" type="button" dataOnly="0" labelOnly="1" outline="0"/>
    </format>
    <format dxfId="424">
      <pivotArea type="topRight" dataOnly="0" labelOnly="1" outline="0" fieldPosition="0"/>
    </format>
    <format dxfId="423">
      <pivotArea dataOnly="0" labelOnly="1" grandCol="1" outline="0" fieldPosition="0"/>
    </format>
    <format dxfId="422">
      <pivotArea outline="0" fieldPosition="0"/>
    </format>
    <format dxfId="421">
      <pivotArea field="11" type="button" dataOnly="0" labelOnly="1" outline="0"/>
    </format>
    <format dxfId="420">
      <pivotArea type="topRight" dataOnly="0" labelOnly="1" outline="0" fieldPosition="0"/>
    </format>
    <format dxfId="419">
      <pivotArea dataOnly="0" labelOnly="1" grandCol="1" outline="0" fieldPosition="0"/>
    </format>
    <format dxfId="418">
      <pivotArea dataOnly="0" labelOnly="1" grandRow="1" outline="0" fieldPosition="0"/>
    </format>
    <format dxfId="417">
      <pivotArea field="15" type="button" dataOnly="0" labelOnly="1" outline="0" axis="axisRow" fieldPosition="0"/>
    </format>
    <format dxfId="416">
      <pivotArea field="5" type="button" dataOnly="0" labelOnly="1" outline="0" axis="axisRow" fieldPosition="2"/>
    </format>
    <format dxfId="415">
      <pivotArea dataOnly="0" labelOnly="1" grandCol="1" outline="0" fieldPosition="0"/>
    </format>
    <format dxfId="414">
      <pivotArea dataOnly="0" outline="0" fieldPosition="0">
        <references count="1">
          <reference field="15" count="0" defaultSubtotal="1"/>
        </references>
      </pivotArea>
    </format>
    <format dxfId="413">
      <pivotArea field="15" type="button" dataOnly="0" labelOnly="1" outline="0" axis="axisRow" fieldPosition="0"/>
    </format>
    <format dxfId="412">
      <pivotArea field="5" type="button" dataOnly="0" labelOnly="1" outline="0" axis="axisRow" fieldPosition="2"/>
    </format>
    <format dxfId="411">
      <pivotArea dataOnly="0" labelOnly="1" grandCol="1" outline="0" fieldPosition="0"/>
    </format>
    <format dxfId="410">
      <pivotArea field="21" type="button" dataOnly="0" labelOnly="1" outline="0" axis="axisPage" fieldPosition="0"/>
    </format>
    <format dxfId="409">
      <pivotArea field="23" type="button" dataOnly="0" labelOnly="1" outline="0" axis="axisPage" fieldPosition="1"/>
    </format>
    <format dxfId="408">
      <pivotArea field="13" type="button" dataOnly="0" labelOnly="1" outline="0" axis="axisRow" fieldPosition="1"/>
    </format>
    <format dxfId="407">
      <pivotArea outline="0" fieldPosition="0">
        <references count="1">
          <reference field="4294967294" count="1">
            <x v="0"/>
          </reference>
        </references>
      </pivotArea>
    </format>
  </formats>
  <pivotTableStyleInfo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피벗 테이블4" cacheId="47" applyNumberFormats="0" applyBorderFormats="0" applyFontFormats="0" applyPatternFormats="0" applyAlignmentFormats="0" applyWidthHeightFormats="1" dataCaption="데이터" updatedVersion="3" asteriskTotals="1" showMemberPropertyTips="0" useAutoFormatting="1" itemPrintTitles="1" createdVersion="1" indent="0" compact="0" compactData="0" gridDropZones="1">
  <location ref="S4:AE228" firstHeaderRow="1" firstDataRow="2" firstDataCol="3"/>
  <pivotFields count="38"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17">
        <item m="1" x="15"/>
        <item m="1" x="16"/>
        <item m="1" x="7"/>
        <item x="6"/>
        <item x="3"/>
        <item m="1" x="8"/>
        <item m="1" x="9"/>
        <item m="1" x="10"/>
        <item m="1" x="11"/>
        <item m="1" x="13"/>
        <item m="1" x="12"/>
        <item m="1" x="14"/>
        <item x="0"/>
        <item x="1"/>
        <item x="2"/>
        <item x="5"/>
        <item x="4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>
      <items count="277">
        <item x="30"/>
        <item m="1" x="251"/>
        <item m="1" x="110"/>
        <item m="1" x="225"/>
        <item m="1" x="195"/>
        <item m="1" x="222"/>
        <item m="1" x="162"/>
        <item m="1" x="212"/>
        <item m="1" x="263"/>
        <item m="1" x="152"/>
        <item m="1" x="202"/>
        <item m="1" x="93"/>
        <item m="1" x="174"/>
        <item m="1" x="256"/>
        <item m="1" x="144"/>
        <item m="1" x="159"/>
        <item m="1" x="242"/>
        <item m="1" x="99"/>
        <item m="1" x="151"/>
        <item m="1" x="233"/>
        <item m="1" x="121"/>
        <item m="1" x="199"/>
        <item m="1" x="90"/>
        <item m="1" x="142"/>
        <item m="1" x="114"/>
        <item m="1" x="275"/>
        <item m="1" x="134"/>
        <item m="1" x="185"/>
        <item m="1" x="265"/>
        <item m="1" x="206"/>
        <item m="1" x="111"/>
        <item m="1" x="163"/>
        <item m="1" x="245"/>
        <item m="1" x="131"/>
        <item m="1" x="213"/>
        <item m="1" x="103"/>
        <item m="1" x="124"/>
        <item x="85"/>
        <item m="1" x="102"/>
        <item m="1" x="153"/>
        <item m="1" x="115"/>
        <item m="1" x="253"/>
        <item m="1" x="107"/>
        <item m="1" x="190"/>
        <item m="1" x="238"/>
        <item m="1" x="94"/>
        <item m="1" x="126"/>
        <item m="1" x="139"/>
        <item m="1" x="117"/>
        <item m="1" x="223"/>
        <item m="1" x="186"/>
        <item m="1" x="203"/>
        <item m="1" x="136"/>
        <item m="1" x="216"/>
        <item m="1" x="180"/>
        <item m="1" x="91"/>
        <item m="1" x="145"/>
        <item m="1" x="226"/>
        <item m="1" x="86"/>
        <item m="1" x="101"/>
        <item m="1" x="268"/>
        <item m="1" x="193"/>
        <item m="1" x="272"/>
        <item m="1" x="171"/>
        <item m="1" x="219"/>
        <item m="1" x="235"/>
        <item m="1" x="108"/>
        <item m="1" x="227"/>
        <item m="1" x="217"/>
        <item m="1" x="276"/>
        <item m="1" x="166"/>
        <item m="1" x="207"/>
        <item m="1" x="127"/>
        <item m="1" x="258"/>
        <item m="1" x="196"/>
        <item m="1" x="236"/>
        <item m="1" x="137"/>
        <item m="1" x="228"/>
        <item m="1" x="191"/>
        <item m="1" x="143"/>
        <item m="1" x="239"/>
        <item m="1" x="248"/>
        <item m="1" x="135"/>
        <item m="1" x="266"/>
        <item m="1" x="243"/>
        <item m="1" x="154"/>
        <item m="1" x="146"/>
        <item m="1" x="119"/>
        <item m="1" x="175"/>
        <item m="1" x="95"/>
        <item m="1" x="182"/>
        <item m="1" x="231"/>
        <item m="1" x="269"/>
        <item m="1" x="160"/>
        <item m="1" x="129"/>
        <item m="1" x="234"/>
        <item m="1" x="169"/>
        <item m="1" x="156"/>
        <item m="1" x="140"/>
        <item m="1" x="112"/>
        <item m="1" x="149"/>
        <item m="1" x="178"/>
        <item m="1" x="259"/>
        <item m="1" x="260"/>
        <item m="1" x="273"/>
        <item m="1" x="246"/>
        <item m="1" x="97"/>
        <item m="1" x="188"/>
        <item m="1" x="252"/>
        <item m="1" x="164"/>
        <item m="1" x="109"/>
        <item m="1" x="132"/>
        <item m="1" x="88"/>
        <item m="1" x="167"/>
        <item m="1" x="220"/>
        <item m="1" x="130"/>
        <item m="1" x="87"/>
        <item m="1" x="147"/>
        <item m="1" x="229"/>
        <item m="1" x="138"/>
        <item m="1" x="122"/>
        <item m="1" x="267"/>
        <item m="1" x="92"/>
        <item m="1" x="179"/>
        <item m="1" x="208"/>
        <item m="1" x="270"/>
        <item m="1" x="194"/>
        <item m="1" x="116"/>
        <item m="1" x="181"/>
        <item m="1" x="261"/>
        <item m="1" x="244"/>
        <item m="1" x="197"/>
        <item m="1" x="170"/>
        <item m="1" x="100"/>
        <item m="1" x="210"/>
        <item m="1" x="187"/>
        <item m="1" x="254"/>
        <item m="1" x="98"/>
        <item m="1" x="150"/>
        <item m="1" x="240"/>
        <item m="1" x="200"/>
        <item m="1" x="198"/>
        <item m="1" x="224"/>
        <item m="1" x="118"/>
        <item m="1" x="120"/>
        <item m="1" x="89"/>
        <item m="1" x="172"/>
        <item m="1" x="141"/>
        <item m="1" x="214"/>
        <item m="1" x="247"/>
        <item m="1" x="96"/>
        <item m="1" x="209"/>
        <item m="1" x="183"/>
        <item m="1" x="232"/>
        <item m="1" x="264"/>
        <item m="1" x="128"/>
        <item m="1" x="133"/>
        <item m="1" x="125"/>
        <item m="1" x="221"/>
        <item m="1" x="271"/>
        <item m="1" x="113"/>
        <item m="1" x="274"/>
        <item m="1" x="161"/>
        <item m="1" x="201"/>
        <item m="1" x="104"/>
        <item m="1" x="204"/>
        <item m="1" x="123"/>
        <item m="1" x="155"/>
        <item m="1" x="176"/>
        <item m="1" x="189"/>
        <item m="1" x="262"/>
        <item m="1" x="211"/>
        <item m="1" x="192"/>
        <item m="1" x="237"/>
        <item m="1" x="165"/>
        <item m="1" x="215"/>
        <item m="1" x="218"/>
        <item x="7"/>
        <item x="33"/>
        <item x="45"/>
        <item x="40"/>
        <item x="11"/>
        <item x="32"/>
        <item m="1" x="168"/>
        <item m="1" x="148"/>
        <item m="1" x="105"/>
        <item m="1" x="230"/>
        <item m="1" x="205"/>
        <item x="77"/>
        <item m="1" x="177"/>
        <item m="1" x="257"/>
        <item m="1" x="249"/>
        <item x="58"/>
        <item x="1"/>
        <item x="2"/>
        <item x="78"/>
        <item x="5"/>
        <item m="1" x="157"/>
        <item m="1" x="241"/>
        <item x="9"/>
        <item x="79"/>
        <item x="47"/>
        <item x="10"/>
        <item x="3"/>
        <item x="41"/>
        <item x="0"/>
        <item x="39"/>
        <item x="57"/>
        <item x="83"/>
        <item x="12"/>
        <item x="13"/>
        <item m="1" x="173"/>
        <item m="1" x="255"/>
        <item x="76"/>
        <item x="21"/>
        <item x="6"/>
        <item x="22"/>
        <item m="1" x="106"/>
        <item x="31"/>
        <item x="15"/>
        <item x="14"/>
        <item x="19"/>
        <item x="44"/>
        <item x="51"/>
        <item m="1" x="184"/>
        <item x="42"/>
        <item x="69"/>
        <item m="1" x="158"/>
        <item x="8"/>
        <item x="26"/>
        <item x="4"/>
        <item x="29"/>
        <item x="52"/>
        <item x="43"/>
        <item x="27"/>
        <item x="46"/>
        <item x="80"/>
        <item x="84"/>
        <item x="59"/>
        <item x="61"/>
        <item x="62"/>
        <item x="18"/>
        <item x="53"/>
        <item x="49"/>
        <item x="63"/>
        <item x="64"/>
        <item x="50"/>
        <item x="65"/>
        <item x="66"/>
        <item x="34"/>
        <item x="55"/>
        <item x="67"/>
        <item x="68"/>
        <item x="16"/>
        <item x="17"/>
        <item x="20"/>
        <item x="28"/>
        <item x="25"/>
        <item x="48"/>
        <item m="1" x="250"/>
        <item x="73"/>
        <item x="70"/>
        <item x="24"/>
        <item x="23"/>
        <item x="35"/>
        <item x="36"/>
        <item x="37"/>
        <item x="38"/>
        <item x="54"/>
        <item x="56"/>
        <item x="60"/>
        <item x="71"/>
        <item x="72"/>
        <item x="74"/>
        <item x="75"/>
        <item x="81"/>
        <item x="82"/>
      </items>
    </pivotField>
    <pivotField axis="axisCol" compact="0" outline="0" subtotalTop="0" showAll="0" includeNewItemsInFilter="1" defaultSubtotal="0">
      <items count="28">
        <item m="1" x="20"/>
        <item m="1" x="14"/>
        <item m="1" x="22"/>
        <item m="1" x="17"/>
        <item m="1" x="24"/>
        <item m="1" x="19"/>
        <item x="9"/>
        <item m="1" x="26"/>
        <item m="1" x="27"/>
        <item m="1" x="10"/>
        <item m="1" x="11"/>
        <item m="1" x="12"/>
        <item x="4"/>
        <item x="2"/>
        <item m="1" x="16"/>
        <item m="1" x="13"/>
        <item m="1" x="15"/>
        <item m="1" x="18"/>
        <item m="1" x="21"/>
        <item m="1" x="23"/>
        <item m="1" x="25"/>
        <item x="1"/>
        <item x="7"/>
        <item x="0"/>
        <item x="3"/>
        <item x="5"/>
        <item x="8"/>
        <item x="6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54">
        <item m="1" x="40"/>
        <item x="28"/>
        <item x="26"/>
        <item x="25"/>
        <item m="1" x="39"/>
        <item m="1" x="49"/>
        <item m="1" x="36"/>
        <item m="1" x="42"/>
        <item x="30"/>
        <item m="1" x="45"/>
        <item x="6"/>
        <item m="1" x="33"/>
        <item m="1" x="34"/>
        <item m="1" x="37"/>
        <item m="1" x="35"/>
        <item m="1" x="46"/>
        <item x="12"/>
        <item h="1" x="32"/>
        <item m="1" x="48"/>
        <item m="1" x="41"/>
        <item m="1" x="52"/>
        <item m="1" x="50"/>
        <item m="1" x="47"/>
        <item m="1" x="43"/>
        <item x="5"/>
        <item x="10"/>
        <item x="24"/>
        <item x="0"/>
        <item x="11"/>
        <item m="1" x="38"/>
        <item x="4"/>
        <item x="19"/>
        <item x="16"/>
        <item x="9"/>
        <item x="23"/>
        <item x="20"/>
        <item m="1" x="51"/>
        <item x="1"/>
        <item x="13"/>
        <item m="1" x="44"/>
        <item x="27"/>
        <item x="18"/>
        <item x="29"/>
        <item x="2"/>
        <item x="3"/>
        <item x="14"/>
        <item x="21"/>
        <item x="7"/>
        <item x="15"/>
        <item x="31"/>
        <item x="8"/>
        <item x="17"/>
        <item x="22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>
      <items count="27">
        <item x="10"/>
        <item x="9"/>
        <item x="17"/>
        <item x="18"/>
        <item x="5"/>
        <item x="4"/>
        <item x="0"/>
        <item x="13"/>
        <item x="1"/>
        <item h="1" x="19"/>
        <item m="1" x="23"/>
        <item m="1" x="22"/>
        <item x="8"/>
        <item x="7"/>
        <item x="14"/>
        <item x="16"/>
        <item m="1" x="21"/>
        <item m="1" x="20"/>
        <item m="1" x="25"/>
        <item m="1" x="24"/>
        <item x="12"/>
        <item x="2"/>
        <item x="3"/>
        <item x="11"/>
        <item x="15"/>
        <item x="6"/>
        <item t="default"/>
      </items>
    </pivotField>
    <pivotField compact="0" outline="0" subtotalTop="0" showAll="0" includeNewItemsInFilter="1">
      <items count="42">
        <item x="1"/>
        <item x="15"/>
        <item m="1" x="29"/>
        <item x="0"/>
        <item x="9"/>
        <item x="5"/>
        <item x="2"/>
        <item x="8"/>
        <item x="18"/>
        <item x="21"/>
        <item x="6"/>
        <item x="20"/>
        <item x="19"/>
        <item x="3"/>
        <item x="25"/>
        <item m="1" x="36"/>
        <item x="7"/>
        <item x="4"/>
        <item m="1" x="39"/>
        <item m="1" x="28"/>
        <item x="14"/>
        <item m="1" x="35"/>
        <item x="22"/>
        <item m="1" x="40"/>
        <item m="1" x="31"/>
        <item m="1" x="34"/>
        <item m="1" x="27"/>
        <item m="1" x="37"/>
        <item m="1" x="32"/>
        <item m="1" x="26"/>
        <item m="1" x="38"/>
        <item x="11"/>
        <item x="12"/>
        <item m="1" x="30"/>
        <item x="17"/>
        <item x="13"/>
        <item m="1" x="33"/>
        <item x="23"/>
        <item x="10"/>
        <item x="24"/>
        <item x="16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>
      <items count="783">
        <item x="777"/>
        <item m="1" x="778"/>
        <item m="1" x="782"/>
        <item m="1" x="781"/>
        <item m="1" x="780"/>
        <item m="1" x="779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2"/>
        <item x="3"/>
        <item x="4"/>
        <item x="5"/>
        <item x="6"/>
        <item x="7"/>
        <item x="8"/>
        <item x="22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653"/>
        <item x="654"/>
        <item x="655"/>
        <item x="656"/>
        <item x="657"/>
        <item x="658"/>
        <item x="659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660"/>
        <item x="661"/>
        <item x="662"/>
        <item x="663"/>
        <item x="664"/>
        <item x="665"/>
        <item x="666"/>
        <item x="667"/>
        <item x="668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379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195"/>
        <item x="196"/>
        <item x="197"/>
        <item x="198"/>
        <item x="199"/>
        <item x="200"/>
        <item x="201"/>
        <item x="380"/>
        <item x="381"/>
        <item x="382"/>
        <item x="383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384"/>
        <item x="385"/>
        <item x="386"/>
        <item x="387"/>
        <item x="388"/>
        <item x="389"/>
        <item x="3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391"/>
        <item x="392"/>
        <item x="393"/>
        <item x="394"/>
        <item x="395"/>
        <item x="396"/>
        <item x="703"/>
        <item x="704"/>
        <item x="705"/>
        <item x="706"/>
        <item x="707"/>
        <item x="708"/>
        <item x="709"/>
        <item x="710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397"/>
        <item x="398"/>
        <item x="399"/>
        <item x="400"/>
        <item x="614"/>
        <item x="615"/>
        <item x="616"/>
        <item x="617"/>
        <item x="618"/>
        <item x="619"/>
        <item x="620"/>
        <item x="621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91"/>
        <item x="92"/>
        <item x="93"/>
        <item x="297"/>
        <item x="298"/>
        <item x="299"/>
        <item x="300"/>
        <item x="301"/>
        <item x="302"/>
        <item x="303"/>
        <item x="304"/>
        <item x="305"/>
        <item x="401"/>
        <item x="402"/>
        <item x="765"/>
        <item x="766"/>
        <item x="767"/>
        <item x="768"/>
        <item x="769"/>
        <item x="770"/>
        <item x="771"/>
        <item x="772"/>
        <item x="773"/>
        <item x="774"/>
        <item x="94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119"/>
        <item x="418"/>
        <item x="419"/>
        <item x="420"/>
        <item x="421"/>
        <item x="422"/>
        <item x="423"/>
        <item x="775"/>
        <item x="776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424"/>
        <item x="425"/>
        <item x="426"/>
        <item x="427"/>
        <item x="428"/>
        <item x="429"/>
        <item x="430"/>
        <item x="431"/>
        <item x="432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0"/>
        <item x="1"/>
        <item x="131"/>
        <item x="132"/>
        <item x="133"/>
        <item x="134"/>
        <item x="135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</items>
    </pivotField>
    <pivotField compact="0" outline="0" subtotalTop="0" showAll="0" includeNewItemsInFilter="1" defaultSubtotal="0"/>
    <pivotField dataField="1" compact="0" outline="0" subtotalTop="0" showAll="0" includeNewItemsInFilter="1" defaultSubtotal="0"/>
    <pivotField axis="axisRow" compact="0" outline="0" subtotalTop="0" showAll="0" includeNewItemsInFilter="1">
      <items count="23">
        <item x="1"/>
        <item x="3"/>
        <item x="4"/>
        <item x="0"/>
        <item x="20"/>
        <item m="1" x="21"/>
        <item x="6"/>
        <item x="2"/>
        <item x="5"/>
        <item x="14"/>
        <item x="15"/>
        <item x="16"/>
        <item x="7"/>
        <item x="8"/>
        <item x="9"/>
        <item x="17"/>
        <item x="18"/>
        <item x="10"/>
        <item x="13"/>
        <item x="19"/>
        <item x="11"/>
        <item x="12"/>
        <item t="default"/>
      </items>
    </pivotField>
    <pivotField compact="0" outline="0" subtotalTop="0" showAll="0" includeNewItemsInFilter="1" defaultSubtotal="0">
      <items count="172">
        <item m="1" x="80"/>
        <item m="1" x="110"/>
        <item m="1" x="141"/>
        <item m="1" x="123"/>
        <item m="1" x="146"/>
        <item m="1" x="79"/>
        <item m="1" x="126"/>
        <item m="1" x="64"/>
        <item m="1" x="108"/>
        <item m="1" x="138"/>
        <item m="1" x="77"/>
        <item m="1" x="167"/>
        <item m="1" x="101"/>
        <item m="1" x="134"/>
        <item m="1" x="115"/>
        <item m="1" x="161"/>
        <item m="1" x="97"/>
        <item m="1" x="130"/>
        <item m="1" x="67"/>
        <item m="1" x="112"/>
        <item m="1" x="158"/>
        <item m="1" x="99"/>
        <item m="1" x="82"/>
        <item m="1" x="70"/>
        <item m="1" x="95"/>
        <item m="1" x="148"/>
        <item m="1" x="81"/>
        <item m="1" x="128"/>
        <item m="1" x="91"/>
        <item x="8"/>
        <item m="1" x="124"/>
        <item m="1" x="73"/>
        <item m="1" x="117"/>
        <item m="1" x="136"/>
        <item m="1" x="170"/>
        <item m="1" x="164"/>
        <item m="1" x="139"/>
        <item m="1" x="102"/>
        <item m="1" x="71"/>
        <item m="1" x="85"/>
        <item m="1" x="131"/>
        <item m="1" x="135"/>
        <item m="1" x="150"/>
        <item m="1" x="61"/>
        <item m="1" x="143"/>
        <item m="1" x="125"/>
        <item m="1" x="87"/>
        <item m="1" x="119"/>
        <item m="1" x="165"/>
        <item m="1" x="153"/>
        <item m="1" x="154"/>
        <item m="1" x="142"/>
        <item m="1" x="104"/>
        <item m="1" x="127"/>
        <item m="1" x="72"/>
        <item m="1" x="116"/>
        <item m="1" x="151"/>
        <item m="1" x="155"/>
        <item m="1" x="88"/>
        <item m="1" x="162"/>
        <item m="1" x="106"/>
        <item m="1" x="144"/>
        <item m="1" x="159"/>
        <item m="1" x="62"/>
        <item m="1" x="133"/>
        <item m="1" x="114"/>
        <item m="1" x="96"/>
        <item m="1" x="171"/>
        <item m="1" x="160"/>
        <item m="1" x="83"/>
        <item m="1" x="149"/>
        <item m="1" x="137"/>
        <item m="1" x="105"/>
        <item m="1" x="74"/>
        <item m="1" x="100"/>
        <item m="1" x="118"/>
        <item m="1" x="98"/>
        <item m="1" x="132"/>
        <item m="1" x="68"/>
        <item m="1" x="113"/>
        <item m="1" x="93"/>
        <item m="1" x="109"/>
        <item m="1" x="156"/>
        <item m="1" x="90"/>
        <item m="1" x="121"/>
        <item m="1" x="65"/>
        <item m="1" x="86"/>
        <item m="1" x="168"/>
        <item m="1" x="103"/>
        <item m="1" x="92"/>
        <item m="1" x="145"/>
        <item m="1" x="107"/>
        <item m="1" x="63"/>
        <item m="1" x="76"/>
        <item m="1" x="166"/>
        <item m="1" x="89"/>
        <item m="1" x="84"/>
        <item m="1" x="129"/>
        <item m="1" x="66"/>
        <item m="1" x="111"/>
        <item m="1" x="78"/>
        <item m="1" x="69"/>
        <item m="1" x="94"/>
        <item m="1" x="152"/>
        <item m="1" x="120"/>
        <item m="1" x="147"/>
        <item m="1" x="169"/>
        <item m="1" x="122"/>
        <item m="1" x="140"/>
        <item m="1" x="163"/>
        <item x="12"/>
        <item x="27"/>
        <item x="28"/>
        <item x="29"/>
        <item x="0"/>
        <item x="30"/>
        <item x="1"/>
        <item m="1" x="157"/>
        <item x="40"/>
        <item x="41"/>
        <item x="13"/>
        <item x="54"/>
        <item x="9"/>
        <item x="2"/>
        <item x="3"/>
        <item x="14"/>
        <item x="4"/>
        <item x="55"/>
        <item x="31"/>
        <item x="15"/>
        <item x="16"/>
        <item x="32"/>
        <item x="17"/>
        <item x="56"/>
        <item x="5"/>
        <item x="42"/>
        <item m="1" x="75"/>
        <item x="10"/>
        <item x="18"/>
        <item x="19"/>
        <item x="20"/>
        <item x="21"/>
        <item x="57"/>
        <item x="48"/>
        <item x="22"/>
        <item x="6"/>
        <item x="58"/>
        <item x="59"/>
        <item x="33"/>
        <item x="7"/>
        <item x="34"/>
        <item x="60"/>
        <item x="23"/>
        <item x="35"/>
        <item x="24"/>
        <item x="25"/>
        <item x="36"/>
        <item x="49"/>
        <item x="50"/>
        <item x="51"/>
        <item x="47"/>
        <item x="11"/>
        <item x="26"/>
        <item x="37"/>
        <item x="38"/>
        <item x="39"/>
        <item x="43"/>
        <item x="44"/>
        <item x="45"/>
        <item x="46"/>
        <item x="52"/>
        <item x="53"/>
      </items>
    </pivotField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 count="3">
    <field x="25"/>
    <field x="14"/>
    <field x="4"/>
  </rowFields>
  <rowItems count="223">
    <i>
      <x/>
      <x v="24"/>
      <x v="12"/>
    </i>
    <i t="default" r="1">
      <x v="24"/>
    </i>
    <i r="1">
      <x v="25"/>
      <x v="12"/>
    </i>
    <i r="2">
      <x v="15"/>
    </i>
    <i t="default" r="1">
      <x v="25"/>
    </i>
    <i r="1">
      <x v="26"/>
      <x v="12"/>
    </i>
    <i r="2">
      <x v="14"/>
    </i>
    <i r="2">
      <x v="15"/>
    </i>
    <i t="default" r="1">
      <x v="26"/>
    </i>
    <i r="1">
      <x v="27"/>
      <x v="12"/>
    </i>
    <i r="2">
      <x v="14"/>
    </i>
    <i t="default" r="1">
      <x v="27"/>
    </i>
    <i r="1">
      <x v="28"/>
      <x v="12"/>
    </i>
    <i r="2">
      <x v="13"/>
    </i>
    <i t="default" r="1">
      <x v="28"/>
    </i>
    <i r="1">
      <x v="33"/>
      <x v="12"/>
    </i>
    <i r="2">
      <x v="13"/>
    </i>
    <i r="2">
      <x v="14"/>
    </i>
    <i t="default" r="1">
      <x v="33"/>
    </i>
    <i r="1">
      <x v="37"/>
      <x v="13"/>
    </i>
    <i r="2">
      <x v="14"/>
    </i>
    <i t="default" r="1">
      <x v="37"/>
    </i>
    <i r="1">
      <x v="40"/>
      <x v="13"/>
    </i>
    <i t="default" r="1">
      <x v="40"/>
    </i>
    <i r="1">
      <x v="41"/>
      <x v="13"/>
    </i>
    <i t="default" r="1">
      <x v="41"/>
    </i>
    <i r="1">
      <x v="45"/>
      <x v="14"/>
    </i>
    <i r="2">
      <x v="15"/>
    </i>
    <i t="default" r="1">
      <x v="45"/>
    </i>
    <i t="default">
      <x/>
    </i>
    <i>
      <x v="1"/>
      <x v="26"/>
      <x v="12"/>
    </i>
    <i r="2">
      <x v="14"/>
    </i>
    <i r="2">
      <x v="15"/>
    </i>
    <i t="default" r="1">
      <x v="26"/>
    </i>
    <i r="1">
      <x v="27"/>
      <x v="4"/>
    </i>
    <i r="2">
      <x v="12"/>
    </i>
    <i r="2">
      <x v="14"/>
    </i>
    <i t="default" r="1">
      <x v="27"/>
    </i>
    <i r="1">
      <x v="30"/>
      <x v="12"/>
    </i>
    <i r="2">
      <x v="14"/>
    </i>
    <i r="2">
      <x v="16"/>
    </i>
    <i t="default" r="1">
      <x v="30"/>
    </i>
    <i r="1">
      <x v="34"/>
      <x v="14"/>
    </i>
    <i t="default" r="1">
      <x v="34"/>
    </i>
    <i t="default">
      <x v="1"/>
    </i>
    <i>
      <x v="2"/>
      <x v="3"/>
      <x v="12"/>
    </i>
    <i t="default" r="1">
      <x v="3"/>
    </i>
    <i r="1">
      <x v="10"/>
      <x v="14"/>
    </i>
    <i r="2">
      <x v="15"/>
    </i>
    <i t="default" r="1">
      <x v="10"/>
    </i>
    <i r="1">
      <x v="16"/>
      <x v="12"/>
    </i>
    <i r="2">
      <x v="14"/>
    </i>
    <i t="default" r="1">
      <x v="16"/>
    </i>
    <i r="1">
      <x v="24"/>
      <x v="12"/>
    </i>
    <i r="2">
      <x v="13"/>
    </i>
    <i r="2">
      <x v="14"/>
    </i>
    <i r="2">
      <x v="15"/>
    </i>
    <i t="default" r="1">
      <x v="24"/>
    </i>
    <i r="1">
      <x v="25"/>
      <x v="12"/>
    </i>
    <i r="2">
      <x v="15"/>
    </i>
    <i t="default" r="1">
      <x v="25"/>
    </i>
    <i r="1">
      <x v="26"/>
      <x v="12"/>
    </i>
    <i r="2">
      <x v="14"/>
    </i>
    <i r="2">
      <x v="15"/>
    </i>
    <i r="2">
      <x v="16"/>
    </i>
    <i t="default" r="1">
      <x v="26"/>
    </i>
    <i r="1">
      <x v="27"/>
      <x v="14"/>
    </i>
    <i t="default" r="1">
      <x v="27"/>
    </i>
    <i r="1">
      <x v="31"/>
      <x v="12"/>
    </i>
    <i t="default" r="1">
      <x v="31"/>
    </i>
    <i r="1">
      <x v="33"/>
      <x v="16"/>
    </i>
    <i t="default" r="1">
      <x v="33"/>
    </i>
    <i r="1">
      <x v="37"/>
      <x v="13"/>
    </i>
    <i t="default" r="1">
      <x v="37"/>
    </i>
    <i r="1">
      <x v="38"/>
      <x v="12"/>
    </i>
    <i r="2">
      <x v="13"/>
    </i>
    <i t="default" r="1">
      <x v="38"/>
    </i>
    <i r="1">
      <x v="45"/>
      <x v="13"/>
    </i>
    <i r="2">
      <x v="15"/>
    </i>
    <i t="default" r="1">
      <x v="45"/>
    </i>
    <i r="1">
      <x v="47"/>
      <x v="14"/>
    </i>
    <i t="default" r="1">
      <x v="47"/>
    </i>
    <i t="default">
      <x v="2"/>
    </i>
    <i>
      <x v="3"/>
      <x v="26"/>
      <x v="12"/>
    </i>
    <i r="2">
      <x v="15"/>
    </i>
    <i t="default" r="1">
      <x v="26"/>
    </i>
    <i r="1">
      <x v="27"/>
      <x v="12"/>
    </i>
    <i r="2">
      <x v="14"/>
    </i>
    <i t="default" r="1">
      <x v="27"/>
    </i>
    <i r="1">
      <x v="35"/>
      <x v="13"/>
    </i>
    <i r="2">
      <x v="15"/>
    </i>
    <i t="default" r="1">
      <x v="35"/>
    </i>
    <i r="1">
      <x v="46"/>
      <x v="14"/>
    </i>
    <i t="default" r="1">
      <x v="46"/>
    </i>
    <i r="1">
      <x v="47"/>
      <x v="14"/>
    </i>
    <i t="default" r="1">
      <x v="47"/>
    </i>
    <i r="1">
      <x v="50"/>
      <x v="15"/>
    </i>
    <i r="2">
      <x v="16"/>
    </i>
    <i t="default" r="1">
      <x v="50"/>
    </i>
    <i t="default">
      <x v="3"/>
    </i>
    <i>
      <x v="6"/>
      <x v="16"/>
      <x v="12"/>
    </i>
    <i r="2">
      <x v="14"/>
    </i>
    <i t="default" r="1">
      <x v="16"/>
    </i>
    <i r="1">
      <x v="24"/>
      <x v="14"/>
    </i>
    <i t="default" r="1">
      <x v="24"/>
    </i>
    <i r="1">
      <x v="25"/>
      <x v="12"/>
    </i>
    <i r="2">
      <x v="15"/>
    </i>
    <i t="default" r="1">
      <x v="25"/>
    </i>
    <i r="1">
      <x v="27"/>
      <x v="14"/>
    </i>
    <i t="default" r="1">
      <x v="27"/>
    </i>
    <i r="1">
      <x v="32"/>
      <x v="14"/>
    </i>
    <i t="default" r="1">
      <x v="32"/>
    </i>
    <i r="1">
      <x v="45"/>
      <x v="15"/>
    </i>
    <i t="default" r="1">
      <x v="45"/>
    </i>
    <i t="default">
      <x v="6"/>
    </i>
    <i>
      <x v="7"/>
      <x v="27"/>
      <x v="12"/>
    </i>
    <i r="2">
      <x v="14"/>
    </i>
    <i t="default" r="1">
      <x v="27"/>
    </i>
    <i t="default">
      <x v="7"/>
    </i>
    <i>
      <x v="8"/>
      <x v="34"/>
      <x v="14"/>
    </i>
    <i t="default" r="1">
      <x v="34"/>
    </i>
    <i r="1">
      <x v="35"/>
      <x v="13"/>
    </i>
    <i r="2">
      <x v="15"/>
    </i>
    <i t="default" r="1">
      <x v="35"/>
    </i>
    <i r="1">
      <x v="41"/>
      <x v="12"/>
    </i>
    <i r="2">
      <x v="14"/>
    </i>
    <i t="default" r="1">
      <x v="41"/>
    </i>
    <i r="1">
      <x v="43"/>
      <x v="13"/>
    </i>
    <i t="default" r="1">
      <x v="43"/>
    </i>
    <i r="1">
      <x v="44"/>
      <x v="13"/>
    </i>
    <i t="default" r="1">
      <x v="44"/>
    </i>
    <i r="1">
      <x v="46"/>
      <x v="14"/>
    </i>
    <i r="2">
      <x v="15"/>
    </i>
    <i t="default" r="1">
      <x v="46"/>
    </i>
    <i r="1">
      <x v="47"/>
      <x v="14"/>
    </i>
    <i t="default" r="1">
      <x v="47"/>
    </i>
    <i t="default">
      <x v="8"/>
    </i>
    <i>
      <x v="9"/>
      <x v="35"/>
      <x v="13"/>
    </i>
    <i t="default" r="1">
      <x v="35"/>
    </i>
    <i r="1">
      <x v="41"/>
      <x v="13"/>
    </i>
    <i t="default" r="1">
      <x v="41"/>
    </i>
    <i r="1">
      <x v="46"/>
      <x v="14"/>
    </i>
    <i t="default" r="1">
      <x v="46"/>
    </i>
    <i t="default">
      <x v="9"/>
    </i>
    <i>
      <x v="10"/>
      <x v="1"/>
      <x v="12"/>
    </i>
    <i r="2">
      <x v="13"/>
    </i>
    <i r="2">
      <x v="14"/>
    </i>
    <i t="default" r="1">
      <x v="1"/>
    </i>
    <i r="1">
      <x v="8"/>
      <x v="14"/>
    </i>
    <i r="2">
      <x v="15"/>
    </i>
    <i t="default" r="1">
      <x v="8"/>
    </i>
    <i r="1">
      <x v="42"/>
      <x v="13"/>
    </i>
    <i t="default" r="1">
      <x v="42"/>
    </i>
    <i r="1">
      <x v="49"/>
      <x v="14"/>
    </i>
    <i t="default" r="1">
      <x v="49"/>
    </i>
    <i t="default">
      <x v="10"/>
    </i>
    <i>
      <x v="11"/>
      <x v="1"/>
      <x v="13"/>
    </i>
    <i r="2">
      <x v="14"/>
    </i>
    <i t="default" r="1">
      <x v="1"/>
    </i>
    <i r="1">
      <x v="8"/>
      <x v="14"/>
    </i>
    <i t="default" r="1">
      <x v="8"/>
    </i>
    <i r="1">
      <x v="42"/>
      <x v="13"/>
    </i>
    <i t="default" r="1">
      <x v="42"/>
    </i>
    <i r="1">
      <x v="49"/>
      <x v="14"/>
    </i>
    <i t="default" r="1">
      <x v="49"/>
    </i>
    <i t="default">
      <x v="11"/>
    </i>
    <i>
      <x v="12"/>
      <x v="10"/>
      <x v="15"/>
    </i>
    <i t="default" r="1">
      <x v="10"/>
    </i>
    <i r="1">
      <x v="24"/>
      <x v="13"/>
    </i>
    <i r="2">
      <x v="14"/>
    </i>
    <i r="2">
      <x v="15"/>
    </i>
    <i t="default" r="1">
      <x v="24"/>
    </i>
    <i r="1">
      <x v="26"/>
      <x v="16"/>
    </i>
    <i t="default" r="1">
      <x v="26"/>
    </i>
    <i r="1">
      <x v="27"/>
      <x v="14"/>
    </i>
    <i t="default" r="1">
      <x v="27"/>
    </i>
    <i r="1">
      <x v="35"/>
      <x v="15"/>
    </i>
    <i t="default" r="1">
      <x v="35"/>
    </i>
    <i t="default">
      <x v="12"/>
    </i>
    <i>
      <x v="13"/>
      <x v="24"/>
      <x v="13"/>
    </i>
    <i t="default" r="1">
      <x v="24"/>
    </i>
    <i r="1">
      <x v="25"/>
      <x v="15"/>
    </i>
    <i t="default" r="1">
      <x v="25"/>
    </i>
    <i r="1">
      <x v="45"/>
      <x v="15"/>
    </i>
    <i t="default" r="1">
      <x v="45"/>
    </i>
    <i t="default">
      <x v="13"/>
    </i>
    <i>
      <x v="14"/>
      <x v="24"/>
      <x v="13"/>
    </i>
    <i t="default" r="1">
      <x v="24"/>
    </i>
    <i t="default">
      <x v="14"/>
    </i>
    <i>
      <x v="15"/>
      <x v="1"/>
      <x v="13"/>
    </i>
    <i r="2">
      <x v="14"/>
    </i>
    <i r="2">
      <x v="15"/>
    </i>
    <i t="default" r="1">
      <x v="1"/>
    </i>
    <i r="1">
      <x v="8"/>
      <x v="14"/>
    </i>
    <i t="default" r="1">
      <x v="8"/>
    </i>
    <i t="default">
      <x v="15"/>
    </i>
    <i>
      <x v="16"/>
      <x v="1"/>
      <x v="13"/>
    </i>
    <i r="2">
      <x v="14"/>
    </i>
    <i t="default" r="1">
      <x v="1"/>
    </i>
    <i r="1">
      <x v="8"/>
      <x v="14"/>
    </i>
    <i t="default" r="1">
      <x v="8"/>
    </i>
    <i t="default">
      <x v="16"/>
    </i>
    <i>
      <x v="17"/>
      <x v="48"/>
      <x v="14"/>
    </i>
    <i t="default" r="1">
      <x v="48"/>
    </i>
    <i t="default">
      <x v="17"/>
    </i>
    <i>
      <x v="18"/>
      <x v="2"/>
      <x v="14"/>
    </i>
    <i r="2">
      <x v="16"/>
    </i>
    <i t="default" r="1">
      <x v="2"/>
    </i>
    <i r="1">
      <x v="51"/>
      <x v="15"/>
    </i>
    <i t="default" r="1">
      <x v="51"/>
    </i>
    <i r="1">
      <x v="52"/>
      <x v="16"/>
    </i>
    <i t="default" r="1">
      <x v="52"/>
    </i>
    <i t="default">
      <x v="18"/>
    </i>
    <i>
      <x v="19"/>
      <x v="8"/>
      <x v="14"/>
    </i>
    <i t="default" r="1">
      <x v="8"/>
    </i>
    <i t="default">
      <x v="19"/>
    </i>
    <i>
      <x v="20"/>
      <x v="48"/>
      <x v="14"/>
    </i>
    <i t="default" r="1">
      <x v="48"/>
    </i>
    <i t="default">
      <x v="20"/>
    </i>
    <i>
      <x v="21"/>
      <x v="25"/>
      <x v="15"/>
    </i>
    <i t="default" r="1">
      <x v="25"/>
    </i>
    <i t="default">
      <x v="21"/>
    </i>
    <i t="grand">
      <x/>
    </i>
  </rowItems>
  <colFields count="1">
    <field x="11"/>
  </colFields>
  <colItems count="10">
    <i>
      <x v="12"/>
    </i>
    <i>
      <x v="13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colItems>
  <dataFields count="1">
    <dataField name=" 샘플수" fld="24" baseField="0" baseItem="0" numFmtId="3"/>
  </dataFields>
  <formats count="80">
    <format dxfId="548">
      <pivotArea field="19" type="button" dataOnly="0" labelOnly="1" outline="0"/>
    </format>
    <format dxfId="547">
      <pivotArea field="22" type="button" dataOnly="0" labelOnly="1" outline="0"/>
    </format>
    <format dxfId="546">
      <pivotArea field="22" type="button" dataOnly="0" labelOnly="1" outline="0"/>
    </format>
    <format dxfId="545">
      <pivotArea field="22" type="button" dataOnly="0" labelOnly="1" outline="0"/>
    </format>
    <format dxfId="544">
      <pivotArea type="origin" dataOnly="0" labelOnly="1" outline="0" offset="A2" fieldPosition="0"/>
    </format>
    <format dxfId="543">
      <pivotArea field="19" type="button" dataOnly="0" labelOnly="1" outline="0"/>
    </format>
    <format dxfId="542">
      <pivotArea field="19" type="button" dataOnly="0" labelOnly="1" outline="0"/>
    </format>
    <format dxfId="541">
      <pivotArea type="all" dataOnly="0" outline="0" fieldPosition="0"/>
    </format>
    <format dxfId="540">
      <pivotArea field="19" type="button" dataOnly="0" labelOnly="1" outline="0"/>
    </format>
    <format dxfId="539">
      <pivotArea dataOnly="0" grandRow="1" outline="0" fieldPosition="0"/>
    </format>
    <format dxfId="538">
      <pivotArea dataOnly="0" grandRow="1" outline="0" fieldPosition="0"/>
    </format>
    <format dxfId="537">
      <pivotArea field="14" type="button" dataOnly="0" labelOnly="1" outline="0" axis="axisRow" fieldPosition="1"/>
    </format>
    <format dxfId="536">
      <pivotArea field="20" type="button" dataOnly="0" labelOnly="1" outline="0"/>
    </format>
    <format dxfId="535">
      <pivotArea dataOnly="0" outline="0" fieldPosition="0">
        <references count="1">
          <reference field="14" count="0" defaultSubtotal="1"/>
        </references>
      </pivotArea>
    </format>
    <format dxfId="534">
      <pivotArea field="14" type="button" dataOnly="0" labelOnly="1" outline="0" axis="axisRow" fieldPosition="1"/>
    </format>
    <format dxfId="533">
      <pivotArea field="20" type="button" dataOnly="0" labelOnly="1" outline="0"/>
    </format>
    <format dxfId="532">
      <pivotArea field="22" type="button" dataOnly="0" labelOnly="1" outline="0"/>
    </format>
    <format dxfId="531">
      <pivotArea field="26" type="button" dataOnly="0" labelOnly="1" outline="0"/>
    </format>
    <format dxfId="530">
      <pivotArea field="10" type="button" dataOnly="0" labelOnly="1" outline="0"/>
    </format>
    <format dxfId="529">
      <pivotArea field="14" type="button" dataOnly="0" labelOnly="1" outline="0" axis="axisRow" fieldPosition="1"/>
    </format>
    <format dxfId="528">
      <pivotArea field="20" type="button" dataOnly="0" labelOnly="1" outline="0"/>
    </format>
    <format dxfId="527">
      <pivotArea field="22" type="button" dataOnly="0" labelOnly="1" outline="0"/>
    </format>
    <format dxfId="526">
      <pivotArea field="25" type="button" dataOnly="0" labelOnly="1" outline="0" axis="axisRow" fieldPosition="0"/>
    </format>
    <format dxfId="525">
      <pivotArea field="26" type="button" dataOnly="0" labelOnly="1" outline="0"/>
    </format>
    <format dxfId="524">
      <pivotArea field="10" type="button" dataOnly="0" labelOnly="1" outline="0"/>
    </format>
    <format dxfId="523">
      <pivotArea field="22" type="button" dataOnly="0" labelOnly="1" outline="0"/>
    </format>
    <format dxfId="522">
      <pivotArea field="25" type="button" dataOnly="0" labelOnly="1" outline="0" axis="axisRow" fieldPosition="0"/>
    </format>
    <format dxfId="521">
      <pivotArea field="26" type="button" dataOnly="0" labelOnly="1" outline="0"/>
    </format>
    <format dxfId="520">
      <pivotArea field="10" type="button" dataOnly="0" labelOnly="1" outline="0"/>
    </format>
    <format dxfId="519">
      <pivotArea dataOnly="0" outline="0" fieldPosition="0">
        <references count="1">
          <reference field="14" count="0" defaultSubtotal="1"/>
        </references>
      </pivotArea>
    </format>
    <format dxfId="518">
      <pivotArea type="all" dataOnly="0" outline="0" fieldPosition="0"/>
    </format>
    <format dxfId="517">
      <pivotArea outline="0" fieldPosition="0">
        <references count="1">
          <reference field="4294967294" count="1">
            <x v="0"/>
          </reference>
        </references>
      </pivotArea>
    </format>
    <format dxfId="516">
      <pivotArea field="14" type="button" dataOnly="0" labelOnly="1" outline="0" axis="axisRow" fieldPosition="1"/>
    </format>
    <format dxfId="515">
      <pivotArea field="14" type="button" dataOnly="0" labelOnly="1" outline="0" axis="axisRow" fieldPosition="1"/>
    </format>
    <format dxfId="514">
      <pivotArea field="14" type="button" dataOnly="0" labelOnly="1" outline="0" axis="axisRow" fieldPosition="1"/>
    </format>
    <format dxfId="513">
      <pivotArea field="20" type="button" dataOnly="0" labelOnly="1" outline="0"/>
    </format>
    <format dxfId="512">
      <pivotArea dataOnly="0" labelOnly="1" outline="0" fieldPosition="0">
        <references count="1">
          <reference field="11" count="6">
            <x v="7"/>
            <x v="8"/>
            <x v="9"/>
            <x v="10"/>
            <x v="11"/>
            <x v="12"/>
          </reference>
        </references>
      </pivotArea>
    </format>
    <format dxfId="511">
      <pivotArea dataOnly="0" labelOnly="1" grandCol="1" outline="0" fieldPosition="0"/>
    </format>
    <format dxfId="510">
      <pivotArea field="14" type="button" dataOnly="0" labelOnly="1" outline="0" axis="axisRow" fieldPosition="1"/>
    </format>
    <format dxfId="509">
      <pivotArea field="20" type="button" dataOnly="0" labelOnly="1" outline="0"/>
    </format>
    <format dxfId="508">
      <pivotArea dataOnly="0" labelOnly="1" outline="0" fieldPosition="0">
        <references count="1">
          <reference field="11" count="6">
            <x v="7"/>
            <x v="8"/>
            <x v="9"/>
            <x v="10"/>
            <x v="11"/>
            <x v="12"/>
          </reference>
        </references>
      </pivotArea>
    </format>
    <format dxfId="507">
      <pivotArea dataOnly="0" labelOnly="1" grandCol="1" outline="0" fieldPosition="0"/>
    </format>
    <format dxfId="506">
      <pivotArea field="14" type="button" dataOnly="0" labelOnly="1" outline="0" axis="axisRow" fieldPosition="1"/>
    </format>
    <format dxfId="505">
      <pivotArea field="20" type="button" dataOnly="0" labelOnly="1" outline="0"/>
    </format>
    <format dxfId="504">
      <pivotArea field="4" type="button" dataOnly="0" labelOnly="1" outline="0" axis="axisRow" fieldPosition="2"/>
    </format>
    <format dxfId="503">
      <pivotArea dataOnly="0" labelOnly="1" outline="0" fieldPosition="0">
        <references count="1">
          <reference field="11" count="6">
            <x v="7"/>
            <x v="8"/>
            <x v="9"/>
            <x v="10"/>
            <x v="11"/>
            <x v="12"/>
          </reference>
        </references>
      </pivotArea>
    </format>
    <format dxfId="502">
      <pivotArea dataOnly="0" labelOnly="1" grandCol="1" outline="0" fieldPosition="0"/>
    </format>
    <format dxfId="501">
      <pivotArea field="4" type="button" dataOnly="0" labelOnly="1" outline="0" axis="axisRow" fieldPosition="2"/>
    </format>
    <format dxfId="500">
      <pivotArea dataOnly="0" labelOnly="1" outline="0" fieldPosition="0">
        <references count="1">
          <reference field="14" count="1" defaultSubtotal="1">
            <x v="0"/>
          </reference>
        </references>
      </pivotArea>
    </format>
    <format dxfId="499">
      <pivotArea dataOnly="0" labelOnly="1" outline="0" fieldPosition="0">
        <references count="1">
          <reference field="14" count="1" defaultSubtotal="1">
            <x v="1"/>
          </reference>
        </references>
      </pivotArea>
    </format>
    <format dxfId="498">
      <pivotArea dataOnly="0" labelOnly="1" outline="0" fieldPosition="0">
        <references count="1">
          <reference field="14" count="1" defaultSubtotal="1">
            <x v="2"/>
          </reference>
        </references>
      </pivotArea>
    </format>
    <format dxfId="497">
      <pivotArea dataOnly="0" labelOnly="1" outline="0" fieldPosition="0">
        <references count="1">
          <reference field="14" count="1" defaultSubtotal="1">
            <x v="3"/>
          </reference>
        </references>
      </pivotArea>
    </format>
    <format dxfId="496">
      <pivotArea dataOnly="0" labelOnly="1" outline="0" fieldPosition="0">
        <references count="1">
          <reference field="14" count="1" defaultSubtotal="1">
            <x v="4"/>
          </reference>
        </references>
      </pivotArea>
    </format>
    <format dxfId="495">
      <pivotArea dataOnly="0" labelOnly="1" outline="0" fieldPosition="0">
        <references count="1">
          <reference field="14" count="1" defaultSubtotal="1">
            <x v="5"/>
          </reference>
        </references>
      </pivotArea>
    </format>
    <format dxfId="494">
      <pivotArea dataOnly="0" labelOnly="1" outline="0" fieldPosition="0">
        <references count="1">
          <reference field="14" count="1" defaultSubtotal="1">
            <x v="6"/>
          </reference>
        </references>
      </pivotArea>
    </format>
    <format dxfId="493">
      <pivotArea dataOnly="0" labelOnly="1" outline="0" fieldPosition="0">
        <references count="1">
          <reference field="14" count="1" defaultSubtotal="1">
            <x v="7"/>
          </reference>
        </references>
      </pivotArea>
    </format>
    <format dxfId="492">
      <pivotArea dataOnly="0" labelOnly="1" outline="0" fieldPosition="0">
        <references count="1">
          <reference field="14" count="1" defaultSubtotal="1">
            <x v="8"/>
          </reference>
        </references>
      </pivotArea>
    </format>
    <format dxfId="491">
      <pivotArea dataOnly="0" labelOnly="1" outline="0" fieldPosition="0">
        <references count="1">
          <reference field="14" count="1" defaultSubtotal="1">
            <x v="9"/>
          </reference>
        </references>
      </pivotArea>
    </format>
    <format dxfId="490">
      <pivotArea dataOnly="0" labelOnly="1" outline="0" fieldPosition="0">
        <references count="1">
          <reference field="14" count="1" defaultSubtotal="1">
            <x v="10"/>
          </reference>
        </references>
      </pivotArea>
    </format>
    <format dxfId="489">
      <pivotArea dataOnly="0" labelOnly="1" outline="0" fieldPosition="0">
        <references count="1">
          <reference field="14" count="1" defaultSubtotal="1">
            <x v="11"/>
          </reference>
        </references>
      </pivotArea>
    </format>
    <format dxfId="488">
      <pivotArea dataOnly="0" labelOnly="1" outline="0" fieldPosition="0">
        <references count="1">
          <reference field="14" count="1" defaultSubtotal="1">
            <x v="12"/>
          </reference>
        </references>
      </pivotArea>
    </format>
    <format dxfId="487">
      <pivotArea dataOnly="0" labelOnly="1" outline="0" fieldPosition="0">
        <references count="1">
          <reference field="14" count="1" defaultSubtotal="1">
            <x v="13"/>
          </reference>
        </references>
      </pivotArea>
    </format>
    <format dxfId="486">
      <pivotArea dataOnly="0" labelOnly="1" outline="0" fieldPosition="0">
        <references count="1">
          <reference field="14" count="1" defaultSubtotal="1">
            <x v="14"/>
          </reference>
        </references>
      </pivotArea>
    </format>
    <format dxfId="485">
      <pivotArea dataOnly="0" labelOnly="1" outline="0" fieldPosition="0">
        <references count="1">
          <reference field="14" count="1" defaultSubtotal="1">
            <x v="15"/>
          </reference>
        </references>
      </pivotArea>
    </format>
    <format dxfId="484">
      <pivotArea dataOnly="0" labelOnly="1" outline="0" fieldPosition="0">
        <references count="1">
          <reference field="14" count="1" defaultSubtotal="1">
            <x v="16"/>
          </reference>
        </references>
      </pivotArea>
    </format>
    <format dxfId="483">
      <pivotArea dataOnly="0" labelOnly="1" outline="0" fieldPosition="0">
        <references count="1">
          <reference field="14" count="1" defaultSubtotal="1">
            <x v="18"/>
          </reference>
        </references>
      </pivotArea>
    </format>
    <format dxfId="482">
      <pivotArea dataOnly="0" labelOnly="1" grandRow="1" outline="0" fieldPosition="0"/>
    </format>
    <format dxfId="481">
      <pivotArea outline="0" fieldPosition="0"/>
    </format>
    <format dxfId="480">
      <pivotArea field="11" type="button" dataOnly="0" labelOnly="1" outline="0" axis="axisCol" fieldPosition="0"/>
    </format>
    <format dxfId="479">
      <pivotArea type="topRight" dataOnly="0" labelOnly="1" outline="0" fieldPosition="0"/>
    </format>
    <format dxfId="478">
      <pivotArea dataOnly="0" labelOnly="1" outline="0" fieldPosition="0">
        <references count="1">
          <reference field="11" count="6">
            <x v="7"/>
            <x v="8"/>
            <x v="9"/>
            <x v="10"/>
            <x v="11"/>
            <x v="12"/>
          </reference>
        </references>
      </pivotArea>
    </format>
    <format dxfId="477">
      <pivotArea dataOnly="0" labelOnly="1" grandCol="1" outline="0" fieldPosition="0"/>
    </format>
    <format dxfId="476">
      <pivotArea outline="0" fieldPosition="0"/>
    </format>
    <format dxfId="475">
      <pivotArea field="11" type="button" dataOnly="0" labelOnly="1" outline="0" axis="axisCol" fieldPosition="0"/>
    </format>
    <format dxfId="474">
      <pivotArea type="topRight" dataOnly="0" labelOnly="1" outline="0" fieldPosition="0"/>
    </format>
    <format dxfId="473">
      <pivotArea dataOnly="0" labelOnly="1" outline="0" fieldPosition="0">
        <references count="1">
          <reference field="11" count="6">
            <x v="7"/>
            <x v="8"/>
            <x v="9"/>
            <x v="10"/>
            <x v="11"/>
            <x v="12"/>
          </reference>
        </references>
      </pivotArea>
    </format>
    <format dxfId="472">
      <pivotArea dataOnly="0" labelOnly="1" grandCol="1" outline="0" fieldPosition="0"/>
    </format>
    <format dxfId="471">
      <pivotArea dataOnly="0" labelOnly="1" outline="0" fieldPosition="0">
        <references count="1">
          <reference field="11" count="5">
            <x v="7"/>
            <x v="8"/>
            <x v="9"/>
            <x v="10"/>
            <x v="14"/>
          </reference>
        </references>
      </pivotArea>
    </format>
    <format dxfId="470">
      <pivotArea dataOnly="0" labelOnly="1" outline="0" fieldPosition="0">
        <references count="1">
          <reference field="11" count="5">
            <x v="7"/>
            <x v="8"/>
            <x v="9"/>
            <x v="10"/>
            <x v="14"/>
          </reference>
        </references>
      </pivotArea>
    </format>
    <format dxfId="469">
      <pivotArea dataOnly="0" outline="0" fieldPosition="0">
        <references count="1">
          <reference field="25" count="0" defaultSubtotal="1"/>
        </references>
      </pivotArea>
    </format>
  </formats>
  <pivotTableStyleInfo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피벗 테이블2" cacheId="47" applyNumberFormats="0" applyBorderFormats="0" applyFontFormats="0" applyPatternFormats="0" applyAlignmentFormats="0" applyWidthHeightFormats="1" dataCaption="데이터" updatedVersion="3" asteriskTotals="1" showMemberPropertyTips="0" useAutoFormatting="1" itemPrintTitles="1" createdVersion="1" indent="0" compact="0" compactData="0" gridDropZones="1">
  <location ref="A4:M262" firstHeaderRow="1" firstDataRow="2" firstDataCol="3"/>
  <pivotFields count="38"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17">
        <item m="1" x="15"/>
        <item m="1" x="16"/>
        <item m="1" x="7"/>
        <item x="6"/>
        <item x="3"/>
        <item m="1" x="8"/>
        <item m="1" x="9"/>
        <item m="1" x="10"/>
        <item m="1" x="11"/>
        <item m="1" x="13"/>
        <item m="1" x="12"/>
        <item m="1" x="14"/>
        <item x="0"/>
        <item x="1"/>
        <item x="2"/>
        <item x="5"/>
        <item x="4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>
      <items count="277">
        <item x="30"/>
        <item m="1" x="251"/>
        <item m="1" x="110"/>
        <item m="1" x="225"/>
        <item m="1" x="195"/>
        <item m="1" x="222"/>
        <item m="1" x="162"/>
        <item m="1" x="212"/>
        <item m="1" x="263"/>
        <item m="1" x="152"/>
        <item m="1" x="202"/>
        <item m="1" x="93"/>
        <item m="1" x="174"/>
        <item m="1" x="256"/>
        <item m="1" x="144"/>
        <item m="1" x="159"/>
        <item m="1" x="242"/>
        <item m="1" x="99"/>
        <item m="1" x="151"/>
        <item m="1" x="233"/>
        <item m="1" x="121"/>
        <item m="1" x="199"/>
        <item m="1" x="90"/>
        <item m="1" x="142"/>
        <item m="1" x="114"/>
        <item m="1" x="275"/>
        <item m="1" x="134"/>
        <item m="1" x="185"/>
        <item m="1" x="265"/>
        <item m="1" x="206"/>
        <item m="1" x="111"/>
        <item m="1" x="163"/>
        <item m="1" x="245"/>
        <item m="1" x="131"/>
        <item m="1" x="213"/>
        <item m="1" x="103"/>
        <item m="1" x="124"/>
        <item x="85"/>
        <item m="1" x="102"/>
        <item m="1" x="153"/>
        <item m="1" x="115"/>
        <item m="1" x="253"/>
        <item m="1" x="107"/>
        <item m="1" x="190"/>
        <item m="1" x="238"/>
        <item m="1" x="94"/>
        <item m="1" x="126"/>
        <item m="1" x="139"/>
        <item m="1" x="117"/>
        <item m="1" x="223"/>
        <item m="1" x="186"/>
        <item m="1" x="203"/>
        <item m="1" x="136"/>
        <item m="1" x="216"/>
        <item m="1" x="180"/>
        <item m="1" x="91"/>
        <item m="1" x="145"/>
        <item m="1" x="226"/>
        <item m="1" x="86"/>
        <item m="1" x="101"/>
        <item m="1" x="268"/>
        <item m="1" x="193"/>
        <item m="1" x="272"/>
        <item m="1" x="171"/>
        <item m="1" x="219"/>
        <item m="1" x="235"/>
        <item m="1" x="108"/>
        <item m="1" x="227"/>
        <item m="1" x="217"/>
        <item m="1" x="276"/>
        <item m="1" x="166"/>
        <item m="1" x="207"/>
        <item m="1" x="127"/>
        <item m="1" x="258"/>
        <item m="1" x="196"/>
        <item m="1" x="236"/>
        <item m="1" x="137"/>
        <item m="1" x="228"/>
        <item m="1" x="191"/>
        <item m="1" x="143"/>
        <item m="1" x="239"/>
        <item m="1" x="248"/>
        <item m="1" x="135"/>
        <item m="1" x="266"/>
        <item m="1" x="243"/>
        <item m="1" x="154"/>
        <item m="1" x="146"/>
        <item m="1" x="119"/>
        <item m="1" x="175"/>
        <item m="1" x="95"/>
        <item m="1" x="182"/>
        <item m="1" x="231"/>
        <item m="1" x="269"/>
        <item m="1" x="160"/>
        <item m="1" x="129"/>
        <item m="1" x="234"/>
        <item m="1" x="169"/>
        <item m="1" x="156"/>
        <item m="1" x="140"/>
        <item m="1" x="112"/>
        <item m="1" x="149"/>
        <item m="1" x="178"/>
        <item m="1" x="259"/>
        <item m="1" x="260"/>
        <item m="1" x="273"/>
        <item m="1" x="246"/>
        <item m="1" x="97"/>
        <item m="1" x="188"/>
        <item m="1" x="252"/>
        <item m="1" x="164"/>
        <item m="1" x="109"/>
        <item m="1" x="132"/>
        <item m="1" x="88"/>
        <item m="1" x="167"/>
        <item m="1" x="220"/>
        <item m="1" x="130"/>
        <item m="1" x="87"/>
        <item m="1" x="147"/>
        <item m="1" x="229"/>
        <item m="1" x="138"/>
        <item m="1" x="122"/>
        <item m="1" x="267"/>
        <item m="1" x="92"/>
        <item m="1" x="179"/>
        <item m="1" x="208"/>
        <item m="1" x="270"/>
        <item m="1" x="194"/>
        <item m="1" x="116"/>
        <item m="1" x="181"/>
        <item m="1" x="261"/>
        <item m="1" x="244"/>
        <item m="1" x="197"/>
        <item m="1" x="170"/>
        <item m="1" x="100"/>
        <item m="1" x="210"/>
        <item m="1" x="187"/>
        <item m="1" x="254"/>
        <item m="1" x="98"/>
        <item m="1" x="150"/>
        <item m="1" x="240"/>
        <item m="1" x="200"/>
        <item m="1" x="198"/>
        <item m="1" x="224"/>
        <item m="1" x="118"/>
        <item m="1" x="120"/>
        <item m="1" x="89"/>
        <item m="1" x="172"/>
        <item m="1" x="141"/>
        <item m="1" x="214"/>
        <item m="1" x="247"/>
        <item m="1" x="96"/>
        <item m="1" x="209"/>
        <item m="1" x="183"/>
        <item m="1" x="232"/>
        <item m="1" x="264"/>
        <item m="1" x="128"/>
        <item m="1" x="133"/>
        <item m="1" x="125"/>
        <item m="1" x="221"/>
        <item m="1" x="271"/>
        <item m="1" x="113"/>
        <item m="1" x="274"/>
        <item m="1" x="161"/>
        <item m="1" x="201"/>
        <item m="1" x="104"/>
        <item m="1" x="204"/>
        <item m="1" x="123"/>
        <item m="1" x="155"/>
        <item m="1" x="176"/>
        <item m="1" x="189"/>
        <item m="1" x="262"/>
        <item m="1" x="211"/>
        <item m="1" x="192"/>
        <item m="1" x="237"/>
        <item m="1" x="165"/>
        <item m="1" x="215"/>
        <item m="1" x="218"/>
        <item x="7"/>
        <item x="33"/>
        <item x="45"/>
        <item x="40"/>
        <item x="11"/>
        <item x="32"/>
        <item m="1" x="168"/>
        <item m="1" x="148"/>
        <item m="1" x="105"/>
        <item m="1" x="230"/>
        <item m="1" x="205"/>
        <item x="77"/>
        <item m="1" x="177"/>
        <item m="1" x="257"/>
        <item m="1" x="249"/>
        <item x="58"/>
        <item x="1"/>
        <item x="2"/>
        <item x="78"/>
        <item x="5"/>
        <item m="1" x="157"/>
        <item m="1" x="241"/>
        <item x="9"/>
        <item x="79"/>
        <item x="47"/>
        <item x="10"/>
        <item x="3"/>
        <item x="41"/>
        <item x="0"/>
        <item x="39"/>
        <item x="57"/>
        <item x="83"/>
        <item x="12"/>
        <item x="13"/>
        <item m="1" x="173"/>
        <item m="1" x="255"/>
        <item x="76"/>
        <item x="21"/>
        <item x="6"/>
        <item x="22"/>
        <item m="1" x="106"/>
        <item x="31"/>
        <item x="15"/>
        <item x="14"/>
        <item x="19"/>
        <item x="44"/>
        <item x="51"/>
        <item m="1" x="184"/>
        <item x="42"/>
        <item x="69"/>
        <item m="1" x="158"/>
        <item x="8"/>
        <item x="26"/>
        <item x="4"/>
        <item x="29"/>
        <item x="52"/>
        <item x="43"/>
        <item x="27"/>
        <item x="46"/>
        <item x="80"/>
        <item x="84"/>
        <item x="59"/>
        <item x="61"/>
        <item x="62"/>
        <item x="18"/>
        <item x="53"/>
        <item x="49"/>
        <item x="63"/>
        <item x="64"/>
        <item x="50"/>
        <item x="65"/>
        <item x="66"/>
        <item x="34"/>
        <item x="55"/>
        <item x="67"/>
        <item x="68"/>
        <item x="16"/>
        <item x="17"/>
        <item x="20"/>
        <item x="28"/>
        <item x="25"/>
        <item x="48"/>
        <item m="1" x="250"/>
        <item x="73"/>
        <item x="70"/>
        <item x="24"/>
        <item x="23"/>
        <item x="35"/>
        <item x="36"/>
        <item x="37"/>
        <item x="38"/>
        <item x="54"/>
        <item x="56"/>
        <item x="60"/>
        <item x="71"/>
        <item x="72"/>
        <item x="74"/>
        <item x="75"/>
        <item x="81"/>
        <item x="82"/>
      </items>
    </pivotField>
    <pivotField axis="axisCol" compact="0" outline="0" subtotalTop="0" showAll="0" includeNewItemsInFilter="1" defaultSubtotal="0">
      <items count="28">
        <item m="1" x="20"/>
        <item m="1" x="14"/>
        <item m="1" x="22"/>
        <item m="1" x="17"/>
        <item m="1" x="24"/>
        <item m="1" x="19"/>
        <item x="9"/>
        <item m="1" x="26"/>
        <item m="1" x="27"/>
        <item m="1" x="10"/>
        <item m="1" x="11"/>
        <item m="1" x="12"/>
        <item x="4"/>
        <item x="2"/>
        <item m="1" x="16"/>
        <item m="1" x="13"/>
        <item m="1" x="15"/>
        <item m="1" x="18"/>
        <item m="1" x="21"/>
        <item m="1" x="23"/>
        <item m="1" x="25"/>
        <item x="1"/>
        <item x="7"/>
        <item x="0"/>
        <item x="3"/>
        <item x="5"/>
        <item x="8"/>
        <item x="6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54">
        <item m="1" x="40"/>
        <item x="28"/>
        <item x="26"/>
        <item x="25"/>
        <item m="1" x="39"/>
        <item m="1" x="49"/>
        <item m="1" x="36"/>
        <item m="1" x="42"/>
        <item x="30"/>
        <item m="1" x="45"/>
        <item x="6"/>
        <item m="1" x="33"/>
        <item m="1" x="34"/>
        <item m="1" x="37"/>
        <item m="1" x="35"/>
        <item m="1" x="46"/>
        <item x="12"/>
        <item h="1" x="32"/>
        <item m="1" x="48"/>
        <item m="1" x="41"/>
        <item m="1" x="52"/>
        <item m="1" x="50"/>
        <item m="1" x="47"/>
        <item m="1" x="43"/>
        <item x="5"/>
        <item x="10"/>
        <item x="24"/>
        <item x="0"/>
        <item x="11"/>
        <item m="1" x="38"/>
        <item x="4"/>
        <item x="19"/>
        <item x="16"/>
        <item x="9"/>
        <item x="23"/>
        <item x="20"/>
        <item m="1" x="51"/>
        <item x="1"/>
        <item x="13"/>
        <item m="1" x="44"/>
        <item x="27"/>
        <item x="18"/>
        <item x="29"/>
        <item x="2"/>
        <item x="3"/>
        <item x="14"/>
        <item x="21"/>
        <item x="7"/>
        <item x="15"/>
        <item x="31"/>
        <item x="8"/>
        <item x="17"/>
        <item x="22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>
      <items count="27">
        <item x="10"/>
        <item x="9"/>
        <item x="17"/>
        <item x="18"/>
        <item x="5"/>
        <item x="4"/>
        <item x="0"/>
        <item x="13"/>
        <item x="1"/>
        <item h="1" x="19"/>
        <item m="1" x="23"/>
        <item m="1" x="22"/>
        <item x="8"/>
        <item x="7"/>
        <item x="14"/>
        <item x="16"/>
        <item m="1" x="21"/>
        <item m="1" x="20"/>
        <item m="1" x="25"/>
        <item m="1" x="24"/>
        <item x="12"/>
        <item x="2"/>
        <item x="3"/>
        <item x="11"/>
        <item x="15"/>
        <item x="6"/>
        <item t="default"/>
      </items>
    </pivotField>
    <pivotField axis="axisRow" compact="0" outline="0" subtotalTop="0" showAll="0" includeNewItemsInFilter="1">
      <items count="42">
        <item x="1"/>
        <item x="15"/>
        <item m="1" x="29"/>
        <item x="0"/>
        <item x="9"/>
        <item x="5"/>
        <item x="2"/>
        <item x="8"/>
        <item x="18"/>
        <item x="21"/>
        <item x="6"/>
        <item x="20"/>
        <item x="19"/>
        <item x="3"/>
        <item x="25"/>
        <item m="1" x="36"/>
        <item x="7"/>
        <item x="4"/>
        <item m="1" x="39"/>
        <item m="1" x="28"/>
        <item x="14"/>
        <item m="1" x="35"/>
        <item x="22"/>
        <item m="1" x="40"/>
        <item m="1" x="31"/>
        <item m="1" x="34"/>
        <item m="1" x="27"/>
        <item m="1" x="37"/>
        <item m="1" x="32"/>
        <item m="1" x="26"/>
        <item m="1" x="38"/>
        <item x="11"/>
        <item x="12"/>
        <item m="1" x="30"/>
        <item x="17"/>
        <item x="13"/>
        <item m="1" x="33"/>
        <item x="23"/>
        <item x="10"/>
        <item x="24"/>
        <item x="16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>
      <items count="783">
        <item x="777"/>
        <item m="1" x="778"/>
        <item m="1" x="782"/>
        <item m="1" x="781"/>
        <item m="1" x="780"/>
        <item m="1" x="779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2"/>
        <item x="3"/>
        <item x="4"/>
        <item x="5"/>
        <item x="6"/>
        <item x="7"/>
        <item x="8"/>
        <item x="22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653"/>
        <item x="654"/>
        <item x="655"/>
        <item x="656"/>
        <item x="657"/>
        <item x="658"/>
        <item x="659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660"/>
        <item x="661"/>
        <item x="662"/>
        <item x="663"/>
        <item x="664"/>
        <item x="665"/>
        <item x="666"/>
        <item x="667"/>
        <item x="668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379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195"/>
        <item x="196"/>
        <item x="197"/>
        <item x="198"/>
        <item x="199"/>
        <item x="200"/>
        <item x="201"/>
        <item x="380"/>
        <item x="381"/>
        <item x="382"/>
        <item x="383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384"/>
        <item x="385"/>
        <item x="386"/>
        <item x="387"/>
        <item x="388"/>
        <item x="389"/>
        <item x="3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391"/>
        <item x="392"/>
        <item x="393"/>
        <item x="394"/>
        <item x="395"/>
        <item x="396"/>
        <item x="703"/>
        <item x="704"/>
        <item x="705"/>
        <item x="706"/>
        <item x="707"/>
        <item x="708"/>
        <item x="709"/>
        <item x="710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397"/>
        <item x="398"/>
        <item x="399"/>
        <item x="400"/>
        <item x="614"/>
        <item x="615"/>
        <item x="616"/>
        <item x="617"/>
        <item x="618"/>
        <item x="619"/>
        <item x="620"/>
        <item x="621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91"/>
        <item x="92"/>
        <item x="93"/>
        <item x="297"/>
        <item x="298"/>
        <item x="299"/>
        <item x="300"/>
        <item x="301"/>
        <item x="302"/>
        <item x="303"/>
        <item x="304"/>
        <item x="305"/>
        <item x="401"/>
        <item x="402"/>
        <item x="765"/>
        <item x="766"/>
        <item x="767"/>
        <item x="768"/>
        <item x="769"/>
        <item x="770"/>
        <item x="771"/>
        <item x="772"/>
        <item x="773"/>
        <item x="774"/>
        <item x="94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119"/>
        <item x="418"/>
        <item x="419"/>
        <item x="420"/>
        <item x="421"/>
        <item x="422"/>
        <item x="423"/>
        <item x="775"/>
        <item x="776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424"/>
        <item x="425"/>
        <item x="426"/>
        <item x="427"/>
        <item x="428"/>
        <item x="429"/>
        <item x="430"/>
        <item x="431"/>
        <item x="432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0"/>
        <item x="1"/>
        <item x="131"/>
        <item x="132"/>
        <item x="133"/>
        <item x="134"/>
        <item x="135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</items>
    </pivotField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>
      <items count="22">
        <item x="1"/>
        <item x="3"/>
        <item x="4"/>
        <item x="0"/>
        <item x="20"/>
        <item m="1" x="21"/>
        <item x="6"/>
        <item x="2"/>
        <item x="5"/>
        <item x="14"/>
        <item x="15"/>
        <item x="16"/>
        <item x="7"/>
        <item x="8"/>
        <item x="9"/>
        <item x="17"/>
        <item x="18"/>
        <item x="10"/>
        <item x="13"/>
        <item x="19"/>
        <item x="11"/>
        <item x="12"/>
      </items>
    </pivotField>
    <pivotField compact="0" outline="0" subtotalTop="0" showAll="0" includeNewItemsInFilter="1" defaultSubtotal="0">
      <items count="172">
        <item m="1" x="80"/>
        <item m="1" x="110"/>
        <item m="1" x="141"/>
        <item m="1" x="123"/>
        <item m="1" x="146"/>
        <item m="1" x="79"/>
        <item m="1" x="126"/>
        <item m="1" x="64"/>
        <item m="1" x="108"/>
        <item m="1" x="138"/>
        <item m="1" x="77"/>
        <item m="1" x="167"/>
        <item m="1" x="101"/>
        <item m="1" x="134"/>
        <item m="1" x="115"/>
        <item m="1" x="161"/>
        <item m="1" x="97"/>
        <item m="1" x="130"/>
        <item m="1" x="67"/>
        <item m="1" x="112"/>
        <item m="1" x="158"/>
        <item m="1" x="99"/>
        <item m="1" x="82"/>
        <item m="1" x="70"/>
        <item m="1" x="95"/>
        <item m="1" x="148"/>
        <item m="1" x="81"/>
        <item m="1" x="128"/>
        <item m="1" x="91"/>
        <item x="8"/>
        <item m="1" x="124"/>
        <item m="1" x="73"/>
        <item m="1" x="117"/>
        <item m="1" x="136"/>
        <item m="1" x="170"/>
        <item m="1" x="164"/>
        <item m="1" x="139"/>
        <item m="1" x="102"/>
        <item m="1" x="71"/>
        <item m="1" x="85"/>
        <item m="1" x="131"/>
        <item m="1" x="135"/>
        <item m="1" x="150"/>
        <item m="1" x="61"/>
        <item m="1" x="143"/>
        <item m="1" x="125"/>
        <item m="1" x="87"/>
        <item m="1" x="119"/>
        <item m="1" x="165"/>
        <item m="1" x="153"/>
        <item m="1" x="154"/>
        <item m="1" x="142"/>
        <item m="1" x="104"/>
        <item m="1" x="127"/>
        <item m="1" x="72"/>
        <item m="1" x="116"/>
        <item m="1" x="151"/>
        <item m="1" x="155"/>
        <item m="1" x="88"/>
        <item m="1" x="162"/>
        <item m="1" x="106"/>
        <item m="1" x="144"/>
        <item m="1" x="159"/>
        <item m="1" x="62"/>
        <item m="1" x="133"/>
        <item m="1" x="114"/>
        <item m="1" x="96"/>
        <item m="1" x="171"/>
        <item m="1" x="160"/>
        <item m="1" x="83"/>
        <item m="1" x="149"/>
        <item m="1" x="137"/>
        <item m="1" x="105"/>
        <item m="1" x="74"/>
        <item m="1" x="100"/>
        <item m="1" x="118"/>
        <item m="1" x="98"/>
        <item m="1" x="132"/>
        <item m="1" x="68"/>
        <item m="1" x="113"/>
        <item m="1" x="93"/>
        <item m="1" x="109"/>
        <item m="1" x="156"/>
        <item m="1" x="90"/>
        <item m="1" x="121"/>
        <item m="1" x="65"/>
        <item m="1" x="86"/>
        <item m="1" x="168"/>
        <item m="1" x="103"/>
        <item m="1" x="92"/>
        <item m="1" x="145"/>
        <item m="1" x="107"/>
        <item m="1" x="63"/>
        <item m="1" x="76"/>
        <item m="1" x="166"/>
        <item m="1" x="89"/>
        <item m="1" x="84"/>
        <item m="1" x="129"/>
        <item m="1" x="66"/>
        <item m="1" x="111"/>
        <item m="1" x="78"/>
        <item m="1" x="69"/>
        <item m="1" x="94"/>
        <item m="1" x="152"/>
        <item m="1" x="120"/>
        <item m="1" x="147"/>
        <item m="1" x="169"/>
        <item m="1" x="122"/>
        <item m="1" x="140"/>
        <item m="1" x="163"/>
        <item x="12"/>
        <item x="27"/>
        <item x="28"/>
        <item x="29"/>
        <item x="0"/>
        <item x="30"/>
        <item x="1"/>
        <item m="1" x="157"/>
        <item x="40"/>
        <item x="41"/>
        <item x="13"/>
        <item x="54"/>
        <item x="9"/>
        <item x="2"/>
        <item x="3"/>
        <item x="14"/>
        <item x="4"/>
        <item x="55"/>
        <item x="31"/>
        <item x="15"/>
        <item x="16"/>
        <item x="32"/>
        <item x="17"/>
        <item x="56"/>
        <item x="5"/>
        <item x="42"/>
        <item m="1" x="75"/>
        <item x="10"/>
        <item x="18"/>
        <item x="19"/>
        <item x="20"/>
        <item x="21"/>
        <item x="57"/>
        <item x="48"/>
        <item x="22"/>
        <item x="6"/>
        <item x="58"/>
        <item x="59"/>
        <item x="33"/>
        <item x="7"/>
        <item x="34"/>
        <item x="60"/>
        <item x="23"/>
        <item x="35"/>
        <item x="24"/>
        <item x="25"/>
        <item x="36"/>
        <item x="49"/>
        <item x="50"/>
        <item x="51"/>
        <item x="47"/>
        <item x="11"/>
        <item x="26"/>
        <item x="37"/>
        <item x="38"/>
        <item x="39"/>
        <item x="43"/>
        <item x="44"/>
        <item x="45"/>
        <item x="46"/>
        <item x="52"/>
        <item x="53"/>
      </items>
    </pivotField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 count="3">
    <field x="14"/>
    <field x="20"/>
    <field x="4"/>
  </rowFields>
  <rowItems count="257">
    <i>
      <x v="1"/>
      <x v="8"/>
      <x v="12"/>
    </i>
    <i r="2">
      <x v="13"/>
    </i>
    <i r="2">
      <x v="14"/>
    </i>
    <i t="default" r="1">
      <x v="8"/>
    </i>
    <i r="1">
      <x v="9"/>
      <x v="13"/>
    </i>
    <i r="2">
      <x v="15"/>
    </i>
    <i t="default" r="1">
      <x v="9"/>
    </i>
    <i r="1">
      <x v="11"/>
      <x v="13"/>
    </i>
    <i r="2">
      <x v="14"/>
    </i>
    <i t="default" r="1">
      <x v="11"/>
    </i>
    <i r="1">
      <x v="12"/>
      <x v="13"/>
    </i>
    <i r="2">
      <x v="14"/>
    </i>
    <i t="default" r="1">
      <x v="12"/>
    </i>
    <i r="1">
      <x v="22"/>
      <x v="14"/>
    </i>
    <i t="default" r="1">
      <x v="22"/>
    </i>
    <i r="1">
      <x v="37"/>
      <x v="14"/>
    </i>
    <i t="default" r="1">
      <x v="37"/>
    </i>
    <i r="1">
      <x v="38"/>
      <x v="14"/>
    </i>
    <i t="default" r="1">
      <x v="38"/>
    </i>
    <i r="1">
      <x v="39"/>
      <x v="14"/>
    </i>
    <i t="default" r="1">
      <x v="39"/>
    </i>
    <i t="default">
      <x v="1"/>
    </i>
    <i>
      <x v="2"/>
      <x v="1"/>
      <x v="14"/>
    </i>
    <i r="2">
      <x v="16"/>
    </i>
    <i t="default" r="1">
      <x v="1"/>
    </i>
    <i r="1">
      <x v="34"/>
      <x v="14"/>
    </i>
    <i t="default" r="1">
      <x v="34"/>
    </i>
    <i t="default">
      <x v="2"/>
    </i>
    <i>
      <x v="3"/>
      <x v="16"/>
      <x v="12"/>
    </i>
    <i t="default" r="1">
      <x v="16"/>
    </i>
    <i t="default">
      <x v="3"/>
    </i>
    <i>
      <x v="8"/>
      <x v="8"/>
      <x v="14"/>
    </i>
    <i t="default" r="1">
      <x v="8"/>
    </i>
    <i r="1">
      <x v="9"/>
      <x v="14"/>
    </i>
    <i r="2">
      <x v="15"/>
    </i>
    <i t="default" r="1">
      <x v="9"/>
    </i>
    <i r="1">
      <x v="11"/>
      <x v="14"/>
    </i>
    <i t="default" r="1">
      <x v="11"/>
    </i>
    <i r="1">
      <x v="12"/>
      <x v="14"/>
    </i>
    <i r="2">
      <x v="15"/>
    </i>
    <i t="default" r="1">
      <x v="12"/>
    </i>
    <i r="1">
      <x v="22"/>
      <x v="14"/>
    </i>
    <i t="default" r="1">
      <x v="22"/>
    </i>
    <i t="default">
      <x v="8"/>
    </i>
    <i>
      <x v="10"/>
      <x v="16"/>
      <x v="14"/>
    </i>
    <i t="default" r="1">
      <x v="16"/>
    </i>
    <i r="1">
      <x v="31"/>
      <x v="15"/>
    </i>
    <i t="default" r="1">
      <x v="31"/>
    </i>
    <i t="default">
      <x v="10"/>
    </i>
    <i>
      <x v="16"/>
      <x v="20"/>
      <x v="14"/>
    </i>
    <i t="default" r="1">
      <x v="20"/>
    </i>
    <i r="1">
      <x v="32"/>
      <x v="12"/>
    </i>
    <i r="2">
      <x v="14"/>
    </i>
    <i t="default" r="1">
      <x v="32"/>
    </i>
    <i t="default">
      <x v="16"/>
    </i>
    <i>
      <x v="24"/>
      <x/>
      <x v="12"/>
    </i>
    <i r="2">
      <x v="13"/>
    </i>
    <i r="2">
      <x v="14"/>
    </i>
    <i r="2">
      <x v="15"/>
    </i>
    <i t="default" r="1">
      <x/>
    </i>
    <i r="1">
      <x v="4"/>
      <x v="14"/>
    </i>
    <i t="default" r="1">
      <x v="4"/>
    </i>
    <i r="1">
      <x v="5"/>
      <x v="12"/>
    </i>
    <i r="2">
      <x v="13"/>
    </i>
    <i r="2">
      <x v="14"/>
    </i>
    <i t="default" r="1">
      <x v="5"/>
    </i>
    <i r="1">
      <x v="6"/>
      <x v="12"/>
    </i>
    <i r="2">
      <x v="13"/>
    </i>
    <i r="2">
      <x v="14"/>
    </i>
    <i r="2">
      <x v="15"/>
    </i>
    <i t="default" r="1">
      <x v="6"/>
    </i>
    <i r="1">
      <x v="7"/>
      <x v="14"/>
    </i>
    <i t="default" r="1">
      <x v="7"/>
    </i>
    <i r="1">
      <x v="10"/>
      <x v="12"/>
    </i>
    <i r="2">
      <x v="13"/>
    </i>
    <i r="2">
      <x v="15"/>
    </i>
    <i t="default" r="1">
      <x v="10"/>
    </i>
    <i r="1">
      <x v="13"/>
      <x v="13"/>
    </i>
    <i r="2">
      <x v="14"/>
    </i>
    <i r="2">
      <x v="15"/>
    </i>
    <i t="default" r="1">
      <x v="13"/>
    </i>
    <i r="1">
      <x v="17"/>
      <x v="13"/>
    </i>
    <i r="2">
      <x v="14"/>
    </i>
    <i r="2">
      <x v="15"/>
    </i>
    <i t="default" r="1">
      <x v="17"/>
    </i>
    <i t="default">
      <x v="24"/>
    </i>
    <i>
      <x v="25"/>
      <x/>
      <x v="12"/>
    </i>
    <i r="2">
      <x v="15"/>
    </i>
    <i t="default" r="1">
      <x/>
    </i>
    <i r="1">
      <x v="4"/>
      <x v="12"/>
    </i>
    <i t="default" r="1">
      <x v="4"/>
    </i>
    <i r="1">
      <x v="13"/>
      <x v="12"/>
    </i>
    <i t="default" r="1">
      <x v="13"/>
    </i>
    <i r="1">
      <x v="17"/>
      <x v="12"/>
    </i>
    <i r="2">
      <x v="15"/>
    </i>
    <i t="default" r="1">
      <x v="17"/>
    </i>
    <i t="default">
      <x v="25"/>
    </i>
    <i>
      <x v="26"/>
      <x/>
      <x v="14"/>
    </i>
    <i t="default" r="1">
      <x/>
    </i>
    <i r="1">
      <x v="3"/>
      <x v="12"/>
    </i>
    <i r="2">
      <x v="15"/>
    </i>
    <i t="default" r="1">
      <x v="3"/>
    </i>
    <i r="1">
      <x v="4"/>
      <x v="15"/>
    </i>
    <i t="default" r="1">
      <x v="4"/>
    </i>
    <i r="1">
      <x v="6"/>
      <x v="12"/>
    </i>
    <i r="2">
      <x v="14"/>
    </i>
    <i r="2">
      <x v="15"/>
    </i>
    <i t="default" r="1">
      <x v="6"/>
    </i>
    <i r="1">
      <x v="13"/>
      <x v="12"/>
    </i>
    <i r="2">
      <x v="14"/>
    </i>
    <i r="2">
      <x v="16"/>
    </i>
    <i t="default" r="1">
      <x v="13"/>
    </i>
    <i r="1">
      <x v="17"/>
      <x v="12"/>
    </i>
    <i r="2">
      <x v="14"/>
    </i>
    <i r="2">
      <x v="16"/>
    </i>
    <i t="default" r="1">
      <x v="17"/>
    </i>
    <i r="1">
      <x v="40"/>
      <x v="15"/>
    </i>
    <i t="default" r="1">
      <x v="40"/>
    </i>
    <i t="default">
      <x v="26"/>
    </i>
    <i>
      <x v="27"/>
      <x/>
      <x v="4"/>
    </i>
    <i r="2">
      <x v="12"/>
    </i>
    <i r="2">
      <x v="14"/>
    </i>
    <i t="default" r="1">
      <x/>
    </i>
    <i r="1">
      <x v="3"/>
      <x v="12"/>
    </i>
    <i r="2">
      <x v="14"/>
    </i>
    <i t="default" r="1">
      <x v="3"/>
    </i>
    <i r="1">
      <x v="6"/>
      <x v="12"/>
    </i>
    <i r="2">
      <x v="14"/>
    </i>
    <i t="default" r="1">
      <x v="6"/>
    </i>
    <i r="1">
      <x v="17"/>
      <x v="14"/>
    </i>
    <i t="default" r="1">
      <x v="17"/>
    </i>
    <i t="default">
      <x v="27"/>
    </i>
    <i>
      <x v="28"/>
      <x/>
      <x v="12"/>
    </i>
    <i t="default" r="1">
      <x/>
    </i>
    <i r="1">
      <x v="5"/>
      <x v="12"/>
    </i>
    <i t="default" r="1">
      <x v="5"/>
    </i>
    <i r="1">
      <x v="6"/>
      <x v="12"/>
    </i>
    <i r="2">
      <x v="13"/>
    </i>
    <i t="default" r="1">
      <x v="6"/>
    </i>
    <i t="default">
      <x v="28"/>
    </i>
    <i>
      <x v="30"/>
      <x v="3"/>
      <x v="12"/>
    </i>
    <i r="2">
      <x v="14"/>
    </i>
    <i r="2">
      <x v="16"/>
    </i>
    <i t="default" r="1">
      <x v="3"/>
    </i>
    <i t="default">
      <x v="30"/>
    </i>
    <i>
      <x v="31"/>
      <x/>
      <x v="12"/>
    </i>
    <i t="default" r="1">
      <x/>
    </i>
    <i r="1">
      <x v="13"/>
      <x v="12"/>
    </i>
    <i t="default" r="1">
      <x v="13"/>
    </i>
    <i t="default">
      <x v="31"/>
    </i>
    <i>
      <x v="32"/>
      <x v="1"/>
      <x v="14"/>
    </i>
    <i t="default" r="1">
      <x v="1"/>
    </i>
    <i t="default">
      <x v="32"/>
    </i>
    <i>
      <x v="33"/>
      <x/>
      <x v="14"/>
    </i>
    <i r="2">
      <x v="16"/>
    </i>
    <i t="default" r="1">
      <x/>
    </i>
    <i r="1">
      <x v="3"/>
      <x v="12"/>
    </i>
    <i r="2">
      <x v="13"/>
    </i>
    <i t="default" r="1">
      <x v="3"/>
    </i>
    <i r="1">
      <x v="5"/>
      <x v="16"/>
    </i>
    <i t="default" r="1">
      <x v="5"/>
    </i>
    <i r="1">
      <x v="6"/>
      <x v="12"/>
    </i>
    <i t="default" r="1">
      <x v="6"/>
    </i>
    <i t="default">
      <x v="33"/>
    </i>
    <i>
      <x v="34"/>
      <x v="3"/>
      <x v="14"/>
    </i>
    <i t="default" r="1">
      <x v="3"/>
    </i>
    <i t="default">
      <x v="34"/>
    </i>
    <i>
      <x v="35"/>
      <x v="3"/>
      <x v="13"/>
    </i>
    <i t="default" r="1">
      <x v="3"/>
    </i>
    <i r="1">
      <x v="13"/>
      <x v="13"/>
    </i>
    <i t="default" r="1">
      <x v="13"/>
    </i>
    <i r="1">
      <x v="17"/>
      <x v="15"/>
    </i>
    <i t="default" r="1">
      <x v="17"/>
    </i>
    <i r="1">
      <x v="40"/>
      <x v="15"/>
    </i>
    <i t="default" r="1">
      <x v="40"/>
    </i>
    <i t="default">
      <x v="35"/>
    </i>
    <i>
      <x v="37"/>
      <x/>
      <x v="13"/>
    </i>
    <i r="2">
      <x v="14"/>
    </i>
    <i t="default" r="1">
      <x/>
    </i>
    <i r="1">
      <x v="6"/>
      <x v="13"/>
    </i>
    <i r="2">
      <x v="14"/>
    </i>
    <i t="default" r="1">
      <x v="6"/>
    </i>
    <i r="1">
      <x v="13"/>
      <x v="13"/>
    </i>
    <i t="default" r="1">
      <x v="13"/>
    </i>
    <i t="default">
      <x v="37"/>
    </i>
    <i>
      <x v="38"/>
      <x/>
      <x v="12"/>
    </i>
    <i r="2">
      <x v="13"/>
    </i>
    <i t="default" r="1">
      <x/>
    </i>
    <i r="1">
      <x v="4"/>
      <x v="12"/>
    </i>
    <i t="default" r="1">
      <x v="4"/>
    </i>
    <i r="1">
      <x v="13"/>
      <x v="12"/>
    </i>
    <i r="2">
      <x v="13"/>
    </i>
    <i t="default" r="1">
      <x v="13"/>
    </i>
    <i t="default">
      <x v="38"/>
    </i>
    <i>
      <x v="40"/>
      <x v="5"/>
      <x v="13"/>
    </i>
    <i t="default" r="1">
      <x v="5"/>
    </i>
    <i t="default">
      <x v="40"/>
    </i>
    <i>
      <x v="41"/>
      <x v="3"/>
      <x v="12"/>
    </i>
    <i r="2">
      <x v="13"/>
    </i>
    <i r="2">
      <x v="14"/>
    </i>
    <i t="default" r="1">
      <x v="3"/>
    </i>
    <i t="default">
      <x v="41"/>
    </i>
    <i>
      <x v="42"/>
      <x v="8"/>
      <x v="13"/>
    </i>
    <i t="default" r="1">
      <x v="8"/>
    </i>
    <i r="1">
      <x v="12"/>
      <x v="13"/>
    </i>
    <i t="default" r="1">
      <x v="12"/>
    </i>
    <i t="default">
      <x v="42"/>
    </i>
    <i>
      <x v="43"/>
      <x v="3"/>
      <x v="13"/>
    </i>
    <i t="default" r="1">
      <x v="3"/>
    </i>
    <i t="default">
      <x v="43"/>
    </i>
    <i>
      <x v="44"/>
      <x v="3"/>
      <x v="13"/>
    </i>
    <i t="default" r="1">
      <x v="3"/>
    </i>
    <i t="default">
      <x v="44"/>
    </i>
    <i>
      <x v="45"/>
      <x/>
      <x v="14"/>
    </i>
    <i t="default" r="1">
      <x/>
    </i>
    <i r="1">
      <x v="6"/>
      <x v="15"/>
    </i>
    <i t="default" r="1">
      <x v="6"/>
    </i>
    <i r="1">
      <x v="17"/>
      <x v="15"/>
    </i>
    <i t="default" r="1">
      <x v="17"/>
    </i>
    <i r="1">
      <x v="35"/>
      <x v="13"/>
    </i>
    <i t="default" r="1">
      <x v="35"/>
    </i>
    <i t="default">
      <x v="45"/>
    </i>
    <i>
      <x v="46"/>
      <x v="3"/>
      <x v="14"/>
    </i>
    <i t="default" r="1">
      <x v="3"/>
    </i>
    <i r="1">
      <x v="40"/>
      <x v="15"/>
    </i>
    <i t="default" r="1">
      <x v="40"/>
    </i>
    <i t="default">
      <x v="46"/>
    </i>
    <i>
      <x v="47"/>
      <x v="3"/>
      <x v="14"/>
    </i>
    <i t="default" r="1">
      <x v="3"/>
    </i>
    <i r="1">
      <x v="6"/>
      <x v="14"/>
    </i>
    <i t="default" r="1">
      <x v="6"/>
    </i>
    <i r="1">
      <x v="13"/>
      <x v="14"/>
    </i>
    <i t="default" r="1">
      <x v="13"/>
    </i>
    <i t="default">
      <x v="47"/>
    </i>
    <i>
      <x v="48"/>
      <x v="32"/>
      <x v="14"/>
    </i>
    <i t="default" r="1">
      <x v="32"/>
    </i>
    <i t="default">
      <x v="48"/>
    </i>
    <i>
      <x v="49"/>
      <x v="8"/>
      <x v="14"/>
    </i>
    <i t="default" r="1">
      <x v="8"/>
    </i>
    <i r="1">
      <x v="9"/>
      <x v="14"/>
    </i>
    <i t="default" r="1">
      <x v="9"/>
    </i>
    <i r="1">
      <x v="11"/>
      <x v="14"/>
    </i>
    <i t="default" r="1">
      <x v="11"/>
    </i>
    <i r="1">
      <x v="12"/>
      <x v="14"/>
    </i>
    <i t="default" r="1">
      <x v="12"/>
    </i>
    <i t="default">
      <x v="49"/>
    </i>
    <i>
      <x v="50"/>
      <x v="38"/>
      <x v="15"/>
    </i>
    <i r="2">
      <x v="16"/>
    </i>
    <i t="default" r="1">
      <x v="38"/>
    </i>
    <i t="default">
      <x v="50"/>
    </i>
    <i>
      <x v="51"/>
      <x v="1"/>
      <x v="15"/>
    </i>
    <i t="default" r="1">
      <x v="1"/>
    </i>
    <i t="default">
      <x v="51"/>
    </i>
    <i>
      <x v="52"/>
      <x v="1"/>
      <x v="16"/>
    </i>
    <i t="default" r="1">
      <x v="1"/>
    </i>
    <i t="default">
      <x v="52"/>
    </i>
    <i t="grand">
      <x/>
    </i>
  </rowItems>
  <colFields count="1">
    <field x="11"/>
  </colFields>
  <colItems count="10">
    <i>
      <x v="12"/>
    </i>
    <i>
      <x v="13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colItems>
  <dataFields count="1">
    <dataField name=" 샘플수" fld="24" baseField="0" baseItem="0" numFmtId="3"/>
  </dataFields>
  <formats count="205">
    <format dxfId="753">
      <pivotArea field="19" type="button" dataOnly="0" labelOnly="1" outline="0"/>
    </format>
    <format dxfId="752">
      <pivotArea field="22" type="button" dataOnly="0" labelOnly="1" outline="0"/>
    </format>
    <format dxfId="751">
      <pivotArea field="22" type="button" dataOnly="0" labelOnly="1" outline="0"/>
    </format>
    <format dxfId="750">
      <pivotArea field="22" type="button" dataOnly="0" labelOnly="1" outline="0"/>
    </format>
    <format dxfId="749">
      <pivotArea type="origin" dataOnly="0" labelOnly="1" outline="0" offset="A2" fieldPosition="0"/>
    </format>
    <format dxfId="748">
      <pivotArea field="19" type="button" dataOnly="0" labelOnly="1" outline="0"/>
    </format>
    <format dxfId="747">
      <pivotArea field="19" type="button" dataOnly="0" labelOnly="1" outline="0"/>
    </format>
    <format dxfId="746">
      <pivotArea type="all" dataOnly="0" outline="0" fieldPosition="0"/>
    </format>
    <format dxfId="745">
      <pivotArea field="19" type="button" dataOnly="0" labelOnly="1" outline="0"/>
    </format>
    <format dxfId="744">
      <pivotArea dataOnly="0" grandRow="1" outline="0" fieldPosition="0"/>
    </format>
    <format dxfId="743">
      <pivotArea dataOnly="0" grandRow="1" outline="0" fieldPosition="0"/>
    </format>
    <format dxfId="742">
      <pivotArea field="14" type="button" dataOnly="0" labelOnly="1" outline="0" axis="axisRow" fieldPosition="0"/>
    </format>
    <format dxfId="741">
      <pivotArea field="20" type="button" dataOnly="0" labelOnly="1" outline="0" axis="axisRow" fieldPosition="1"/>
    </format>
    <format dxfId="740">
      <pivotArea dataOnly="0" outline="0" fieldPosition="0">
        <references count="1">
          <reference field="14" count="0" defaultSubtotal="1"/>
        </references>
      </pivotArea>
    </format>
    <format dxfId="739">
      <pivotArea field="14" type="button" dataOnly="0" labelOnly="1" outline="0" axis="axisRow" fieldPosition="0"/>
    </format>
    <format dxfId="738">
      <pivotArea field="20" type="button" dataOnly="0" labelOnly="1" outline="0" axis="axisRow" fieldPosition="1"/>
    </format>
    <format dxfId="737">
      <pivotArea field="22" type="button" dataOnly="0" labelOnly="1" outline="0"/>
    </format>
    <format dxfId="736">
      <pivotArea field="26" type="button" dataOnly="0" labelOnly="1" outline="0"/>
    </format>
    <format dxfId="735">
      <pivotArea field="10" type="button" dataOnly="0" labelOnly="1" outline="0"/>
    </format>
    <format dxfId="734">
      <pivotArea field="14" type="button" dataOnly="0" labelOnly="1" outline="0" axis="axisRow" fieldPosition="0"/>
    </format>
    <format dxfId="733">
      <pivotArea field="20" type="button" dataOnly="0" labelOnly="1" outline="0" axis="axisRow" fieldPosition="1"/>
    </format>
    <format dxfId="732">
      <pivotArea field="22" type="button" dataOnly="0" labelOnly="1" outline="0"/>
    </format>
    <format dxfId="731">
      <pivotArea field="25" type="button" dataOnly="0" labelOnly="1" outline="0"/>
    </format>
    <format dxfId="730">
      <pivotArea field="26" type="button" dataOnly="0" labelOnly="1" outline="0"/>
    </format>
    <format dxfId="729">
      <pivotArea field="10" type="button" dataOnly="0" labelOnly="1" outline="0"/>
    </format>
    <format dxfId="728">
      <pivotArea field="22" type="button" dataOnly="0" labelOnly="1" outline="0"/>
    </format>
    <format dxfId="727">
      <pivotArea field="25" type="button" dataOnly="0" labelOnly="1" outline="0"/>
    </format>
    <format dxfId="726">
      <pivotArea field="26" type="button" dataOnly="0" labelOnly="1" outline="0"/>
    </format>
    <format dxfId="725">
      <pivotArea field="10" type="button" dataOnly="0" labelOnly="1" outline="0"/>
    </format>
    <format dxfId="724">
      <pivotArea dataOnly="0" outline="0" fieldPosition="0">
        <references count="1">
          <reference field="20" count="0" defaultSubtotal="1"/>
        </references>
      </pivotArea>
    </format>
    <format dxfId="723">
      <pivotArea dataOnly="0" outline="0" fieldPosition="0">
        <references count="1">
          <reference field="14" count="0" defaultSubtotal="1"/>
        </references>
      </pivotArea>
    </format>
    <format dxfId="722">
      <pivotArea type="all" dataOnly="0" outline="0" fieldPosition="0"/>
    </format>
    <format dxfId="721">
      <pivotArea outline="0" fieldPosition="0">
        <references count="1">
          <reference field="4294967294" count="1">
            <x v="0"/>
          </reference>
        </references>
      </pivotArea>
    </format>
    <format dxfId="720">
      <pivotArea field="14" type="button" dataOnly="0" labelOnly="1" outline="0" axis="axisRow" fieldPosition="0"/>
    </format>
    <format dxfId="719">
      <pivotArea field="14" type="button" dataOnly="0" labelOnly="1" outline="0" axis="axisRow" fieldPosition="0"/>
    </format>
    <format dxfId="718">
      <pivotArea field="14" type="button" dataOnly="0" labelOnly="1" outline="0" axis="axisRow" fieldPosition="0"/>
    </format>
    <format dxfId="717">
      <pivotArea field="20" type="button" dataOnly="0" labelOnly="1" outline="0" axis="axisRow" fieldPosition="1"/>
    </format>
    <format dxfId="716">
      <pivotArea dataOnly="0" labelOnly="1" outline="0" fieldPosition="0">
        <references count="1">
          <reference field="11" count="6">
            <x v="7"/>
            <x v="8"/>
            <x v="9"/>
            <x v="10"/>
            <x v="11"/>
            <x v="12"/>
          </reference>
        </references>
      </pivotArea>
    </format>
    <format dxfId="715">
      <pivotArea dataOnly="0" labelOnly="1" grandCol="1" outline="0" fieldPosition="0"/>
    </format>
    <format dxfId="714">
      <pivotArea field="14" type="button" dataOnly="0" labelOnly="1" outline="0" axis="axisRow" fieldPosition="0"/>
    </format>
    <format dxfId="713">
      <pivotArea field="20" type="button" dataOnly="0" labelOnly="1" outline="0" axis="axisRow" fieldPosition="1"/>
    </format>
    <format dxfId="712">
      <pivotArea dataOnly="0" labelOnly="1" outline="0" fieldPosition="0">
        <references count="1">
          <reference field="11" count="6">
            <x v="7"/>
            <x v="8"/>
            <x v="9"/>
            <x v="10"/>
            <x v="11"/>
            <x v="12"/>
          </reference>
        </references>
      </pivotArea>
    </format>
    <format dxfId="711">
      <pivotArea dataOnly="0" labelOnly="1" grandCol="1" outline="0" fieldPosition="0"/>
    </format>
    <format dxfId="710">
      <pivotArea field="14" type="button" dataOnly="0" labelOnly="1" outline="0" axis="axisRow" fieldPosition="0"/>
    </format>
    <format dxfId="709">
      <pivotArea field="20" type="button" dataOnly="0" labelOnly="1" outline="0" axis="axisRow" fieldPosition="1"/>
    </format>
    <format dxfId="708">
      <pivotArea field="4" type="button" dataOnly="0" labelOnly="1" outline="0" axis="axisRow" fieldPosition="2"/>
    </format>
    <format dxfId="707">
      <pivotArea dataOnly="0" labelOnly="1" outline="0" fieldPosition="0">
        <references count="1">
          <reference field="11" count="6">
            <x v="7"/>
            <x v="8"/>
            <x v="9"/>
            <x v="10"/>
            <x v="11"/>
            <x v="12"/>
          </reference>
        </references>
      </pivotArea>
    </format>
    <format dxfId="706">
      <pivotArea dataOnly="0" labelOnly="1" grandCol="1" outline="0" fieldPosition="0"/>
    </format>
    <format dxfId="705">
      <pivotArea outline="0" fieldPosition="0">
        <references count="4">
          <reference field="4" count="1" selected="0">
            <x v="1"/>
          </reference>
          <reference field="11" count="1" selected="0">
            <x v="10"/>
          </reference>
          <reference field="14" count="1" selected="0">
            <x v="1"/>
          </reference>
          <reference field="20" count="1" selected="0">
            <x v="8"/>
          </reference>
        </references>
      </pivotArea>
    </format>
    <format dxfId="704">
      <pivotArea outline="0" fieldPosition="0">
        <references count="4">
          <reference field="4" count="1" selected="0">
            <x v="1"/>
          </reference>
          <reference field="11" count="1" selected="0">
            <x v="10"/>
          </reference>
          <reference field="14" count="1" selected="0">
            <x v="1"/>
          </reference>
          <reference field="20" count="1" selected="0">
            <x v="9"/>
          </reference>
        </references>
      </pivotArea>
    </format>
    <format dxfId="703">
      <pivotArea outline="0" fieldPosition="0">
        <references count="4">
          <reference field="4" count="1" selected="0">
            <x v="1"/>
          </reference>
          <reference field="11" count="1" selected="0">
            <x v="10"/>
          </reference>
          <reference field="14" count="1" selected="0">
            <x v="1"/>
          </reference>
          <reference field="20" count="1" selected="0">
            <x v="12"/>
          </reference>
        </references>
      </pivotArea>
    </format>
    <format dxfId="702">
      <pivotArea outline="0" fieldPosition="0">
        <references count="4">
          <reference field="4" count="1" selected="0">
            <x v="1"/>
          </reference>
          <reference field="11" count="1" selected="0">
            <x v="10"/>
          </reference>
          <reference field="14" count="1" selected="0">
            <x v="1"/>
          </reference>
          <reference field="20" count="1" selected="0">
            <x v="8"/>
          </reference>
        </references>
      </pivotArea>
    </format>
    <format dxfId="701">
      <pivotArea outline="0" fieldPosition="0">
        <references count="4">
          <reference field="4" count="1" selected="0">
            <x v="1"/>
          </reference>
          <reference field="11" count="1" selected="0">
            <x v="10"/>
          </reference>
          <reference field="14" count="1" selected="0">
            <x v="1"/>
          </reference>
          <reference field="20" count="1" selected="0">
            <x v="9"/>
          </reference>
        </references>
      </pivotArea>
    </format>
    <format dxfId="700">
      <pivotArea outline="0" fieldPosition="0">
        <references count="4">
          <reference field="4" count="1" selected="0">
            <x v="1"/>
          </reference>
          <reference field="11" count="1" selected="0">
            <x v="10"/>
          </reference>
          <reference field="14" count="1" selected="0">
            <x v="1"/>
          </reference>
          <reference field="20" count="1" selected="0">
            <x v="12"/>
          </reference>
        </references>
      </pivotArea>
    </format>
    <format dxfId="699">
      <pivotArea outline="0" fieldPosition="0">
        <references count="4">
          <reference field="4" count="1" selected="0">
            <x v="2"/>
          </reference>
          <reference field="11" count="1" selected="0">
            <x v="11"/>
          </reference>
          <reference field="14" count="1" selected="0">
            <x v="11"/>
          </reference>
          <reference field="20" count="1" selected="0">
            <x v="5"/>
          </reference>
        </references>
      </pivotArea>
    </format>
    <format dxfId="698">
      <pivotArea outline="0" fieldPosition="0">
        <references count="4">
          <reference field="4" count="1" selected="0">
            <x v="2"/>
          </reference>
          <reference field="11" count="1" selected="0">
            <x v="11"/>
          </reference>
          <reference field="14" count="1" selected="0">
            <x v="11"/>
          </reference>
          <reference field="20" count="1" selected="0">
            <x v="5"/>
          </reference>
        </references>
      </pivotArea>
    </format>
    <format dxfId="697">
      <pivotArea outline="0" fieldPosition="0">
        <references count="4">
          <reference field="4" count="0" selected="0"/>
          <reference field="11" count="1" selected="0">
            <x v="10"/>
          </reference>
          <reference field="14" count="1" selected="0">
            <x v="11"/>
          </reference>
          <reference field="20" count="1" selected="0">
            <x v="5"/>
          </reference>
        </references>
      </pivotArea>
    </format>
    <format dxfId="696">
      <pivotArea outline="0" fieldPosition="0">
        <references count="4">
          <reference field="4" count="0" selected="0"/>
          <reference field="11" count="1" selected="0">
            <x v="10"/>
          </reference>
          <reference field="14" count="1" selected="0">
            <x v="11"/>
          </reference>
          <reference field="20" count="1" selected="0">
            <x v="5"/>
          </reference>
        </references>
      </pivotArea>
    </format>
    <format dxfId="695">
      <pivotArea outline="0" fieldPosition="0">
        <references count="4">
          <reference field="4" count="0" selected="0"/>
          <reference field="11" count="1" selected="0">
            <x v="10"/>
          </reference>
          <reference field="14" count="1" selected="0">
            <x v="1"/>
          </reference>
          <reference field="20" count="1" selected="0">
            <x v="11"/>
          </reference>
        </references>
      </pivotArea>
    </format>
    <format dxfId="694">
      <pivotArea outline="0" fieldPosition="0">
        <references count="4">
          <reference field="4" count="0" selected="0"/>
          <reference field="11" count="1" selected="0">
            <x v="10"/>
          </reference>
          <reference field="14" count="1" selected="0">
            <x v="1"/>
          </reference>
          <reference field="20" count="1" selected="0">
            <x v="11"/>
          </reference>
        </references>
      </pivotArea>
    </format>
    <format dxfId="693">
      <pivotArea outline="0" fieldPosition="0">
        <references count="4">
          <reference field="4" count="2" selected="0">
            <x v="1"/>
            <x v="2"/>
          </reference>
          <reference field="11" count="1" selected="0">
            <x v="10"/>
          </reference>
          <reference field="14" count="1" selected="0">
            <x v="1"/>
          </reference>
          <reference field="20" count="1" selected="0">
            <x v="11"/>
          </reference>
        </references>
      </pivotArea>
    </format>
    <format dxfId="692">
      <pivotArea outline="0" fieldPosition="0">
        <references count="4">
          <reference field="4" count="2" selected="0">
            <x v="1"/>
            <x v="2"/>
          </reference>
          <reference field="11" count="1" selected="0">
            <x v="10"/>
          </reference>
          <reference field="14" count="1" selected="0">
            <x v="1"/>
          </reference>
          <reference field="20" count="1" selected="0">
            <x v="11"/>
          </reference>
        </references>
      </pivotArea>
    </format>
    <format dxfId="691">
      <pivotArea outline="0" fieldPosition="0"/>
    </format>
    <format dxfId="690">
      <pivotArea field="11" type="button" dataOnly="0" labelOnly="1" outline="0" axis="axisCol" fieldPosition="0"/>
    </format>
    <format dxfId="689">
      <pivotArea type="topRight" dataOnly="0" labelOnly="1" outline="0" fieldPosition="0"/>
    </format>
    <format dxfId="688">
      <pivotArea dataOnly="0" labelOnly="1" outline="0" fieldPosition="0">
        <references count="1">
          <reference field="11" count="6">
            <x v="7"/>
            <x v="8"/>
            <x v="9"/>
            <x v="10"/>
            <x v="11"/>
            <x v="12"/>
          </reference>
        </references>
      </pivotArea>
    </format>
    <format dxfId="687">
      <pivotArea dataOnly="0" labelOnly="1" grandCol="1" outline="0" fieldPosition="0"/>
    </format>
    <format dxfId="686">
      <pivotArea outline="0" fieldPosition="0"/>
    </format>
    <format dxfId="685">
      <pivotArea field="11" type="button" dataOnly="0" labelOnly="1" outline="0" axis="axisCol" fieldPosition="0"/>
    </format>
    <format dxfId="684">
      <pivotArea type="topRight" dataOnly="0" labelOnly="1" outline="0" fieldPosition="0"/>
    </format>
    <format dxfId="683">
      <pivotArea dataOnly="0" labelOnly="1" outline="0" fieldPosition="0">
        <references count="1">
          <reference field="11" count="6">
            <x v="7"/>
            <x v="8"/>
            <x v="9"/>
            <x v="10"/>
            <x v="11"/>
            <x v="12"/>
          </reference>
        </references>
      </pivotArea>
    </format>
    <format dxfId="682">
      <pivotArea dataOnly="0" labelOnly="1" grandCol="1" outline="0" fieldPosition="0"/>
    </format>
    <format dxfId="681">
      <pivotArea dataOnly="0" labelOnly="1" outline="0" fieldPosition="0">
        <references count="1">
          <reference field="11" count="5">
            <x v="7"/>
            <x v="8"/>
            <x v="9"/>
            <x v="10"/>
            <x v="14"/>
          </reference>
        </references>
      </pivotArea>
    </format>
    <format dxfId="680">
      <pivotArea dataOnly="0" labelOnly="1" outline="0" fieldPosition="0">
        <references count="1">
          <reference field="11" count="5">
            <x v="7"/>
            <x v="8"/>
            <x v="9"/>
            <x v="10"/>
            <x v="14"/>
          </reference>
        </references>
      </pivotArea>
    </format>
    <format dxfId="679">
      <pivotArea field="4" type="button" dataOnly="0" labelOnly="1" outline="0" axis="axisRow" fieldPosition="2"/>
    </format>
    <format dxfId="678">
      <pivotArea dataOnly="0" labelOnly="1" outline="0" fieldPosition="0">
        <references count="1">
          <reference field="14" count="1" defaultSubtotal="1">
            <x v="0"/>
          </reference>
        </references>
      </pivotArea>
    </format>
    <format dxfId="677">
      <pivotArea dataOnly="0" labelOnly="1" outline="0" fieldPosition="0">
        <references count="1">
          <reference field="14" count="1" defaultSubtotal="1">
            <x v="1"/>
          </reference>
        </references>
      </pivotArea>
    </format>
    <format dxfId="676">
      <pivotArea dataOnly="0" labelOnly="1" outline="0" fieldPosition="0">
        <references count="1">
          <reference field="14" count="1" defaultSubtotal="1">
            <x v="2"/>
          </reference>
        </references>
      </pivotArea>
    </format>
    <format dxfId="675">
      <pivotArea dataOnly="0" labelOnly="1" outline="0" fieldPosition="0">
        <references count="1">
          <reference field="14" count="1" defaultSubtotal="1">
            <x v="3"/>
          </reference>
        </references>
      </pivotArea>
    </format>
    <format dxfId="674">
      <pivotArea dataOnly="0" labelOnly="1" outline="0" fieldPosition="0">
        <references count="1">
          <reference field="14" count="1" defaultSubtotal="1">
            <x v="4"/>
          </reference>
        </references>
      </pivotArea>
    </format>
    <format dxfId="673">
      <pivotArea dataOnly="0" labelOnly="1" outline="0" fieldPosition="0">
        <references count="1">
          <reference field="14" count="1" defaultSubtotal="1">
            <x v="5"/>
          </reference>
        </references>
      </pivotArea>
    </format>
    <format dxfId="672">
      <pivotArea dataOnly="0" labelOnly="1" outline="0" fieldPosition="0">
        <references count="1">
          <reference field="14" count="1" defaultSubtotal="1">
            <x v="6"/>
          </reference>
        </references>
      </pivotArea>
    </format>
    <format dxfId="671">
      <pivotArea dataOnly="0" labelOnly="1" outline="0" fieldPosition="0">
        <references count="1">
          <reference field="14" count="1" defaultSubtotal="1">
            <x v="7"/>
          </reference>
        </references>
      </pivotArea>
    </format>
    <format dxfId="670">
      <pivotArea dataOnly="0" labelOnly="1" outline="0" fieldPosition="0">
        <references count="1">
          <reference field="14" count="1" defaultSubtotal="1">
            <x v="8"/>
          </reference>
        </references>
      </pivotArea>
    </format>
    <format dxfId="669">
      <pivotArea dataOnly="0" labelOnly="1" outline="0" fieldPosition="0">
        <references count="1">
          <reference field="14" count="1" defaultSubtotal="1">
            <x v="9"/>
          </reference>
        </references>
      </pivotArea>
    </format>
    <format dxfId="668">
      <pivotArea dataOnly="0" labelOnly="1" outline="0" fieldPosition="0">
        <references count="1">
          <reference field="14" count="1" defaultSubtotal="1">
            <x v="10"/>
          </reference>
        </references>
      </pivotArea>
    </format>
    <format dxfId="667">
      <pivotArea dataOnly="0" labelOnly="1" outline="0" fieldPosition="0">
        <references count="1">
          <reference field="14" count="1" defaultSubtotal="1">
            <x v="11"/>
          </reference>
        </references>
      </pivotArea>
    </format>
    <format dxfId="666">
      <pivotArea dataOnly="0" labelOnly="1" outline="0" fieldPosition="0">
        <references count="1">
          <reference field="14" count="1" defaultSubtotal="1">
            <x v="12"/>
          </reference>
        </references>
      </pivotArea>
    </format>
    <format dxfId="665">
      <pivotArea dataOnly="0" labelOnly="1" outline="0" fieldPosition="0">
        <references count="1">
          <reference field="14" count="1" defaultSubtotal="1">
            <x v="13"/>
          </reference>
        </references>
      </pivotArea>
    </format>
    <format dxfId="664">
      <pivotArea dataOnly="0" labelOnly="1" outline="0" fieldPosition="0">
        <references count="1">
          <reference field="14" count="1" defaultSubtotal="1">
            <x v="14"/>
          </reference>
        </references>
      </pivotArea>
    </format>
    <format dxfId="663">
      <pivotArea dataOnly="0" labelOnly="1" outline="0" fieldPosition="0">
        <references count="1">
          <reference field="14" count="1" defaultSubtotal="1">
            <x v="15"/>
          </reference>
        </references>
      </pivotArea>
    </format>
    <format dxfId="662">
      <pivotArea dataOnly="0" labelOnly="1" outline="0" fieldPosition="0">
        <references count="1">
          <reference field="14" count="1" defaultSubtotal="1">
            <x v="16"/>
          </reference>
        </references>
      </pivotArea>
    </format>
    <format dxfId="661">
      <pivotArea dataOnly="0" labelOnly="1" outline="0" fieldPosition="0">
        <references count="1">
          <reference field="14" count="1" defaultSubtotal="1">
            <x v="18"/>
          </reference>
        </references>
      </pivotArea>
    </format>
    <format dxfId="660">
      <pivotArea dataOnly="0" labelOnly="1" outline="0" fieldPosition="0">
        <references count="1">
          <reference field="14" count="1" defaultSubtotal="1">
            <x v="19"/>
          </reference>
        </references>
      </pivotArea>
    </format>
    <format dxfId="659">
      <pivotArea dataOnly="0" labelOnly="1" grandRow="1" outline="0" fieldPosition="0"/>
    </format>
    <format dxfId="658">
      <pivotArea dataOnly="0" labelOnly="1" outline="0" fieldPosition="0">
        <references count="2">
          <reference field="14" count="1" selected="0">
            <x v="0"/>
          </reference>
          <reference field="20" count="1" defaultSubtotal="1">
            <x v="0"/>
          </reference>
        </references>
      </pivotArea>
    </format>
    <format dxfId="657">
      <pivotArea dataOnly="0" labelOnly="1" outline="0" fieldPosition="0">
        <references count="2">
          <reference field="14" count="1" selected="0">
            <x v="0"/>
          </reference>
          <reference field="20" count="1" defaultSubtotal="1">
            <x v="2"/>
          </reference>
        </references>
      </pivotArea>
    </format>
    <format dxfId="656">
      <pivotArea dataOnly="0" labelOnly="1" outline="0" fieldPosition="0">
        <references count="2">
          <reference field="14" count="1" selected="0">
            <x v="0"/>
          </reference>
          <reference field="20" count="1" defaultSubtotal="1">
            <x v="3"/>
          </reference>
        </references>
      </pivotArea>
    </format>
    <format dxfId="655">
      <pivotArea dataOnly="0" labelOnly="1" outline="0" fieldPosition="0">
        <references count="2">
          <reference field="14" count="1" selected="0">
            <x v="0"/>
          </reference>
          <reference field="20" count="1" defaultSubtotal="1">
            <x v="4"/>
          </reference>
        </references>
      </pivotArea>
    </format>
    <format dxfId="654">
      <pivotArea dataOnly="0" labelOnly="1" outline="0" fieldPosition="0">
        <references count="2">
          <reference field="14" count="1" selected="0">
            <x v="0"/>
          </reference>
          <reference field="20" count="1" defaultSubtotal="1">
            <x v="5"/>
          </reference>
        </references>
      </pivotArea>
    </format>
    <format dxfId="653">
      <pivotArea dataOnly="0" labelOnly="1" outline="0" fieldPosition="0">
        <references count="2">
          <reference field="14" count="1" selected="0">
            <x v="0"/>
          </reference>
          <reference field="20" count="1" defaultSubtotal="1">
            <x v="6"/>
          </reference>
        </references>
      </pivotArea>
    </format>
    <format dxfId="652">
      <pivotArea dataOnly="0" labelOnly="1" outline="0" fieldPosition="0">
        <references count="2">
          <reference field="14" count="1" selected="0">
            <x v="0"/>
          </reference>
          <reference field="20" count="1" defaultSubtotal="1">
            <x v="13"/>
          </reference>
        </references>
      </pivotArea>
    </format>
    <format dxfId="651">
      <pivotArea dataOnly="0" labelOnly="1" outline="0" fieldPosition="0">
        <references count="2">
          <reference field="14" count="1" selected="0">
            <x v="0"/>
          </reference>
          <reference field="20" count="1" defaultSubtotal="1">
            <x v="15"/>
          </reference>
        </references>
      </pivotArea>
    </format>
    <format dxfId="650">
      <pivotArea dataOnly="0" labelOnly="1" outline="0" fieldPosition="0">
        <references count="2">
          <reference field="14" count="1" selected="0">
            <x v="0"/>
          </reference>
          <reference field="20" count="1" defaultSubtotal="1">
            <x v="17"/>
          </reference>
        </references>
      </pivotArea>
    </format>
    <format dxfId="649">
      <pivotArea dataOnly="0" labelOnly="1" outline="0" fieldPosition="0">
        <references count="2">
          <reference field="14" count="1" selected="0">
            <x v="0"/>
          </reference>
          <reference field="20" count="1" defaultSubtotal="1">
            <x v="18"/>
          </reference>
        </references>
      </pivotArea>
    </format>
    <format dxfId="648">
      <pivotArea dataOnly="0" labelOnly="1" outline="0" fieldPosition="0">
        <references count="2">
          <reference field="14" count="1" selected="0">
            <x v="1"/>
          </reference>
          <reference field="20" count="1" defaultSubtotal="1">
            <x v="8"/>
          </reference>
        </references>
      </pivotArea>
    </format>
    <format dxfId="647">
      <pivotArea dataOnly="0" labelOnly="1" outline="0" fieldPosition="0">
        <references count="2">
          <reference field="14" count="1" selected="0">
            <x v="1"/>
          </reference>
          <reference field="20" count="1" defaultSubtotal="1">
            <x v="9"/>
          </reference>
        </references>
      </pivotArea>
    </format>
    <format dxfId="646">
      <pivotArea dataOnly="0" labelOnly="1" outline="0" fieldPosition="0">
        <references count="2">
          <reference field="14" count="1" selected="0">
            <x v="1"/>
          </reference>
          <reference field="20" count="1" defaultSubtotal="1">
            <x v="11"/>
          </reference>
        </references>
      </pivotArea>
    </format>
    <format dxfId="645">
      <pivotArea dataOnly="0" labelOnly="1" outline="0" fieldPosition="0">
        <references count="2">
          <reference field="14" count="1" selected="0">
            <x v="1"/>
          </reference>
          <reference field="20" count="1" defaultSubtotal="1">
            <x v="12"/>
          </reference>
        </references>
      </pivotArea>
    </format>
    <format dxfId="644">
      <pivotArea dataOnly="0" labelOnly="1" outline="0" fieldPosition="0">
        <references count="2">
          <reference field="14" count="1" selected="0">
            <x v="2"/>
          </reference>
          <reference field="20" count="1" defaultSubtotal="1">
            <x v="1"/>
          </reference>
        </references>
      </pivotArea>
    </format>
    <format dxfId="643">
      <pivotArea dataOnly="0" labelOnly="1" outline="0" fieldPosition="0">
        <references count="2">
          <reference field="14" count="1" selected="0">
            <x v="3"/>
          </reference>
          <reference field="20" count="1" defaultSubtotal="1">
            <x v="16"/>
          </reference>
        </references>
      </pivotArea>
    </format>
    <format dxfId="642">
      <pivotArea dataOnly="0" labelOnly="1" outline="0" fieldPosition="0">
        <references count="2">
          <reference field="14" count="1" selected="0">
            <x v="4"/>
          </reference>
          <reference field="20" count="1" defaultSubtotal="1">
            <x v="3"/>
          </reference>
        </references>
      </pivotArea>
    </format>
    <format dxfId="641">
      <pivotArea dataOnly="0" labelOnly="1" outline="0" fieldPosition="0">
        <references count="2">
          <reference field="14" count="1" selected="0">
            <x v="5"/>
          </reference>
          <reference field="20" count="1" defaultSubtotal="1">
            <x v="0"/>
          </reference>
        </references>
      </pivotArea>
    </format>
    <format dxfId="640">
      <pivotArea dataOnly="0" labelOnly="1" outline="0" fieldPosition="0">
        <references count="2">
          <reference field="14" count="1" selected="0">
            <x v="5"/>
          </reference>
          <reference field="20" count="1" defaultSubtotal="1">
            <x v="5"/>
          </reference>
        </references>
      </pivotArea>
    </format>
    <format dxfId="639">
      <pivotArea dataOnly="0" labelOnly="1" outline="0" fieldPosition="0">
        <references count="2">
          <reference field="14" count="1" selected="0">
            <x v="5"/>
          </reference>
          <reference field="20" count="1" defaultSubtotal="1">
            <x v="6"/>
          </reference>
        </references>
      </pivotArea>
    </format>
    <format dxfId="638">
      <pivotArea dataOnly="0" labelOnly="1" outline="0" fieldPosition="0">
        <references count="2">
          <reference field="14" count="1" selected="0">
            <x v="5"/>
          </reference>
          <reference field="20" count="1" defaultSubtotal="1">
            <x v="13"/>
          </reference>
        </references>
      </pivotArea>
    </format>
    <format dxfId="637">
      <pivotArea dataOnly="0" labelOnly="1" outline="0" fieldPosition="0">
        <references count="2">
          <reference field="14" count="1" selected="0">
            <x v="6"/>
          </reference>
          <reference field="20" count="1" defaultSubtotal="1">
            <x v="0"/>
          </reference>
        </references>
      </pivotArea>
    </format>
    <format dxfId="636">
      <pivotArea dataOnly="0" labelOnly="1" outline="0" fieldPosition="0">
        <references count="2">
          <reference field="14" count="1" selected="0">
            <x v="7"/>
          </reference>
          <reference field="20" count="1" defaultSubtotal="1">
            <x v="19"/>
          </reference>
        </references>
      </pivotArea>
    </format>
    <format dxfId="635">
      <pivotArea dataOnly="0" labelOnly="1" outline="0" fieldPosition="0">
        <references count="2">
          <reference field="14" count="1" selected="0">
            <x v="8"/>
          </reference>
          <reference field="20" count="1" defaultSubtotal="1">
            <x v="8"/>
          </reference>
        </references>
      </pivotArea>
    </format>
    <format dxfId="634">
      <pivotArea dataOnly="0" labelOnly="1" outline="0" fieldPosition="0">
        <references count="2">
          <reference field="14" count="1" selected="0">
            <x v="8"/>
          </reference>
          <reference field="20" count="1" defaultSubtotal="1">
            <x v="12"/>
          </reference>
        </references>
      </pivotArea>
    </format>
    <format dxfId="633">
      <pivotArea dataOnly="0" labelOnly="1" outline="0" fieldPosition="0">
        <references count="2">
          <reference field="14" count="1" selected="0">
            <x v="9"/>
          </reference>
          <reference field="20" count="1" defaultSubtotal="1">
            <x v="0"/>
          </reference>
        </references>
      </pivotArea>
    </format>
    <format dxfId="632">
      <pivotArea dataOnly="0" labelOnly="1" outline="0" fieldPosition="0">
        <references count="2">
          <reference field="14" count="1" selected="0">
            <x v="9"/>
          </reference>
          <reference field="20" count="1" defaultSubtotal="1">
            <x v="5"/>
          </reference>
        </references>
      </pivotArea>
    </format>
    <format dxfId="631">
      <pivotArea dataOnly="0" labelOnly="1" outline="0" fieldPosition="0">
        <references count="2">
          <reference field="14" count="1" selected="0">
            <x v="9"/>
          </reference>
          <reference field="20" count="1" defaultSubtotal="1">
            <x v="6"/>
          </reference>
        </references>
      </pivotArea>
    </format>
    <format dxfId="630">
      <pivotArea dataOnly="0" labelOnly="1" outline="0" fieldPosition="0">
        <references count="2">
          <reference field="14" count="1" selected="0">
            <x v="9"/>
          </reference>
          <reference field="20" count="1" defaultSubtotal="1">
            <x v="7"/>
          </reference>
        </references>
      </pivotArea>
    </format>
    <format dxfId="629">
      <pivotArea dataOnly="0" labelOnly="1" outline="0" fieldPosition="0">
        <references count="2">
          <reference field="14" count="1" selected="0">
            <x v="9"/>
          </reference>
          <reference field="20" count="1" defaultSubtotal="1">
            <x v="10"/>
          </reference>
        </references>
      </pivotArea>
    </format>
    <format dxfId="628">
      <pivotArea dataOnly="0" labelOnly="1" outline="0" fieldPosition="0">
        <references count="2">
          <reference field="14" count="1" selected="0">
            <x v="9"/>
          </reference>
          <reference field="20" count="1" defaultSubtotal="1">
            <x v="13"/>
          </reference>
        </references>
      </pivotArea>
    </format>
    <format dxfId="627">
      <pivotArea dataOnly="0" labelOnly="1" outline="0" fieldPosition="0">
        <references count="2">
          <reference field="14" count="1" selected="0">
            <x v="9"/>
          </reference>
          <reference field="20" count="1" defaultSubtotal="1">
            <x v="15"/>
          </reference>
        </references>
      </pivotArea>
    </format>
    <format dxfId="626">
      <pivotArea dataOnly="0" labelOnly="1" outline="0" fieldPosition="0">
        <references count="2">
          <reference field="14" count="1" selected="0">
            <x v="9"/>
          </reference>
          <reference field="20" count="1" defaultSubtotal="1">
            <x v="17"/>
          </reference>
        </references>
      </pivotArea>
    </format>
    <format dxfId="625">
      <pivotArea dataOnly="0" labelOnly="1" outline="0" fieldPosition="0">
        <references count="2">
          <reference field="14" count="1" selected="0">
            <x v="9"/>
          </reference>
          <reference field="20" count="1" defaultSubtotal="1">
            <x v="18"/>
          </reference>
        </references>
      </pivotArea>
    </format>
    <format dxfId="624">
      <pivotArea dataOnly="0" labelOnly="1" outline="0" fieldPosition="0">
        <references count="2">
          <reference field="14" count="1" selected="0">
            <x v="10"/>
          </reference>
          <reference field="20" count="1" defaultSubtotal="1">
            <x v="16"/>
          </reference>
        </references>
      </pivotArea>
    </format>
    <format dxfId="623">
      <pivotArea dataOnly="0" labelOnly="1" outline="0" fieldPosition="0">
        <references count="2">
          <reference field="14" count="1" selected="0">
            <x v="10"/>
          </reference>
          <reference field="20" count="1" defaultSubtotal="1">
            <x v="20"/>
          </reference>
        </references>
      </pivotArea>
    </format>
    <format dxfId="622">
      <pivotArea dataOnly="0" labelOnly="1" outline="0" fieldPosition="0">
        <references count="2">
          <reference field="14" count="1" selected="0">
            <x v="11"/>
          </reference>
          <reference field="20" count="1" defaultSubtotal="1">
            <x v="5"/>
          </reference>
        </references>
      </pivotArea>
    </format>
    <format dxfId="621">
      <pivotArea dataOnly="0" labelOnly="1" outline="0" fieldPosition="0">
        <references count="2">
          <reference field="14" count="1" selected="0">
            <x v="11"/>
          </reference>
          <reference field="20" count="1" defaultSubtotal="1">
            <x v="13"/>
          </reference>
        </references>
      </pivotArea>
    </format>
    <format dxfId="620">
      <pivotArea dataOnly="0" labelOnly="1" outline="0" fieldPosition="0">
        <references count="2">
          <reference field="14" count="1" selected="0">
            <x v="12"/>
          </reference>
          <reference field="20" count="1" defaultSubtotal="1">
            <x v="5"/>
          </reference>
        </references>
      </pivotArea>
    </format>
    <format dxfId="619">
      <pivotArea dataOnly="0" labelOnly="1" outline="0" fieldPosition="0">
        <references count="2">
          <reference field="14" count="1" selected="0">
            <x v="12"/>
          </reference>
          <reference field="20" count="1" defaultSubtotal="1">
            <x v="6"/>
          </reference>
        </references>
      </pivotArea>
    </format>
    <format dxfId="618">
      <pivotArea dataOnly="0" labelOnly="1" outline="0" fieldPosition="0">
        <references count="2">
          <reference field="14" count="1" selected="0">
            <x v="13"/>
          </reference>
          <reference field="20" count="1" defaultSubtotal="1">
            <x v="5"/>
          </reference>
        </references>
      </pivotArea>
    </format>
    <format dxfId="617">
      <pivotArea dataOnly="0" labelOnly="1" outline="0" fieldPosition="0">
        <references count="2">
          <reference field="14" count="1" selected="0">
            <x v="13"/>
          </reference>
          <reference field="20" count="1" defaultSubtotal="1">
            <x v="6"/>
          </reference>
        </references>
      </pivotArea>
    </format>
    <format dxfId="616">
      <pivotArea dataOnly="0" labelOnly="1" outline="0" fieldPosition="0">
        <references count="2">
          <reference field="14" count="1" selected="0">
            <x v="14"/>
          </reference>
          <reference field="20" count="1" defaultSubtotal="1">
            <x v="0"/>
          </reference>
        </references>
      </pivotArea>
    </format>
    <format dxfId="615">
      <pivotArea dataOnly="0" labelOnly="1" outline="0" fieldPosition="0">
        <references count="2">
          <reference field="14" count="1" selected="0">
            <x v="14"/>
          </reference>
          <reference field="20" count="1" defaultSubtotal="1">
            <x v="5"/>
          </reference>
        </references>
      </pivotArea>
    </format>
    <format dxfId="614">
      <pivotArea dataOnly="0" labelOnly="1" outline="0" fieldPosition="0">
        <references count="2">
          <reference field="14" count="1" selected="0">
            <x v="14"/>
          </reference>
          <reference field="20" count="1" defaultSubtotal="1">
            <x v="6"/>
          </reference>
        </references>
      </pivotArea>
    </format>
    <format dxfId="613">
      <pivotArea dataOnly="0" labelOnly="1" outline="0" fieldPosition="0">
        <references count="2">
          <reference field="14" count="1" selected="0">
            <x v="14"/>
          </reference>
          <reference field="20" count="1" defaultSubtotal="1">
            <x v="10"/>
          </reference>
        </references>
      </pivotArea>
    </format>
    <format dxfId="612">
      <pivotArea dataOnly="0" labelOnly="1" outline="0" fieldPosition="0">
        <references count="2">
          <reference field="14" count="1" selected="0">
            <x v="14"/>
          </reference>
          <reference field="20" count="1" defaultSubtotal="1">
            <x v="13"/>
          </reference>
        </references>
      </pivotArea>
    </format>
    <format dxfId="611">
      <pivotArea dataOnly="0" labelOnly="1" outline="0" fieldPosition="0">
        <references count="2">
          <reference field="14" count="1" selected="0">
            <x v="15"/>
          </reference>
          <reference field="20" count="1" defaultSubtotal="1">
            <x v="6"/>
          </reference>
        </references>
      </pivotArea>
    </format>
    <format dxfId="610">
      <pivotArea dataOnly="0" labelOnly="1" outline="0" fieldPosition="0">
        <references count="2">
          <reference field="14" count="1" selected="0">
            <x v="15"/>
          </reference>
          <reference field="20" count="1" defaultSubtotal="1">
            <x v="15"/>
          </reference>
        </references>
      </pivotArea>
    </format>
    <format dxfId="609">
      <pivotArea dataOnly="0" labelOnly="1" outline="0" fieldPosition="0">
        <references count="2">
          <reference field="14" count="1" selected="0">
            <x v="15"/>
          </reference>
          <reference field="20" count="1" defaultSubtotal="1">
            <x v="17"/>
          </reference>
        </references>
      </pivotArea>
    </format>
    <format dxfId="608">
      <pivotArea dataOnly="0" labelOnly="1" outline="0" fieldPosition="0">
        <references count="2">
          <reference field="14" count="1" selected="0">
            <x v="16"/>
          </reference>
          <reference field="20" count="1" defaultSubtotal="1">
            <x v="16"/>
          </reference>
        </references>
      </pivotArea>
    </format>
    <format dxfId="607">
      <pivotArea dataOnly="0" labelOnly="1" outline="0" fieldPosition="0">
        <references count="2">
          <reference field="14" count="1" selected="0">
            <x v="16"/>
          </reference>
          <reference field="20" count="1" defaultSubtotal="1">
            <x v="20"/>
          </reference>
        </references>
      </pivotArea>
    </format>
    <format dxfId="606">
      <pivotArea dataOnly="0" labelOnly="1" outline="0" fieldPosition="0">
        <references count="2">
          <reference field="14" count="1" selected="0">
            <x v="18"/>
          </reference>
          <reference field="20" count="1" defaultSubtotal="1">
            <x v="3"/>
          </reference>
        </references>
      </pivotArea>
    </format>
    <format dxfId="605">
      <pivotArea dataOnly="0" labelOnly="1" outline="0" fieldPosition="0">
        <references count="2">
          <reference field="14" count="1" selected="0">
            <x v="18"/>
          </reference>
          <reference field="20" count="1" defaultSubtotal="1">
            <x v="5"/>
          </reference>
        </references>
      </pivotArea>
    </format>
    <format dxfId="604">
      <pivotArea dataOnly="0" labelOnly="1" outline="0" fieldPosition="0">
        <references count="2">
          <reference field="14" count="1" selected="0">
            <x v="19"/>
          </reference>
          <reference field="20" count="1" defaultSubtotal="1">
            <x v="1"/>
          </reference>
        </references>
      </pivotArea>
    </format>
    <format dxfId="603">
      <pivotArea dataOnly="0" labelOnly="1" outline="0" fieldPosition="0">
        <references count="3">
          <reference field="4" count="2">
            <x v="1"/>
            <x v="2"/>
          </reference>
          <reference field="14" count="1" selected="0">
            <x v="0"/>
          </reference>
          <reference field="20" count="1" selected="0">
            <x v="0"/>
          </reference>
        </references>
      </pivotArea>
    </format>
    <format dxfId="602">
      <pivotArea dataOnly="0" labelOnly="1" outline="0" fieldPosition="0">
        <references count="3">
          <reference field="4" count="1">
            <x v="2"/>
          </reference>
          <reference field="14" count="1" selected="0">
            <x v="0"/>
          </reference>
          <reference field="20" count="1" selected="0">
            <x v="2"/>
          </reference>
        </references>
      </pivotArea>
    </format>
    <format dxfId="601">
      <pivotArea dataOnly="0" labelOnly="1" outline="0" fieldPosition="0">
        <references count="3">
          <reference field="4" count="2">
            <x v="1"/>
            <x v="2"/>
          </reference>
          <reference field="14" count="1" selected="0">
            <x v="0"/>
          </reference>
          <reference field="20" count="1" selected="0">
            <x v="3"/>
          </reference>
        </references>
      </pivotArea>
    </format>
    <format dxfId="600">
      <pivotArea dataOnly="0" labelOnly="1" outline="0" fieldPosition="0">
        <references count="3">
          <reference field="4" count="1">
            <x v="1"/>
          </reference>
          <reference field="14" count="1" selected="0">
            <x v="0"/>
          </reference>
          <reference field="20" count="1" selected="0">
            <x v="4"/>
          </reference>
        </references>
      </pivotArea>
    </format>
    <format dxfId="599">
      <pivotArea dataOnly="0" labelOnly="1" outline="0" fieldPosition="0">
        <references count="3">
          <reference field="4" count="1">
            <x v="1"/>
          </reference>
          <reference field="14" count="1" selected="0">
            <x v="0"/>
          </reference>
          <reference field="20" count="1" selected="0">
            <x v="5"/>
          </reference>
        </references>
      </pivotArea>
    </format>
    <format dxfId="598">
      <pivotArea dataOnly="0" labelOnly="1" outline="0" fieldPosition="0">
        <references count="3">
          <reference field="4" count="3">
            <x v="1"/>
            <x v="2"/>
            <x v="5"/>
          </reference>
          <reference field="14" count="1" selected="0">
            <x v="0"/>
          </reference>
          <reference field="20" count="1" selected="0">
            <x v="6"/>
          </reference>
        </references>
      </pivotArea>
    </format>
    <format dxfId="597">
      <pivotArea dataOnly="0" labelOnly="1" outline="0" fieldPosition="0">
        <references count="3">
          <reference field="4" count="2">
            <x v="1"/>
            <x v="2"/>
          </reference>
          <reference field="14" count="1" selected="0">
            <x v="0"/>
          </reference>
          <reference field="20" count="1" selected="0">
            <x v="13"/>
          </reference>
        </references>
      </pivotArea>
    </format>
    <format dxfId="596">
      <pivotArea dataOnly="0" labelOnly="1" outline="0" fieldPosition="0">
        <references count="3">
          <reference field="4" count="2">
            <x v="1"/>
            <x v="2"/>
          </reference>
          <reference field="14" count="1" selected="0">
            <x v="0"/>
          </reference>
          <reference field="20" count="1" selected="0">
            <x v="15"/>
          </reference>
        </references>
      </pivotArea>
    </format>
    <format dxfId="595">
      <pivotArea dataOnly="0" labelOnly="1" outline="0" fieldPosition="0">
        <references count="3">
          <reference field="4" count="2">
            <x v="1"/>
            <x v="2"/>
          </reference>
          <reference field="14" count="1" selected="0">
            <x v="0"/>
          </reference>
          <reference field="20" count="1" selected="0">
            <x v="17"/>
          </reference>
        </references>
      </pivotArea>
    </format>
    <format dxfId="594">
      <pivotArea dataOnly="0" labelOnly="1" outline="0" fieldPosition="0">
        <references count="3">
          <reference field="4" count="1">
            <x v="1"/>
          </reference>
          <reference field="14" count="1" selected="0">
            <x v="0"/>
          </reference>
          <reference field="20" count="1" selected="0">
            <x v="18"/>
          </reference>
        </references>
      </pivotArea>
    </format>
    <format dxfId="593">
      <pivotArea dataOnly="0" labelOnly="1" outline="0" fieldPosition="0">
        <references count="3">
          <reference field="4" count="2">
            <x v="0"/>
            <x v="1"/>
          </reference>
          <reference field="14" count="1" selected="0">
            <x v="1"/>
          </reference>
          <reference field="20" count="1" selected="0">
            <x v="8"/>
          </reference>
        </references>
      </pivotArea>
    </format>
    <format dxfId="592">
      <pivotArea dataOnly="0" labelOnly="1" outline="0" fieldPosition="0">
        <references count="3">
          <reference field="4" count="2">
            <x v="0"/>
            <x v="1"/>
          </reference>
          <reference field="14" count="1" selected="0">
            <x v="1"/>
          </reference>
          <reference field="20" count="1" selected="0">
            <x v="9"/>
          </reference>
        </references>
      </pivotArea>
    </format>
    <format dxfId="591">
      <pivotArea dataOnly="0" labelOnly="1" outline="0" fieldPosition="0">
        <references count="3">
          <reference field="4" count="2">
            <x v="1"/>
            <x v="2"/>
          </reference>
          <reference field="14" count="1" selected="0">
            <x v="1"/>
          </reference>
          <reference field="20" count="1" selected="0">
            <x v="11"/>
          </reference>
        </references>
      </pivotArea>
    </format>
    <format dxfId="590">
      <pivotArea dataOnly="0" labelOnly="1" outline="0" fieldPosition="0">
        <references count="3">
          <reference field="4" count="2">
            <x v="0"/>
            <x v="1"/>
          </reference>
          <reference field="14" count="1" selected="0">
            <x v="1"/>
          </reference>
          <reference field="20" count="1" selected="0">
            <x v="12"/>
          </reference>
        </references>
      </pivotArea>
    </format>
    <format dxfId="589">
      <pivotArea dataOnly="0" labelOnly="1" outline="0" fieldPosition="0">
        <references count="3">
          <reference field="4" count="2">
            <x v="0"/>
            <x v="5"/>
          </reference>
          <reference field="14" count="1" selected="0">
            <x v="2"/>
          </reference>
          <reference field="20" count="1" selected="0">
            <x v="1"/>
          </reference>
        </references>
      </pivotArea>
    </format>
    <format dxfId="588">
      <pivotArea dataOnly="0" labelOnly="1" outline="0" fieldPosition="0">
        <references count="3">
          <reference field="4" count="1">
            <x v="1"/>
          </reference>
          <reference field="14" count="1" selected="0">
            <x v="3"/>
          </reference>
          <reference field="20" count="1" selected="0">
            <x v="16"/>
          </reference>
        </references>
      </pivotArea>
    </format>
    <format dxfId="587">
      <pivotArea dataOnly="0" labelOnly="1" outline="0" fieldPosition="0">
        <references count="3">
          <reference field="4" count="1">
            <x v="0"/>
          </reference>
          <reference field="14" count="1" selected="0">
            <x v="4"/>
          </reference>
          <reference field="20" count="1" selected="0">
            <x v="3"/>
          </reference>
        </references>
      </pivotArea>
    </format>
    <format dxfId="586">
      <pivotArea dataOnly="0" labelOnly="1" outline="0" fieldPosition="0">
        <references count="3">
          <reference field="4" count="3">
            <x v="1"/>
            <x v="2"/>
            <x v="5"/>
          </reference>
          <reference field="14" count="1" selected="0">
            <x v="5"/>
          </reference>
          <reference field="20" count="1" selected="0">
            <x v="0"/>
          </reference>
        </references>
      </pivotArea>
    </format>
    <format dxfId="585">
      <pivotArea dataOnly="0" labelOnly="1" outline="0" fieldPosition="0">
        <references count="3">
          <reference field="4" count="1">
            <x v="1"/>
          </reference>
          <reference field="14" count="1" selected="0">
            <x v="5"/>
          </reference>
          <reference field="20" count="1" selected="0">
            <x v="5"/>
          </reference>
        </references>
      </pivotArea>
    </format>
    <format dxfId="584">
      <pivotArea dataOnly="0" labelOnly="1" outline="0" fieldPosition="0">
        <references count="3">
          <reference field="4" count="2">
            <x v="1"/>
            <x v="2"/>
          </reference>
          <reference field="14" count="1" selected="0">
            <x v="5"/>
          </reference>
          <reference field="20" count="1" selected="0">
            <x v="6"/>
          </reference>
        </references>
      </pivotArea>
    </format>
    <format dxfId="583">
      <pivotArea dataOnly="0" labelOnly="1" outline="0" fieldPosition="0">
        <references count="3">
          <reference field="4" count="1">
            <x v="1"/>
          </reference>
          <reference field="14" count="1" selected="0">
            <x v="5"/>
          </reference>
          <reference field="20" count="1" selected="0">
            <x v="13"/>
          </reference>
        </references>
      </pivotArea>
    </format>
    <format dxfId="582">
      <pivotArea dataOnly="0" labelOnly="1" outline="0" fieldPosition="0">
        <references count="3">
          <reference field="4" count="3">
            <x v="1"/>
            <x v="2"/>
            <x v="5"/>
          </reference>
          <reference field="14" count="1" selected="0">
            <x v="6"/>
          </reference>
          <reference field="20" count="1" selected="0">
            <x v="0"/>
          </reference>
        </references>
      </pivotArea>
    </format>
    <format dxfId="581">
      <pivotArea dataOnly="0" labelOnly="1" outline="0" fieldPosition="0">
        <references count="3">
          <reference field="4" count="3">
            <x v="1"/>
            <x v="2"/>
            <x v="5"/>
          </reference>
          <reference field="14" count="1" selected="0">
            <x v="7"/>
          </reference>
          <reference field="20" count="1" selected="0">
            <x v="19"/>
          </reference>
        </references>
      </pivotArea>
    </format>
    <format dxfId="580">
      <pivotArea dataOnly="0" labelOnly="1" outline="0" fieldPosition="0">
        <references count="3">
          <reference field="4" count="1">
            <x v="2"/>
          </reference>
          <reference field="14" count="1" selected="0">
            <x v="8"/>
          </reference>
          <reference field="20" count="1" selected="0">
            <x v="8"/>
          </reference>
        </references>
      </pivotArea>
    </format>
    <format dxfId="579">
      <pivotArea dataOnly="0" labelOnly="1" outline="0" fieldPosition="0">
        <references count="3">
          <reference field="4" count="1">
            <x v="2"/>
          </reference>
          <reference field="14" count="1" selected="0">
            <x v="8"/>
          </reference>
          <reference field="20" count="1" selected="0">
            <x v="12"/>
          </reference>
        </references>
      </pivotArea>
    </format>
    <format dxfId="578">
      <pivotArea dataOnly="0" labelOnly="1" outline="0" fieldPosition="0">
        <references count="3">
          <reference field="4" count="1">
            <x v="0"/>
          </reference>
          <reference field="14" count="1" selected="0">
            <x v="9"/>
          </reference>
          <reference field="20" count="1" selected="0">
            <x v="0"/>
          </reference>
        </references>
      </pivotArea>
    </format>
    <format dxfId="577">
      <pivotArea dataOnly="0" labelOnly="1" outline="0" fieldPosition="0">
        <references count="3">
          <reference field="4" count="3">
            <x v="0"/>
            <x v="1"/>
            <x v="2"/>
          </reference>
          <reference field="14" count="1" selected="0">
            <x v="9"/>
          </reference>
          <reference field="20" count="1" selected="0">
            <x v="5"/>
          </reference>
        </references>
      </pivotArea>
    </format>
    <format dxfId="576">
      <pivotArea dataOnly="0" labelOnly="1" outline="0" fieldPosition="0">
        <references count="3">
          <reference field="4" count="2">
            <x v="0"/>
            <x v="2"/>
          </reference>
          <reference field="14" count="1" selected="0">
            <x v="9"/>
          </reference>
          <reference field="20" count="1" selected="0">
            <x v="6"/>
          </reference>
        </references>
      </pivotArea>
    </format>
    <format dxfId="575">
      <pivotArea dataOnly="0" labelOnly="1" outline="0" fieldPosition="0">
        <references count="3">
          <reference field="4" count="3">
            <x v="0"/>
            <x v="1"/>
            <x v="2"/>
          </reference>
          <reference field="14" count="1" selected="0">
            <x v="9"/>
          </reference>
          <reference field="20" count="1" selected="0">
            <x v="7"/>
          </reference>
        </references>
      </pivotArea>
    </format>
    <format dxfId="574">
      <pivotArea dataOnly="0" labelOnly="1" outline="0" fieldPosition="0">
        <references count="3">
          <reference field="4" count="2">
            <x v="0"/>
            <x v="2"/>
          </reference>
          <reference field="14" count="1" selected="0">
            <x v="9"/>
          </reference>
          <reference field="20" count="1" selected="0">
            <x v="10"/>
          </reference>
        </references>
      </pivotArea>
    </format>
    <format dxfId="573">
      <pivotArea dataOnly="0" labelOnly="1" outline="0" fieldPosition="0">
        <references count="3">
          <reference field="4" count="2">
            <x v="1"/>
            <x v="2"/>
          </reference>
          <reference field="14" count="1" selected="0">
            <x v="9"/>
          </reference>
          <reference field="20" count="1" selected="0">
            <x v="13"/>
          </reference>
        </references>
      </pivotArea>
    </format>
    <format dxfId="572">
      <pivotArea dataOnly="0" labelOnly="1" outline="0" fieldPosition="0">
        <references count="3">
          <reference field="4" count="1">
            <x v="2"/>
          </reference>
          <reference field="14" count="1" selected="0">
            <x v="9"/>
          </reference>
          <reference field="20" count="1" selected="0">
            <x v="15"/>
          </reference>
        </references>
      </pivotArea>
    </format>
    <format dxfId="571">
      <pivotArea dataOnly="0" labelOnly="1" outline="0" fieldPosition="0">
        <references count="3">
          <reference field="4" count="1">
            <x v="2"/>
          </reference>
          <reference field="14" count="1" selected="0">
            <x v="9"/>
          </reference>
          <reference field="20" count="1" selected="0">
            <x v="17"/>
          </reference>
        </references>
      </pivotArea>
    </format>
    <format dxfId="570">
      <pivotArea dataOnly="0" labelOnly="1" outline="0" fieldPosition="0">
        <references count="3">
          <reference field="4" count="1">
            <x v="2"/>
          </reference>
          <reference field="14" count="1" selected="0">
            <x v="9"/>
          </reference>
          <reference field="20" count="1" selected="0">
            <x v="18"/>
          </reference>
        </references>
      </pivotArea>
    </format>
    <format dxfId="569">
      <pivotArea dataOnly="0" labelOnly="1" outline="0" fieldPosition="0">
        <references count="3">
          <reference field="4" count="1">
            <x v="2"/>
          </reference>
          <reference field="14" count="1" selected="0">
            <x v="10"/>
          </reference>
          <reference field="20" count="1" selected="0">
            <x v="16"/>
          </reference>
        </references>
      </pivotArea>
    </format>
    <format dxfId="568">
      <pivotArea dataOnly="0" labelOnly="1" outline="0" fieldPosition="0">
        <references count="3">
          <reference field="4" count="1">
            <x v="2"/>
          </reference>
          <reference field="14" count="1" selected="0">
            <x v="10"/>
          </reference>
          <reference field="20" count="1" selected="0">
            <x v="20"/>
          </reference>
        </references>
      </pivotArea>
    </format>
    <format dxfId="567">
      <pivotArea dataOnly="0" labelOnly="1" outline="0" fieldPosition="0">
        <references count="3">
          <reference field="4" count="3">
            <x v="0"/>
            <x v="1"/>
            <x v="2"/>
          </reference>
          <reference field="14" count="1" selected="0">
            <x v="11"/>
          </reference>
          <reference field="20" count="1" selected="0">
            <x v="5"/>
          </reference>
        </references>
      </pivotArea>
    </format>
    <format dxfId="566">
      <pivotArea dataOnly="0" labelOnly="1" outline="0" fieldPosition="0">
        <references count="3">
          <reference field="4" count="1">
            <x v="1"/>
          </reference>
          <reference field="14" count="1" selected="0">
            <x v="11"/>
          </reference>
          <reference field="20" count="1" selected="0">
            <x v="13"/>
          </reference>
        </references>
      </pivotArea>
    </format>
    <format dxfId="565">
      <pivotArea dataOnly="0" labelOnly="1" outline="0" fieldPosition="0">
        <references count="3">
          <reference field="4" count="1">
            <x v="1"/>
          </reference>
          <reference field="14" count="1" selected="0">
            <x v="12"/>
          </reference>
          <reference field="20" count="1" selected="0">
            <x v="5"/>
          </reference>
        </references>
      </pivotArea>
    </format>
    <format dxfId="564">
      <pivotArea dataOnly="0" labelOnly="1" outline="0" fieldPosition="0">
        <references count="3">
          <reference field="4" count="2">
            <x v="1"/>
            <x v="2"/>
          </reference>
          <reference field="14" count="1" selected="0">
            <x v="12"/>
          </reference>
          <reference field="20" count="1" selected="0">
            <x v="6"/>
          </reference>
        </references>
      </pivotArea>
    </format>
    <format dxfId="563">
      <pivotArea dataOnly="0" labelOnly="1" outline="0" fieldPosition="0">
        <references count="3">
          <reference field="4" count="1">
            <x v="1"/>
          </reference>
          <reference field="14" count="1" selected="0">
            <x v="13"/>
          </reference>
          <reference field="20" count="1" selected="0">
            <x v="5"/>
          </reference>
        </references>
      </pivotArea>
    </format>
    <format dxfId="562">
      <pivotArea dataOnly="0" labelOnly="1" outline="0" fieldPosition="0">
        <references count="3">
          <reference field="4" count="1">
            <x v="1"/>
          </reference>
          <reference field="14" count="1" selected="0">
            <x v="13"/>
          </reference>
          <reference field="20" count="1" selected="0">
            <x v="6"/>
          </reference>
        </references>
      </pivotArea>
    </format>
    <format dxfId="561">
      <pivotArea dataOnly="0" labelOnly="1" outline="0" fieldPosition="0">
        <references count="3">
          <reference field="4" count="1">
            <x v="1"/>
          </reference>
          <reference field="14" count="1" selected="0">
            <x v="14"/>
          </reference>
          <reference field="20" count="1" selected="0">
            <x v="0"/>
          </reference>
        </references>
      </pivotArea>
    </format>
    <format dxfId="560">
      <pivotArea dataOnly="0" labelOnly="1" outline="0" fieldPosition="0">
        <references count="3">
          <reference field="4" count="2">
            <x v="1"/>
            <x v="2"/>
          </reference>
          <reference field="14" count="1" selected="0">
            <x v="14"/>
          </reference>
          <reference field="20" count="1" selected="0">
            <x v="5"/>
          </reference>
        </references>
      </pivotArea>
    </format>
    <format dxfId="559">
      <pivotArea dataOnly="0" labelOnly="1" outline="0" fieldPosition="0">
        <references count="3">
          <reference field="4" count="2">
            <x v="1"/>
            <x v="2"/>
          </reference>
          <reference field="14" count="1" selected="0">
            <x v="14"/>
          </reference>
          <reference field="20" count="1" selected="0">
            <x v="6"/>
          </reference>
        </references>
      </pivotArea>
    </format>
    <format dxfId="558">
      <pivotArea dataOnly="0" labelOnly="1" outline="0" fieldPosition="0">
        <references count="3">
          <reference field="4" count="1">
            <x v="2"/>
          </reference>
          <reference field="14" count="1" selected="0">
            <x v="14"/>
          </reference>
          <reference field="20" count="1" selected="0">
            <x v="10"/>
          </reference>
        </references>
      </pivotArea>
    </format>
    <format dxfId="557">
      <pivotArea dataOnly="0" labelOnly="1" outline="0" fieldPosition="0">
        <references count="3">
          <reference field="4" count="2">
            <x v="1"/>
            <x v="2"/>
          </reference>
          <reference field="14" count="1" selected="0">
            <x v="14"/>
          </reference>
          <reference field="20" count="1" selected="0">
            <x v="13"/>
          </reference>
        </references>
      </pivotArea>
    </format>
    <format dxfId="556">
      <pivotArea dataOnly="0" labelOnly="1" outline="0" fieldPosition="0">
        <references count="3">
          <reference field="4" count="1">
            <x v="1"/>
          </reference>
          <reference field="14" count="1" selected="0">
            <x v="15"/>
          </reference>
          <reference field="20" count="1" selected="0">
            <x v="6"/>
          </reference>
        </references>
      </pivotArea>
    </format>
    <format dxfId="555">
      <pivotArea dataOnly="0" labelOnly="1" outline="0" fieldPosition="0">
        <references count="3">
          <reference field="4" count="1">
            <x v="1"/>
          </reference>
          <reference field="14" count="1" selected="0">
            <x v="15"/>
          </reference>
          <reference field="20" count="1" selected="0">
            <x v="15"/>
          </reference>
        </references>
      </pivotArea>
    </format>
    <format dxfId="554">
      <pivotArea dataOnly="0" labelOnly="1" outline="0" fieldPosition="0">
        <references count="3">
          <reference field="4" count="1">
            <x v="1"/>
          </reference>
          <reference field="14" count="1" selected="0">
            <x v="15"/>
          </reference>
          <reference field="20" count="1" selected="0">
            <x v="17"/>
          </reference>
        </references>
      </pivotArea>
    </format>
    <format dxfId="553">
      <pivotArea dataOnly="0" labelOnly="1" outline="0" fieldPosition="0">
        <references count="3">
          <reference field="4" count="1">
            <x v="1"/>
          </reference>
          <reference field="14" count="1" selected="0">
            <x v="16"/>
          </reference>
          <reference field="20" count="1" selected="0">
            <x v="16"/>
          </reference>
        </references>
      </pivotArea>
    </format>
    <format dxfId="552">
      <pivotArea dataOnly="0" labelOnly="1" outline="0" fieldPosition="0">
        <references count="3">
          <reference field="4" count="1">
            <x v="2"/>
          </reference>
          <reference field="14" count="1" selected="0">
            <x v="16"/>
          </reference>
          <reference field="20" count="1" selected="0">
            <x v="20"/>
          </reference>
        </references>
      </pivotArea>
    </format>
    <format dxfId="551">
      <pivotArea dataOnly="0" labelOnly="1" outline="0" fieldPosition="0">
        <references count="3">
          <reference field="4" count="1">
            <x v="2"/>
          </reference>
          <reference field="14" count="1" selected="0">
            <x v="18"/>
          </reference>
          <reference field="20" count="1" selected="0">
            <x v="3"/>
          </reference>
        </references>
      </pivotArea>
    </format>
    <format dxfId="550">
      <pivotArea dataOnly="0" labelOnly="1" outline="0" fieldPosition="0">
        <references count="3">
          <reference field="4" count="1">
            <x v="2"/>
          </reference>
          <reference field="14" count="1" selected="0">
            <x v="18"/>
          </reference>
          <reference field="20" count="1" selected="0">
            <x v="5"/>
          </reference>
        </references>
      </pivotArea>
    </format>
    <format dxfId="549">
      <pivotArea dataOnly="0" labelOnly="1" outline="0" fieldPosition="0">
        <references count="3">
          <reference field="4" count="2">
            <x v="2"/>
            <x v="5"/>
          </reference>
          <reference field="14" count="1" selected="0">
            <x v="19"/>
          </reference>
          <reference field="20" count="1" selected="0">
            <x v="1"/>
          </reference>
        </references>
      </pivotArea>
    </format>
  </formats>
  <pivotTableStyleInfo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피벗 테이블6" cacheId="47" applyNumberFormats="0" applyBorderFormats="0" applyFontFormats="0" applyPatternFormats="0" applyAlignmentFormats="0" applyWidthHeightFormats="1" dataCaption="데이터" updatedVersion="3" asteriskTotals="1" showMemberPropertyTips="0" useAutoFormatting="1" itemPrintTitles="1" createdVersion="1" indent="0" compact="0" compactData="0" gridDropZones="1">
  <location ref="CS6:DA39" firstHeaderRow="1" firstDataRow="2" firstDataCol="1" rowPageCount="2" colPageCount="1"/>
  <pivotFields count="38"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>
      <items count="17">
        <item m="1" x="15"/>
        <item m="1" x="16"/>
        <item m="1" x="7"/>
        <item h="1" x="6"/>
        <item x="3"/>
        <item m="1" x="8"/>
        <item m="1" x="9"/>
        <item m="1" x="10"/>
        <item m="1" x="11"/>
        <item m="1" x="13"/>
        <item m="1" x="12"/>
        <item m="1" x="14"/>
        <item x="0"/>
        <item x="1"/>
        <item x="2"/>
        <item x="5"/>
        <item x="4"/>
      </items>
    </pivotField>
    <pivotField compact="0" outline="0" subtotalTop="0" showAll="0" includeNewItemsInFilter="1" sortType="ascending" defaultSubtotal="0">
      <items count="23">
        <item m="1" x="16"/>
        <item m="1" x="17"/>
        <item m="1" x="18"/>
        <item m="1" x="19"/>
        <item m="1" x="20"/>
        <item m="1" x="21"/>
        <item m="1" x="22"/>
        <item m="1" x="14"/>
        <item m="1" x="12"/>
        <item m="1" x="15"/>
        <item m="1" x="13"/>
        <item x="10"/>
        <item x="6"/>
        <item x="0"/>
        <item x="8"/>
        <item x="1"/>
        <item x="9"/>
        <item x="2"/>
        <item x="7"/>
        <item x="3"/>
        <item x="4"/>
        <item x="5"/>
        <item h="1" x="11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>
      <items count="277">
        <item x="30"/>
        <item m="1" x="251"/>
        <item m="1" x="110"/>
        <item m="1" x="225"/>
        <item m="1" x="195"/>
        <item m="1" x="222"/>
        <item m="1" x="162"/>
        <item m="1" x="212"/>
        <item m="1" x="263"/>
        <item m="1" x="152"/>
        <item m="1" x="202"/>
        <item m="1" x="93"/>
        <item m="1" x="174"/>
        <item m="1" x="256"/>
        <item m="1" x="144"/>
        <item m="1" x="159"/>
        <item m="1" x="242"/>
        <item m="1" x="99"/>
        <item m="1" x="151"/>
        <item m="1" x="233"/>
        <item m="1" x="121"/>
        <item m="1" x="199"/>
        <item m="1" x="90"/>
        <item m="1" x="142"/>
        <item m="1" x="114"/>
        <item m="1" x="275"/>
        <item m="1" x="134"/>
        <item m="1" x="185"/>
        <item m="1" x="265"/>
        <item m="1" x="206"/>
        <item m="1" x="111"/>
        <item m="1" x="163"/>
        <item m="1" x="245"/>
        <item m="1" x="131"/>
        <item m="1" x="213"/>
        <item m="1" x="103"/>
        <item m="1" x="124"/>
        <item x="85"/>
        <item m="1" x="102"/>
        <item m="1" x="153"/>
        <item m="1" x="115"/>
        <item m="1" x="253"/>
        <item m="1" x="107"/>
        <item m="1" x="190"/>
        <item m="1" x="238"/>
        <item m="1" x="94"/>
        <item m="1" x="126"/>
        <item m="1" x="139"/>
        <item m="1" x="117"/>
        <item m="1" x="223"/>
        <item m="1" x="186"/>
        <item m="1" x="203"/>
        <item m="1" x="136"/>
        <item m="1" x="216"/>
        <item m="1" x="180"/>
        <item m="1" x="91"/>
        <item m="1" x="145"/>
        <item m="1" x="226"/>
        <item m="1" x="86"/>
        <item m="1" x="101"/>
        <item m="1" x="268"/>
        <item m="1" x="193"/>
        <item m="1" x="272"/>
        <item m="1" x="171"/>
        <item m="1" x="219"/>
        <item m="1" x="235"/>
        <item m="1" x="108"/>
        <item m="1" x="227"/>
        <item m="1" x="217"/>
        <item m="1" x="276"/>
        <item m="1" x="166"/>
        <item m="1" x="207"/>
        <item m="1" x="127"/>
        <item m="1" x="258"/>
        <item m="1" x="196"/>
        <item m="1" x="236"/>
        <item m="1" x="137"/>
        <item m="1" x="228"/>
        <item m="1" x="191"/>
        <item m="1" x="143"/>
        <item m="1" x="239"/>
        <item m="1" x="248"/>
        <item m="1" x="135"/>
        <item m="1" x="266"/>
        <item m="1" x="243"/>
        <item m="1" x="154"/>
        <item m="1" x="146"/>
        <item m="1" x="119"/>
        <item m="1" x="175"/>
        <item m="1" x="95"/>
        <item m="1" x="182"/>
        <item m="1" x="231"/>
        <item m="1" x="269"/>
        <item m="1" x="160"/>
        <item m="1" x="129"/>
        <item m="1" x="234"/>
        <item m="1" x="169"/>
        <item m="1" x="156"/>
        <item m="1" x="140"/>
        <item m="1" x="112"/>
        <item m="1" x="149"/>
        <item m="1" x="178"/>
        <item m="1" x="259"/>
        <item m="1" x="260"/>
        <item m="1" x="273"/>
        <item m="1" x="246"/>
        <item m="1" x="97"/>
        <item m="1" x="188"/>
        <item m="1" x="252"/>
        <item m="1" x="164"/>
        <item m="1" x="109"/>
        <item m="1" x="132"/>
        <item m="1" x="88"/>
        <item m="1" x="167"/>
        <item m="1" x="220"/>
        <item m="1" x="130"/>
        <item m="1" x="87"/>
        <item m="1" x="147"/>
        <item m="1" x="229"/>
        <item m="1" x="138"/>
        <item m="1" x="122"/>
        <item m="1" x="267"/>
        <item m="1" x="92"/>
        <item m="1" x="179"/>
        <item m="1" x="208"/>
        <item m="1" x="270"/>
        <item m="1" x="194"/>
        <item m="1" x="116"/>
        <item m="1" x="181"/>
        <item m="1" x="261"/>
        <item m="1" x="244"/>
        <item m="1" x="197"/>
        <item m="1" x="170"/>
        <item m="1" x="100"/>
        <item m="1" x="210"/>
        <item m="1" x="187"/>
        <item m="1" x="254"/>
        <item m="1" x="98"/>
        <item m="1" x="150"/>
        <item m="1" x="240"/>
        <item m="1" x="200"/>
        <item m="1" x="198"/>
        <item m="1" x="224"/>
        <item m="1" x="118"/>
        <item m="1" x="120"/>
        <item m="1" x="89"/>
        <item m="1" x="172"/>
        <item m="1" x="141"/>
        <item m="1" x="214"/>
        <item m="1" x="247"/>
        <item m="1" x="96"/>
        <item m="1" x="209"/>
        <item m="1" x="183"/>
        <item m="1" x="232"/>
        <item m="1" x="264"/>
        <item m="1" x="128"/>
        <item m="1" x="133"/>
        <item m="1" x="125"/>
        <item m="1" x="221"/>
        <item m="1" x="271"/>
        <item m="1" x="113"/>
        <item m="1" x="274"/>
        <item m="1" x="161"/>
        <item m="1" x="201"/>
        <item m="1" x="104"/>
        <item m="1" x="204"/>
        <item m="1" x="123"/>
        <item m="1" x="155"/>
        <item m="1" x="176"/>
        <item m="1" x="189"/>
        <item m="1" x="262"/>
        <item m="1" x="211"/>
        <item m="1" x="192"/>
        <item m="1" x="237"/>
        <item m="1" x="165"/>
        <item m="1" x="215"/>
        <item m="1" x="218"/>
        <item x="7"/>
        <item x="33"/>
        <item x="45"/>
        <item x="40"/>
        <item x="11"/>
        <item x="32"/>
        <item m="1" x="168"/>
        <item m="1" x="148"/>
        <item m="1" x="105"/>
        <item m="1" x="230"/>
        <item m="1" x="205"/>
        <item x="77"/>
        <item m="1" x="177"/>
        <item m="1" x="257"/>
        <item m="1" x="249"/>
        <item x="58"/>
        <item x="1"/>
        <item x="2"/>
        <item x="78"/>
        <item x="5"/>
        <item m="1" x="157"/>
        <item m="1" x="241"/>
        <item x="9"/>
        <item x="79"/>
        <item x="47"/>
        <item x="10"/>
        <item x="3"/>
        <item x="41"/>
        <item x="0"/>
        <item x="39"/>
        <item x="57"/>
        <item x="83"/>
        <item x="12"/>
        <item x="13"/>
        <item m="1" x="173"/>
        <item m="1" x="255"/>
        <item x="76"/>
        <item x="21"/>
        <item x="6"/>
        <item x="22"/>
        <item m="1" x="106"/>
        <item x="31"/>
        <item x="15"/>
        <item x="14"/>
        <item x="19"/>
        <item x="44"/>
        <item x="51"/>
        <item m="1" x="184"/>
        <item x="42"/>
        <item x="69"/>
        <item m="1" x="158"/>
        <item x="8"/>
        <item x="26"/>
        <item x="4"/>
        <item x="29"/>
        <item x="52"/>
        <item x="43"/>
        <item x="27"/>
        <item x="46"/>
        <item x="80"/>
        <item x="84"/>
        <item x="59"/>
        <item x="61"/>
        <item x="62"/>
        <item x="18"/>
        <item x="53"/>
        <item x="49"/>
        <item x="63"/>
        <item x="64"/>
        <item x="50"/>
        <item x="65"/>
        <item x="66"/>
        <item x="34"/>
        <item x="55"/>
        <item x="67"/>
        <item x="68"/>
        <item x="16"/>
        <item x="17"/>
        <item x="20"/>
        <item x="28"/>
        <item x="25"/>
        <item x="48"/>
        <item m="1" x="250"/>
        <item x="73"/>
        <item x="70"/>
        <item x="24"/>
        <item x="23"/>
        <item x="35"/>
        <item x="36"/>
        <item x="37"/>
        <item x="38"/>
        <item x="54"/>
        <item x="56"/>
        <item x="60"/>
        <item x="71"/>
        <item x="72"/>
        <item x="74"/>
        <item x="75"/>
        <item x="81"/>
        <item x="82"/>
      </items>
    </pivotField>
    <pivotField compact="0" outline="0" subtotalTop="0" showAll="0" includeNewItemsInFilter="1" defaultSubtotal="0">
      <items count="28">
        <item m="1" x="20"/>
        <item m="1" x="14"/>
        <item m="1" x="22"/>
        <item m="1" x="17"/>
        <item m="1" x="24"/>
        <item m="1" x="19"/>
        <item x="9"/>
        <item m="1" x="26"/>
        <item m="1" x="27"/>
        <item m="1" x="10"/>
        <item m="1" x="11"/>
        <item m="1" x="12"/>
        <item x="4"/>
        <item x="2"/>
        <item m="1" x="16"/>
        <item m="1" x="13"/>
        <item m="1" x="15"/>
        <item m="1" x="18"/>
        <item m="1" x="21"/>
        <item m="1" x="23"/>
        <item m="1" x="25"/>
        <item x="1"/>
        <item x="7"/>
        <item x="0"/>
        <item x="3"/>
        <item x="5"/>
        <item x="8"/>
        <item x="6"/>
      </items>
    </pivotField>
    <pivotField axis="axisCol" compact="0" outline="0" subtotalTop="0" showAll="0" includeNewItemsInFilter="1" defaultSubtotal="0">
      <items count="21">
        <item m="1" x="18"/>
        <item m="1" x="19"/>
        <item m="1" x="20"/>
        <item m="1" x="13"/>
        <item m="1" x="8"/>
        <item m="1" x="14"/>
        <item m="1" x="9"/>
        <item m="1" x="15"/>
        <item m="1" x="10"/>
        <item m="1" x="16"/>
        <item m="1" x="11"/>
        <item m="1" x="17"/>
        <item m="1" x="12"/>
        <item x="7"/>
        <item x="0"/>
        <item x="1"/>
        <item x="2"/>
        <item x="6"/>
        <item x="4"/>
        <item x="5"/>
        <item x="3"/>
      </items>
    </pivotField>
    <pivotField compact="0" outline="0" subtotalTop="0" showAll="0" includeNewItemsInFilter="1" defaultSubtotal="0">
      <items count="4">
        <item x="1"/>
        <item x="0"/>
        <item x="2"/>
        <item x="3"/>
      </items>
    </pivotField>
    <pivotField compact="0" outline="0" subtotalTop="0" showAll="0" includeNewItemsInFilter="1">
      <items count="54">
        <item m="1" x="40"/>
        <item x="28"/>
        <item x="26"/>
        <item x="25"/>
        <item m="1" x="39"/>
        <item m="1" x="49"/>
        <item m="1" x="36"/>
        <item m="1" x="42"/>
        <item x="30"/>
        <item m="1" x="45"/>
        <item x="6"/>
        <item m="1" x="33"/>
        <item m="1" x="34"/>
        <item m="1" x="37"/>
        <item m="1" x="35"/>
        <item m="1" x="46"/>
        <item x="12"/>
        <item h="1" x="32"/>
        <item m="1" x="48"/>
        <item m="1" x="41"/>
        <item m="1" x="52"/>
        <item m="1" x="50"/>
        <item m="1" x="47"/>
        <item m="1" x="43"/>
        <item x="5"/>
        <item x="10"/>
        <item x="24"/>
        <item x="0"/>
        <item x="11"/>
        <item m="1" x="38"/>
        <item x="4"/>
        <item x="19"/>
        <item x="16"/>
        <item x="9"/>
        <item x="23"/>
        <item x="20"/>
        <item m="1" x="51"/>
        <item x="1"/>
        <item x="13"/>
        <item m="1" x="44"/>
        <item x="27"/>
        <item x="18"/>
        <item x="29"/>
        <item x="2"/>
        <item x="3"/>
        <item x="14"/>
        <item x="21"/>
        <item x="7"/>
        <item x="15"/>
        <item x="31"/>
        <item x="8"/>
        <item x="17"/>
        <item x="22"/>
        <item t="default"/>
      </items>
    </pivotField>
    <pivotField axis="axisRow" compact="0" outline="0" subtotalTop="0" showAll="0" includeNewItemsInFilter="1" sortType="ascending">
      <items count="38">
        <item x="14"/>
        <item x="10"/>
        <item x="12"/>
        <item x="7"/>
        <item x="18"/>
        <item x="8"/>
        <item x="25"/>
        <item x="26"/>
        <item x="27"/>
        <item x="29"/>
        <item x="28"/>
        <item x="2"/>
        <item x="5"/>
        <item x="6"/>
        <item m="1" x="36"/>
        <item x="11"/>
        <item x="13"/>
        <item x="17"/>
        <item x="3"/>
        <item x="19"/>
        <item x="24"/>
        <item x="16"/>
        <item x="4"/>
        <item m="1" x="34"/>
        <item x="31"/>
        <item x="15"/>
        <item x="0"/>
        <item m="1" x="33"/>
        <item x="21"/>
        <item x="23"/>
        <item x="32"/>
        <item x="20"/>
        <item x="30"/>
        <item x="1"/>
        <item x="22"/>
        <item m="1" x="35"/>
        <item x="9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>
      <items count="27">
        <item x="10"/>
        <item x="9"/>
        <item x="17"/>
        <item x="18"/>
        <item x="5"/>
        <item x="4"/>
        <item x="0"/>
        <item x="13"/>
        <item x="1"/>
        <item h="1" x="19"/>
        <item m="1" x="23"/>
        <item m="1" x="22"/>
        <item x="8"/>
        <item x="7"/>
        <item x="14"/>
        <item x="16"/>
        <item m="1" x="21"/>
        <item m="1" x="20"/>
        <item m="1" x="25"/>
        <item m="1" x="24"/>
        <item x="12"/>
        <item x="2"/>
        <item x="3"/>
        <item x="11"/>
        <item x="15"/>
        <item x="6"/>
        <item t="default"/>
      </items>
    </pivotField>
    <pivotField compact="0" outline="0" subtotalTop="0" showAll="0" includeNewItemsInFilter="1">
      <items count="42">
        <item x="1"/>
        <item x="15"/>
        <item m="1" x="29"/>
        <item x="0"/>
        <item x="9"/>
        <item x="5"/>
        <item x="2"/>
        <item x="8"/>
        <item x="18"/>
        <item x="21"/>
        <item x="6"/>
        <item x="20"/>
        <item x="19"/>
        <item x="3"/>
        <item x="25"/>
        <item m="1" x="36"/>
        <item x="7"/>
        <item x="4"/>
        <item m="1" x="39"/>
        <item m="1" x="28"/>
        <item x="14"/>
        <item m="1" x="35"/>
        <item x="22"/>
        <item m="1" x="40"/>
        <item m="1" x="31"/>
        <item m="1" x="34"/>
        <item m="1" x="27"/>
        <item m="1" x="37"/>
        <item m="1" x="32"/>
        <item m="1" x="26"/>
        <item m="1" x="38"/>
        <item x="11"/>
        <item x="12"/>
        <item m="1" x="30"/>
        <item x="17"/>
        <item x="13"/>
        <item m="1" x="33"/>
        <item x="23"/>
        <item x="10"/>
        <item x="24"/>
        <item x="16"/>
        <item t="default"/>
      </items>
    </pivotField>
    <pivotField axis="axisPage" compact="0" outline="0" subtotalTop="0" multipleItemSelectionAllowed="1" showAll="0" includeNewItemsInFilter="1" defaultSubtotal="0">
      <items count="4">
        <item m="1" x="3"/>
        <item x="0"/>
        <item h="1" m="1" x="2"/>
        <item h="1" x="1"/>
      </items>
    </pivotField>
    <pivotField compact="0" outline="0" subtotalTop="0" showAll="0" includeNewItemsInFilter="1" defaultSubtotal="0">
      <items count="783">
        <item x="777"/>
        <item m="1" x="778"/>
        <item m="1" x="782"/>
        <item m="1" x="781"/>
        <item m="1" x="780"/>
        <item m="1" x="779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2"/>
        <item x="3"/>
        <item x="4"/>
        <item x="5"/>
        <item x="6"/>
        <item x="7"/>
        <item x="8"/>
        <item x="22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653"/>
        <item x="654"/>
        <item x="655"/>
        <item x="656"/>
        <item x="657"/>
        <item x="658"/>
        <item x="659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660"/>
        <item x="661"/>
        <item x="662"/>
        <item x="663"/>
        <item x="664"/>
        <item x="665"/>
        <item x="666"/>
        <item x="667"/>
        <item x="668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379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195"/>
        <item x="196"/>
        <item x="197"/>
        <item x="198"/>
        <item x="199"/>
        <item x="200"/>
        <item x="201"/>
        <item x="380"/>
        <item x="381"/>
        <item x="382"/>
        <item x="383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384"/>
        <item x="385"/>
        <item x="386"/>
        <item x="387"/>
        <item x="388"/>
        <item x="389"/>
        <item x="3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391"/>
        <item x="392"/>
        <item x="393"/>
        <item x="394"/>
        <item x="395"/>
        <item x="396"/>
        <item x="703"/>
        <item x="704"/>
        <item x="705"/>
        <item x="706"/>
        <item x="707"/>
        <item x="708"/>
        <item x="709"/>
        <item x="710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397"/>
        <item x="398"/>
        <item x="399"/>
        <item x="400"/>
        <item x="614"/>
        <item x="615"/>
        <item x="616"/>
        <item x="617"/>
        <item x="618"/>
        <item x="619"/>
        <item x="620"/>
        <item x="621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91"/>
        <item x="92"/>
        <item x="93"/>
        <item x="297"/>
        <item x="298"/>
        <item x="299"/>
        <item x="300"/>
        <item x="301"/>
        <item x="302"/>
        <item x="303"/>
        <item x="304"/>
        <item x="305"/>
        <item x="401"/>
        <item x="402"/>
        <item x="765"/>
        <item x="766"/>
        <item x="767"/>
        <item x="768"/>
        <item x="769"/>
        <item x="770"/>
        <item x="771"/>
        <item x="772"/>
        <item x="773"/>
        <item x="774"/>
        <item x="94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119"/>
        <item x="418"/>
        <item x="419"/>
        <item x="420"/>
        <item x="421"/>
        <item x="422"/>
        <item x="423"/>
        <item x="775"/>
        <item x="776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424"/>
        <item x="425"/>
        <item x="426"/>
        <item x="427"/>
        <item x="428"/>
        <item x="429"/>
        <item x="430"/>
        <item x="431"/>
        <item x="432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0"/>
        <item x="1"/>
        <item x="131"/>
        <item x="132"/>
        <item x="133"/>
        <item x="134"/>
        <item x="135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</items>
    </pivotField>
    <pivotField axis="axisPage" compact="0" outline="0" subtotalTop="0" multipleItemSelectionAllowed="1" showAll="0" includeNewItemsInFilter="1" defaultSubtotal="0">
      <items count="7">
        <item x="3"/>
        <item h="1" x="5"/>
        <item h="1" x="6"/>
        <item x="4"/>
        <item h="1" x="2"/>
        <item x="0"/>
        <item x="1"/>
      </items>
    </pivotField>
    <pivotField compact="0" outline="0" subtotalTop="0" showAll="0" includeNewItemsInFilter="1" defaultSubtotal="0"/>
    <pivotField compact="0" outline="0" subtotalTop="0" showAll="0" includeNewItemsInFilter="1">
      <items count="23">
        <item x="1"/>
        <item x="3"/>
        <item x="4"/>
        <item x="0"/>
        <item x="20"/>
        <item m="1" x="21"/>
        <item x="6"/>
        <item x="2"/>
        <item x="5"/>
        <item x="14"/>
        <item x="15"/>
        <item x="16"/>
        <item x="7"/>
        <item x="8"/>
        <item x="9"/>
        <item x="17"/>
        <item x="18"/>
        <item x="10"/>
        <item x="13"/>
        <item x="19"/>
        <item x="11"/>
        <item x="12"/>
        <item t="default"/>
      </items>
    </pivotField>
    <pivotField compact="0" outline="0" subtotalTop="0" showAll="0" includeNewItemsInFilter="1" defaultSubtotal="0">
      <items count="172">
        <item m="1" x="80"/>
        <item m="1" x="110"/>
        <item m="1" x="141"/>
        <item m="1" x="123"/>
        <item m="1" x="146"/>
        <item m="1" x="79"/>
        <item m="1" x="126"/>
        <item m="1" x="64"/>
        <item m="1" x="108"/>
        <item m="1" x="138"/>
        <item m="1" x="77"/>
        <item m="1" x="167"/>
        <item m="1" x="101"/>
        <item m="1" x="134"/>
        <item m="1" x="115"/>
        <item m="1" x="161"/>
        <item m="1" x="97"/>
        <item m="1" x="130"/>
        <item m="1" x="67"/>
        <item m="1" x="112"/>
        <item m="1" x="158"/>
        <item m="1" x="99"/>
        <item m="1" x="82"/>
        <item m="1" x="70"/>
        <item m="1" x="95"/>
        <item m="1" x="148"/>
        <item m="1" x="81"/>
        <item m="1" x="128"/>
        <item m="1" x="91"/>
        <item x="8"/>
        <item m="1" x="124"/>
        <item m="1" x="73"/>
        <item m="1" x="117"/>
        <item m="1" x="136"/>
        <item m="1" x="170"/>
        <item m="1" x="164"/>
        <item m="1" x="139"/>
        <item m="1" x="102"/>
        <item m="1" x="71"/>
        <item m="1" x="85"/>
        <item m="1" x="131"/>
        <item m="1" x="135"/>
        <item m="1" x="150"/>
        <item m="1" x="61"/>
        <item m="1" x="143"/>
        <item m="1" x="125"/>
        <item m="1" x="87"/>
        <item m="1" x="119"/>
        <item m="1" x="165"/>
        <item m="1" x="153"/>
        <item m="1" x="154"/>
        <item m="1" x="142"/>
        <item m="1" x="104"/>
        <item m="1" x="127"/>
        <item m="1" x="72"/>
        <item m="1" x="116"/>
        <item m="1" x="151"/>
        <item m="1" x="155"/>
        <item m="1" x="88"/>
        <item m="1" x="162"/>
        <item m="1" x="106"/>
        <item m="1" x="144"/>
        <item m="1" x="159"/>
        <item m="1" x="62"/>
        <item m="1" x="133"/>
        <item m="1" x="114"/>
        <item m="1" x="96"/>
        <item m="1" x="171"/>
        <item m="1" x="160"/>
        <item m="1" x="83"/>
        <item m="1" x="149"/>
        <item m="1" x="137"/>
        <item m="1" x="105"/>
        <item m="1" x="74"/>
        <item m="1" x="100"/>
        <item m="1" x="118"/>
        <item m="1" x="98"/>
        <item m="1" x="132"/>
        <item m="1" x="68"/>
        <item m="1" x="113"/>
        <item m="1" x="93"/>
        <item m="1" x="109"/>
        <item m="1" x="156"/>
        <item m="1" x="90"/>
        <item m="1" x="121"/>
        <item m="1" x="65"/>
        <item m="1" x="86"/>
        <item m="1" x="168"/>
        <item m="1" x="103"/>
        <item m="1" x="92"/>
        <item m="1" x="145"/>
        <item m="1" x="107"/>
        <item m="1" x="63"/>
        <item m="1" x="76"/>
        <item m="1" x="166"/>
        <item m="1" x="89"/>
        <item m="1" x="84"/>
        <item m="1" x="129"/>
        <item m="1" x="66"/>
        <item m="1" x="111"/>
        <item m="1" x="78"/>
        <item m="1" x="69"/>
        <item m="1" x="94"/>
        <item m="1" x="152"/>
        <item m="1" x="120"/>
        <item m="1" x="147"/>
        <item m="1" x="169"/>
        <item m="1" x="122"/>
        <item m="1" x="140"/>
        <item m="1" x="163"/>
        <item x="12"/>
        <item x="27"/>
        <item x="28"/>
        <item x="29"/>
        <item x="0"/>
        <item x="30"/>
        <item x="1"/>
        <item m="1" x="157"/>
        <item x="40"/>
        <item x="41"/>
        <item x="13"/>
        <item x="54"/>
        <item x="9"/>
        <item x="2"/>
        <item x="3"/>
        <item x="14"/>
        <item x="4"/>
        <item x="55"/>
        <item x="31"/>
        <item x="15"/>
        <item x="16"/>
        <item x="32"/>
        <item x="17"/>
        <item x="56"/>
        <item x="5"/>
        <item x="42"/>
        <item m="1" x="75"/>
        <item x="10"/>
        <item x="18"/>
        <item x="19"/>
        <item x="20"/>
        <item x="21"/>
        <item x="57"/>
        <item x="48"/>
        <item x="22"/>
        <item x="6"/>
        <item x="58"/>
        <item x="59"/>
        <item x="33"/>
        <item x="7"/>
        <item x="34"/>
        <item x="60"/>
        <item x="23"/>
        <item x="35"/>
        <item x="24"/>
        <item x="25"/>
        <item x="36"/>
        <item x="49"/>
        <item x="50"/>
        <item x="51"/>
        <item x="47"/>
        <item x="11"/>
        <item x="26"/>
        <item x="37"/>
        <item x="38"/>
        <item x="39"/>
        <item x="43"/>
        <item x="44"/>
        <item x="45"/>
        <item x="46"/>
        <item x="52"/>
        <item x="53"/>
      </items>
    </pivotField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 count="1">
    <field x="15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8"/>
    </i>
    <i>
      <x v="19"/>
    </i>
    <i>
      <x v="20"/>
    </i>
    <i>
      <x v="21"/>
    </i>
    <i>
      <x v="22"/>
    </i>
    <i>
      <x v="24"/>
    </i>
    <i>
      <x v="26"/>
    </i>
    <i>
      <x v="28"/>
    </i>
    <i>
      <x v="29"/>
    </i>
    <i>
      <x v="30"/>
    </i>
    <i>
      <x v="31"/>
    </i>
    <i>
      <x v="32"/>
    </i>
    <i>
      <x v="33"/>
    </i>
    <i>
      <x v="34"/>
    </i>
    <i>
      <x v="36"/>
    </i>
    <i t="grand">
      <x/>
    </i>
  </rowItems>
  <colFields count="1">
    <field x="12"/>
  </colFields>
  <colItems count="8"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pageFields count="2">
    <pageField fld="21" hier="-1"/>
    <pageField fld="23" hier="-1"/>
  </pageFields>
  <dataFields count="1">
    <dataField name=" 실발주샘플수" fld="0" baseField="0" baseItem="0" numFmtId="3"/>
  </dataFields>
  <formats count="62">
    <format dxfId="815">
      <pivotArea field="19" type="button" dataOnly="0" labelOnly="1" outline="0"/>
    </format>
    <format dxfId="814">
      <pivotArea field="22" type="button" dataOnly="0" labelOnly="1" outline="0"/>
    </format>
    <format dxfId="813">
      <pivotArea field="22" type="button" dataOnly="0" labelOnly="1" outline="0"/>
    </format>
    <format dxfId="812">
      <pivotArea field="22" type="button" dataOnly="0" labelOnly="1" outline="0"/>
    </format>
    <format dxfId="811">
      <pivotArea type="origin" dataOnly="0" labelOnly="1" outline="0" offset="A2" fieldPosition="0"/>
    </format>
    <format dxfId="810">
      <pivotArea field="19" type="button" dataOnly="0" labelOnly="1" outline="0"/>
    </format>
    <format dxfId="809">
      <pivotArea field="19" type="button" dataOnly="0" labelOnly="1" outline="0"/>
    </format>
    <format dxfId="808">
      <pivotArea type="all" dataOnly="0" outline="0" fieldPosition="0"/>
    </format>
    <format dxfId="807">
      <pivotArea field="19" type="button" dataOnly="0" labelOnly="1" outline="0"/>
    </format>
    <format dxfId="806">
      <pivotArea dataOnly="0" grandRow="1" outline="0" fieldPosition="0"/>
    </format>
    <format dxfId="805">
      <pivotArea dataOnly="0" grandRow="1" outline="0" fieldPosition="0"/>
    </format>
    <format dxfId="804">
      <pivotArea field="14" type="button" dataOnly="0" labelOnly="1" outline="0"/>
    </format>
    <format dxfId="803">
      <pivotArea field="20" type="button" dataOnly="0" labelOnly="1" outline="0"/>
    </format>
    <format dxfId="802">
      <pivotArea field="14" type="button" dataOnly="0" labelOnly="1" outline="0"/>
    </format>
    <format dxfId="801">
      <pivotArea field="20" type="button" dataOnly="0" labelOnly="1" outline="0"/>
    </format>
    <format dxfId="800">
      <pivotArea field="22" type="button" dataOnly="0" labelOnly="1" outline="0"/>
    </format>
    <format dxfId="799">
      <pivotArea field="26" type="button" dataOnly="0" labelOnly="1" outline="0"/>
    </format>
    <format dxfId="798">
      <pivotArea field="10" type="button" dataOnly="0" labelOnly="1" outline="0"/>
    </format>
    <format dxfId="797">
      <pivotArea field="14" type="button" dataOnly="0" labelOnly="1" outline="0"/>
    </format>
    <format dxfId="796">
      <pivotArea field="20" type="button" dataOnly="0" labelOnly="1" outline="0"/>
    </format>
    <format dxfId="795">
      <pivotArea field="22" type="button" dataOnly="0" labelOnly="1" outline="0"/>
    </format>
    <format dxfId="794">
      <pivotArea field="25" type="button" dataOnly="0" labelOnly="1" outline="0"/>
    </format>
    <format dxfId="793">
      <pivotArea field="26" type="button" dataOnly="0" labelOnly="1" outline="0"/>
    </format>
    <format dxfId="792">
      <pivotArea field="10" type="button" dataOnly="0" labelOnly="1" outline="0"/>
    </format>
    <format dxfId="791">
      <pivotArea field="22" type="button" dataOnly="0" labelOnly="1" outline="0"/>
    </format>
    <format dxfId="790">
      <pivotArea field="25" type="button" dataOnly="0" labelOnly="1" outline="0"/>
    </format>
    <format dxfId="789">
      <pivotArea field="26" type="button" dataOnly="0" labelOnly="1" outline="0"/>
    </format>
    <format dxfId="788">
      <pivotArea field="10" type="button" dataOnly="0" labelOnly="1" outline="0"/>
    </format>
    <format dxfId="787">
      <pivotArea type="all" dataOnly="0" outline="0" fieldPosition="0"/>
    </format>
    <format dxfId="786">
      <pivotArea field="14" type="button" dataOnly="0" labelOnly="1" outline="0"/>
    </format>
    <format dxfId="785">
      <pivotArea field="14" type="button" dataOnly="0" labelOnly="1" outline="0"/>
    </format>
    <format dxfId="784">
      <pivotArea field="14" type="button" dataOnly="0" labelOnly="1" outline="0"/>
    </format>
    <format dxfId="783">
      <pivotArea field="20" type="button" dataOnly="0" labelOnly="1" outline="0"/>
    </format>
    <format dxfId="782">
      <pivotArea dataOnly="0" labelOnly="1" grandCol="1" outline="0" fieldPosition="0"/>
    </format>
    <format dxfId="781">
      <pivotArea field="14" type="button" dataOnly="0" labelOnly="1" outline="0"/>
    </format>
    <format dxfId="780">
      <pivotArea field="20" type="button" dataOnly="0" labelOnly="1" outline="0"/>
    </format>
    <format dxfId="779">
      <pivotArea dataOnly="0" labelOnly="1" grandCol="1" outline="0" fieldPosition="0"/>
    </format>
    <format dxfId="778">
      <pivotArea field="14" type="button" dataOnly="0" labelOnly="1" outline="0"/>
    </format>
    <format dxfId="777">
      <pivotArea field="20" type="button" dataOnly="0" labelOnly="1" outline="0"/>
    </format>
    <format dxfId="776">
      <pivotArea field="4" type="button" dataOnly="0" labelOnly="1" outline="0"/>
    </format>
    <format dxfId="775">
      <pivotArea dataOnly="0" labelOnly="1" grandCol="1" outline="0" fieldPosition="0"/>
    </format>
    <format dxfId="774">
      <pivotArea field="4" type="button" dataOnly="0" labelOnly="1" outline="0"/>
    </format>
    <format dxfId="773">
      <pivotArea outline="0" fieldPosition="0"/>
    </format>
    <format dxfId="772">
      <pivotArea field="11" type="button" dataOnly="0" labelOnly="1" outline="0"/>
    </format>
    <format dxfId="771">
      <pivotArea type="topRight" dataOnly="0" labelOnly="1" outline="0" fieldPosition="0"/>
    </format>
    <format dxfId="770">
      <pivotArea dataOnly="0" labelOnly="1" grandCol="1" outline="0" fieldPosition="0"/>
    </format>
    <format dxfId="769">
      <pivotArea outline="0" fieldPosition="0"/>
    </format>
    <format dxfId="768">
      <pivotArea field="11" type="button" dataOnly="0" labelOnly="1" outline="0"/>
    </format>
    <format dxfId="767">
      <pivotArea type="topRight" dataOnly="0" labelOnly="1" outline="0" fieldPosition="0"/>
    </format>
    <format dxfId="766">
      <pivotArea dataOnly="0" labelOnly="1" grandCol="1" outline="0" fieldPosition="0"/>
    </format>
    <format dxfId="765">
      <pivotArea dataOnly="0" labelOnly="1" grandRow="1" outline="0" fieldPosition="0"/>
    </format>
    <format dxfId="764">
      <pivotArea field="15" type="button" dataOnly="0" labelOnly="1" outline="0" axis="axisRow" fieldPosition="0"/>
    </format>
    <format dxfId="763">
      <pivotArea field="5" type="button" dataOnly="0" labelOnly="1" outline="0"/>
    </format>
    <format dxfId="762">
      <pivotArea dataOnly="0" labelOnly="1" grandCol="1" outline="0" fieldPosition="0"/>
    </format>
    <format dxfId="761">
      <pivotArea dataOnly="0" outline="0" fieldPosition="0">
        <references count="1">
          <reference field="15" count="0" defaultSubtotal="1"/>
        </references>
      </pivotArea>
    </format>
    <format dxfId="760">
      <pivotArea field="15" type="button" dataOnly="0" labelOnly="1" outline="0" axis="axisRow" fieldPosition="0"/>
    </format>
    <format dxfId="759">
      <pivotArea field="5" type="button" dataOnly="0" labelOnly="1" outline="0"/>
    </format>
    <format dxfId="758">
      <pivotArea dataOnly="0" labelOnly="1" grandCol="1" outline="0" fieldPosition="0"/>
    </format>
    <format dxfId="757">
      <pivotArea field="23" type="button" dataOnly="0" labelOnly="1" outline="0" axis="axisPage" fieldPosition="1"/>
    </format>
    <format dxfId="756">
      <pivotArea field="21" type="button" dataOnly="0" labelOnly="1" outline="0" axis="axisPage" fieldPosition="0"/>
    </format>
    <format dxfId="755">
      <pivotArea field="13" type="button" dataOnly="0" labelOnly="1" outline="0"/>
    </format>
    <format dxfId="754">
      <pivotArea outline="0" fieldPosition="0">
        <references count="1">
          <reference field="4294967294" count="1">
            <x v="0"/>
          </reference>
        </references>
      </pivotArea>
    </format>
  </formats>
  <pivotTableStyleInfo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피벗 테이블3" cacheId="47" applyNumberFormats="0" applyBorderFormats="0" applyFontFormats="0" applyPatternFormats="0" applyAlignmentFormats="0" applyWidthHeightFormats="1" dataCaption="데이터" updatedVersion="3" asteriskTotals="1" showMemberPropertyTips="0" useAutoFormatting="1" itemPrintTitles="1" createdVersion="1" indent="0" compact="0" compactData="0" gridDropZones="1">
  <location ref="AE4:AN246" firstHeaderRow="1" firstDataRow="2" firstDataCol="3" rowPageCount="1" colPageCount="1"/>
  <pivotFields count="38">
    <pivotField dataField="1"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>
      <items count="5">
        <item x="1"/>
        <item m="1" x="4"/>
        <item x="2"/>
        <item x="0"/>
        <item x="3"/>
      </items>
    </pivotField>
    <pivotField compact="0" outline="0" subtotalTop="0" showAll="0" includeNewItemsInFilter="1" defaultSubtotal="0"/>
    <pivotField compact="0" outline="0" subtotalTop="0" showAll="0" includeNewItemsInFilter="1" defaultSubtotal="0">
      <items count="277">
        <item x="30"/>
        <item m="1" x="251"/>
        <item m="1" x="110"/>
        <item m="1" x="225"/>
        <item m="1" x="195"/>
        <item m="1" x="222"/>
        <item m="1" x="162"/>
        <item m="1" x="212"/>
        <item m="1" x="263"/>
        <item m="1" x="152"/>
        <item m="1" x="202"/>
        <item m="1" x="93"/>
        <item m="1" x="174"/>
        <item m="1" x="256"/>
        <item m="1" x="144"/>
        <item m="1" x="159"/>
        <item m="1" x="242"/>
        <item m="1" x="99"/>
        <item m="1" x="151"/>
        <item m="1" x="233"/>
        <item m="1" x="121"/>
        <item m="1" x="199"/>
        <item m="1" x="90"/>
        <item m="1" x="142"/>
        <item m="1" x="114"/>
        <item m="1" x="275"/>
        <item m="1" x="134"/>
        <item m="1" x="185"/>
        <item m="1" x="265"/>
        <item m="1" x="206"/>
        <item m="1" x="111"/>
        <item m="1" x="163"/>
        <item m="1" x="245"/>
        <item m="1" x="131"/>
        <item m="1" x="213"/>
        <item m="1" x="103"/>
        <item m="1" x="124"/>
        <item x="85"/>
        <item m="1" x="102"/>
        <item m="1" x="153"/>
        <item m="1" x="115"/>
        <item m="1" x="253"/>
        <item m="1" x="107"/>
        <item m="1" x="190"/>
        <item m="1" x="238"/>
        <item m="1" x="94"/>
        <item m="1" x="126"/>
        <item m="1" x="139"/>
        <item m="1" x="117"/>
        <item m="1" x="223"/>
        <item m="1" x="186"/>
        <item m="1" x="203"/>
        <item m="1" x="136"/>
        <item m="1" x="216"/>
        <item m="1" x="180"/>
        <item m="1" x="91"/>
        <item m="1" x="145"/>
        <item m="1" x="226"/>
        <item m="1" x="86"/>
        <item m="1" x="101"/>
        <item m="1" x="268"/>
        <item m="1" x="193"/>
        <item m="1" x="272"/>
        <item m="1" x="171"/>
        <item m="1" x="219"/>
        <item m="1" x="235"/>
        <item m="1" x="108"/>
        <item m="1" x="227"/>
        <item m="1" x="217"/>
        <item m="1" x="276"/>
        <item m="1" x="166"/>
        <item m="1" x="207"/>
        <item m="1" x="127"/>
        <item m="1" x="258"/>
        <item m="1" x="196"/>
        <item m="1" x="236"/>
        <item m="1" x="137"/>
        <item m="1" x="228"/>
        <item m="1" x="191"/>
        <item m="1" x="143"/>
        <item m="1" x="239"/>
        <item m="1" x="248"/>
        <item m="1" x="135"/>
        <item m="1" x="266"/>
        <item m="1" x="243"/>
        <item m="1" x="154"/>
        <item m="1" x="146"/>
        <item m="1" x="119"/>
        <item m="1" x="175"/>
        <item m="1" x="95"/>
        <item m="1" x="182"/>
        <item m="1" x="231"/>
        <item m="1" x="269"/>
        <item m="1" x="160"/>
        <item m="1" x="129"/>
        <item m="1" x="234"/>
        <item m="1" x="169"/>
        <item m="1" x="156"/>
        <item m="1" x="140"/>
        <item m="1" x="112"/>
        <item m="1" x="149"/>
        <item m="1" x="178"/>
        <item m="1" x="259"/>
        <item m="1" x="260"/>
        <item m="1" x="273"/>
        <item m="1" x="246"/>
        <item m="1" x="97"/>
        <item m="1" x="188"/>
        <item m="1" x="252"/>
        <item m="1" x="164"/>
        <item m="1" x="109"/>
        <item m="1" x="132"/>
        <item m="1" x="88"/>
        <item m="1" x="167"/>
        <item m="1" x="220"/>
        <item m="1" x="130"/>
        <item m="1" x="87"/>
        <item m="1" x="147"/>
        <item m="1" x="229"/>
        <item m="1" x="138"/>
        <item m="1" x="122"/>
        <item m="1" x="267"/>
        <item m="1" x="92"/>
        <item m="1" x="179"/>
        <item m="1" x="208"/>
        <item m="1" x="270"/>
        <item m="1" x="194"/>
        <item m="1" x="116"/>
        <item m="1" x="181"/>
        <item m="1" x="261"/>
        <item m="1" x="244"/>
        <item m="1" x="197"/>
        <item m="1" x="170"/>
        <item m="1" x="100"/>
        <item m="1" x="210"/>
        <item m="1" x="187"/>
        <item m="1" x="254"/>
        <item m="1" x="98"/>
        <item m="1" x="150"/>
        <item m="1" x="240"/>
        <item m="1" x="200"/>
        <item m="1" x="198"/>
        <item m="1" x="224"/>
        <item m="1" x="118"/>
        <item m="1" x="120"/>
        <item m="1" x="89"/>
        <item m="1" x="172"/>
        <item m="1" x="141"/>
        <item m="1" x="214"/>
        <item m="1" x="247"/>
        <item m="1" x="96"/>
        <item m="1" x="209"/>
        <item m="1" x="183"/>
        <item m="1" x="232"/>
        <item m="1" x="264"/>
        <item m="1" x="128"/>
        <item m="1" x="133"/>
        <item m="1" x="125"/>
        <item m="1" x="221"/>
        <item m="1" x="271"/>
        <item m="1" x="113"/>
        <item m="1" x="274"/>
        <item m="1" x="161"/>
        <item m="1" x="201"/>
        <item m="1" x="104"/>
        <item m="1" x="204"/>
        <item m="1" x="123"/>
        <item m="1" x="155"/>
        <item m="1" x="176"/>
        <item m="1" x="189"/>
        <item m="1" x="262"/>
        <item m="1" x="211"/>
        <item m="1" x="192"/>
        <item m="1" x="237"/>
        <item m="1" x="165"/>
        <item m="1" x="215"/>
        <item m="1" x="218"/>
        <item x="7"/>
        <item x="33"/>
        <item x="45"/>
        <item x="40"/>
        <item x="11"/>
        <item x="32"/>
        <item m="1" x="168"/>
        <item m="1" x="148"/>
        <item m="1" x="105"/>
        <item m="1" x="230"/>
        <item m="1" x="205"/>
        <item x="77"/>
        <item m="1" x="177"/>
        <item m="1" x="257"/>
        <item m="1" x="249"/>
        <item x="58"/>
        <item x="1"/>
        <item x="2"/>
        <item x="78"/>
        <item x="5"/>
        <item m="1" x="157"/>
        <item m="1" x="241"/>
        <item x="9"/>
        <item x="79"/>
        <item x="47"/>
        <item x="10"/>
        <item x="3"/>
        <item x="41"/>
        <item x="0"/>
        <item x="39"/>
        <item x="57"/>
        <item x="83"/>
        <item x="12"/>
        <item x="13"/>
        <item m="1" x="173"/>
        <item m="1" x="255"/>
        <item x="76"/>
        <item x="21"/>
        <item x="6"/>
        <item x="22"/>
        <item m="1" x="106"/>
        <item x="31"/>
        <item x="15"/>
        <item x="14"/>
        <item x="19"/>
        <item x="44"/>
        <item x="51"/>
        <item m="1" x="184"/>
        <item x="42"/>
        <item x="69"/>
        <item m="1" x="158"/>
        <item x="8"/>
        <item x="26"/>
        <item x="4"/>
        <item x="29"/>
        <item x="52"/>
        <item x="43"/>
        <item x="27"/>
        <item x="46"/>
        <item x="80"/>
        <item x="84"/>
        <item x="59"/>
        <item x="61"/>
        <item x="62"/>
        <item x="18"/>
        <item x="53"/>
        <item x="49"/>
        <item x="63"/>
        <item x="64"/>
        <item x="50"/>
        <item x="65"/>
        <item x="66"/>
        <item x="34"/>
        <item x="55"/>
        <item x="67"/>
        <item x="68"/>
        <item x="16"/>
        <item x="17"/>
        <item x="20"/>
        <item x="28"/>
        <item x="25"/>
        <item x="48"/>
        <item m="1" x="250"/>
        <item x="73"/>
        <item x="70"/>
        <item x="24"/>
        <item x="23"/>
        <item x="35"/>
        <item x="36"/>
        <item x="37"/>
        <item x="38"/>
        <item x="54"/>
        <item x="56"/>
        <item x="60"/>
        <item x="71"/>
        <item x="72"/>
        <item x="74"/>
        <item x="75"/>
        <item x="81"/>
        <item x="82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>
      <items count="54">
        <item m="1" x="40"/>
        <item x="28"/>
        <item x="26"/>
        <item x="25"/>
        <item m="1" x="39"/>
        <item m="1" x="49"/>
        <item m="1" x="36"/>
        <item m="1" x="42"/>
        <item x="30"/>
        <item m="1" x="45"/>
        <item x="6"/>
        <item m="1" x="33"/>
        <item m="1" x="34"/>
        <item m="1" x="37"/>
        <item m="1" x="35"/>
        <item m="1" x="46"/>
        <item x="12"/>
        <item h="1" x="32"/>
        <item m="1" x="48"/>
        <item m="1" x="41"/>
        <item m="1" x="52"/>
        <item m="1" x="50"/>
        <item m="1" x="47"/>
        <item m="1" x="43"/>
        <item x="5"/>
        <item x="10"/>
        <item x="24"/>
        <item x="0"/>
        <item x="11"/>
        <item m="1" x="38"/>
        <item x="4"/>
        <item x="19"/>
        <item x="16"/>
        <item x="9"/>
        <item x="23"/>
        <item x="20"/>
        <item m="1" x="51"/>
        <item x="1"/>
        <item x="13"/>
        <item m="1" x="44"/>
        <item x="27"/>
        <item x="18"/>
        <item x="29"/>
        <item x="2"/>
        <item x="3"/>
        <item x="14"/>
        <item x="21"/>
        <item x="7"/>
        <item x="15"/>
        <item x="31"/>
        <item x="8"/>
        <item x="17"/>
        <item x="22"/>
        <item t="default"/>
      </items>
    </pivotField>
    <pivotField axis="axisRow" compact="0" outline="0" subtotalTop="0" showAll="0" includeNewItemsInFilter="1" defaultSubtotal="0">
      <items count="37">
        <item x="14"/>
        <item x="10"/>
        <item x="12"/>
        <item x="25"/>
        <item x="27"/>
        <item x="29"/>
        <item x="26"/>
        <item x="28"/>
        <item x="5"/>
        <item m="1" x="36"/>
        <item x="11"/>
        <item x="17"/>
        <item x="13"/>
        <item x="24"/>
        <item x="4"/>
        <item m="1" x="34"/>
        <item x="31"/>
        <item x="0"/>
        <item m="1" x="33"/>
        <item x="21"/>
        <item x="20"/>
        <item x="1"/>
        <item x="9"/>
        <item x="19"/>
        <item x="30"/>
        <item x="2"/>
        <item x="3"/>
        <item x="15"/>
        <item x="22"/>
        <item x="7"/>
        <item x="16"/>
        <item x="32"/>
        <item m="1" x="35"/>
        <item x="6"/>
        <item x="8"/>
        <item x="18"/>
        <item x="23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>
      <items count="26">
        <item x="10"/>
        <item x="9"/>
        <item x="17"/>
        <item x="18"/>
        <item x="5"/>
        <item x="4"/>
        <item x="0"/>
        <item x="13"/>
        <item x="1"/>
        <item x="19"/>
        <item m="1" x="23"/>
        <item m="1" x="22"/>
        <item x="8"/>
        <item x="7"/>
        <item x="14"/>
        <item x="16"/>
        <item m="1" x="21"/>
        <item m="1" x="20"/>
        <item m="1" x="25"/>
        <item m="1" x="24"/>
        <item x="12"/>
        <item x="2"/>
        <item x="3"/>
        <item x="11"/>
        <item x="15"/>
        <item x="6"/>
      </items>
    </pivotField>
    <pivotField axis="axisRow" compact="0" outline="0" subtotalTop="0" showAll="0" includeNewItemsInFilter="1">
      <items count="42">
        <item x="1"/>
        <item x="15"/>
        <item x="2"/>
        <item x="8"/>
        <item x="21"/>
        <item x="6"/>
        <item x="18"/>
        <item x="5"/>
        <item x="20"/>
        <item x="19"/>
        <item x="3"/>
        <item x="25"/>
        <item x="0"/>
        <item m="1" x="36"/>
        <item x="7"/>
        <item x="4"/>
        <item m="1" x="39"/>
        <item x="9"/>
        <item m="1" x="28"/>
        <item m="1" x="29"/>
        <item x="14"/>
        <item m="1" x="35"/>
        <item x="22"/>
        <item m="1" x="40"/>
        <item m="1" x="31"/>
        <item m="1" x="34"/>
        <item m="1" x="27"/>
        <item m="1" x="37"/>
        <item m="1" x="32"/>
        <item m="1" x="26"/>
        <item m="1" x="38"/>
        <item x="11"/>
        <item x="12"/>
        <item m="1" x="30"/>
        <item x="17"/>
        <item x="13"/>
        <item m="1" x="33"/>
        <item x="23"/>
        <item x="10"/>
        <item x="24"/>
        <item x="16"/>
        <item t="default"/>
      </items>
    </pivotField>
    <pivotField axis="axisPage" compact="0" outline="0" subtotalTop="0" multipleItemSelectionAllowed="1" showAll="0" includeNewItemsInFilter="1" defaultSubtotal="0">
      <items count="4">
        <item x="0"/>
        <item m="1" x="2"/>
        <item x="1"/>
        <item m="1" x="3"/>
      </items>
    </pivotField>
    <pivotField compact="0" outline="0" subtotalTop="0" showAll="0" includeNewItemsInFilter="1" defaultSubtotal="0">
      <items count="783">
        <item x="777"/>
        <item m="1" x="778"/>
        <item m="1" x="782"/>
        <item m="1" x="781"/>
        <item m="1" x="780"/>
        <item m="1" x="779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2"/>
        <item x="3"/>
        <item x="4"/>
        <item x="5"/>
        <item x="6"/>
        <item x="7"/>
        <item x="8"/>
        <item x="22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653"/>
        <item x="654"/>
        <item x="655"/>
        <item x="656"/>
        <item x="657"/>
        <item x="658"/>
        <item x="659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660"/>
        <item x="661"/>
        <item x="662"/>
        <item x="663"/>
        <item x="664"/>
        <item x="665"/>
        <item x="666"/>
        <item x="667"/>
        <item x="668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379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195"/>
        <item x="196"/>
        <item x="197"/>
        <item x="198"/>
        <item x="199"/>
        <item x="200"/>
        <item x="201"/>
        <item x="380"/>
        <item x="381"/>
        <item x="382"/>
        <item x="383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384"/>
        <item x="385"/>
        <item x="386"/>
        <item x="387"/>
        <item x="388"/>
        <item x="389"/>
        <item x="3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391"/>
        <item x="392"/>
        <item x="393"/>
        <item x="394"/>
        <item x="395"/>
        <item x="396"/>
        <item x="703"/>
        <item x="704"/>
        <item x="705"/>
        <item x="706"/>
        <item x="707"/>
        <item x="708"/>
        <item x="709"/>
        <item x="710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397"/>
        <item x="398"/>
        <item x="399"/>
        <item x="400"/>
        <item x="614"/>
        <item x="615"/>
        <item x="616"/>
        <item x="617"/>
        <item x="618"/>
        <item x="619"/>
        <item x="620"/>
        <item x="621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91"/>
        <item x="92"/>
        <item x="93"/>
        <item x="297"/>
        <item x="298"/>
        <item x="299"/>
        <item x="300"/>
        <item x="301"/>
        <item x="302"/>
        <item x="303"/>
        <item x="304"/>
        <item x="305"/>
        <item x="401"/>
        <item x="402"/>
        <item x="765"/>
        <item x="766"/>
        <item x="767"/>
        <item x="768"/>
        <item x="769"/>
        <item x="770"/>
        <item x="771"/>
        <item x="772"/>
        <item x="773"/>
        <item x="774"/>
        <item x="94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119"/>
        <item x="418"/>
        <item x="419"/>
        <item x="420"/>
        <item x="421"/>
        <item x="422"/>
        <item x="423"/>
        <item x="775"/>
        <item x="776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424"/>
        <item x="425"/>
        <item x="426"/>
        <item x="427"/>
        <item x="428"/>
        <item x="429"/>
        <item x="430"/>
        <item x="431"/>
        <item x="432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0"/>
        <item x="1"/>
        <item x="131"/>
        <item x="132"/>
        <item x="133"/>
        <item x="134"/>
        <item x="135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23">
        <item x="1"/>
        <item x="3"/>
        <item x="4"/>
        <item x="0"/>
        <item x="20"/>
        <item m="1" x="21"/>
        <item x="6"/>
        <item x="2"/>
        <item x="5"/>
        <item x="14"/>
        <item x="15"/>
        <item x="16"/>
        <item x="7"/>
        <item x="8"/>
        <item x="9"/>
        <item x="17"/>
        <item x="18"/>
        <item x="10"/>
        <item x="13"/>
        <item x="19"/>
        <item x="11"/>
        <item x="12"/>
        <item t="default"/>
      </items>
    </pivotField>
    <pivotField compact="0" outline="0" subtotalTop="0" showAll="0" includeNewItemsInFilter="1" defaultSubtotal="0">
      <items count="172">
        <item m="1" x="80"/>
        <item m="1" x="110"/>
        <item m="1" x="141"/>
        <item m="1" x="123"/>
        <item m="1" x="146"/>
        <item m="1" x="79"/>
        <item m="1" x="126"/>
        <item m="1" x="64"/>
        <item m="1" x="108"/>
        <item m="1" x="138"/>
        <item m="1" x="77"/>
        <item m="1" x="167"/>
        <item m="1" x="101"/>
        <item m="1" x="134"/>
        <item m="1" x="115"/>
        <item m="1" x="161"/>
        <item m="1" x="97"/>
        <item m="1" x="130"/>
        <item m="1" x="67"/>
        <item m="1" x="112"/>
        <item m="1" x="158"/>
        <item m="1" x="99"/>
        <item m="1" x="82"/>
        <item m="1" x="70"/>
        <item m="1" x="95"/>
        <item m="1" x="148"/>
        <item m="1" x="81"/>
        <item m="1" x="128"/>
        <item m="1" x="91"/>
        <item x="8"/>
        <item m="1" x="124"/>
        <item m="1" x="73"/>
        <item m="1" x="117"/>
        <item m="1" x="136"/>
        <item m="1" x="170"/>
        <item m="1" x="164"/>
        <item m="1" x="139"/>
        <item m="1" x="102"/>
        <item m="1" x="71"/>
        <item m="1" x="85"/>
        <item m="1" x="131"/>
        <item m="1" x="135"/>
        <item m="1" x="150"/>
        <item m="1" x="61"/>
        <item m="1" x="143"/>
        <item m="1" x="125"/>
        <item m="1" x="87"/>
        <item m="1" x="119"/>
        <item m="1" x="165"/>
        <item m="1" x="153"/>
        <item m="1" x="154"/>
        <item m="1" x="142"/>
        <item m="1" x="104"/>
        <item m="1" x="127"/>
        <item m="1" x="72"/>
        <item m="1" x="116"/>
        <item m="1" x="151"/>
        <item m="1" x="155"/>
        <item m="1" x="88"/>
        <item m="1" x="162"/>
        <item m="1" x="106"/>
        <item m="1" x="144"/>
        <item m="1" x="159"/>
        <item m="1" x="62"/>
        <item m="1" x="133"/>
        <item m="1" x="114"/>
        <item m="1" x="96"/>
        <item m="1" x="171"/>
        <item m="1" x="160"/>
        <item m="1" x="83"/>
        <item m="1" x="149"/>
        <item m="1" x="137"/>
        <item m="1" x="105"/>
        <item m="1" x="74"/>
        <item m="1" x="100"/>
        <item m="1" x="118"/>
        <item m="1" x="98"/>
        <item m="1" x="132"/>
        <item m="1" x="68"/>
        <item m="1" x="113"/>
        <item m="1" x="93"/>
        <item m="1" x="109"/>
        <item m="1" x="156"/>
        <item m="1" x="90"/>
        <item m="1" x="121"/>
        <item m="1" x="65"/>
        <item m="1" x="86"/>
        <item m="1" x="168"/>
        <item m="1" x="103"/>
        <item m="1" x="92"/>
        <item m="1" x="145"/>
        <item m="1" x="107"/>
        <item m="1" x="63"/>
        <item m="1" x="76"/>
        <item m="1" x="166"/>
        <item m="1" x="89"/>
        <item m="1" x="84"/>
        <item m="1" x="129"/>
        <item m="1" x="66"/>
        <item m="1" x="111"/>
        <item m="1" x="78"/>
        <item m="1" x="69"/>
        <item m="1" x="94"/>
        <item m="1" x="152"/>
        <item m="1" x="120"/>
        <item m="1" x="147"/>
        <item m="1" x="169"/>
        <item m="1" x="122"/>
        <item m="1" x="140"/>
        <item m="1" x="163"/>
        <item x="12"/>
        <item x="27"/>
        <item x="28"/>
        <item x="29"/>
        <item x="0"/>
        <item x="30"/>
        <item x="1"/>
        <item m="1" x="157"/>
        <item x="40"/>
        <item x="41"/>
        <item x="13"/>
        <item x="54"/>
        <item x="9"/>
        <item x="2"/>
        <item x="3"/>
        <item x="14"/>
        <item x="4"/>
        <item x="55"/>
        <item x="31"/>
        <item x="15"/>
        <item x="16"/>
        <item x="32"/>
        <item x="17"/>
        <item x="56"/>
        <item x="5"/>
        <item x="42"/>
        <item m="1" x="75"/>
        <item x="10"/>
        <item x="18"/>
        <item x="19"/>
        <item x="20"/>
        <item x="21"/>
        <item x="57"/>
        <item x="48"/>
        <item x="22"/>
        <item x="6"/>
        <item x="58"/>
        <item x="59"/>
        <item x="33"/>
        <item x="7"/>
        <item x="34"/>
        <item x="60"/>
        <item x="23"/>
        <item x="35"/>
        <item x="24"/>
        <item x="25"/>
        <item x="36"/>
        <item x="49"/>
        <item x="50"/>
        <item x="51"/>
        <item x="47"/>
        <item x="11"/>
        <item x="26"/>
        <item x="37"/>
        <item x="38"/>
        <item x="39"/>
        <item x="43"/>
        <item x="44"/>
        <item x="45"/>
        <item x="46"/>
        <item x="52"/>
        <item x="53"/>
      </items>
    </pivotField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 count="3">
    <field x="15"/>
    <field x="25"/>
    <field x="20"/>
  </rowFields>
  <rowItems count="241">
    <i>
      <x/>
      <x v="2"/>
      <x/>
    </i>
    <i r="2">
      <x v="10"/>
    </i>
    <i r="2">
      <x v="17"/>
    </i>
    <i t="default" r="1">
      <x v="2"/>
    </i>
    <i>
      <x v="1"/>
      <x/>
      <x/>
    </i>
    <i r="2">
      <x v="2"/>
    </i>
    <i r="2">
      <x v="12"/>
    </i>
    <i t="default" r="1">
      <x/>
    </i>
    <i r="1">
      <x v="2"/>
      <x/>
    </i>
    <i r="2">
      <x v="7"/>
    </i>
    <i t="default" r="1">
      <x v="2"/>
    </i>
    <i>
      <x v="2"/>
      <x/>
      <x/>
    </i>
    <i r="2">
      <x v="2"/>
    </i>
    <i r="2">
      <x v="7"/>
    </i>
    <i t="default" r="1">
      <x/>
    </i>
    <i>
      <x v="3"/>
      <x/>
      <x/>
    </i>
    <i r="2">
      <x v="2"/>
    </i>
    <i r="2">
      <x v="10"/>
    </i>
    <i r="2">
      <x v="12"/>
    </i>
    <i r="2">
      <x v="40"/>
    </i>
    <i t="default" r="1">
      <x/>
    </i>
    <i r="1">
      <x v="1"/>
      <x v="2"/>
    </i>
    <i r="2">
      <x v="12"/>
    </i>
    <i r="2">
      <x v="40"/>
    </i>
    <i t="default" r="1">
      <x v="1"/>
    </i>
    <i r="1">
      <x v="2"/>
      <x v="2"/>
    </i>
    <i r="2">
      <x v="10"/>
    </i>
    <i r="2">
      <x v="15"/>
    </i>
    <i r="2">
      <x v="17"/>
    </i>
    <i t="default" r="1">
      <x v="2"/>
    </i>
    <i r="1">
      <x v="3"/>
      <x v="2"/>
    </i>
    <i r="2">
      <x v="12"/>
    </i>
    <i r="2">
      <x v="40"/>
    </i>
    <i t="default" r="1">
      <x v="3"/>
    </i>
    <i r="1">
      <x v="12"/>
      <x v="15"/>
    </i>
    <i t="default" r="1">
      <x v="12"/>
    </i>
    <i>
      <x v="4"/>
      <x v="18"/>
      <x v="1"/>
    </i>
    <i r="2">
      <x v="34"/>
    </i>
    <i t="default" r="1">
      <x v="18"/>
    </i>
    <i>
      <x v="5"/>
      <x v="10"/>
      <x v="4"/>
    </i>
    <i r="2">
      <x v="6"/>
    </i>
    <i r="2">
      <x v="8"/>
    </i>
    <i r="2">
      <x v="9"/>
    </i>
    <i r="2">
      <x v="38"/>
    </i>
    <i r="2">
      <x v="39"/>
    </i>
    <i t="default" r="1">
      <x v="10"/>
    </i>
    <i r="1">
      <x v="11"/>
      <x v="4"/>
    </i>
    <i r="2">
      <x v="8"/>
    </i>
    <i r="2">
      <x v="9"/>
    </i>
    <i r="2">
      <x v="22"/>
    </i>
    <i r="2">
      <x v="37"/>
    </i>
    <i r="2">
      <x v="38"/>
    </i>
    <i t="default" r="1">
      <x v="11"/>
    </i>
    <i r="1">
      <x v="15"/>
      <x v="4"/>
    </i>
    <i r="2">
      <x v="8"/>
    </i>
    <i r="2">
      <x v="9"/>
    </i>
    <i r="2">
      <x v="22"/>
    </i>
    <i t="default" r="1">
      <x v="15"/>
    </i>
    <i r="1">
      <x v="16"/>
      <x v="4"/>
    </i>
    <i r="2">
      <x v="8"/>
    </i>
    <i r="2">
      <x v="9"/>
    </i>
    <i t="default" r="1">
      <x v="16"/>
    </i>
    <i>
      <x v="6"/>
      <x v="2"/>
      <x v="14"/>
    </i>
    <i t="default" r="1">
      <x v="2"/>
    </i>
    <i>
      <x v="7"/>
      <x/>
      <x v="7"/>
    </i>
    <i t="default" r="1">
      <x/>
    </i>
    <i>
      <x v="8"/>
      <x/>
      <x v="7"/>
    </i>
    <i t="default" r="1">
      <x/>
    </i>
    <i r="1">
      <x v="2"/>
      <x/>
    </i>
    <i r="2">
      <x v="2"/>
    </i>
    <i r="2">
      <x v="3"/>
    </i>
    <i r="2">
      <x v="5"/>
    </i>
    <i r="2">
      <x v="7"/>
    </i>
    <i r="2">
      <x v="10"/>
    </i>
    <i r="2">
      <x v="15"/>
    </i>
    <i r="2">
      <x v="17"/>
    </i>
    <i t="default" r="1">
      <x v="2"/>
    </i>
    <i r="1">
      <x v="6"/>
      <x v="2"/>
    </i>
    <i t="default" r="1">
      <x v="6"/>
    </i>
    <i r="1">
      <x v="12"/>
      <x v="2"/>
    </i>
    <i r="2">
      <x v="15"/>
    </i>
    <i t="default" r="1">
      <x v="12"/>
    </i>
    <i r="1">
      <x v="13"/>
      <x v="15"/>
    </i>
    <i t="default" r="1">
      <x v="13"/>
    </i>
    <i r="1">
      <x v="14"/>
      <x v="2"/>
    </i>
    <i r="2">
      <x v="15"/>
    </i>
    <i t="default" r="1">
      <x v="14"/>
    </i>
    <i>
      <x v="10"/>
      <x/>
      <x/>
    </i>
    <i t="default" r="1">
      <x/>
    </i>
    <i r="1">
      <x v="2"/>
      <x v="15"/>
    </i>
    <i r="2">
      <x v="17"/>
    </i>
    <i t="default" r="1">
      <x v="2"/>
    </i>
    <i r="1">
      <x v="6"/>
      <x v="10"/>
    </i>
    <i r="2">
      <x v="15"/>
    </i>
    <i r="2">
      <x v="17"/>
    </i>
    <i t="default" r="1">
      <x v="6"/>
    </i>
    <i r="1">
      <x v="13"/>
      <x v="15"/>
    </i>
    <i t="default" r="1">
      <x v="13"/>
    </i>
    <i r="1">
      <x v="21"/>
      <x v="15"/>
    </i>
    <i t="default" r="1">
      <x v="21"/>
    </i>
    <i>
      <x v="11"/>
      <x v="6"/>
      <x v="1"/>
    </i>
    <i t="default" r="1">
      <x v="6"/>
    </i>
    <i>
      <x v="12"/>
      <x v="2"/>
      <x v="32"/>
    </i>
    <i t="default" r="1">
      <x v="2"/>
    </i>
    <i r="1">
      <x v="6"/>
      <x v="20"/>
    </i>
    <i r="2">
      <x v="32"/>
    </i>
    <i t="default" r="1">
      <x v="6"/>
    </i>
    <i>
      <x v="13"/>
      <x v="1"/>
      <x v="12"/>
    </i>
    <i t="default" r="1">
      <x v="1"/>
    </i>
    <i r="1">
      <x v="8"/>
      <x v="12"/>
    </i>
    <i t="default" r="1">
      <x v="8"/>
    </i>
    <i>
      <x v="14"/>
      <x v="1"/>
      <x v="12"/>
    </i>
    <i t="default" r="1">
      <x v="1"/>
    </i>
    <i>
      <x v="16"/>
      <x v="10"/>
      <x v="4"/>
    </i>
    <i r="2">
      <x v="6"/>
    </i>
    <i r="2">
      <x v="9"/>
    </i>
    <i t="default" r="1">
      <x v="10"/>
    </i>
    <i r="1">
      <x v="11"/>
      <x v="8"/>
    </i>
    <i r="2">
      <x v="22"/>
    </i>
    <i t="default" r="1">
      <x v="11"/>
    </i>
    <i r="1">
      <x v="15"/>
      <x v="4"/>
    </i>
    <i r="2">
      <x v="8"/>
    </i>
    <i r="2">
      <x v="9"/>
    </i>
    <i t="default" r="1">
      <x v="15"/>
    </i>
    <i r="1">
      <x v="16"/>
      <x v="9"/>
    </i>
    <i r="2">
      <x v="22"/>
    </i>
    <i t="default" r="1">
      <x v="16"/>
    </i>
    <i r="1">
      <x v="19"/>
      <x v="6"/>
    </i>
    <i t="default" r="1">
      <x v="19"/>
    </i>
    <i>
      <x v="17"/>
      <x/>
      <x/>
    </i>
    <i r="2">
      <x v="2"/>
    </i>
    <i r="2">
      <x v="12"/>
    </i>
    <i t="default" r="1">
      <x/>
    </i>
    <i r="1">
      <x v="1"/>
      <x/>
    </i>
    <i r="2">
      <x v="2"/>
    </i>
    <i r="2">
      <x v="12"/>
    </i>
    <i t="default" r="1">
      <x v="1"/>
    </i>
    <i r="1">
      <x v="2"/>
      <x v="2"/>
    </i>
    <i r="2">
      <x v="15"/>
    </i>
    <i t="default" r="1">
      <x v="2"/>
    </i>
    <i r="1">
      <x v="3"/>
      <x/>
    </i>
    <i r="2">
      <x v="2"/>
    </i>
    <i r="2">
      <x v="12"/>
    </i>
    <i t="default" r="1">
      <x v="3"/>
    </i>
    <i r="1">
      <x v="6"/>
      <x v="15"/>
    </i>
    <i t="default" r="1">
      <x v="6"/>
    </i>
    <i r="1">
      <x v="7"/>
      <x/>
    </i>
    <i r="2">
      <x v="2"/>
    </i>
    <i r="2">
      <x v="12"/>
    </i>
    <i t="default" r="1">
      <x v="7"/>
    </i>
    <i r="1">
      <x v="12"/>
      <x v="15"/>
    </i>
    <i t="default" r="1">
      <x v="12"/>
    </i>
    <i>
      <x v="19"/>
      <x v="3"/>
      <x v="10"/>
    </i>
    <i r="2">
      <x v="12"/>
    </i>
    <i r="2">
      <x v="40"/>
    </i>
    <i t="default" r="1">
      <x v="3"/>
    </i>
    <i r="1">
      <x v="8"/>
      <x v="12"/>
    </i>
    <i r="2">
      <x v="40"/>
    </i>
    <i t="default" r="1">
      <x v="8"/>
    </i>
    <i r="1">
      <x v="9"/>
      <x v="10"/>
    </i>
    <i r="2">
      <x v="12"/>
    </i>
    <i t="default" r="1">
      <x v="9"/>
    </i>
    <i r="1">
      <x v="12"/>
      <x v="15"/>
    </i>
    <i t="default" r="1">
      <x v="12"/>
    </i>
    <i>
      <x v="20"/>
      <x v="2"/>
      <x/>
    </i>
    <i r="2">
      <x v="10"/>
    </i>
    <i t="default" r="1">
      <x v="2"/>
    </i>
    <i>
      <x v="21"/>
      <x/>
      <x/>
    </i>
    <i r="2">
      <x v="2"/>
    </i>
    <i t="default" r="1">
      <x/>
    </i>
    <i r="1">
      <x v="2"/>
      <x/>
    </i>
    <i r="2">
      <x v="2"/>
    </i>
    <i r="2">
      <x v="10"/>
    </i>
    <i t="default" r="1">
      <x v="2"/>
    </i>
    <i>
      <x v="22"/>
      <x v="2"/>
      <x v="15"/>
    </i>
    <i t="default" r="1">
      <x v="2"/>
    </i>
    <i r="1">
      <x v="4"/>
      <x v="11"/>
    </i>
    <i t="default" r="1">
      <x v="4"/>
    </i>
    <i>
      <x v="23"/>
      <x/>
      <x v="12"/>
    </i>
    <i t="default" r="1">
      <x/>
    </i>
    <i r="1">
      <x v="8"/>
      <x v="12"/>
    </i>
    <i t="default" r="1">
      <x v="8"/>
    </i>
    <i r="1">
      <x v="9"/>
      <x v="12"/>
    </i>
    <i t="default" r="1">
      <x v="9"/>
    </i>
    <i>
      <x v="24"/>
      <x v="10"/>
      <x v="6"/>
    </i>
    <i t="default" r="1">
      <x v="10"/>
    </i>
    <i r="1">
      <x v="11"/>
      <x v="9"/>
    </i>
    <i t="default" r="1">
      <x v="11"/>
    </i>
    <i>
      <x v="25"/>
      <x v="8"/>
      <x v="12"/>
    </i>
    <i t="default" r="1">
      <x v="8"/>
    </i>
    <i>
      <x v="26"/>
      <x v="8"/>
      <x v="12"/>
    </i>
    <i t="default" r="1">
      <x v="8"/>
    </i>
    <i>
      <x v="27"/>
      <x/>
      <x/>
    </i>
    <i r="2">
      <x v="2"/>
    </i>
    <i t="default" r="1">
      <x/>
    </i>
    <i r="1">
      <x v="2"/>
      <x v="15"/>
    </i>
    <i r="2">
      <x v="35"/>
    </i>
    <i t="default" r="1">
      <x v="2"/>
    </i>
    <i r="1">
      <x v="6"/>
      <x v="15"/>
    </i>
    <i t="default" r="1">
      <x v="6"/>
    </i>
    <i r="1">
      <x v="13"/>
      <x v="15"/>
    </i>
    <i t="default" r="1">
      <x v="13"/>
    </i>
    <i>
      <x v="28"/>
      <x v="3"/>
      <x v="12"/>
    </i>
    <i t="default" r="1">
      <x v="3"/>
    </i>
    <i r="1">
      <x v="8"/>
      <x v="12"/>
    </i>
    <i r="2">
      <x v="40"/>
    </i>
    <i t="default" r="1">
      <x v="8"/>
    </i>
    <i r="1">
      <x v="9"/>
      <x v="12"/>
    </i>
    <i t="default" r="1">
      <x v="9"/>
    </i>
    <i>
      <x v="29"/>
      <x v="2"/>
      <x v="10"/>
    </i>
    <i t="default" r="1">
      <x v="2"/>
    </i>
    <i r="1">
      <x v="3"/>
      <x v="2"/>
    </i>
    <i r="2">
      <x v="12"/>
    </i>
    <i t="default" r="1">
      <x v="3"/>
    </i>
    <i r="1">
      <x v="8"/>
      <x v="2"/>
    </i>
    <i t="default" r="1">
      <x v="8"/>
    </i>
    <i>
      <x v="30"/>
      <x v="17"/>
      <x v="32"/>
    </i>
    <i t="default" r="1">
      <x v="17"/>
    </i>
    <i r="1">
      <x v="20"/>
      <x v="32"/>
    </i>
    <i t="default" r="1">
      <x v="20"/>
    </i>
    <i>
      <x v="31"/>
      <x v="10"/>
      <x v="4"/>
    </i>
    <i r="2">
      <x v="6"/>
    </i>
    <i r="2">
      <x v="8"/>
    </i>
    <i r="2">
      <x v="9"/>
    </i>
    <i t="default" r="1">
      <x v="10"/>
    </i>
    <i r="1">
      <x v="11"/>
      <x v="4"/>
    </i>
    <i r="2">
      <x v="8"/>
    </i>
    <i r="2">
      <x v="9"/>
    </i>
    <i t="default" r="1">
      <x v="11"/>
    </i>
    <i>
      <x v="33"/>
      <x v="2"/>
      <x v="14"/>
    </i>
    <i r="2">
      <x v="31"/>
    </i>
    <i t="default" r="1">
      <x v="2"/>
    </i>
    <i r="1">
      <x v="12"/>
      <x v="31"/>
    </i>
    <i t="default" r="1">
      <x v="12"/>
    </i>
    <i>
      <x v="34"/>
      <x v="3"/>
      <x v="38"/>
    </i>
    <i t="default" r="1">
      <x v="3"/>
    </i>
    <i>
      <x v="35"/>
      <x v="18"/>
      <x v="1"/>
    </i>
    <i t="default" r="1">
      <x v="18"/>
    </i>
    <i>
      <x v="36"/>
      <x v="18"/>
      <x v="1"/>
    </i>
    <i t="default" r="1">
      <x v="1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21" hier="-1"/>
  </pageFields>
  <dataFields count="7">
    <dataField name="실발주샘플건수" fld="0" baseField="0" baseItem="0"/>
    <dataField name=" 총발주샘플건수" fld="2" baseField="0" baseItem="0"/>
    <dataField name=" 원단총수" fld="33" baseField="0" baseItem="0"/>
    <dataField name=" 중국원단사용수" fld="34" baseField="0" baseItem="0"/>
    <dataField name=" 총입고샘플건수" fld="8" subtotal="count" baseField="0" baseItem="0"/>
    <dataField name=" 미입고샘플수" fld="36" baseField="0" baseItem="0"/>
    <dataField name=" 총미입고샘플건수" fld="37" baseField="0" baseItem="0"/>
  </dataFields>
  <formats count="43">
    <format dxfId="136">
      <pivotArea field="19" type="button" dataOnly="0" labelOnly="1" outline="0"/>
    </format>
    <format dxfId="135">
      <pivotArea field="22" type="button" dataOnly="0" labelOnly="1" outline="0"/>
    </format>
    <format dxfId="134">
      <pivotArea dataOnly="0" labelOnly="1" grandCol="1" outline="0" fieldPosition="0"/>
    </format>
    <format dxfId="133">
      <pivotArea field="22" type="button" dataOnly="0" labelOnly="1" outline="0"/>
    </format>
    <format dxfId="132">
      <pivotArea dataOnly="0" labelOnly="1" grandCol="1" outline="0" fieldPosition="0"/>
    </format>
    <format dxfId="131">
      <pivotArea field="22" type="button" dataOnly="0" labelOnly="1" outline="0"/>
    </format>
    <format dxfId="130">
      <pivotArea type="origin" dataOnly="0" labelOnly="1" outline="0" offset="A2" fieldPosition="0"/>
    </format>
    <format dxfId="129">
      <pivotArea field="19" type="button" dataOnly="0" labelOnly="1" outline="0"/>
    </format>
    <format dxfId="128">
      <pivotArea field="19" type="button" dataOnly="0" labelOnly="1" outline="0"/>
    </format>
    <format dxfId="127">
      <pivotArea type="all" dataOnly="0" outline="0" fieldPosition="0"/>
    </format>
    <format dxfId="126">
      <pivotArea field="19" type="button" dataOnly="0" labelOnly="1" outline="0"/>
    </format>
    <format dxfId="125">
      <pivotArea dataOnly="0" grandRow="1" outline="0" fieldPosition="0"/>
    </format>
    <format dxfId="124">
      <pivotArea field="14" type="button" dataOnly="0" labelOnly="1" outline="0"/>
    </format>
    <format dxfId="123">
      <pivotArea field="20" type="button" dataOnly="0" labelOnly="1" outline="0" axis="axisRow" fieldPosition="2"/>
    </format>
    <format dxfId="122">
      <pivotArea field="14" type="button" dataOnly="0" labelOnly="1" outline="0"/>
    </format>
    <format dxfId="121">
      <pivotArea field="20" type="button" dataOnly="0" labelOnly="1" outline="0" axis="axisRow" fieldPosition="2"/>
    </format>
    <format dxfId="120">
      <pivotArea field="22" type="button" dataOnly="0" labelOnly="1" outline="0"/>
    </format>
    <format dxfId="119">
      <pivotArea field="26" type="button" dataOnly="0" labelOnly="1" outline="0"/>
    </format>
    <format dxfId="118">
      <pivotArea field="10" type="button" dataOnly="0" labelOnly="1" outline="0"/>
    </format>
    <format dxfId="117">
      <pivotArea field="14" type="button" dataOnly="0" labelOnly="1" outline="0"/>
    </format>
    <format dxfId="116">
      <pivotArea field="20" type="button" dataOnly="0" labelOnly="1" outline="0" axis="axisRow" fieldPosition="2"/>
    </format>
    <format dxfId="115">
      <pivotArea field="22" type="button" dataOnly="0" labelOnly="1" outline="0"/>
    </format>
    <format dxfId="114">
      <pivotArea field="25" type="button" dataOnly="0" labelOnly="1" outline="0" axis="axisRow" fieldPosition="1"/>
    </format>
    <format dxfId="113">
      <pivotArea field="26" type="button" dataOnly="0" labelOnly="1" outline="0"/>
    </format>
    <format dxfId="112">
      <pivotArea field="10" type="button" dataOnly="0" labelOnly="1" outline="0"/>
    </format>
    <format dxfId="111">
      <pivotArea field="14" type="button" dataOnly="0" labelOnly="1" outline="0"/>
    </format>
    <format dxfId="110">
      <pivotArea field="22" type="button" dataOnly="0" labelOnly="1" outline="0"/>
    </format>
    <format dxfId="109">
      <pivotArea field="26" type="button" dataOnly="0" labelOnly="1" outline="0"/>
    </format>
    <format dxfId="108">
      <pivotArea field="10" type="button" dataOnly="0" labelOnly="1" outline="0"/>
    </format>
    <format dxfId="107">
      <pivotArea type="all" dataOnly="0" outline="0" fieldPosition="0"/>
    </format>
    <format dxfId="106">
      <pivotArea dataOnly="0" outline="0" fieldPosition="0">
        <references count="1">
          <reference field="25" count="0" defaultSubtotal="1"/>
        </references>
      </pivotArea>
    </format>
    <format dxfId="105">
      <pivotArea field="25" type="button" dataOnly="0" labelOnly="1" outline="0" axis="axisRow" fieldPosition="1"/>
    </format>
    <format dxfId="104">
      <pivotArea field="19" type="button" dataOnly="0" labelOnly="1" outline="0"/>
    </format>
    <format dxfId="103">
      <pivotArea field="20" type="button" dataOnly="0" labelOnly="1" outline="0" axis="axisRow" fieldPosition="2"/>
    </format>
    <format dxfId="102">
      <pivotArea dataOnly="0" outline="0" fieldPosition="0">
        <references count="1">
          <reference field="25" count="0" defaultSubtotal="1"/>
        </references>
      </pivotArea>
    </format>
    <format dxfId="101">
      <pivotArea dataOnly="0" grandRow="1" outline="0" fieldPosition="0"/>
    </format>
    <format dxfId="100">
      <pivotArea outline="0" fieldPosition="0">
        <references count="1">
          <reference field="4294967294" count="2" selected="0">
            <x v="2"/>
            <x v="3"/>
          </reference>
        </references>
      </pivotArea>
    </format>
    <format dxfId="99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98">
      <pivotArea outline="0" fieldPosition="0">
        <references count="3">
          <reference field="4294967294" count="5" selected="0">
            <x v="0"/>
            <x v="1"/>
            <x v="2"/>
            <x v="3"/>
            <x v="5"/>
          </reference>
          <reference field="15" count="1" selected="0">
            <x v="8"/>
          </reference>
          <reference field="25" count="1" selected="0" defaultSubtotal="1">
            <x v="2"/>
          </reference>
        </references>
      </pivotArea>
    </format>
    <format dxfId="97">
      <pivotArea outline="0" fieldPosition="0">
        <references count="3">
          <reference field="4294967294" count="5" selected="0">
            <x v="0"/>
            <x v="1"/>
            <x v="2"/>
            <x v="3"/>
            <x v="5"/>
          </reference>
          <reference field="15" count="1" selected="0">
            <x v="8"/>
          </reference>
          <reference field="25" count="4" selected="0" defaultSubtotal="1">
            <x v="6"/>
            <x v="12"/>
            <x v="13"/>
            <x v="14"/>
          </reference>
        </references>
      </pivotArea>
    </format>
    <format dxfId="96">
      <pivotArea outline="0" fieldPosition="0">
        <references count="2">
          <reference field="4294967294" count="5" selected="0">
            <x v="0"/>
            <x v="1"/>
            <x v="2"/>
            <x v="3"/>
            <x v="5"/>
          </reference>
          <reference field="15" count="16" selected="0">
            <x v="10"/>
            <x v="11"/>
            <x v="12"/>
            <x v="13"/>
            <x v="14"/>
            <x v="16"/>
            <x v="17"/>
            <x v="19"/>
            <x v="20"/>
            <x v="21"/>
            <x v="22"/>
            <x v="23"/>
            <x v="24"/>
            <x v="25"/>
            <x v="26"/>
            <x v="27"/>
          </reference>
        </references>
      </pivotArea>
    </format>
    <format dxfId="95">
      <pivotArea field="15" grandRow="1" outline="0" axis="axisRow" fieldPosition="0">
        <references count="1">
          <reference field="4294967294" count="1" selected="0">
            <x v="0"/>
          </reference>
        </references>
      </pivotArea>
    </format>
    <format dxfId="94">
      <pivotArea field="15" grandRow="1" outline="0" axis="axisRow" fieldPosition="0">
        <references count="1">
          <reference field="4294967294" count="1" selected="0">
            <x v="5"/>
          </reference>
        </references>
      </pivotArea>
    </format>
  </formats>
  <pivotTableStyleInfo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피벗 테이블1" cacheId="47" applyNumberFormats="0" applyBorderFormats="0" applyFontFormats="0" applyPatternFormats="0" applyAlignmentFormats="0" applyWidthHeightFormats="1" dataCaption="데이터" updatedVersion="3" asteriskTotals="1" showMemberPropertyTips="0" useAutoFormatting="1" itemPrintTitles="1" createdVersion="1" indent="0" compact="0" compactData="0" gridDropZones="1">
  <location ref="W4:AC27" firstHeaderRow="1" firstDataRow="2" firstDataCol="1" rowPageCount="1" colPageCount="1"/>
  <pivotFields count="38">
    <pivotField dataField="1"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>
      <items count="277">
        <item x="30"/>
        <item m="1" x="251"/>
        <item m="1" x="110"/>
        <item m="1" x="225"/>
        <item m="1" x="195"/>
        <item m="1" x="222"/>
        <item m="1" x="162"/>
        <item m="1" x="212"/>
        <item m="1" x="263"/>
        <item m="1" x="152"/>
        <item m="1" x="202"/>
        <item m="1" x="93"/>
        <item m="1" x="174"/>
        <item m="1" x="256"/>
        <item m="1" x="144"/>
        <item m="1" x="159"/>
        <item m="1" x="242"/>
        <item m="1" x="99"/>
        <item m="1" x="151"/>
        <item m="1" x="233"/>
        <item m="1" x="121"/>
        <item m="1" x="199"/>
        <item m="1" x="90"/>
        <item m="1" x="142"/>
        <item m="1" x="114"/>
        <item m="1" x="275"/>
        <item m="1" x="134"/>
        <item m="1" x="185"/>
        <item m="1" x="265"/>
        <item m="1" x="206"/>
        <item m="1" x="111"/>
        <item m="1" x="163"/>
        <item m="1" x="245"/>
        <item m="1" x="131"/>
        <item m="1" x="213"/>
        <item m="1" x="103"/>
        <item m="1" x="124"/>
        <item x="85"/>
        <item m="1" x="102"/>
        <item m="1" x="153"/>
        <item m="1" x="115"/>
        <item m="1" x="253"/>
        <item m="1" x="107"/>
        <item m="1" x="190"/>
        <item m="1" x="238"/>
        <item m="1" x="94"/>
        <item m="1" x="126"/>
        <item m="1" x="139"/>
        <item m="1" x="117"/>
        <item m="1" x="223"/>
        <item m="1" x="186"/>
        <item m="1" x="203"/>
        <item m="1" x="136"/>
        <item m="1" x="216"/>
        <item m="1" x="180"/>
        <item m="1" x="91"/>
        <item m="1" x="145"/>
        <item m="1" x="226"/>
        <item m="1" x="86"/>
        <item m="1" x="101"/>
        <item m="1" x="268"/>
        <item m="1" x="193"/>
        <item m="1" x="272"/>
        <item m="1" x="171"/>
        <item m="1" x="219"/>
        <item m="1" x="235"/>
        <item m="1" x="108"/>
        <item m="1" x="227"/>
        <item m="1" x="217"/>
        <item m="1" x="276"/>
        <item m="1" x="166"/>
        <item m="1" x="207"/>
        <item m="1" x="127"/>
        <item m="1" x="258"/>
        <item m="1" x="196"/>
        <item m="1" x="236"/>
        <item m="1" x="137"/>
        <item m="1" x="228"/>
        <item m="1" x="191"/>
        <item m="1" x="143"/>
        <item m="1" x="239"/>
        <item m="1" x="248"/>
        <item m="1" x="135"/>
        <item m="1" x="266"/>
        <item m="1" x="243"/>
        <item m="1" x="154"/>
        <item m="1" x="146"/>
        <item m="1" x="119"/>
        <item m="1" x="175"/>
        <item m="1" x="95"/>
        <item m="1" x="182"/>
        <item m="1" x="231"/>
        <item m="1" x="269"/>
        <item m="1" x="160"/>
        <item m="1" x="129"/>
        <item m="1" x="234"/>
        <item m="1" x="169"/>
        <item m="1" x="156"/>
        <item m="1" x="140"/>
        <item m="1" x="112"/>
        <item m="1" x="149"/>
        <item m="1" x="178"/>
        <item m="1" x="259"/>
        <item m="1" x="260"/>
        <item m="1" x="273"/>
        <item m="1" x="246"/>
        <item m="1" x="97"/>
        <item m="1" x="188"/>
        <item m="1" x="252"/>
        <item m="1" x="164"/>
        <item m="1" x="109"/>
        <item m="1" x="132"/>
        <item m="1" x="88"/>
        <item m="1" x="167"/>
        <item m="1" x="220"/>
        <item m="1" x="130"/>
        <item m="1" x="87"/>
        <item m="1" x="147"/>
        <item m="1" x="229"/>
        <item m="1" x="138"/>
        <item m="1" x="122"/>
        <item m="1" x="267"/>
        <item m="1" x="92"/>
        <item m="1" x="179"/>
        <item m="1" x="208"/>
        <item m="1" x="270"/>
        <item m="1" x="194"/>
        <item m="1" x="116"/>
        <item m="1" x="181"/>
        <item m="1" x="261"/>
        <item m="1" x="244"/>
        <item m="1" x="197"/>
        <item m="1" x="170"/>
        <item m="1" x="100"/>
        <item m="1" x="210"/>
        <item m="1" x="187"/>
        <item m="1" x="254"/>
        <item m="1" x="98"/>
        <item m="1" x="150"/>
        <item m="1" x="240"/>
        <item m="1" x="200"/>
        <item m="1" x="198"/>
        <item m="1" x="224"/>
        <item m="1" x="118"/>
        <item m="1" x="120"/>
        <item m="1" x="89"/>
        <item m="1" x="172"/>
        <item m="1" x="141"/>
        <item m="1" x="214"/>
        <item m="1" x="247"/>
        <item m="1" x="96"/>
        <item m="1" x="209"/>
        <item m="1" x="183"/>
        <item m="1" x="232"/>
        <item m="1" x="264"/>
        <item m="1" x="128"/>
        <item m="1" x="133"/>
        <item m="1" x="125"/>
        <item m="1" x="221"/>
        <item m="1" x="271"/>
        <item m="1" x="113"/>
        <item m="1" x="274"/>
        <item m="1" x="161"/>
        <item m="1" x="201"/>
        <item m="1" x="104"/>
        <item m="1" x="204"/>
        <item m="1" x="123"/>
        <item m="1" x="155"/>
        <item m="1" x="176"/>
        <item m="1" x="189"/>
        <item m="1" x="262"/>
        <item m="1" x="211"/>
        <item m="1" x="192"/>
        <item m="1" x="237"/>
        <item m="1" x="165"/>
        <item m="1" x="215"/>
        <item m="1" x="218"/>
        <item x="7"/>
        <item x="33"/>
        <item x="45"/>
        <item x="40"/>
        <item x="11"/>
        <item x="32"/>
        <item m="1" x="168"/>
        <item m="1" x="148"/>
        <item m="1" x="105"/>
        <item m="1" x="230"/>
        <item m="1" x="205"/>
        <item x="77"/>
        <item m="1" x="177"/>
        <item m="1" x="257"/>
        <item m="1" x="249"/>
        <item x="58"/>
        <item x="1"/>
        <item x="2"/>
        <item x="78"/>
        <item x="5"/>
        <item m="1" x="157"/>
        <item m="1" x="241"/>
        <item x="9"/>
        <item x="79"/>
        <item x="47"/>
        <item x="10"/>
        <item x="3"/>
        <item x="41"/>
        <item x="0"/>
        <item x="39"/>
        <item x="57"/>
        <item x="83"/>
        <item x="12"/>
        <item x="13"/>
        <item m="1" x="173"/>
        <item m="1" x="255"/>
        <item x="76"/>
        <item x="21"/>
        <item x="6"/>
        <item x="22"/>
        <item m="1" x="106"/>
        <item x="31"/>
        <item x="15"/>
        <item x="14"/>
        <item x="19"/>
        <item x="44"/>
        <item x="51"/>
        <item m="1" x="184"/>
        <item x="42"/>
        <item x="69"/>
        <item m="1" x="158"/>
        <item x="8"/>
        <item x="26"/>
        <item x="4"/>
        <item x="29"/>
        <item x="52"/>
        <item x="43"/>
        <item x="27"/>
        <item x="46"/>
        <item x="80"/>
        <item x="84"/>
        <item x="59"/>
        <item x="61"/>
        <item x="62"/>
        <item x="18"/>
        <item x="53"/>
        <item x="49"/>
        <item x="63"/>
        <item x="64"/>
        <item x="50"/>
        <item x="65"/>
        <item x="66"/>
        <item x="34"/>
        <item x="55"/>
        <item x="67"/>
        <item x="68"/>
        <item x="16"/>
        <item x="17"/>
        <item x="20"/>
        <item x="28"/>
        <item x="25"/>
        <item x="48"/>
        <item m="1" x="250"/>
        <item x="73"/>
        <item x="70"/>
        <item x="24"/>
        <item x="23"/>
        <item x="35"/>
        <item x="36"/>
        <item x="37"/>
        <item x="38"/>
        <item x="54"/>
        <item x="56"/>
        <item x="60"/>
        <item x="71"/>
        <item x="72"/>
        <item x="74"/>
        <item x="75"/>
        <item x="81"/>
        <item x="82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>
      <items count="54">
        <item m="1" x="40"/>
        <item x="28"/>
        <item x="26"/>
        <item x="25"/>
        <item m="1" x="39"/>
        <item m="1" x="49"/>
        <item m="1" x="36"/>
        <item m="1" x="42"/>
        <item x="30"/>
        <item m="1" x="45"/>
        <item x="6"/>
        <item m="1" x="33"/>
        <item m="1" x="34"/>
        <item m="1" x="37"/>
        <item m="1" x="35"/>
        <item m="1" x="46"/>
        <item x="12"/>
        <item h="1" x="32"/>
        <item m="1" x="48"/>
        <item m="1" x="41"/>
        <item m="1" x="52"/>
        <item m="1" x="50"/>
        <item m="1" x="47"/>
        <item m="1" x="43"/>
        <item x="5"/>
        <item x="10"/>
        <item x="24"/>
        <item x="0"/>
        <item x="11"/>
        <item m="1" x="38"/>
        <item x="4"/>
        <item x="19"/>
        <item x="16"/>
        <item x="9"/>
        <item x="23"/>
        <item x="20"/>
        <item m="1" x="51"/>
        <item x="1"/>
        <item x="13"/>
        <item m="1" x="44"/>
        <item x="27"/>
        <item x="18"/>
        <item x="29"/>
        <item x="2"/>
        <item x="3"/>
        <item x="14"/>
        <item x="21"/>
        <item x="7"/>
        <item x="15"/>
        <item x="31"/>
        <item x="8"/>
        <item x="17"/>
        <item x="22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>
      <items count="26">
        <item x="10"/>
        <item x="9"/>
        <item x="17"/>
        <item x="18"/>
        <item x="5"/>
        <item x="4"/>
        <item x="0"/>
        <item x="13"/>
        <item x="1"/>
        <item x="19"/>
        <item m="1" x="23"/>
        <item m="1" x="22"/>
        <item x="8"/>
        <item x="7"/>
        <item x="14"/>
        <item x="16"/>
        <item m="1" x="21"/>
        <item m="1" x="20"/>
        <item m="1" x="25"/>
        <item m="1" x="24"/>
        <item x="12"/>
        <item x="2"/>
        <item x="3"/>
        <item x="11"/>
        <item x="15"/>
        <item x="6"/>
      </items>
    </pivotField>
    <pivotField compact="0" outline="0" subtotalTop="0" showAll="0" includeNewItemsInFilter="1">
      <items count="42">
        <item x="1"/>
        <item x="15"/>
        <item x="2"/>
        <item x="8"/>
        <item x="21"/>
        <item x="6"/>
        <item x="18"/>
        <item x="5"/>
        <item x="20"/>
        <item x="19"/>
        <item x="3"/>
        <item x="25"/>
        <item x="0"/>
        <item m="1" x="36"/>
        <item x="7"/>
        <item x="4"/>
        <item m="1" x="39"/>
        <item x="9"/>
        <item m="1" x="28"/>
        <item m="1" x="29"/>
        <item x="14"/>
        <item m="1" x="35"/>
        <item x="22"/>
        <item m="1" x="40"/>
        <item m="1" x="31"/>
        <item m="1" x="34"/>
        <item m="1" x="27"/>
        <item m="1" x="37"/>
        <item m="1" x="32"/>
        <item m="1" x="26"/>
        <item m="1" x="38"/>
        <item x="11"/>
        <item x="12"/>
        <item m="1" x="30"/>
        <item x="17"/>
        <item x="13"/>
        <item m="1" x="33"/>
        <item x="23"/>
        <item x="10"/>
        <item x="24"/>
        <item x="16"/>
        <item t="default"/>
      </items>
    </pivotField>
    <pivotField axis="axisPage" compact="0" outline="0" subtotalTop="0" multipleItemSelectionAllowed="1" showAll="0" includeNewItemsInFilter="1" defaultSubtotal="0">
      <items count="4">
        <item x="0"/>
        <item m="1" x="2"/>
        <item x="1"/>
        <item m="1" x="3"/>
      </items>
    </pivotField>
    <pivotField compact="0" outline="0" subtotalTop="0" showAll="0" includeNewItemsInFilter="1" defaultSubtotal="0">
      <items count="783">
        <item x="777"/>
        <item m="1" x="778"/>
        <item m="1" x="782"/>
        <item m="1" x="781"/>
        <item m="1" x="780"/>
        <item m="1" x="779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2"/>
        <item x="3"/>
        <item x="4"/>
        <item x="5"/>
        <item x="6"/>
        <item x="7"/>
        <item x="8"/>
        <item x="22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653"/>
        <item x="654"/>
        <item x="655"/>
        <item x="656"/>
        <item x="657"/>
        <item x="658"/>
        <item x="659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660"/>
        <item x="661"/>
        <item x="662"/>
        <item x="663"/>
        <item x="664"/>
        <item x="665"/>
        <item x="666"/>
        <item x="667"/>
        <item x="668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379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195"/>
        <item x="196"/>
        <item x="197"/>
        <item x="198"/>
        <item x="199"/>
        <item x="200"/>
        <item x="201"/>
        <item x="380"/>
        <item x="381"/>
        <item x="382"/>
        <item x="383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384"/>
        <item x="385"/>
        <item x="386"/>
        <item x="387"/>
        <item x="388"/>
        <item x="389"/>
        <item x="3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391"/>
        <item x="392"/>
        <item x="393"/>
        <item x="394"/>
        <item x="395"/>
        <item x="396"/>
        <item x="703"/>
        <item x="704"/>
        <item x="705"/>
        <item x="706"/>
        <item x="707"/>
        <item x="708"/>
        <item x="709"/>
        <item x="710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397"/>
        <item x="398"/>
        <item x="399"/>
        <item x="400"/>
        <item x="614"/>
        <item x="615"/>
        <item x="616"/>
        <item x="617"/>
        <item x="618"/>
        <item x="619"/>
        <item x="620"/>
        <item x="621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91"/>
        <item x="92"/>
        <item x="93"/>
        <item x="297"/>
        <item x="298"/>
        <item x="299"/>
        <item x="300"/>
        <item x="301"/>
        <item x="302"/>
        <item x="303"/>
        <item x="304"/>
        <item x="305"/>
        <item x="401"/>
        <item x="402"/>
        <item x="765"/>
        <item x="766"/>
        <item x="767"/>
        <item x="768"/>
        <item x="769"/>
        <item x="770"/>
        <item x="771"/>
        <item x="772"/>
        <item x="773"/>
        <item x="774"/>
        <item x="94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119"/>
        <item x="418"/>
        <item x="419"/>
        <item x="420"/>
        <item x="421"/>
        <item x="422"/>
        <item x="423"/>
        <item x="775"/>
        <item x="776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424"/>
        <item x="425"/>
        <item x="426"/>
        <item x="427"/>
        <item x="428"/>
        <item x="429"/>
        <item x="430"/>
        <item x="431"/>
        <item x="432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0"/>
        <item x="1"/>
        <item x="131"/>
        <item x="132"/>
        <item x="133"/>
        <item x="134"/>
        <item x="135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23">
        <item x="1"/>
        <item x="3"/>
        <item x="4"/>
        <item x="0"/>
        <item x="20"/>
        <item m="1" x="21"/>
        <item x="6"/>
        <item x="2"/>
        <item x="5"/>
        <item x="14"/>
        <item x="15"/>
        <item x="16"/>
        <item x="7"/>
        <item x="8"/>
        <item x="9"/>
        <item x="17"/>
        <item x="18"/>
        <item x="10"/>
        <item x="13"/>
        <item x="19"/>
        <item x="11"/>
        <item x="12"/>
        <item t="default"/>
      </items>
    </pivotField>
    <pivotField compact="0" outline="0" subtotalTop="0" showAll="0" includeNewItemsInFilter="1" defaultSubtotal="0">
      <items count="172">
        <item m="1" x="80"/>
        <item m="1" x="110"/>
        <item m="1" x="141"/>
        <item m="1" x="123"/>
        <item m="1" x="146"/>
        <item m="1" x="79"/>
        <item m="1" x="126"/>
        <item m="1" x="64"/>
        <item m="1" x="108"/>
        <item m="1" x="138"/>
        <item m="1" x="77"/>
        <item m="1" x="167"/>
        <item m="1" x="101"/>
        <item m="1" x="134"/>
        <item m="1" x="115"/>
        <item m="1" x="161"/>
        <item m="1" x="97"/>
        <item m="1" x="130"/>
        <item m="1" x="67"/>
        <item m="1" x="112"/>
        <item m="1" x="158"/>
        <item m="1" x="99"/>
        <item m="1" x="82"/>
        <item m="1" x="70"/>
        <item m="1" x="95"/>
        <item m="1" x="148"/>
        <item m="1" x="81"/>
        <item m="1" x="128"/>
        <item m="1" x="91"/>
        <item x="8"/>
        <item m="1" x="124"/>
        <item m="1" x="73"/>
        <item m="1" x="117"/>
        <item m="1" x="136"/>
        <item m="1" x="170"/>
        <item m="1" x="164"/>
        <item m="1" x="139"/>
        <item m="1" x="102"/>
        <item m="1" x="71"/>
        <item m="1" x="85"/>
        <item m="1" x="131"/>
        <item m="1" x="135"/>
        <item m="1" x="150"/>
        <item m="1" x="61"/>
        <item m="1" x="143"/>
        <item m="1" x="125"/>
        <item m="1" x="87"/>
        <item m="1" x="119"/>
        <item m="1" x="165"/>
        <item m="1" x="153"/>
        <item m="1" x="154"/>
        <item m="1" x="142"/>
        <item m="1" x="104"/>
        <item m="1" x="127"/>
        <item m="1" x="72"/>
        <item m="1" x="116"/>
        <item m="1" x="151"/>
        <item m="1" x="155"/>
        <item m="1" x="88"/>
        <item m="1" x="162"/>
        <item m="1" x="106"/>
        <item m="1" x="144"/>
        <item m="1" x="159"/>
        <item m="1" x="62"/>
        <item m="1" x="133"/>
        <item m="1" x="114"/>
        <item m="1" x="96"/>
        <item m="1" x="171"/>
        <item m="1" x="160"/>
        <item m="1" x="83"/>
        <item m="1" x="149"/>
        <item m="1" x="137"/>
        <item m="1" x="105"/>
        <item m="1" x="74"/>
        <item m="1" x="100"/>
        <item m="1" x="118"/>
        <item m="1" x="98"/>
        <item m="1" x="132"/>
        <item m="1" x="68"/>
        <item m="1" x="113"/>
        <item m="1" x="93"/>
        <item m="1" x="109"/>
        <item m="1" x="156"/>
        <item m="1" x="90"/>
        <item m="1" x="121"/>
        <item m="1" x="65"/>
        <item m="1" x="86"/>
        <item m="1" x="168"/>
        <item m="1" x="103"/>
        <item m="1" x="92"/>
        <item m="1" x="145"/>
        <item m="1" x="107"/>
        <item m="1" x="63"/>
        <item m="1" x="76"/>
        <item m="1" x="166"/>
        <item m="1" x="89"/>
        <item m="1" x="84"/>
        <item m="1" x="129"/>
        <item m="1" x="66"/>
        <item m="1" x="111"/>
        <item m="1" x="78"/>
        <item m="1" x="69"/>
        <item m="1" x="94"/>
        <item m="1" x="152"/>
        <item m="1" x="120"/>
        <item m="1" x="147"/>
        <item m="1" x="169"/>
        <item m="1" x="122"/>
        <item m="1" x="140"/>
        <item m="1" x="163"/>
        <item x="12"/>
        <item x="27"/>
        <item x="28"/>
        <item x="29"/>
        <item x="0"/>
        <item x="30"/>
        <item x="1"/>
        <item m="1" x="157"/>
        <item x="40"/>
        <item x="41"/>
        <item x="13"/>
        <item x="54"/>
        <item x="9"/>
        <item x="2"/>
        <item x="3"/>
        <item x="14"/>
        <item x="4"/>
        <item x="55"/>
        <item x="31"/>
        <item x="15"/>
        <item x="16"/>
        <item x="32"/>
        <item x="17"/>
        <item x="56"/>
        <item x="5"/>
        <item x="42"/>
        <item m="1" x="75"/>
        <item x="10"/>
        <item x="18"/>
        <item x="19"/>
        <item x="20"/>
        <item x="21"/>
        <item x="57"/>
        <item x="48"/>
        <item x="22"/>
        <item x="6"/>
        <item x="58"/>
        <item x="59"/>
        <item x="33"/>
        <item x="7"/>
        <item x="34"/>
        <item x="60"/>
        <item x="23"/>
        <item x="35"/>
        <item x="24"/>
        <item x="25"/>
        <item x="36"/>
        <item x="49"/>
        <item x="50"/>
        <item x="51"/>
        <item x="47"/>
        <item x="11"/>
        <item x="26"/>
        <item x="37"/>
        <item x="38"/>
        <item x="39"/>
        <item x="43"/>
        <item x="44"/>
        <item x="45"/>
        <item x="46"/>
        <item x="52"/>
        <item x="53"/>
      </items>
    </pivotField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 count="1">
    <field x="25"/>
  </rowFields>
  <rowItems count="22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21" hier="-1"/>
  </pageFields>
  <dataFields count="6">
    <dataField name=" 실발주샘플수" fld="0" baseField="0" baseItem="0" numFmtId="3"/>
    <dataField name=" 총발주샘플건수" fld="2" baseField="0" baseItem="0" numFmtId="3"/>
    <dataField name=" 실입고샘플수" fld="6" baseField="0" baseItem="0" numFmtId="3"/>
    <dataField name=" 총입고샘플건수" fld="8" baseField="0" baseItem="0"/>
    <dataField name=" 미입고샘플수" fld="36" baseField="0" baseItem="0" numFmtId="3"/>
    <dataField name=" 총미입고샘플건수" fld="37" baseField="0" baseItem="0"/>
  </dataFields>
  <formats count="50">
    <format dxfId="186">
      <pivotArea field="19" type="button" dataOnly="0" labelOnly="1" outline="0"/>
    </format>
    <format dxfId="185">
      <pivotArea field="22" type="button" dataOnly="0" labelOnly="1" outline="0"/>
    </format>
    <format dxfId="184">
      <pivotArea dataOnly="0" labelOnly="1" grandCol="1" outline="0" fieldPosition="0"/>
    </format>
    <format dxfId="183">
      <pivotArea field="22" type="button" dataOnly="0" labelOnly="1" outline="0"/>
    </format>
    <format dxfId="182">
      <pivotArea dataOnly="0" labelOnly="1" grandCol="1" outline="0" fieldPosition="0"/>
    </format>
    <format dxfId="181">
      <pivotArea field="22" type="button" dataOnly="0" labelOnly="1" outline="0"/>
    </format>
    <format dxfId="180">
      <pivotArea type="origin" dataOnly="0" labelOnly="1" outline="0" offset="A2" fieldPosition="0"/>
    </format>
    <format dxfId="179">
      <pivotArea field="19" type="button" dataOnly="0" labelOnly="1" outline="0"/>
    </format>
    <format dxfId="17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77">
      <pivotArea field="19" type="button" dataOnly="0" labelOnly="1" outline="0"/>
    </format>
    <format dxfId="17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75">
      <pivotArea type="all" dataOnly="0" outline="0" fieldPosition="0"/>
    </format>
    <format dxfId="174">
      <pivotArea field="19" type="button" dataOnly="0" labelOnly="1" outline="0"/>
    </format>
    <format dxfId="173">
      <pivotArea dataOnly="0" grandRow="1" outline="0" fieldPosition="0"/>
    </format>
    <format dxfId="172">
      <pivotArea field="14" type="button" dataOnly="0" labelOnly="1" outline="0"/>
    </format>
    <format dxfId="171">
      <pivotArea field="20" type="button" dataOnly="0" labelOnly="1" outline="0"/>
    </format>
    <format dxfId="170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169">
      <pivotArea field="14" type="button" dataOnly="0" labelOnly="1" outline="0"/>
    </format>
    <format dxfId="168">
      <pivotArea field="20" type="button" dataOnly="0" labelOnly="1" outline="0"/>
    </format>
    <format dxfId="167">
      <pivotArea field="22" type="button" dataOnly="0" labelOnly="1" outline="0"/>
    </format>
    <format dxfId="166">
      <pivotArea field="26" type="button" dataOnly="0" labelOnly="1" outline="0"/>
    </format>
    <format dxfId="165">
      <pivotArea field="10" type="button" dataOnly="0" labelOnly="1" outline="0"/>
    </format>
    <format dxfId="164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163">
      <pivotArea field="14" type="button" dataOnly="0" labelOnly="1" outline="0"/>
    </format>
    <format dxfId="162">
      <pivotArea field="20" type="button" dataOnly="0" labelOnly="1" outline="0"/>
    </format>
    <format dxfId="161">
      <pivotArea field="22" type="button" dataOnly="0" labelOnly="1" outline="0"/>
    </format>
    <format dxfId="160">
      <pivotArea field="25" type="button" dataOnly="0" labelOnly="1" outline="0" axis="axisRow" fieldPosition="0"/>
    </format>
    <format dxfId="159">
      <pivotArea field="26" type="button" dataOnly="0" labelOnly="1" outline="0"/>
    </format>
    <format dxfId="158">
      <pivotArea field="10" type="button" dataOnly="0" labelOnly="1" outline="0"/>
    </format>
    <format dxfId="157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156">
      <pivotArea field="14" type="button" dataOnly="0" labelOnly="1" outline="0"/>
    </format>
    <format dxfId="155">
      <pivotArea field="22" type="button" dataOnly="0" labelOnly="1" outline="0"/>
    </format>
    <format dxfId="154">
      <pivotArea field="26" type="button" dataOnly="0" labelOnly="1" outline="0"/>
    </format>
    <format dxfId="153">
      <pivotArea field="10" type="button" dataOnly="0" labelOnly="1" outline="0"/>
    </format>
    <format dxfId="152">
      <pivotArea type="all" dataOnly="0" outline="0" fieldPosition="0"/>
    </format>
    <format dxfId="151">
      <pivotArea dataOnly="0" outline="0" fieldPosition="0">
        <references count="1">
          <reference field="25" count="0" defaultSubtotal="1"/>
        </references>
      </pivotArea>
    </format>
    <format dxfId="150">
      <pivotArea field="25" type="button" dataOnly="0" labelOnly="1" outline="0" axis="axisRow" fieldPosition="0"/>
    </format>
    <format dxfId="149">
      <pivotArea field="19" type="button" dataOnly="0" labelOnly="1" outline="0"/>
    </format>
    <format dxfId="148">
      <pivotArea field="20" type="button" dataOnly="0" labelOnly="1" outline="0"/>
    </format>
    <format dxfId="147">
      <pivotArea dataOnly="0" labelOnly="1" outline="0" fieldPosition="0">
        <references count="1">
          <reference field="4294967294" count="3">
            <x v="0"/>
            <x v="2"/>
            <x v="4"/>
          </reference>
        </references>
      </pivotArea>
    </format>
    <format dxfId="146">
      <pivotArea outline="0" fieldPosition="0">
        <references count="1">
          <reference field="4294967294" count="1">
            <x v="1"/>
          </reference>
        </references>
      </pivotArea>
    </format>
    <format dxfId="145">
      <pivotArea outline="0" fieldPosition="0">
        <references count="1">
          <reference field="4294967294" count="1">
            <x v="0"/>
          </reference>
        </references>
      </pivotArea>
    </format>
    <format dxfId="144">
      <pivotArea outline="0" fieldPosition="0">
        <references count="1">
          <reference field="4294967294" count="1">
            <x v="2"/>
          </reference>
        </references>
      </pivotArea>
    </format>
    <format dxfId="143">
      <pivotArea outline="0" fieldPosition="0">
        <references count="1">
          <reference field="4294967294" count="1">
            <x v="4"/>
          </reference>
        </references>
      </pivotArea>
    </format>
    <format dxfId="142">
      <pivotArea dataOnly="0" outline="0" fieldPosition="0">
        <references count="1">
          <reference field="4294967294" count="1">
            <x v="1"/>
          </reference>
        </references>
      </pivotArea>
    </format>
    <format dxfId="141">
      <pivotArea dataOnly="0" outline="0" fieldPosition="0">
        <references count="1">
          <reference field="4294967294" count="1">
            <x v="3"/>
          </reference>
        </references>
      </pivotArea>
    </format>
    <format dxfId="140">
      <pivotArea dataOnly="0" outline="0" fieldPosition="0">
        <references count="1">
          <reference field="4294967294" count="1">
            <x v="5"/>
          </reference>
        </references>
      </pivotArea>
    </format>
    <format dxfId="139">
      <pivotArea dataOnly="0" outline="0" fieldPosition="0">
        <references count="1">
          <reference field="25" count="0" defaultSubtotal="1"/>
        </references>
      </pivotArea>
    </format>
    <format dxfId="13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7">
      <pivotArea dataOnly="0" grandRow="1" outline="0" fieldPosition="0"/>
    </format>
  </formats>
  <pivotTableStyleInfo showRowHeaders="1" showColHeaders="1" showRowStripes="0" showColStripes="0" showLastColumn="1"/>
</pivotTableDefinition>
</file>

<file path=xl/pivotTables/pivotTable10.xml><?xml version="1.0" encoding="utf-8"?>
<pivotTableDefinition xmlns="http://schemas.openxmlformats.org/spreadsheetml/2006/main" name="피벗 테이블4" cacheId="47" applyNumberFormats="0" applyBorderFormats="0" applyFontFormats="0" applyPatternFormats="0" applyAlignmentFormats="0" applyWidthHeightFormats="1" dataCaption="데이터" updatedVersion="3" asteriskTotals="1" showMemberPropertyTips="0" useAutoFormatting="1" itemPrintTitles="1" createdVersion="1" indent="0" compact="0" compactData="0" gridDropZones="1">
  <location ref="K4:R191" firstHeaderRow="1" firstDataRow="2" firstDataCol="3" rowPageCount="1" colPageCount="1"/>
  <pivotFields count="38"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>
      <items count="277">
        <item x="30"/>
        <item m="1" x="251"/>
        <item m="1" x="110"/>
        <item m="1" x="225"/>
        <item m="1" x="195"/>
        <item m="1" x="222"/>
        <item m="1" x="162"/>
        <item m="1" x="212"/>
        <item m="1" x="263"/>
        <item m="1" x="152"/>
        <item m="1" x="202"/>
        <item m="1" x="93"/>
        <item m="1" x="174"/>
        <item m="1" x="256"/>
        <item m="1" x="144"/>
        <item m="1" x="159"/>
        <item m="1" x="242"/>
        <item m="1" x="99"/>
        <item m="1" x="151"/>
        <item m="1" x="233"/>
        <item m="1" x="121"/>
        <item m="1" x="199"/>
        <item m="1" x="90"/>
        <item m="1" x="142"/>
        <item m="1" x="114"/>
        <item m="1" x="275"/>
        <item m="1" x="134"/>
        <item m="1" x="185"/>
        <item m="1" x="265"/>
        <item m="1" x="206"/>
        <item m="1" x="111"/>
        <item m="1" x="163"/>
        <item m="1" x="245"/>
        <item m="1" x="131"/>
        <item m="1" x="213"/>
        <item m="1" x="103"/>
        <item m="1" x="124"/>
        <item x="85"/>
        <item m="1" x="102"/>
        <item m="1" x="153"/>
        <item m="1" x="115"/>
        <item m="1" x="253"/>
        <item m="1" x="107"/>
        <item m="1" x="190"/>
        <item m="1" x="238"/>
        <item m="1" x="94"/>
        <item m="1" x="126"/>
        <item m="1" x="139"/>
        <item m="1" x="117"/>
        <item m="1" x="223"/>
        <item m="1" x="186"/>
        <item m="1" x="203"/>
        <item m="1" x="136"/>
        <item m="1" x="216"/>
        <item m="1" x="180"/>
        <item m="1" x="91"/>
        <item m="1" x="145"/>
        <item m="1" x="226"/>
        <item m="1" x="86"/>
        <item m="1" x="101"/>
        <item m="1" x="268"/>
        <item m="1" x="193"/>
        <item m="1" x="272"/>
        <item m="1" x="171"/>
        <item m="1" x="219"/>
        <item m="1" x="235"/>
        <item m="1" x="108"/>
        <item m="1" x="227"/>
        <item m="1" x="217"/>
        <item m="1" x="276"/>
        <item m="1" x="166"/>
        <item m="1" x="207"/>
        <item m="1" x="127"/>
        <item m="1" x="258"/>
        <item m="1" x="196"/>
        <item m="1" x="236"/>
        <item m="1" x="137"/>
        <item m="1" x="228"/>
        <item m="1" x="191"/>
        <item m="1" x="143"/>
        <item m="1" x="239"/>
        <item m="1" x="248"/>
        <item m="1" x="135"/>
        <item m="1" x="266"/>
        <item m="1" x="243"/>
        <item m="1" x="154"/>
        <item m="1" x="146"/>
        <item m="1" x="119"/>
        <item m="1" x="175"/>
        <item m="1" x="95"/>
        <item m="1" x="182"/>
        <item m="1" x="231"/>
        <item m="1" x="269"/>
        <item m="1" x="160"/>
        <item m="1" x="129"/>
        <item m="1" x="234"/>
        <item m="1" x="169"/>
        <item m="1" x="156"/>
        <item m="1" x="140"/>
        <item m="1" x="112"/>
        <item m="1" x="149"/>
        <item m="1" x="178"/>
        <item m="1" x="259"/>
        <item m="1" x="260"/>
        <item m="1" x="273"/>
        <item m="1" x="246"/>
        <item m="1" x="97"/>
        <item m="1" x="188"/>
        <item m="1" x="252"/>
        <item m="1" x="164"/>
        <item m="1" x="109"/>
        <item m="1" x="132"/>
        <item m="1" x="88"/>
        <item m="1" x="167"/>
        <item m="1" x="220"/>
        <item m="1" x="130"/>
        <item m="1" x="87"/>
        <item m="1" x="147"/>
        <item m="1" x="229"/>
        <item m="1" x="138"/>
        <item m="1" x="122"/>
        <item m="1" x="267"/>
        <item m="1" x="92"/>
        <item m="1" x="179"/>
        <item m="1" x="208"/>
        <item m="1" x="270"/>
        <item m="1" x="194"/>
        <item m="1" x="116"/>
        <item m="1" x="181"/>
        <item m="1" x="261"/>
        <item m="1" x="244"/>
        <item m="1" x="197"/>
        <item m="1" x="170"/>
        <item m="1" x="100"/>
        <item m="1" x="210"/>
        <item m="1" x="187"/>
        <item m="1" x="254"/>
        <item m="1" x="98"/>
        <item m="1" x="150"/>
        <item m="1" x="240"/>
        <item m="1" x="200"/>
        <item m="1" x="198"/>
        <item m="1" x="224"/>
        <item m="1" x="118"/>
        <item m="1" x="120"/>
        <item m="1" x="89"/>
        <item m="1" x="172"/>
        <item m="1" x="141"/>
        <item m="1" x="214"/>
        <item m="1" x="247"/>
        <item m="1" x="96"/>
        <item m="1" x="209"/>
        <item m="1" x="183"/>
        <item m="1" x="232"/>
        <item m="1" x="264"/>
        <item m="1" x="128"/>
        <item m="1" x="133"/>
        <item m="1" x="125"/>
        <item m="1" x="221"/>
        <item m="1" x="271"/>
        <item m="1" x="113"/>
        <item m="1" x="274"/>
        <item m="1" x="161"/>
        <item m="1" x="201"/>
        <item m="1" x="104"/>
        <item m="1" x="204"/>
        <item m="1" x="123"/>
        <item m="1" x="155"/>
        <item m="1" x="176"/>
        <item m="1" x="189"/>
        <item m="1" x="262"/>
        <item m="1" x="211"/>
        <item m="1" x="192"/>
        <item m="1" x="237"/>
        <item m="1" x="165"/>
        <item m="1" x="215"/>
        <item m="1" x="218"/>
        <item x="7"/>
        <item x="33"/>
        <item x="45"/>
        <item x="40"/>
        <item x="11"/>
        <item x="32"/>
        <item m="1" x="168"/>
        <item m="1" x="148"/>
        <item m="1" x="105"/>
        <item m="1" x="230"/>
        <item m="1" x="205"/>
        <item x="77"/>
        <item m="1" x="177"/>
        <item m="1" x="257"/>
        <item m="1" x="249"/>
        <item x="58"/>
        <item x="1"/>
        <item x="2"/>
        <item x="78"/>
        <item x="5"/>
        <item m="1" x="157"/>
        <item m="1" x="241"/>
        <item x="9"/>
        <item x="79"/>
        <item x="47"/>
        <item x="10"/>
        <item x="3"/>
        <item x="41"/>
        <item x="0"/>
        <item x="39"/>
        <item x="57"/>
        <item x="83"/>
        <item x="12"/>
        <item x="13"/>
        <item m="1" x="173"/>
        <item m="1" x="255"/>
        <item x="76"/>
        <item x="21"/>
        <item x="6"/>
        <item x="22"/>
        <item m="1" x="106"/>
        <item x="31"/>
        <item x="15"/>
        <item x="14"/>
        <item x="19"/>
        <item x="44"/>
        <item x="51"/>
        <item m="1" x="184"/>
        <item x="42"/>
        <item x="69"/>
        <item m="1" x="158"/>
        <item x="8"/>
        <item x="26"/>
        <item x="4"/>
        <item x="29"/>
        <item x="52"/>
        <item x="43"/>
        <item x="27"/>
        <item x="46"/>
        <item x="80"/>
        <item x="84"/>
        <item x="59"/>
        <item x="61"/>
        <item x="62"/>
        <item x="18"/>
        <item x="53"/>
        <item x="49"/>
        <item x="63"/>
        <item x="64"/>
        <item x="50"/>
        <item x="65"/>
        <item x="66"/>
        <item x="34"/>
        <item x="55"/>
        <item x="67"/>
        <item x="68"/>
        <item x="16"/>
        <item x="17"/>
        <item x="20"/>
        <item x="28"/>
        <item x="25"/>
        <item x="48"/>
        <item m="1" x="250"/>
        <item x="73"/>
        <item x="70"/>
        <item x="24"/>
        <item x="23"/>
        <item x="35"/>
        <item x="36"/>
        <item x="37"/>
        <item x="38"/>
        <item x="54"/>
        <item x="56"/>
        <item x="60"/>
        <item x="71"/>
        <item x="72"/>
        <item x="74"/>
        <item x="75"/>
        <item x="81"/>
        <item x="82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>
      <items count="54">
        <item m="1" x="40"/>
        <item x="28"/>
        <item x="26"/>
        <item x="25"/>
        <item m="1" x="39"/>
        <item m="1" x="49"/>
        <item m="1" x="36"/>
        <item m="1" x="42"/>
        <item x="30"/>
        <item m="1" x="45"/>
        <item x="6"/>
        <item m="1" x="33"/>
        <item m="1" x="34"/>
        <item m="1" x="37"/>
        <item m="1" x="35"/>
        <item m="1" x="46"/>
        <item x="12"/>
        <item h="1" x="32"/>
        <item m="1" x="48"/>
        <item m="1" x="41"/>
        <item m="1" x="52"/>
        <item m="1" x="50"/>
        <item m="1" x="47"/>
        <item m="1" x="43"/>
        <item x="5"/>
        <item x="10"/>
        <item x="24"/>
        <item x="0"/>
        <item x="11"/>
        <item m="1" x="38"/>
        <item x="4"/>
        <item x="19"/>
        <item x="16"/>
        <item x="9"/>
        <item x="23"/>
        <item x="20"/>
        <item m="1" x="51"/>
        <item x="1"/>
        <item x="13"/>
        <item m="1" x="44"/>
        <item x="27"/>
        <item x="18"/>
        <item x="29"/>
        <item x="2"/>
        <item x="3"/>
        <item x="14"/>
        <item x="21"/>
        <item x="7"/>
        <item x="15"/>
        <item x="31"/>
        <item x="8"/>
        <item x="17"/>
        <item x="22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26">
        <item x="10"/>
        <item x="9"/>
        <item x="17"/>
        <item x="18"/>
        <item x="5"/>
        <item x="4"/>
        <item x="0"/>
        <item x="13"/>
        <item x="1"/>
        <item x="19"/>
        <item m="1" x="23"/>
        <item m="1" x="22"/>
        <item x="8"/>
        <item x="7"/>
        <item x="14"/>
        <item x="16"/>
        <item m="1" x="21"/>
        <item m="1" x="20"/>
        <item m="1" x="25"/>
        <item m="1" x="24"/>
        <item x="12"/>
        <item x="2"/>
        <item x="3"/>
        <item x="11"/>
        <item x="15"/>
        <item x="6"/>
      </items>
    </pivotField>
    <pivotField axis="axisRow" compact="0" outline="0" subtotalTop="0" showAll="0" includeNewItemsInFilter="1">
      <items count="42">
        <item x="1"/>
        <item x="15"/>
        <item x="2"/>
        <item x="8"/>
        <item x="21"/>
        <item x="6"/>
        <item x="18"/>
        <item x="5"/>
        <item x="20"/>
        <item x="19"/>
        <item x="3"/>
        <item x="25"/>
        <item x="0"/>
        <item m="1" x="36"/>
        <item x="7"/>
        <item x="4"/>
        <item m="1" x="39"/>
        <item x="9"/>
        <item m="1" x="28"/>
        <item m="1" x="29"/>
        <item x="14"/>
        <item m="1" x="35"/>
        <item x="22"/>
        <item m="1" x="40"/>
        <item m="1" x="31"/>
        <item m="1" x="34"/>
        <item m="1" x="27"/>
        <item m="1" x="37"/>
        <item m="1" x="32"/>
        <item m="1" x="26"/>
        <item m="1" x="38"/>
        <item x="11"/>
        <item x="12"/>
        <item m="1" x="30"/>
        <item x="17"/>
        <item x="13"/>
        <item m="1" x="33"/>
        <item x="23"/>
        <item x="10"/>
        <item x="24"/>
        <item x="16"/>
        <item t="default"/>
      </items>
    </pivotField>
    <pivotField axis="axisPage" compact="0" outline="0" subtotalTop="0" multipleItemSelectionAllowed="1" showAll="0" includeNewItemsInFilter="1" defaultSubtotal="0">
      <items count="4">
        <item x="0"/>
        <item m="1" x="2"/>
        <item x="1"/>
        <item m="1" x="3"/>
      </items>
    </pivotField>
    <pivotField compact="0" outline="0" subtotalTop="0" showAll="0" includeNewItemsInFilter="1" defaultSubtotal="0">
      <items count="783">
        <item x="777"/>
        <item m="1" x="778"/>
        <item m="1" x="782"/>
        <item m="1" x="781"/>
        <item m="1" x="780"/>
        <item m="1" x="779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2"/>
        <item x="3"/>
        <item x="4"/>
        <item x="5"/>
        <item x="6"/>
        <item x="7"/>
        <item x="8"/>
        <item x="22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653"/>
        <item x="654"/>
        <item x="655"/>
        <item x="656"/>
        <item x="657"/>
        <item x="658"/>
        <item x="659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660"/>
        <item x="661"/>
        <item x="662"/>
        <item x="663"/>
        <item x="664"/>
        <item x="665"/>
        <item x="666"/>
        <item x="667"/>
        <item x="668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379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195"/>
        <item x="196"/>
        <item x="197"/>
        <item x="198"/>
        <item x="199"/>
        <item x="200"/>
        <item x="201"/>
        <item x="380"/>
        <item x="381"/>
        <item x="382"/>
        <item x="383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384"/>
        <item x="385"/>
        <item x="386"/>
        <item x="387"/>
        <item x="388"/>
        <item x="389"/>
        <item x="3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391"/>
        <item x="392"/>
        <item x="393"/>
        <item x="394"/>
        <item x="395"/>
        <item x="396"/>
        <item x="703"/>
        <item x="704"/>
        <item x="705"/>
        <item x="706"/>
        <item x="707"/>
        <item x="708"/>
        <item x="709"/>
        <item x="710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397"/>
        <item x="398"/>
        <item x="399"/>
        <item x="400"/>
        <item x="614"/>
        <item x="615"/>
        <item x="616"/>
        <item x="617"/>
        <item x="618"/>
        <item x="619"/>
        <item x="620"/>
        <item x="621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91"/>
        <item x="92"/>
        <item x="93"/>
        <item x="297"/>
        <item x="298"/>
        <item x="299"/>
        <item x="300"/>
        <item x="301"/>
        <item x="302"/>
        <item x="303"/>
        <item x="304"/>
        <item x="305"/>
        <item x="401"/>
        <item x="402"/>
        <item x="765"/>
        <item x="766"/>
        <item x="767"/>
        <item x="768"/>
        <item x="769"/>
        <item x="770"/>
        <item x="771"/>
        <item x="772"/>
        <item x="773"/>
        <item x="774"/>
        <item x="94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119"/>
        <item x="418"/>
        <item x="419"/>
        <item x="420"/>
        <item x="421"/>
        <item x="422"/>
        <item x="423"/>
        <item x="775"/>
        <item x="776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424"/>
        <item x="425"/>
        <item x="426"/>
        <item x="427"/>
        <item x="428"/>
        <item x="429"/>
        <item x="430"/>
        <item x="431"/>
        <item x="432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0"/>
        <item x="1"/>
        <item x="131"/>
        <item x="132"/>
        <item x="133"/>
        <item x="134"/>
        <item x="135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23">
        <item x="1"/>
        <item x="3"/>
        <item x="4"/>
        <item x="0"/>
        <item x="20"/>
        <item m="1" x="21"/>
        <item x="6"/>
        <item x="2"/>
        <item x="5"/>
        <item x="14"/>
        <item x="15"/>
        <item x="16"/>
        <item x="7"/>
        <item x="8"/>
        <item x="9"/>
        <item x="17"/>
        <item x="18"/>
        <item x="10"/>
        <item x="13"/>
        <item x="19"/>
        <item x="11"/>
        <item x="12"/>
        <item t="default"/>
      </items>
    </pivotField>
    <pivotField compact="0" outline="0" subtotalTop="0" showAll="0" includeNewItemsInFilter="1" defaultSubtotal="0">
      <items count="172">
        <item m="1" x="80"/>
        <item m="1" x="110"/>
        <item m="1" x="141"/>
        <item m="1" x="123"/>
        <item m="1" x="146"/>
        <item m="1" x="79"/>
        <item m="1" x="126"/>
        <item m="1" x="64"/>
        <item m="1" x="108"/>
        <item m="1" x="138"/>
        <item m="1" x="77"/>
        <item m="1" x="167"/>
        <item m="1" x="101"/>
        <item m="1" x="134"/>
        <item m="1" x="115"/>
        <item m="1" x="161"/>
        <item m="1" x="97"/>
        <item m="1" x="130"/>
        <item m="1" x="67"/>
        <item m="1" x="112"/>
        <item m="1" x="158"/>
        <item m="1" x="99"/>
        <item m="1" x="82"/>
        <item m="1" x="70"/>
        <item m="1" x="95"/>
        <item m="1" x="148"/>
        <item m="1" x="81"/>
        <item m="1" x="128"/>
        <item m="1" x="91"/>
        <item x="8"/>
        <item m="1" x="124"/>
        <item m="1" x="73"/>
        <item m="1" x="117"/>
        <item m="1" x="136"/>
        <item m="1" x="170"/>
        <item m="1" x="164"/>
        <item m="1" x="139"/>
        <item m="1" x="102"/>
        <item m="1" x="71"/>
        <item m="1" x="85"/>
        <item m="1" x="131"/>
        <item m="1" x="135"/>
        <item m="1" x="150"/>
        <item m="1" x="61"/>
        <item m="1" x="143"/>
        <item m="1" x="125"/>
        <item m="1" x="87"/>
        <item m="1" x="119"/>
        <item m="1" x="165"/>
        <item m="1" x="153"/>
        <item m="1" x="154"/>
        <item m="1" x="142"/>
        <item m="1" x="104"/>
        <item m="1" x="127"/>
        <item m="1" x="72"/>
        <item m="1" x="116"/>
        <item m="1" x="151"/>
        <item m="1" x="155"/>
        <item m="1" x="88"/>
        <item m="1" x="162"/>
        <item m="1" x="106"/>
        <item m="1" x="144"/>
        <item m="1" x="159"/>
        <item m="1" x="62"/>
        <item m="1" x="133"/>
        <item m="1" x="114"/>
        <item m="1" x="96"/>
        <item m="1" x="171"/>
        <item m="1" x="160"/>
        <item m="1" x="83"/>
        <item m="1" x="149"/>
        <item m="1" x="137"/>
        <item m="1" x="105"/>
        <item m="1" x="74"/>
        <item m="1" x="100"/>
        <item m="1" x="118"/>
        <item m="1" x="98"/>
        <item m="1" x="132"/>
        <item m="1" x="68"/>
        <item m="1" x="113"/>
        <item m="1" x="93"/>
        <item m="1" x="109"/>
        <item m="1" x="156"/>
        <item m="1" x="90"/>
        <item m="1" x="121"/>
        <item m="1" x="65"/>
        <item m="1" x="86"/>
        <item m="1" x="168"/>
        <item m="1" x="103"/>
        <item m="1" x="92"/>
        <item m="1" x="145"/>
        <item m="1" x="107"/>
        <item m="1" x="63"/>
        <item m="1" x="76"/>
        <item m="1" x="166"/>
        <item m="1" x="89"/>
        <item m="1" x="84"/>
        <item m="1" x="129"/>
        <item m="1" x="66"/>
        <item m="1" x="111"/>
        <item m="1" x="78"/>
        <item m="1" x="69"/>
        <item m="1" x="94"/>
        <item m="1" x="152"/>
        <item m="1" x="120"/>
        <item m="1" x="147"/>
        <item m="1" x="169"/>
        <item m="1" x="122"/>
        <item m="1" x="140"/>
        <item m="1" x="163"/>
        <item x="12"/>
        <item x="27"/>
        <item x="28"/>
        <item x="29"/>
        <item x="0"/>
        <item x="30"/>
        <item x="1"/>
        <item m="1" x="157"/>
        <item x="40"/>
        <item x="41"/>
        <item x="13"/>
        <item x="54"/>
        <item x="9"/>
        <item x="2"/>
        <item x="3"/>
        <item x="14"/>
        <item x="4"/>
        <item x="55"/>
        <item x="31"/>
        <item x="15"/>
        <item x="16"/>
        <item x="32"/>
        <item x="17"/>
        <item x="56"/>
        <item x="5"/>
        <item x="42"/>
        <item m="1" x="75"/>
        <item x="10"/>
        <item x="18"/>
        <item x="19"/>
        <item x="20"/>
        <item x="21"/>
        <item x="57"/>
        <item x="48"/>
        <item x="22"/>
        <item x="6"/>
        <item x="58"/>
        <item x="59"/>
        <item x="33"/>
        <item x="7"/>
        <item x="34"/>
        <item x="60"/>
        <item x="23"/>
        <item x="35"/>
        <item x="24"/>
        <item x="25"/>
        <item x="36"/>
        <item x="49"/>
        <item x="50"/>
        <item x="51"/>
        <item x="47"/>
        <item x="11"/>
        <item x="26"/>
        <item x="37"/>
        <item x="38"/>
        <item x="39"/>
        <item x="43"/>
        <item x="44"/>
        <item x="45"/>
        <item x="46"/>
        <item x="52"/>
        <item x="53"/>
      </items>
    </pivotField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 count="3">
    <field x="20"/>
    <field x="19"/>
    <field x="25"/>
  </rowFields>
  <rowItems count="186">
    <i>
      <x/>
      <x/>
      <x v="2"/>
    </i>
    <i r="1">
      <x v="1"/>
      <x/>
    </i>
    <i r="1">
      <x v="2"/>
      <x/>
    </i>
    <i r="1">
      <x v="4"/>
      <x v="2"/>
    </i>
    <i r="1">
      <x v="6"/>
      <x/>
    </i>
    <i r="2">
      <x v="1"/>
    </i>
    <i r="2">
      <x v="3"/>
    </i>
    <i r="2">
      <x v="7"/>
    </i>
    <i r="1">
      <x v="7"/>
      <x v="2"/>
    </i>
    <i r="1">
      <x v="8"/>
      <x/>
    </i>
    <i r="2">
      <x v="2"/>
    </i>
    <i r="1">
      <x v="12"/>
      <x/>
    </i>
    <i r="1">
      <x v="13"/>
      <x/>
    </i>
    <i r="2">
      <x v="2"/>
    </i>
    <i r="1">
      <x v="23"/>
      <x/>
    </i>
    <i t="default">
      <x/>
    </i>
    <i>
      <x v="1"/>
      <x v="2"/>
      <x v="18"/>
    </i>
    <i r="1">
      <x v="12"/>
      <x v="6"/>
    </i>
    <i r="1">
      <x v="14"/>
      <x v="18"/>
    </i>
    <i r="1">
      <x v="25"/>
      <x v="18"/>
    </i>
    <i t="default">
      <x v="1"/>
    </i>
    <i>
      <x v="2"/>
      <x v="1"/>
      <x/>
    </i>
    <i r="1">
      <x v="2"/>
      <x/>
    </i>
    <i r="2">
      <x v="1"/>
    </i>
    <i r="2">
      <x v="2"/>
    </i>
    <i r="2">
      <x v="3"/>
    </i>
    <i r="1">
      <x v="4"/>
      <x v="2"/>
    </i>
    <i r="2">
      <x v="6"/>
    </i>
    <i r="2">
      <x v="12"/>
    </i>
    <i r="2">
      <x v="14"/>
    </i>
    <i r="1">
      <x v="6"/>
      <x/>
    </i>
    <i r="2">
      <x v="1"/>
    </i>
    <i r="2">
      <x v="2"/>
    </i>
    <i r="2">
      <x v="3"/>
    </i>
    <i r="2">
      <x v="7"/>
    </i>
    <i r="1">
      <x v="8"/>
      <x/>
    </i>
    <i r="2">
      <x v="2"/>
    </i>
    <i r="1">
      <x v="13"/>
      <x/>
    </i>
    <i r="1">
      <x v="23"/>
      <x/>
    </i>
    <i r="1">
      <x v="25"/>
      <x v="3"/>
    </i>
    <i r="2">
      <x v="8"/>
    </i>
    <i t="default">
      <x v="2"/>
    </i>
    <i>
      <x v="3"/>
      <x v="4"/>
      <x v="2"/>
    </i>
    <i t="default">
      <x v="3"/>
    </i>
    <i>
      <x v="4"/>
      <x v="2"/>
      <x v="10"/>
    </i>
    <i r="2">
      <x v="11"/>
    </i>
    <i r="2">
      <x v="15"/>
    </i>
    <i r="2">
      <x v="16"/>
    </i>
    <i r="1">
      <x v="5"/>
      <x v="10"/>
    </i>
    <i r="2">
      <x v="15"/>
    </i>
    <i r="1">
      <x v="14"/>
      <x v="10"/>
    </i>
    <i r="2">
      <x v="11"/>
    </i>
    <i t="default">
      <x v="4"/>
    </i>
    <i>
      <x v="5"/>
      <x v="4"/>
      <x v="2"/>
    </i>
    <i t="default">
      <x v="5"/>
    </i>
    <i>
      <x v="6"/>
      <x v="2"/>
      <x v="10"/>
    </i>
    <i r="1">
      <x v="5"/>
      <x v="10"/>
    </i>
    <i r="2">
      <x v="19"/>
    </i>
    <i r="1">
      <x v="7"/>
      <x v="10"/>
    </i>
    <i r="1">
      <x v="14"/>
      <x v="10"/>
    </i>
    <i t="default">
      <x v="6"/>
    </i>
    <i>
      <x v="7"/>
      <x v="1"/>
      <x/>
    </i>
    <i r="1">
      <x v="3"/>
      <x/>
    </i>
    <i r="1">
      <x v="4"/>
      <x/>
    </i>
    <i r="2">
      <x v="2"/>
    </i>
    <i r="1">
      <x v="13"/>
      <x v="2"/>
    </i>
    <i t="default">
      <x v="7"/>
    </i>
    <i>
      <x v="8"/>
      <x v="2"/>
      <x v="10"/>
    </i>
    <i r="2">
      <x v="11"/>
    </i>
    <i r="2">
      <x v="15"/>
    </i>
    <i r="2">
      <x v="16"/>
    </i>
    <i r="1">
      <x v="5"/>
      <x v="11"/>
    </i>
    <i r="2">
      <x v="15"/>
    </i>
    <i r="1">
      <x v="14"/>
      <x v="10"/>
    </i>
    <i r="2">
      <x v="11"/>
    </i>
    <i t="default">
      <x v="8"/>
    </i>
    <i>
      <x v="9"/>
      <x v="2"/>
      <x v="10"/>
    </i>
    <i r="2">
      <x v="11"/>
    </i>
    <i r="2">
      <x v="15"/>
    </i>
    <i r="2">
      <x v="16"/>
    </i>
    <i r="1">
      <x v="5"/>
      <x v="10"/>
    </i>
    <i r="2">
      <x v="15"/>
    </i>
    <i r="2">
      <x v="16"/>
    </i>
    <i r="1">
      <x v="7"/>
      <x v="11"/>
    </i>
    <i r="1">
      <x v="14"/>
      <x v="10"/>
    </i>
    <i r="2">
      <x v="11"/>
    </i>
    <i t="default">
      <x v="9"/>
    </i>
    <i>
      <x v="10"/>
      <x/>
      <x v="2"/>
    </i>
    <i r="1">
      <x v="2"/>
      <x/>
    </i>
    <i r="2">
      <x v="2"/>
    </i>
    <i r="1">
      <x v="4"/>
      <x v="2"/>
    </i>
    <i r="1">
      <x v="7"/>
      <x v="2"/>
    </i>
    <i r="1">
      <x v="8"/>
      <x v="2"/>
    </i>
    <i r="1">
      <x v="12"/>
      <x v="6"/>
    </i>
    <i r="1">
      <x v="14"/>
      <x v="3"/>
    </i>
    <i r="2">
      <x v="9"/>
    </i>
    <i r="1">
      <x v="25"/>
      <x v="2"/>
    </i>
    <i t="default">
      <x v="10"/>
    </i>
    <i>
      <x v="11"/>
      <x v="9"/>
      <x v="4"/>
    </i>
    <i t="default">
      <x v="11"/>
    </i>
    <i>
      <x v="12"/>
      <x v="2"/>
      <x/>
    </i>
    <i r="2">
      <x v="1"/>
    </i>
    <i r="2">
      <x v="3"/>
    </i>
    <i r="1">
      <x v="5"/>
      <x v="1"/>
    </i>
    <i r="1">
      <x v="6"/>
      <x/>
    </i>
    <i r="2">
      <x v="1"/>
    </i>
    <i r="2">
      <x v="3"/>
    </i>
    <i r="2">
      <x v="7"/>
    </i>
    <i r="1">
      <x v="13"/>
      <x/>
    </i>
    <i r="1">
      <x v="14"/>
      <x v="3"/>
    </i>
    <i r="2">
      <x v="8"/>
    </i>
    <i r="2">
      <x v="9"/>
    </i>
    <i r="1">
      <x v="15"/>
      <x v="1"/>
    </i>
    <i r="2">
      <x v="8"/>
    </i>
    <i r="1">
      <x v="20"/>
      <x/>
    </i>
    <i r="2">
      <x v="8"/>
    </i>
    <i r="2">
      <x v="9"/>
    </i>
    <i r="1">
      <x v="21"/>
      <x v="8"/>
    </i>
    <i r="1">
      <x v="22"/>
      <x v="8"/>
    </i>
    <i r="1">
      <x v="24"/>
      <x v="3"/>
    </i>
    <i r="2">
      <x v="8"/>
    </i>
    <i r="2">
      <x v="9"/>
    </i>
    <i r="1">
      <x v="25"/>
      <x v="3"/>
    </i>
    <i t="default">
      <x v="12"/>
    </i>
    <i>
      <x v="14"/>
      <x v="2"/>
      <x v="2"/>
    </i>
    <i r="1">
      <x v="4"/>
      <x v="2"/>
    </i>
    <i t="default">
      <x v="14"/>
    </i>
    <i>
      <x v="15"/>
      <x v="2"/>
      <x v="2"/>
    </i>
    <i r="2">
      <x v="12"/>
    </i>
    <i r="1">
      <x v="4"/>
      <x v="2"/>
    </i>
    <i r="2">
      <x v="12"/>
    </i>
    <i r="2">
      <x v="13"/>
    </i>
    <i r="2">
      <x v="14"/>
    </i>
    <i r="1">
      <x v="6"/>
      <x v="2"/>
    </i>
    <i r="2">
      <x v="6"/>
    </i>
    <i r="2">
      <x v="12"/>
    </i>
    <i r="1">
      <x v="12"/>
      <x v="2"/>
    </i>
    <i r="2">
      <x v="6"/>
    </i>
    <i r="2">
      <x v="13"/>
    </i>
    <i r="2">
      <x v="21"/>
    </i>
    <i r="1">
      <x v="14"/>
      <x v="12"/>
    </i>
    <i r="1">
      <x v="23"/>
      <x v="2"/>
    </i>
    <i r="2">
      <x v="6"/>
    </i>
    <i r="2">
      <x v="13"/>
    </i>
    <i t="default">
      <x v="15"/>
    </i>
    <i>
      <x v="17"/>
      <x/>
      <x v="2"/>
    </i>
    <i r="1">
      <x v="2"/>
      <x v="2"/>
    </i>
    <i r="1">
      <x v="4"/>
      <x v="2"/>
    </i>
    <i r="1">
      <x v="12"/>
      <x v="2"/>
    </i>
    <i r="2">
      <x v="6"/>
    </i>
    <i t="default">
      <x v="17"/>
    </i>
    <i>
      <x v="20"/>
      <x v="12"/>
      <x v="6"/>
    </i>
    <i t="default">
      <x v="20"/>
    </i>
    <i>
      <x v="22"/>
      <x v="2"/>
      <x v="11"/>
    </i>
    <i r="2">
      <x v="15"/>
    </i>
    <i r="1">
      <x v="5"/>
      <x v="11"/>
    </i>
    <i r="2">
      <x v="16"/>
    </i>
    <i t="default">
      <x v="22"/>
    </i>
    <i>
      <x v="31"/>
      <x v="4"/>
      <x v="2"/>
    </i>
    <i r="2">
      <x v="12"/>
    </i>
    <i t="default">
      <x v="31"/>
    </i>
    <i>
      <x v="32"/>
      <x/>
      <x v="17"/>
    </i>
    <i r="2">
      <x v="20"/>
    </i>
    <i r="1">
      <x v="12"/>
      <x v="2"/>
    </i>
    <i r="2">
      <x v="6"/>
    </i>
    <i t="default">
      <x v="32"/>
    </i>
    <i>
      <x v="34"/>
      <x v="2"/>
      <x v="18"/>
    </i>
    <i t="default">
      <x v="34"/>
    </i>
    <i>
      <x v="35"/>
      <x v="23"/>
      <x v="2"/>
    </i>
    <i t="default">
      <x v="35"/>
    </i>
    <i>
      <x v="37"/>
      <x v="2"/>
      <x v="11"/>
    </i>
    <i t="default">
      <x v="37"/>
    </i>
    <i>
      <x v="38"/>
      <x v="2"/>
      <x v="10"/>
    </i>
    <i r="2">
      <x v="11"/>
    </i>
    <i r="1">
      <x v="25"/>
      <x v="3"/>
    </i>
    <i t="default">
      <x v="38"/>
    </i>
    <i>
      <x v="39"/>
      <x v="2"/>
      <x v="10"/>
    </i>
    <i t="default">
      <x v="39"/>
    </i>
    <i>
      <x v="40"/>
      <x v="2"/>
      <x/>
    </i>
    <i r="2">
      <x v="1"/>
    </i>
    <i r="2">
      <x v="3"/>
    </i>
    <i r="1">
      <x v="14"/>
      <x v="3"/>
    </i>
    <i r="2">
      <x v="8"/>
    </i>
    <i r="1">
      <x v="24"/>
      <x v="8"/>
    </i>
    <i t="default">
      <x v="4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21" hier="-1"/>
  </pageFields>
  <dataFields count="5">
    <dataField name=" 실발주샘플수" fld="0" baseField="0" baseItem="0" numFmtId="3"/>
    <dataField name=" 실입고샘플수" fld="6" baseField="0" baseItem="0" numFmtId="3"/>
    <dataField name=" 총입고샘플건수" fld="8" baseField="0" baseItem="0"/>
    <dataField name=" 미입고샘플수" fld="36" baseField="0" baseItem="0" numFmtId="3"/>
    <dataField name=" 총미입고샘플건수" fld="37" baseField="0" baseItem="0"/>
  </dataFields>
  <formats count="51">
    <format dxfId="237">
      <pivotArea field="19" type="button" dataOnly="0" labelOnly="1" outline="0" axis="axisRow" fieldPosition="1"/>
    </format>
    <format dxfId="236">
      <pivotArea field="22" type="button" dataOnly="0" labelOnly="1" outline="0"/>
    </format>
    <format dxfId="235">
      <pivotArea dataOnly="0" labelOnly="1" grandCol="1" outline="0" fieldPosition="0"/>
    </format>
    <format dxfId="234">
      <pivotArea field="22" type="button" dataOnly="0" labelOnly="1" outline="0"/>
    </format>
    <format dxfId="233">
      <pivotArea dataOnly="0" labelOnly="1" grandCol="1" outline="0" fieldPosition="0"/>
    </format>
    <format dxfId="232">
      <pivotArea field="22" type="button" dataOnly="0" labelOnly="1" outline="0"/>
    </format>
    <format dxfId="231">
      <pivotArea type="origin" dataOnly="0" labelOnly="1" outline="0" offset="A2" fieldPosition="0"/>
    </format>
    <format dxfId="230">
      <pivotArea field="19" type="button" dataOnly="0" labelOnly="1" outline="0" axis="axisRow" fieldPosition="1"/>
    </format>
    <format dxfId="22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28">
      <pivotArea field="19" type="button" dataOnly="0" labelOnly="1" outline="0" axis="axisRow" fieldPosition="1"/>
    </format>
    <format dxfId="22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26">
      <pivotArea type="all" dataOnly="0" outline="0" fieldPosition="0"/>
    </format>
    <format dxfId="225">
      <pivotArea field="19" type="button" dataOnly="0" labelOnly="1" outline="0" axis="axisRow" fieldPosition="1"/>
    </format>
    <format dxfId="224">
      <pivotArea dataOnly="0" grandRow="1" outline="0" fieldPosition="0"/>
    </format>
    <format dxfId="223">
      <pivotArea field="14" type="button" dataOnly="0" labelOnly="1" outline="0"/>
    </format>
    <format dxfId="222">
      <pivotArea field="20" type="button" dataOnly="0" labelOnly="1" outline="0" axis="axisRow" fieldPosition="0"/>
    </format>
    <format dxfId="2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0">
      <pivotArea field="14" type="button" dataOnly="0" labelOnly="1" outline="0"/>
    </format>
    <format dxfId="219">
      <pivotArea field="20" type="button" dataOnly="0" labelOnly="1" outline="0" axis="axisRow" fieldPosition="0"/>
    </format>
    <format dxfId="218">
      <pivotArea field="22" type="button" dataOnly="0" labelOnly="1" outline="0"/>
    </format>
    <format dxfId="217">
      <pivotArea field="26" type="button" dataOnly="0" labelOnly="1" outline="0"/>
    </format>
    <format dxfId="216">
      <pivotArea field="10" type="button" dataOnly="0" labelOnly="1" outline="0"/>
    </format>
    <format dxfId="2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4">
      <pivotArea field="14" type="button" dataOnly="0" labelOnly="1" outline="0"/>
    </format>
    <format dxfId="213">
      <pivotArea field="20" type="button" dataOnly="0" labelOnly="1" outline="0" axis="axisRow" fieldPosition="0"/>
    </format>
    <format dxfId="212">
      <pivotArea field="22" type="button" dataOnly="0" labelOnly="1" outline="0"/>
    </format>
    <format dxfId="211">
      <pivotArea field="25" type="button" dataOnly="0" labelOnly="1" outline="0" axis="axisRow" fieldPosition="2"/>
    </format>
    <format dxfId="210">
      <pivotArea field="26" type="button" dataOnly="0" labelOnly="1" outline="0"/>
    </format>
    <format dxfId="209">
      <pivotArea field="10" type="button" dataOnly="0" labelOnly="1" outline="0"/>
    </format>
    <format dxfId="20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7">
      <pivotArea field="14" type="button" dataOnly="0" labelOnly="1" outline="0"/>
    </format>
    <format dxfId="206">
      <pivotArea field="22" type="button" dataOnly="0" labelOnly="1" outline="0"/>
    </format>
    <format dxfId="205">
      <pivotArea field="26" type="button" dataOnly="0" labelOnly="1" outline="0"/>
    </format>
    <format dxfId="204">
      <pivotArea field="10" type="button" dataOnly="0" labelOnly="1" outline="0"/>
    </format>
    <format dxfId="203">
      <pivotArea dataOnly="0" outline="0" fieldPosition="0">
        <references count="1">
          <reference field="20" count="0" defaultSubtotal="1"/>
        </references>
      </pivotArea>
    </format>
    <format dxfId="202">
      <pivotArea type="all" dataOnly="0" outline="0" fieldPosition="0"/>
    </format>
    <format dxfId="201">
      <pivotArea dataOnly="0" outline="0" fieldPosition="0">
        <references count="1">
          <reference field="25" count="0" defaultSubtotal="1"/>
        </references>
      </pivotArea>
    </format>
    <format dxfId="200">
      <pivotArea field="25" type="button" dataOnly="0" labelOnly="1" outline="0" axis="axisRow" fieldPosition="2"/>
    </format>
    <format dxfId="199">
      <pivotArea field="19" type="button" dataOnly="0" labelOnly="1" outline="0" axis="axisRow" fieldPosition="1"/>
    </format>
    <format dxfId="198">
      <pivotArea field="20" type="button" dataOnly="0" labelOnly="1" outline="0" axis="axisRow" fieldPosition="0"/>
    </format>
    <format dxfId="197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96">
      <pivotArea outline="0" fieldPosition="0">
        <references count="1">
          <reference field="4294967294" count="1">
            <x v="0"/>
          </reference>
        </references>
      </pivotArea>
    </format>
    <format dxfId="195">
      <pivotArea outline="0" fieldPosition="0">
        <references count="1">
          <reference field="4294967294" count="1">
            <x v="1"/>
          </reference>
        </references>
      </pivotArea>
    </format>
    <format dxfId="194">
      <pivotArea outline="0" fieldPosition="0">
        <references count="1">
          <reference field="4294967294" count="1">
            <x v="3"/>
          </reference>
        </references>
      </pivotArea>
    </format>
    <format dxfId="193">
      <pivotArea dataOnly="0" outline="0" fieldPosition="0">
        <references count="1">
          <reference field="4294967294" count="1">
            <x v="2"/>
          </reference>
        </references>
      </pivotArea>
    </format>
    <format dxfId="192">
      <pivotArea dataOnly="0" outline="0" fieldPosition="0">
        <references count="1">
          <reference field="4294967294" count="1">
            <x v="4"/>
          </reference>
        </references>
      </pivotArea>
    </format>
    <format dxfId="191">
      <pivotArea dataOnly="0" outline="0" fieldPosition="0">
        <references count="1">
          <reference field="25" count="0" defaultSubtotal="1"/>
        </references>
      </pivotArea>
    </format>
    <format dxfId="19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89">
      <pivotArea dataOnly="0" grandRow="1" outline="0" fieldPosition="0"/>
    </format>
    <format dxfId="188">
      <pivotArea field="20" type="button" dataOnly="0" labelOnly="1" outline="0" axis="axisRow" fieldPosition="0"/>
    </format>
    <format dxfId="187">
      <pivotArea field="20" type="button" dataOnly="0" labelOnly="1" outline="0" axis="axisRow" fieldPosition="0"/>
    </format>
  </formats>
  <pivotTableStyleInfo showRowHeaders="1" showColHeaders="1" showRowStripes="0" showColStripes="0" showLastColumn="1"/>
</pivotTableDefinition>
</file>

<file path=xl/pivotTables/pivotTable11.xml><?xml version="1.0" encoding="utf-8"?>
<pivotTableDefinition xmlns="http://schemas.openxmlformats.org/spreadsheetml/2006/main" name="피벗 테이블2" cacheId="47" applyNumberFormats="0" applyBorderFormats="0" applyFontFormats="0" applyPatternFormats="0" applyAlignmentFormats="0" applyWidthHeightFormats="1" dataCaption="데이터" updatedVersion="3" asteriskTotals="1" showMemberPropertyTips="0" useAutoFormatting="1" itemPrintTitles="1" createdVersion="1" indent="0" compact="0" compactData="0" gridDropZones="1">
  <location ref="A4:I498" firstHeaderRow="1" firstDataRow="2" firstDataCol="7"/>
  <pivotFields count="38"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5">
        <item x="1"/>
        <item x="0"/>
        <item x="3"/>
        <item x="2"/>
        <item m="1" x="4"/>
      </items>
    </pivotField>
    <pivotField compact="0" outline="0" subtotalTop="0" showAll="0" includeNewItemsInFilter="1" defaultSubtotal="0"/>
    <pivotField axis="axisRow" compact="0" outline="0" subtotalTop="0" showAll="0" includeNewItemsInFilter="1" defaultSubtotal="0">
      <items count="277">
        <item x="30"/>
        <item m="1" x="251"/>
        <item m="1" x="110"/>
        <item m="1" x="225"/>
        <item m="1" x="195"/>
        <item m="1" x="222"/>
        <item m="1" x="162"/>
        <item m="1" x="212"/>
        <item m="1" x="263"/>
        <item m="1" x="152"/>
        <item m="1" x="202"/>
        <item m="1" x="93"/>
        <item m="1" x="174"/>
        <item m="1" x="256"/>
        <item m="1" x="144"/>
        <item m="1" x="159"/>
        <item m="1" x="242"/>
        <item m="1" x="99"/>
        <item m="1" x="151"/>
        <item m="1" x="233"/>
        <item m="1" x="121"/>
        <item m="1" x="199"/>
        <item m="1" x="90"/>
        <item m="1" x="142"/>
        <item m="1" x="114"/>
        <item m="1" x="275"/>
        <item m="1" x="134"/>
        <item m="1" x="185"/>
        <item m="1" x="265"/>
        <item m="1" x="206"/>
        <item m="1" x="111"/>
        <item m="1" x="163"/>
        <item m="1" x="245"/>
        <item m="1" x="131"/>
        <item m="1" x="213"/>
        <item m="1" x="103"/>
        <item m="1" x="124"/>
        <item x="85"/>
        <item m="1" x="102"/>
        <item m="1" x="153"/>
        <item m="1" x="115"/>
        <item m="1" x="253"/>
        <item m="1" x="107"/>
        <item m="1" x="190"/>
        <item m="1" x="238"/>
        <item m="1" x="94"/>
        <item m="1" x="126"/>
        <item m="1" x="139"/>
        <item m="1" x="117"/>
        <item m="1" x="223"/>
        <item m="1" x="186"/>
        <item m="1" x="203"/>
        <item m="1" x="136"/>
        <item m="1" x="216"/>
        <item m="1" x="180"/>
        <item m="1" x="91"/>
        <item m="1" x="145"/>
        <item m="1" x="226"/>
        <item m="1" x="86"/>
        <item m="1" x="101"/>
        <item m="1" x="268"/>
        <item m="1" x="193"/>
        <item m="1" x="272"/>
        <item m="1" x="171"/>
        <item m="1" x="219"/>
        <item m="1" x="235"/>
        <item m="1" x="108"/>
        <item m="1" x="227"/>
        <item m="1" x="217"/>
        <item m="1" x="276"/>
        <item m="1" x="166"/>
        <item m="1" x="207"/>
        <item m="1" x="127"/>
        <item m="1" x="258"/>
        <item m="1" x="196"/>
        <item m="1" x="236"/>
        <item m="1" x="137"/>
        <item m="1" x="228"/>
        <item m="1" x="191"/>
        <item m="1" x="143"/>
        <item m="1" x="239"/>
        <item m="1" x="248"/>
        <item m="1" x="135"/>
        <item m="1" x="266"/>
        <item m="1" x="243"/>
        <item m="1" x="154"/>
        <item m="1" x="146"/>
        <item m="1" x="119"/>
        <item m="1" x="175"/>
        <item m="1" x="95"/>
        <item m="1" x="182"/>
        <item m="1" x="231"/>
        <item m="1" x="269"/>
        <item m="1" x="160"/>
        <item m="1" x="129"/>
        <item m="1" x="234"/>
        <item m="1" x="169"/>
        <item m="1" x="156"/>
        <item m="1" x="140"/>
        <item m="1" x="112"/>
        <item m="1" x="149"/>
        <item m="1" x="178"/>
        <item m="1" x="259"/>
        <item m="1" x="260"/>
        <item m="1" x="273"/>
        <item m="1" x="246"/>
        <item m="1" x="97"/>
        <item m="1" x="188"/>
        <item m="1" x="252"/>
        <item m="1" x="164"/>
        <item m="1" x="109"/>
        <item m="1" x="132"/>
        <item m="1" x="88"/>
        <item m="1" x="167"/>
        <item m="1" x="220"/>
        <item m="1" x="130"/>
        <item m="1" x="87"/>
        <item m="1" x="147"/>
        <item m="1" x="229"/>
        <item m="1" x="138"/>
        <item m="1" x="122"/>
        <item m="1" x="267"/>
        <item m="1" x="92"/>
        <item m="1" x="179"/>
        <item m="1" x="208"/>
        <item m="1" x="270"/>
        <item m="1" x="194"/>
        <item m="1" x="116"/>
        <item m="1" x="181"/>
        <item m="1" x="261"/>
        <item m="1" x="244"/>
        <item m="1" x="197"/>
        <item m="1" x="170"/>
        <item m="1" x="100"/>
        <item m="1" x="210"/>
        <item m="1" x="187"/>
        <item m="1" x="254"/>
        <item m="1" x="98"/>
        <item m="1" x="150"/>
        <item m="1" x="240"/>
        <item m="1" x="200"/>
        <item m="1" x="198"/>
        <item m="1" x="224"/>
        <item m="1" x="118"/>
        <item m="1" x="120"/>
        <item m="1" x="89"/>
        <item m="1" x="172"/>
        <item m="1" x="141"/>
        <item m="1" x="214"/>
        <item m="1" x="247"/>
        <item m="1" x="96"/>
        <item m="1" x="209"/>
        <item m="1" x="183"/>
        <item m="1" x="232"/>
        <item m="1" x="264"/>
        <item m="1" x="128"/>
        <item m="1" x="133"/>
        <item m="1" x="125"/>
        <item m="1" x="221"/>
        <item m="1" x="271"/>
        <item m="1" x="113"/>
        <item m="1" x="274"/>
        <item m="1" x="161"/>
        <item m="1" x="201"/>
        <item m="1" x="104"/>
        <item m="1" x="204"/>
        <item m="1" x="123"/>
        <item m="1" x="155"/>
        <item m="1" x="176"/>
        <item m="1" x="189"/>
        <item m="1" x="262"/>
        <item m="1" x="211"/>
        <item m="1" x="192"/>
        <item m="1" x="237"/>
        <item m="1" x="165"/>
        <item m="1" x="215"/>
        <item m="1" x="218"/>
        <item x="7"/>
        <item x="33"/>
        <item x="45"/>
        <item x="40"/>
        <item x="11"/>
        <item x="32"/>
        <item m="1" x="168"/>
        <item m="1" x="148"/>
        <item m="1" x="105"/>
        <item m="1" x="230"/>
        <item m="1" x="205"/>
        <item x="77"/>
        <item m="1" x="177"/>
        <item m="1" x="257"/>
        <item m="1" x="249"/>
        <item x="58"/>
        <item x="1"/>
        <item x="2"/>
        <item x="78"/>
        <item x="5"/>
        <item m="1" x="157"/>
        <item m="1" x="241"/>
        <item x="9"/>
        <item x="79"/>
        <item x="47"/>
        <item x="10"/>
        <item x="3"/>
        <item x="41"/>
        <item x="0"/>
        <item x="39"/>
        <item x="57"/>
        <item x="83"/>
        <item x="12"/>
        <item x="13"/>
        <item m="1" x="173"/>
        <item m="1" x="255"/>
        <item x="76"/>
        <item x="21"/>
        <item x="6"/>
        <item x="22"/>
        <item m="1" x="106"/>
        <item x="31"/>
        <item x="15"/>
        <item x="14"/>
        <item x="19"/>
        <item x="44"/>
        <item x="51"/>
        <item m="1" x="184"/>
        <item x="42"/>
        <item x="69"/>
        <item m="1" x="158"/>
        <item x="8"/>
        <item x="26"/>
        <item x="4"/>
        <item x="29"/>
        <item x="52"/>
        <item x="43"/>
        <item x="27"/>
        <item x="46"/>
        <item x="80"/>
        <item x="84"/>
        <item x="59"/>
        <item x="61"/>
        <item x="62"/>
        <item x="18"/>
        <item x="53"/>
        <item x="49"/>
        <item x="63"/>
        <item x="64"/>
        <item x="50"/>
        <item x="65"/>
        <item x="66"/>
        <item x="34"/>
        <item x="55"/>
        <item x="67"/>
        <item x="68"/>
        <item x="16"/>
        <item x="17"/>
        <item x="20"/>
        <item x="28"/>
        <item x="25"/>
        <item x="48"/>
        <item m="1" x="250"/>
        <item x="73"/>
        <item x="70"/>
        <item x="24"/>
        <item x="23"/>
        <item x="35"/>
        <item x="36"/>
        <item x="37"/>
        <item x="38"/>
        <item x="54"/>
        <item x="56"/>
        <item x="60"/>
        <item x="71"/>
        <item x="72"/>
        <item x="74"/>
        <item x="75"/>
        <item x="81"/>
        <item x="82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54">
        <item m="1" x="40"/>
        <item x="28"/>
        <item x="26"/>
        <item x="25"/>
        <item m="1" x="39"/>
        <item m="1" x="49"/>
        <item m="1" x="36"/>
        <item m="1" x="42"/>
        <item x="30"/>
        <item m="1" x="45"/>
        <item x="6"/>
        <item m="1" x="33"/>
        <item m="1" x="34"/>
        <item m="1" x="37"/>
        <item m="1" x="35"/>
        <item m="1" x="46"/>
        <item x="12"/>
        <item x="32"/>
        <item m="1" x="48"/>
        <item m="1" x="41"/>
        <item m="1" x="52"/>
        <item m="1" x="50"/>
        <item m="1" x="47"/>
        <item m="1" x="43"/>
        <item x="5"/>
        <item x="10"/>
        <item x="24"/>
        <item x="0"/>
        <item x="11"/>
        <item m="1" x="38"/>
        <item x="4"/>
        <item x="19"/>
        <item x="16"/>
        <item x="9"/>
        <item x="23"/>
        <item x="20"/>
        <item m="1" x="51"/>
        <item x="1"/>
        <item x="13"/>
        <item m="1" x="44"/>
        <item x="27"/>
        <item x="18"/>
        <item x="29"/>
        <item x="2"/>
        <item x="3"/>
        <item x="14"/>
        <item x="21"/>
        <item x="7"/>
        <item x="15"/>
        <item x="31"/>
        <item x="8"/>
        <item x="17"/>
        <item x="22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>
      <items count="27">
        <item x="10"/>
        <item x="9"/>
        <item x="17"/>
        <item x="18"/>
        <item x="5"/>
        <item x="4"/>
        <item x="0"/>
        <item x="13"/>
        <item x="1"/>
        <item h="1" x="19"/>
        <item m="1" x="23"/>
        <item m="1" x="22"/>
        <item x="8"/>
        <item x="7"/>
        <item x="14"/>
        <item x="16"/>
        <item m="1" x="21"/>
        <item m="1" x="20"/>
        <item m="1" x="25"/>
        <item m="1" x="24"/>
        <item x="12"/>
        <item x="2"/>
        <item x="3"/>
        <item x="11"/>
        <item x="15"/>
        <item x="6"/>
        <item t="default"/>
      </items>
    </pivotField>
    <pivotField axis="axisRow" compact="0" outline="0" subtotalTop="0" showAll="0" includeNewItemsInFilter="1">
      <items count="42">
        <item x="1"/>
        <item x="15"/>
        <item x="2"/>
        <item x="8"/>
        <item x="21"/>
        <item x="6"/>
        <item x="18"/>
        <item x="5"/>
        <item x="20"/>
        <item x="19"/>
        <item x="3"/>
        <item x="25"/>
        <item x="0"/>
        <item m="1" x="36"/>
        <item x="7"/>
        <item x="4"/>
        <item m="1" x="39"/>
        <item x="9"/>
        <item m="1" x="28"/>
        <item m="1" x="29"/>
        <item x="14"/>
        <item m="1" x="35"/>
        <item x="22"/>
        <item m="1" x="40"/>
        <item m="1" x="31"/>
        <item m="1" x="34"/>
        <item m="1" x="27"/>
        <item m="1" x="37"/>
        <item m="1" x="32"/>
        <item m="1" x="26"/>
        <item m="1" x="38"/>
        <item x="11"/>
        <item x="12"/>
        <item m="1" x="30"/>
        <item x="17"/>
        <item x="13"/>
        <item m="1" x="33"/>
        <item x="23"/>
        <item x="10"/>
        <item x="24"/>
        <item x="16"/>
        <item t="default"/>
      </items>
    </pivotField>
    <pivotField compact="0" outline="0" subtotalTop="0" showAll="0" includeNewItemsInFilter="1" defaultSubtotal="0"/>
    <pivotField axis="axisRow" compact="0" outline="0" subtotalTop="0" showAll="0" includeNewItemsInFilter="1" defaultSubtotal="0">
      <items count="783">
        <item x="777"/>
        <item m="1" x="778"/>
        <item m="1" x="782"/>
        <item m="1" x="781"/>
        <item m="1" x="780"/>
        <item m="1" x="779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2"/>
        <item x="3"/>
        <item x="4"/>
        <item x="5"/>
        <item x="6"/>
        <item x="7"/>
        <item x="8"/>
        <item x="22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653"/>
        <item x="654"/>
        <item x="655"/>
        <item x="656"/>
        <item x="657"/>
        <item x="658"/>
        <item x="659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660"/>
        <item x="661"/>
        <item x="662"/>
        <item x="663"/>
        <item x="664"/>
        <item x="665"/>
        <item x="666"/>
        <item x="667"/>
        <item x="668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379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195"/>
        <item x="196"/>
        <item x="197"/>
        <item x="198"/>
        <item x="199"/>
        <item x="200"/>
        <item x="201"/>
        <item x="380"/>
        <item x="381"/>
        <item x="382"/>
        <item x="383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384"/>
        <item x="385"/>
        <item x="386"/>
        <item x="387"/>
        <item x="388"/>
        <item x="389"/>
        <item x="3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391"/>
        <item x="392"/>
        <item x="393"/>
        <item x="394"/>
        <item x="395"/>
        <item x="396"/>
        <item x="703"/>
        <item x="704"/>
        <item x="705"/>
        <item x="706"/>
        <item x="707"/>
        <item x="708"/>
        <item x="709"/>
        <item x="710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397"/>
        <item x="398"/>
        <item x="399"/>
        <item x="400"/>
        <item x="614"/>
        <item x="615"/>
        <item x="616"/>
        <item x="617"/>
        <item x="618"/>
        <item x="619"/>
        <item x="620"/>
        <item x="621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91"/>
        <item x="92"/>
        <item x="93"/>
        <item x="297"/>
        <item x="298"/>
        <item x="299"/>
        <item x="300"/>
        <item x="301"/>
        <item x="302"/>
        <item x="303"/>
        <item x="304"/>
        <item x="305"/>
        <item x="401"/>
        <item x="402"/>
        <item x="765"/>
        <item x="766"/>
        <item x="767"/>
        <item x="768"/>
        <item x="769"/>
        <item x="770"/>
        <item x="771"/>
        <item x="772"/>
        <item x="773"/>
        <item x="774"/>
        <item x="94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119"/>
        <item x="418"/>
        <item x="419"/>
        <item x="420"/>
        <item x="421"/>
        <item x="422"/>
        <item x="423"/>
        <item x="775"/>
        <item x="776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424"/>
        <item x="425"/>
        <item x="426"/>
        <item x="427"/>
        <item x="428"/>
        <item x="429"/>
        <item x="430"/>
        <item x="431"/>
        <item x="432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0"/>
        <item x="1"/>
        <item x="131"/>
        <item x="132"/>
        <item x="133"/>
        <item x="134"/>
        <item x="135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22">
        <item x="1"/>
        <item x="3"/>
        <item x="4"/>
        <item x="0"/>
        <item x="20"/>
        <item m="1" x="21"/>
        <item x="6"/>
        <item x="2"/>
        <item x="5"/>
        <item x="14"/>
        <item x="15"/>
        <item x="16"/>
        <item x="7"/>
        <item x="8"/>
        <item x="9"/>
        <item x="17"/>
        <item x="18"/>
        <item x="10"/>
        <item x="13"/>
        <item x="19"/>
        <item x="11"/>
        <item x="12"/>
      </items>
    </pivotField>
    <pivotField axis="axisRow" compact="0" outline="0" subtotalTop="0" showAll="0" includeNewItemsInFilter="1" defaultSubtotal="0">
      <items count="172">
        <item h="1" m="1" x="80"/>
        <item h="1" m="1" x="110"/>
        <item h="1" m="1" x="141"/>
        <item h="1" m="1" x="123"/>
        <item h="1" m="1" x="146"/>
        <item h="1" m="1" x="79"/>
        <item h="1" m="1" x="126"/>
        <item h="1" m="1" x="64"/>
        <item h="1" m="1" x="108"/>
        <item h="1" m="1" x="138"/>
        <item h="1" m="1" x="77"/>
        <item h="1" m="1" x="167"/>
        <item h="1" m="1" x="101"/>
        <item h="1" m="1" x="134"/>
        <item h="1" m="1" x="115"/>
        <item h="1" m="1" x="161"/>
        <item h="1" m="1" x="97"/>
        <item h="1" m="1" x="130"/>
        <item h="1" m="1" x="67"/>
        <item h="1" m="1" x="112"/>
        <item h="1" m="1" x="158"/>
        <item h="1" m="1" x="99"/>
        <item h="1" m="1" x="82"/>
        <item h="1" m="1" x="70"/>
        <item h="1" m="1" x="95"/>
        <item h="1" m="1" x="148"/>
        <item h="1" m="1" x="81"/>
        <item h="1" m="1" x="128"/>
        <item h="1" m="1" x="91"/>
        <item h="1" x="8"/>
        <item h="1" m="1" x="124"/>
        <item h="1" m="1" x="73"/>
        <item h="1" m="1" x="117"/>
        <item h="1" m="1" x="136"/>
        <item h="1" m="1" x="170"/>
        <item h="1" m="1" x="164"/>
        <item h="1" m="1" x="139"/>
        <item h="1" m="1" x="102"/>
        <item h="1" m="1" x="71"/>
        <item h="1" m="1" x="85"/>
        <item h="1" m="1" x="131"/>
        <item h="1" m="1" x="135"/>
        <item h="1" m="1" x="150"/>
        <item h="1" m="1" x="61"/>
        <item h="1" m="1" x="143"/>
        <item h="1" m="1" x="125"/>
        <item h="1" m="1" x="87"/>
        <item h="1" m="1" x="119"/>
        <item h="1" m="1" x="165"/>
        <item h="1" m="1" x="153"/>
        <item h="1" m="1" x="154"/>
        <item h="1" m="1" x="142"/>
        <item h="1" m="1" x="104"/>
        <item h="1" m="1" x="127"/>
        <item h="1" m="1" x="72"/>
        <item h="1" m="1" x="116"/>
        <item h="1" m="1" x="151"/>
        <item h="1" m="1" x="155"/>
        <item h="1" m="1" x="88"/>
        <item h="1" m="1" x="162"/>
        <item h="1" m="1" x="106"/>
        <item h="1" m="1" x="144"/>
        <item h="1" m="1" x="159"/>
        <item h="1" m="1" x="62"/>
        <item h="1" m="1" x="133"/>
        <item h="1" m="1" x="114"/>
        <item h="1" m="1" x="96"/>
        <item h="1" m="1" x="171"/>
        <item h="1" m="1" x="160"/>
        <item h="1" m="1" x="83"/>
        <item h="1" m="1" x="149"/>
        <item h="1" m="1" x="137"/>
        <item h="1" m="1" x="105"/>
        <item h="1" m="1" x="74"/>
        <item h="1" m="1" x="100"/>
        <item h="1" m="1" x="118"/>
        <item h="1" m="1" x="98"/>
        <item h="1" m="1" x="132"/>
        <item h="1" m="1" x="68"/>
        <item h="1" m="1" x="113"/>
        <item h="1" m="1" x="93"/>
        <item h="1" m="1" x="109"/>
        <item h="1" m="1" x="156"/>
        <item h="1" m="1" x="90"/>
        <item h="1" m="1" x="121"/>
        <item h="1" m="1" x="65"/>
        <item h="1" m="1" x="86"/>
        <item h="1" m="1" x="168"/>
        <item h="1" m="1" x="103"/>
        <item h="1" m="1" x="92"/>
        <item h="1" m="1" x="145"/>
        <item h="1" m="1" x="107"/>
        <item h="1" m="1" x="63"/>
        <item h="1" m="1" x="76"/>
        <item h="1" m="1" x="166"/>
        <item h="1" m="1" x="89"/>
        <item h="1" m="1" x="84"/>
        <item h="1" m="1" x="129"/>
        <item h="1" m="1" x="66"/>
        <item h="1" m="1" x="111"/>
        <item h="1" m="1" x="78"/>
        <item h="1" m="1" x="69"/>
        <item h="1" m="1" x="94"/>
        <item h="1" m="1" x="152"/>
        <item h="1" m="1" x="120"/>
        <item h="1" m="1" x="147"/>
        <item h="1" m="1" x="169"/>
        <item h="1" m="1" x="122"/>
        <item h="1" m="1" x="140"/>
        <item h="1" m="1" x="163"/>
        <item h="1" x="12"/>
        <item h="1" x="27"/>
        <item h="1" x="28"/>
        <item h="1" x="29"/>
        <item h="1" x="0"/>
        <item h="1" x="30"/>
        <item h="1" x="1"/>
        <item h="1" m="1" x="157"/>
        <item h="1" x="40"/>
        <item h="1" x="41"/>
        <item h="1" x="13"/>
        <item h="1" x="54"/>
        <item h="1" x="9"/>
        <item h="1" x="2"/>
        <item h="1" x="3"/>
        <item h="1" x="14"/>
        <item h="1" x="4"/>
        <item h="1" x="55"/>
        <item h="1" x="31"/>
        <item h="1" x="15"/>
        <item h="1" x="16"/>
        <item h="1" x="32"/>
        <item x="17"/>
        <item h="1" x="56"/>
        <item x="5"/>
        <item x="42"/>
        <item h="1" m="1" x="75"/>
        <item x="10"/>
        <item x="18"/>
        <item x="19"/>
        <item x="20"/>
        <item x="21"/>
        <item x="57"/>
        <item x="48"/>
        <item x="22"/>
        <item x="6"/>
        <item x="58"/>
        <item x="59"/>
        <item x="33"/>
        <item x="7"/>
        <item x="34"/>
        <item x="60"/>
        <item x="23"/>
        <item x="35"/>
        <item x="24"/>
        <item x="25"/>
        <item x="36"/>
        <item x="49"/>
        <item x="50"/>
        <item x="51"/>
        <item h="1" x="47"/>
        <item h="1" x="11"/>
        <item x="26"/>
        <item x="37"/>
        <item x="38"/>
        <item h="1" x="39"/>
        <item x="43"/>
        <item x="44"/>
        <item x="45"/>
        <item h="1" x="46"/>
        <item h="1" x="52"/>
        <item h="1" x="53"/>
      </items>
    </pivotField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 count="7">
    <field x="14"/>
    <field x="20"/>
    <field x="22"/>
    <field x="25"/>
    <field x="26"/>
    <field x="10"/>
    <field x="8"/>
  </rowFields>
  <rowItems count="493">
    <i>
      <x v="1"/>
      <x v="4"/>
      <x v="565"/>
      <x v="15"/>
      <x v="151"/>
      <x v="223"/>
      <x v="1"/>
    </i>
    <i r="2">
      <x v="566"/>
      <x v="15"/>
      <x v="151"/>
      <x v="223"/>
      <x v="3"/>
    </i>
    <i t="default" r="1">
      <x v="4"/>
    </i>
    <i r="1">
      <x v="6"/>
      <x v="394"/>
      <x v="10"/>
      <x v="132"/>
      <x v="196"/>
      <x v="1"/>
    </i>
    <i t="default" r="1">
      <x v="6"/>
    </i>
    <i r="1">
      <x v="8"/>
      <x v="450"/>
      <x v="11"/>
      <x v="142"/>
      <x v="199"/>
      <x v="1"/>
    </i>
    <i r="2">
      <x v="497"/>
      <x v="16"/>
      <x v="143"/>
      <x v="199"/>
      <x v="1"/>
    </i>
    <i r="2">
      <x v="498"/>
      <x v="16"/>
      <x v="143"/>
      <x v="199"/>
      <x v="1"/>
    </i>
    <i r="2">
      <x v="499"/>
      <x v="16"/>
      <x v="143"/>
      <x v="199"/>
      <x v="1"/>
    </i>
    <i r="2">
      <x v="500"/>
      <x v="16"/>
      <x v="143"/>
      <x v="200"/>
      <x v="1"/>
    </i>
    <i r="2">
      <x v="501"/>
      <x v="16"/>
      <x v="143"/>
      <x v="199"/>
      <x v="1"/>
    </i>
    <i t="default" r="1">
      <x v="8"/>
    </i>
    <i r="1">
      <x v="9"/>
      <x v="447"/>
      <x v="10"/>
      <x v="142"/>
      <x v="196"/>
      <x v="1"/>
    </i>
    <i r="2">
      <x v="448"/>
      <x v="15"/>
      <x v="142"/>
      <x v="196"/>
      <x v="1"/>
    </i>
    <i r="2">
      <x v="449"/>
      <x v="15"/>
      <x v="142"/>
      <x v="202"/>
      <x v="1"/>
    </i>
    <i r="2">
      <x v="502"/>
      <x v="16"/>
      <x v="143"/>
      <x v="199"/>
      <x v="1"/>
    </i>
    <i r="2">
      <x v="503"/>
      <x v="16"/>
      <x v="143"/>
      <x v="199"/>
      <x v="1"/>
    </i>
    <i r="2">
      <x v="504"/>
      <x v="16"/>
      <x v="143"/>
      <x v="199"/>
      <x v="1"/>
    </i>
    <i r="2">
      <x v="505"/>
      <x v="16"/>
      <x v="143"/>
      <x v="200"/>
      <x v="1"/>
    </i>
    <i r="2">
      <x v="506"/>
      <x v="16"/>
      <x v="143"/>
      <x v="199"/>
      <x v="1"/>
    </i>
    <i r="2">
      <x v="507"/>
      <x v="16"/>
      <x v="143"/>
      <x v="200"/>
      <x v="1"/>
    </i>
    <i r="2">
      <x v="508"/>
      <x v="16"/>
      <x v="143"/>
      <x v="199"/>
      <x v="1"/>
    </i>
    <i r="2">
      <x v="509"/>
      <x v="11"/>
      <x v="143"/>
      <x v="222"/>
      <x/>
    </i>
    <i r="2">
      <x v="510"/>
      <x v="11"/>
      <x v="143"/>
      <x v="200"/>
      <x v="1"/>
    </i>
    <i r="2">
      <x v="511"/>
      <x v="11"/>
      <x v="143"/>
      <x v="222"/>
      <x/>
    </i>
    <i r="2">
      <x v="512"/>
      <x v="11"/>
      <x v="143"/>
      <x v="230"/>
      <x/>
    </i>
    <i r="2">
      <x v="513"/>
      <x v="11"/>
      <x v="143"/>
      <x v="222"/>
      <x/>
    </i>
    <i r="2">
      <x v="514"/>
      <x v="11"/>
      <x v="143"/>
      <x v="222"/>
      <x/>
    </i>
    <i r="2">
      <x v="515"/>
      <x v="11"/>
      <x v="143"/>
      <x v="200"/>
      <x v="1"/>
    </i>
    <i r="2">
      <x v="516"/>
      <x v="11"/>
      <x v="143"/>
      <x v="200"/>
      <x v="1"/>
    </i>
    <i r="2">
      <x v="517"/>
      <x v="11"/>
      <x v="143"/>
      <x v="222"/>
      <x/>
    </i>
    <i t="default" r="1">
      <x v="9"/>
    </i>
    <i r="1">
      <x v="22"/>
      <x v="451"/>
      <x v="11"/>
      <x v="142"/>
      <x v="199"/>
      <x v="1"/>
    </i>
    <i r="2">
      <x v="452"/>
      <x v="11"/>
      <x v="142"/>
      <x v="199"/>
      <x v="1"/>
    </i>
    <i r="2">
      <x v="453"/>
      <x v="15"/>
      <x v="142"/>
      <x v="202"/>
      <x v="1"/>
    </i>
    <i r="2">
      <x v="454"/>
      <x v="11"/>
      <x v="142"/>
      <x v="199"/>
      <x v="1"/>
    </i>
    <i r="2">
      <x v="563"/>
      <x v="11"/>
      <x v="148"/>
      <x v="219"/>
      <x v="1"/>
    </i>
    <i r="2">
      <x v="564"/>
      <x v="11"/>
      <x v="148"/>
      <x v="219"/>
      <x v="1"/>
    </i>
    <i t="default" r="1">
      <x v="22"/>
    </i>
    <i r="1">
      <x v="37"/>
      <x v="518"/>
      <x v="11"/>
      <x v="143"/>
      <x v="199"/>
      <x v="1"/>
    </i>
    <i t="default" r="1">
      <x v="37"/>
    </i>
    <i r="1">
      <x v="38"/>
      <x v="558"/>
      <x v="11"/>
      <x v="147"/>
      <x v="219"/>
      <x v="1"/>
    </i>
    <i r="2">
      <x v="559"/>
      <x v="11"/>
      <x v="147"/>
      <x v="219"/>
      <x v="1"/>
    </i>
    <i r="2">
      <x v="560"/>
      <x v="11"/>
      <x v="147"/>
      <x v="219"/>
      <x v="1"/>
    </i>
    <i r="2">
      <x v="561"/>
      <x v="11"/>
      <x v="147"/>
      <x v="219"/>
      <x v="1"/>
    </i>
    <i r="2">
      <x v="562"/>
      <x v="10"/>
      <x v="147"/>
      <x v="255"/>
      <x v="1"/>
    </i>
    <i t="default" r="1">
      <x v="38"/>
    </i>
    <i r="1">
      <x v="39"/>
      <x v="557"/>
      <x v="10"/>
      <x v="145"/>
      <x v="225"/>
      <x v="1"/>
    </i>
    <i t="default" r="1">
      <x v="39"/>
    </i>
    <i t="default">
      <x v="1"/>
    </i>
    <i>
      <x v="2"/>
      <x v="1"/>
      <x v="483"/>
      <x v="18"/>
      <x v="140"/>
      <x v="192"/>
      <x v="1"/>
    </i>
    <i r="2">
      <x v="484"/>
      <x v="18"/>
      <x v="143"/>
      <x v="214"/>
      <x v="1"/>
    </i>
    <i r="2">
      <x v="485"/>
      <x v="18"/>
      <x v="143"/>
      <x v="214"/>
      <x v="1"/>
    </i>
    <i r="2">
      <x v="486"/>
      <x v="18"/>
      <x v="143"/>
      <x v="214"/>
      <x v="1"/>
    </i>
    <i r="2">
      <x v="487"/>
      <x v="18"/>
      <x v="143"/>
      <x v="222"/>
      <x v="1"/>
    </i>
    <i r="2">
      <x v="488"/>
      <x v="18"/>
      <x v="143"/>
      <x v="222"/>
      <x v="1"/>
    </i>
    <i t="default" r="1">
      <x v="1"/>
    </i>
    <i r="1">
      <x v="34"/>
      <x v="481"/>
      <x v="18"/>
      <x v="137"/>
      <x v="206"/>
      <x v="1"/>
    </i>
    <i r="2">
      <x v="482"/>
      <x v="18"/>
      <x v="137"/>
      <x v="206"/>
      <x v="1"/>
    </i>
    <i t="default" r="1">
      <x v="34"/>
    </i>
    <i t="default">
      <x v="2"/>
    </i>
    <i>
      <x v="8"/>
      <x v="4"/>
      <x v="489"/>
      <x v="15"/>
      <x v="140"/>
      <x v="202"/>
      <x v="1"/>
    </i>
    <i r="2">
      <x v="530"/>
      <x v="15"/>
      <x v="146"/>
      <x v="220"/>
      <x v="1"/>
    </i>
    <i r="2">
      <x v="531"/>
      <x v="10"/>
      <x v="144"/>
      <x v="225"/>
      <x v="1"/>
    </i>
    <i r="2">
      <x v="632"/>
      <x v="10"/>
      <x v="153"/>
      <x v="255"/>
      <x v="1"/>
    </i>
    <i t="default" r="1">
      <x v="4"/>
    </i>
    <i r="1">
      <x v="6"/>
      <x v="495"/>
      <x v="19"/>
      <x v="143"/>
      <x v="196"/>
      <x v="1"/>
    </i>
    <i r="2">
      <x v="496"/>
      <x v="19"/>
      <x v="143"/>
      <x v="196"/>
      <x v="1"/>
    </i>
    <i r="2">
      <x v="540"/>
      <x v="10"/>
      <x v="144"/>
      <x v="225"/>
      <x v="1"/>
    </i>
    <i r="2">
      <x v="541"/>
      <x v="10"/>
      <x v="144"/>
      <x v="225"/>
      <x v="1"/>
    </i>
    <i r="2">
      <x v="542"/>
      <x v="10"/>
      <x v="144"/>
      <x v="225"/>
      <x v="1"/>
    </i>
    <i t="default" r="1">
      <x v="6"/>
    </i>
    <i r="1">
      <x v="8"/>
      <x v="490"/>
      <x v="15"/>
      <x v="140"/>
      <x v="202"/>
      <x v="1"/>
    </i>
    <i r="2">
      <x v="491"/>
      <x v="15"/>
      <x v="140"/>
      <x v="237"/>
      <x v="1"/>
    </i>
    <i r="2">
      <x v="519"/>
      <x v="11"/>
      <x v="144"/>
      <x v="200"/>
      <x v="1"/>
    </i>
    <i r="2">
      <x v="520"/>
      <x v="15"/>
      <x v="146"/>
      <x v="220"/>
      <x v="1"/>
    </i>
    <i t="default" r="1">
      <x v="8"/>
    </i>
    <i r="1">
      <x v="9"/>
      <x v="492"/>
      <x v="15"/>
      <x v="140"/>
      <x v="202"/>
      <x v="1"/>
    </i>
    <i r="2">
      <x v="493"/>
      <x v="16"/>
      <x v="140"/>
      <x v="199"/>
      <x v="1"/>
    </i>
    <i r="2">
      <x v="494"/>
      <x v="16"/>
      <x v="146"/>
      <x v="255"/>
      <x v="1"/>
    </i>
    <i r="2">
      <x v="525"/>
      <x v="10"/>
      <x v="144"/>
      <x v="225"/>
      <x v="1"/>
    </i>
    <i r="2">
      <x v="526"/>
      <x v="15"/>
      <x v="146"/>
      <x v="220"/>
      <x v="1"/>
    </i>
    <i r="2">
      <x v="527"/>
      <x v="15"/>
      <x v="146"/>
      <x v="220"/>
      <x v="1"/>
    </i>
    <i r="2">
      <x v="633"/>
      <x v="10"/>
      <x v="153"/>
      <x v="255"/>
      <x v="1"/>
    </i>
    <i t="default" r="1">
      <x v="9"/>
    </i>
    <i r="1">
      <x v="22"/>
      <x v="521"/>
      <x v="16"/>
      <x v="146"/>
      <x v="255"/>
      <x v="1"/>
    </i>
    <i r="2">
      <x v="522"/>
      <x v="16"/>
      <x v="146"/>
      <x v="222"/>
      <x/>
    </i>
    <i r="2">
      <x v="523"/>
      <x v="16"/>
      <x v="146"/>
      <x v="255"/>
      <x v="1"/>
    </i>
    <i r="2">
      <x v="524"/>
      <x v="16"/>
      <x v="146"/>
      <x v="255"/>
      <x v="1"/>
    </i>
    <i r="2">
      <x v="528"/>
      <x v="11"/>
      <x v="144"/>
      <x v="200"/>
      <x v="1"/>
    </i>
    <i r="2">
      <x v="529"/>
      <x v="11"/>
      <x v="144"/>
      <x v="200"/>
      <x v="1"/>
    </i>
    <i t="default" r="1">
      <x v="22"/>
    </i>
    <i t="default">
      <x v="8"/>
    </i>
    <i>
      <x v="10"/>
      <x v="14"/>
      <x v="412"/>
      <x v="2"/>
      <x v="132"/>
      <x v="258"/>
      <x v="1"/>
    </i>
    <i t="default" r="1">
      <x v="14"/>
    </i>
    <i r="1">
      <x v="31"/>
      <x v="719"/>
      <x v="12"/>
      <x v="162"/>
      <x v="268"/>
      <x/>
    </i>
    <i r="2">
      <x v="720"/>
      <x v="2"/>
      <x v="162"/>
      <x v="268"/>
      <x/>
    </i>
    <i r="2">
      <x v="721"/>
      <x v="2"/>
      <x v="162"/>
      <x v="268"/>
      <x/>
    </i>
    <i r="2">
      <x v="722"/>
      <x v="2"/>
      <x v="162"/>
      <x v="268"/>
      <x/>
    </i>
    <i t="default" r="1">
      <x v="31"/>
    </i>
    <i t="default">
      <x v="10"/>
    </i>
    <i>
      <x v="16"/>
      <x v="20"/>
      <x v="578"/>
      <x v="6"/>
      <x v="148"/>
      <x v="261"/>
      <x/>
    </i>
    <i t="default" r="1">
      <x v="20"/>
    </i>
    <i r="1">
      <x v="32"/>
      <x v="568"/>
      <x v="2"/>
      <x v="148"/>
      <x v="243"/>
      <x v="1"/>
    </i>
    <i r="3">
      <x v="6"/>
      <x v="150"/>
      <x v="261"/>
      <x/>
    </i>
    <i r="2">
      <x v="569"/>
      <x v="2"/>
      <x v="148"/>
      <x v="234"/>
      <x v="1"/>
    </i>
    <i r="3">
      <x v="6"/>
      <x v="150"/>
      <x v="261"/>
      <x/>
    </i>
    <i r="2">
      <x v="570"/>
      <x v="2"/>
      <x v="148"/>
      <x v="234"/>
      <x v="1"/>
    </i>
    <i r="3">
      <x v="6"/>
      <x v="150"/>
      <x v="261"/>
      <x/>
    </i>
    <i r="2">
      <x v="571"/>
      <x v="6"/>
      <x v="148"/>
      <x v="261"/>
      <x/>
    </i>
    <i r="2">
      <x v="572"/>
      <x v="6"/>
      <x v="148"/>
      <x v="261"/>
      <x/>
    </i>
    <i r="2">
      <x v="573"/>
      <x v="6"/>
      <x v="148"/>
      <x v="261"/>
      <x/>
    </i>
    <i r="2">
      <x v="574"/>
      <x v="6"/>
      <x v="148"/>
      <x v="261"/>
      <x/>
    </i>
    <i r="2">
      <x v="575"/>
      <x v="6"/>
      <x v="148"/>
      <x v="261"/>
      <x/>
    </i>
    <i r="2">
      <x v="576"/>
      <x v="6"/>
      <x v="148"/>
      <x v="261"/>
      <x/>
    </i>
    <i r="2">
      <x v="577"/>
      <x v="6"/>
      <x v="148"/>
      <x v="261"/>
      <x/>
    </i>
    <i r="2">
      <x v="582"/>
      <x v="6"/>
      <x v="148"/>
      <x v="261"/>
      <x/>
    </i>
    <i t="default" r="1">
      <x v="32"/>
    </i>
    <i t="default">
      <x v="16"/>
    </i>
    <i>
      <x v="24"/>
      <x/>
      <x v="432"/>
      <x v="2"/>
      <x v="138"/>
      <x v="202"/>
      <x v="1"/>
    </i>
    <i r="2">
      <x v="653"/>
      <x v="2"/>
      <x v="154"/>
      <x v="262"/>
      <x v="1"/>
    </i>
    <i r="2">
      <x v="654"/>
      <x v="2"/>
      <x v="154"/>
      <x v="262"/>
      <x v="1"/>
    </i>
    <i r="2">
      <x v="655"/>
      <x v="2"/>
      <x v="154"/>
      <x v="263"/>
      <x v="1"/>
    </i>
    <i r="2">
      <x v="656"/>
      <x v="2"/>
      <x v="154"/>
      <x v="263"/>
      <x v="1"/>
    </i>
    <i r="2">
      <x v="657"/>
      <x v="2"/>
      <x v="155"/>
      <x v="263"/>
      <x v="1"/>
    </i>
    <i r="2">
      <x v="658"/>
      <x v="2"/>
      <x v="155"/>
      <x v="263"/>
      <x v="1"/>
    </i>
    <i t="default" r="1">
      <x/>
    </i>
    <i r="1">
      <x v="2"/>
      <x v="413"/>
      <x v="2"/>
      <x v="132"/>
      <x v="218"/>
      <x/>
    </i>
    <i r="2">
      <x v="414"/>
      <x v="2"/>
      <x v="132"/>
      <x v="214"/>
      <x v="1"/>
    </i>
    <i r="2">
      <x v="415"/>
      <x v="2"/>
      <x v="132"/>
      <x v="219"/>
      <x v="1"/>
    </i>
    <i r="2">
      <x v="416"/>
      <x v="2"/>
      <x v="132"/>
      <x v="219"/>
      <x v="1"/>
    </i>
    <i r="2">
      <x v="417"/>
      <x v="2"/>
      <x v="132"/>
      <x v="219"/>
      <x v="1"/>
    </i>
    <i r="2">
      <x v="418"/>
      <x v="2"/>
      <x v="132"/>
      <x v="214"/>
      <x v="1"/>
    </i>
    <i r="2">
      <x v="419"/>
      <x v="6"/>
      <x v="132"/>
      <x v="216"/>
      <x v="1"/>
    </i>
    <i r="2">
      <x v="420"/>
      <x v="12"/>
      <x v="132"/>
      <x v="262"/>
      <x v="1"/>
    </i>
    <i r="2">
      <x v="421"/>
      <x v="12"/>
      <x v="132"/>
      <x v="262"/>
      <x v="1"/>
    </i>
    <i r="2">
      <x v="422"/>
      <x v="2"/>
      <x v="132"/>
      <x v="219"/>
      <x v="1"/>
    </i>
    <i r="2">
      <x v="715"/>
      <x v="2"/>
      <x v="162"/>
      <x v="250"/>
      <x v="1"/>
    </i>
    <i t="default" r="1">
      <x v="2"/>
    </i>
    <i r="1">
      <x v="3"/>
      <x v="427"/>
      <x v="2"/>
      <x v="137"/>
      <x v="234"/>
      <x v="1"/>
    </i>
    <i t="default" r="1">
      <x v="3"/>
    </i>
    <i r="1">
      <x v="5"/>
      <x v="716"/>
      <x v="2"/>
      <x v="162"/>
      <x v="268"/>
      <x/>
    </i>
    <i r="2">
      <x v="717"/>
      <x v="2"/>
      <x v="162"/>
      <x v="268"/>
      <x/>
    </i>
    <i t="default" r="1">
      <x v="5"/>
    </i>
    <i r="1">
      <x v="7"/>
      <x v="425"/>
      <x v="2"/>
      <x v="137"/>
      <x v="233"/>
      <x v="1"/>
    </i>
    <i r="2">
      <x v="426"/>
      <x v="2"/>
      <x v="137"/>
      <x v="233"/>
      <x v="1"/>
    </i>
    <i t="default" r="1">
      <x v="7"/>
    </i>
    <i r="1">
      <x v="10"/>
      <x v="428"/>
      <x v="2"/>
      <x v="138"/>
      <x v="214"/>
      <x v="1"/>
    </i>
    <i r="2">
      <x v="429"/>
      <x v="2"/>
      <x v="138"/>
      <x v="214"/>
      <x v="1"/>
    </i>
    <i r="2">
      <x v="430"/>
      <x v="2"/>
      <x v="138"/>
      <x v="225"/>
      <x v="1"/>
    </i>
    <i r="2">
      <x v="431"/>
      <x v="2"/>
      <x v="138"/>
      <x v="220"/>
      <x/>
    </i>
    <i r="2">
      <x v="708"/>
      <x v="2"/>
      <x v="162"/>
      <x v="268"/>
      <x/>
    </i>
    <i r="2">
      <x v="709"/>
      <x v="2"/>
      <x v="162"/>
      <x v="268"/>
      <x/>
    </i>
    <i r="2">
      <x v="710"/>
      <x v="2"/>
      <x v="162"/>
      <x v="268"/>
      <x/>
    </i>
    <i r="2">
      <x v="711"/>
      <x v="2"/>
      <x v="162"/>
      <x v="268"/>
      <x/>
    </i>
    <i r="2">
      <x v="712"/>
      <x v="2"/>
      <x v="162"/>
      <x v="268"/>
      <x/>
    </i>
    <i r="2">
      <x v="713"/>
      <x v="2"/>
      <x v="162"/>
      <x v="268"/>
      <x/>
    </i>
    <i r="2">
      <x v="714"/>
      <x v="2"/>
      <x v="162"/>
      <x v="268"/>
      <x/>
    </i>
    <i t="default" r="1">
      <x v="10"/>
    </i>
    <i r="1">
      <x v="15"/>
      <x v="159"/>
      <x v="12"/>
      <x v="152"/>
      <x v="232"/>
      <x/>
    </i>
    <i r="2">
      <x v="160"/>
      <x v="12"/>
      <x v="152"/>
      <x v="232"/>
      <x/>
    </i>
    <i r="2">
      <x v="161"/>
      <x v="12"/>
      <x v="152"/>
      <x v="232"/>
      <x/>
    </i>
    <i r="2">
      <x v="423"/>
      <x v="2"/>
      <x v="134"/>
      <x v="214"/>
      <x v="1"/>
    </i>
    <i r="3">
      <x v="12"/>
      <x v="134"/>
      <x v="223"/>
      <x v="1"/>
    </i>
    <i r="2">
      <x v="424"/>
      <x v="2"/>
      <x v="134"/>
      <x v="214"/>
      <x v="1"/>
    </i>
    <i r="3">
      <x v="12"/>
      <x v="134"/>
      <x v="223"/>
      <x v="1"/>
    </i>
    <i r="2">
      <x v="718"/>
      <x v="2"/>
      <x v="162"/>
      <x/>
      <x/>
    </i>
    <i r="3">
      <x v="12"/>
      <x v="162"/>
      <x v="268"/>
      <x/>
    </i>
    <i t="default" r="1">
      <x v="15"/>
    </i>
    <i r="1">
      <x v="17"/>
      <x v="433"/>
      <x v="2"/>
      <x v="139"/>
      <x v="216"/>
      <x v="1"/>
    </i>
    <i r="2">
      <x v="434"/>
      <x v="2"/>
      <x v="139"/>
      <x v="216"/>
      <x v="1"/>
    </i>
    <i r="2">
      <x v="435"/>
      <x v="2"/>
      <x v="139"/>
      <x v="216"/>
      <x v="1"/>
    </i>
    <i r="2">
      <x v="436"/>
      <x v="2"/>
      <x v="139"/>
      <x v="214"/>
      <x v="1"/>
    </i>
    <i r="2">
      <x v="437"/>
      <x v="2"/>
      <x v="140"/>
      <x v="231"/>
      <x v="1"/>
    </i>
    <i t="default" r="1">
      <x v="17"/>
    </i>
    <i t="default">
      <x v="24"/>
    </i>
    <i>
      <x v="25"/>
      <x/>
      <x v="659"/>
      <x/>
      <x v="155"/>
      <x v="250"/>
      <x v="1"/>
    </i>
    <i r="2">
      <x v="660"/>
      <x/>
      <x v="155"/>
      <x v="250"/>
      <x v="1"/>
    </i>
    <i r="2">
      <x v="661"/>
      <x/>
      <x v="155"/>
      <x v="250"/>
      <x v="1"/>
    </i>
    <i r="2">
      <x v="662"/>
      <x/>
      <x v="155"/>
      <x v="250"/>
      <x v="1"/>
    </i>
    <i t="default" r="1">
      <x/>
    </i>
    <i r="1">
      <x v="15"/>
      <x v="663"/>
      <x v="2"/>
      <x v="155"/>
      <x v="260"/>
      <x/>
    </i>
    <i r="3">
      <x v="6"/>
      <x v="155"/>
      <x v="260"/>
      <x/>
    </i>
    <i r="2">
      <x v="664"/>
      <x v="2"/>
      <x v="155"/>
      <x v="260"/>
      <x/>
    </i>
    <i r="3">
      <x v="6"/>
      <x v="155"/>
      <x v="260"/>
      <x/>
    </i>
    <i r="2">
      <x v="665"/>
      <x v="2"/>
      <x v="155"/>
      <x v="260"/>
      <x/>
    </i>
    <i r="3">
      <x v="6"/>
      <x v="155"/>
      <x v="260"/>
      <x/>
    </i>
    <i r="2">
      <x v="666"/>
      <x v="2"/>
      <x v="155"/>
      <x v="260"/>
      <x/>
    </i>
    <i r="2">
      <x v="667"/>
      <x v="2"/>
      <x v="155"/>
      <x v="260"/>
      <x/>
    </i>
    <i r="2">
      <x v="729"/>
      <x v="2"/>
      <x v="163"/>
      <x v="250"/>
      <x v="1"/>
    </i>
    <i r="3">
      <x v="13"/>
      <x v="163"/>
      <x v="272"/>
      <x v="1"/>
    </i>
    <i r="3">
      <x v="21"/>
      <x v="163"/>
      <x v="273"/>
      <x/>
    </i>
    <i r="2">
      <x v="730"/>
      <x v="2"/>
      <x v="163"/>
      <x v="250"/>
      <x v="1"/>
    </i>
    <i r="3">
      <x v="13"/>
      <x v="163"/>
      <x v="272"/>
      <x v="1"/>
    </i>
    <i r="3">
      <x v="21"/>
      <x v="163"/>
      <x v="273"/>
      <x/>
    </i>
    <i t="default" r="1">
      <x v="15"/>
    </i>
    <i t="default">
      <x v="25"/>
    </i>
    <i>
      <x v="26"/>
      <x/>
      <x v="473"/>
      <x/>
      <x v="138"/>
      <x v="219"/>
      <x v="1"/>
    </i>
    <i t="default" r="1">
      <x/>
    </i>
    <i r="1">
      <x v="2"/>
      <x v="464"/>
      <x v="2"/>
      <x v="138"/>
      <x v="225"/>
      <x v="1"/>
    </i>
    <i r="2">
      <x v="466"/>
      <x/>
      <x v="138"/>
      <x v="219"/>
      <x v="1"/>
    </i>
    <i r="2">
      <x v="467"/>
      <x/>
      <x v="138"/>
      <x v="219"/>
      <x v="1"/>
    </i>
    <i r="2">
      <x v="468"/>
      <x/>
      <x v="138"/>
      <x v="219"/>
      <x v="1"/>
    </i>
    <i r="2">
      <x v="469"/>
      <x v="1"/>
      <x v="138"/>
      <x v="257"/>
      <x v="1"/>
    </i>
    <i r="2">
      <x v="470"/>
      <x/>
      <x v="138"/>
      <x v="219"/>
      <x v="1"/>
    </i>
    <i r="2">
      <x v="471"/>
      <x v="1"/>
      <x v="138"/>
      <x v="257"/>
      <x v="1"/>
    </i>
    <i r="2">
      <x v="472"/>
      <x v="1"/>
      <x v="138"/>
      <x v="257"/>
      <x v="1"/>
    </i>
    <i r="2">
      <x v="676"/>
      <x/>
      <x v="158"/>
      <x v="262"/>
      <x v="1"/>
    </i>
    <i t="default" r="1">
      <x v="2"/>
    </i>
    <i r="1">
      <x v="10"/>
      <x v="459"/>
      <x/>
      <x v="138"/>
      <x v="219"/>
      <x v="1"/>
    </i>
    <i r="2">
      <x v="460"/>
      <x/>
      <x v="138"/>
      <x v="219"/>
      <x v="1"/>
    </i>
    <i r="2">
      <x v="461"/>
      <x/>
      <x v="138"/>
      <x v="219"/>
      <x v="1"/>
    </i>
    <i r="2">
      <x v="462"/>
      <x v="2"/>
      <x v="138"/>
      <x v="255"/>
      <x v="1"/>
    </i>
    <i r="2">
      <x v="463"/>
      <x v="2"/>
      <x v="138"/>
      <x v="255"/>
      <x v="1"/>
    </i>
    <i r="2">
      <x v="465"/>
      <x v="2"/>
      <x v="138"/>
      <x v="255"/>
      <x v="1"/>
    </i>
    <i r="2">
      <x v="474"/>
      <x v="2"/>
      <x v="138"/>
      <x v="254"/>
      <x v="1"/>
    </i>
    <i r="2">
      <x v="475"/>
      <x v="2"/>
      <x v="138"/>
      <x v="231"/>
      <x v="1"/>
    </i>
    <i r="2">
      <x v="476"/>
      <x v="2"/>
      <x v="138"/>
      <x v="222"/>
      <x v="1"/>
    </i>
    <i t="default" r="1">
      <x v="10"/>
    </i>
    <i r="1">
      <x v="12"/>
      <x v="681"/>
      <x v="3"/>
      <x v="158"/>
      <x v="261"/>
      <x/>
    </i>
    <i r="2">
      <x v="682"/>
      <x v="3"/>
      <x v="158"/>
      <x v="261"/>
      <x/>
    </i>
    <i r="2">
      <x v="683"/>
      <x v="3"/>
      <x v="158"/>
      <x v="261"/>
      <x/>
    </i>
    <i t="default" r="1">
      <x v="12"/>
    </i>
    <i r="1">
      <x v="15"/>
      <x v="455"/>
      <x v="2"/>
      <x v="138"/>
      <x v="225"/>
      <x v="1"/>
    </i>
    <i r="2">
      <x v="456"/>
      <x v="2"/>
      <x v="138"/>
      <x v="254"/>
      <x v="1"/>
    </i>
    <i r="2">
      <x v="457"/>
      <x v="2"/>
      <x v="138"/>
      <x v="222"/>
      <x v="1"/>
    </i>
    <i r="2">
      <x v="458"/>
      <x v="2"/>
      <x v="138"/>
      <x v="222"/>
      <x v="1"/>
    </i>
    <i t="default" r="1">
      <x v="15"/>
    </i>
    <i r="1">
      <x v="17"/>
      <x v="684"/>
      <x v="2"/>
      <x v="159"/>
      <x v="246"/>
      <x v="1"/>
    </i>
    <i r="2">
      <x v="685"/>
      <x v="2"/>
      <x v="159"/>
      <x v="246"/>
      <x v="1"/>
    </i>
    <i t="default" r="1">
      <x v="17"/>
    </i>
    <i r="1">
      <x v="40"/>
      <x v="668"/>
      <x v="1"/>
      <x v="157"/>
      <x v="244"/>
      <x/>
    </i>
    <i r="2">
      <x v="669"/>
      <x v="1"/>
      <x v="157"/>
      <x v="244"/>
      <x/>
    </i>
    <i r="2">
      <x v="670"/>
      <x/>
      <x v="157"/>
      <x v="262"/>
      <x v="1"/>
    </i>
    <i r="2">
      <x v="671"/>
      <x/>
      <x v="157"/>
      <x v="262"/>
      <x v="1"/>
    </i>
    <i r="2">
      <x v="672"/>
      <x/>
      <x v="157"/>
      <x v="262"/>
      <x v="1"/>
    </i>
    <i r="2">
      <x v="673"/>
      <x/>
      <x v="157"/>
      <x v="262"/>
      <x v="1"/>
    </i>
    <i r="2">
      <x v="674"/>
      <x/>
      <x v="157"/>
      <x v="262"/>
      <x v="1"/>
    </i>
    <i r="2">
      <x v="675"/>
      <x/>
      <x v="158"/>
      <x v="262"/>
      <x v="1"/>
    </i>
    <i r="2">
      <x v="677"/>
      <x/>
      <x v="158"/>
      <x v="262"/>
      <x v="1"/>
    </i>
    <i r="2">
      <x v="678"/>
      <x/>
      <x v="158"/>
      <x v="262"/>
      <x v="1"/>
    </i>
    <i r="2">
      <x v="679"/>
      <x v="1"/>
      <x v="159"/>
      <x v="261"/>
      <x/>
    </i>
    <i r="2">
      <x v="680"/>
      <x v="3"/>
      <x v="158"/>
      <x v="261"/>
      <x/>
    </i>
    <i t="default" r="1">
      <x v="40"/>
    </i>
    <i t="default">
      <x v="26"/>
    </i>
    <i>
      <x v="27"/>
      <x/>
      <x v="587"/>
      <x v="3"/>
      <x v="149"/>
      <x v="257"/>
      <x v="1"/>
    </i>
    <i r="2">
      <x v="589"/>
      <x v="3"/>
      <x v="149"/>
      <x v="256"/>
      <x v="1"/>
    </i>
    <i r="2">
      <x v="590"/>
      <x v="3"/>
      <x v="149"/>
      <x v="241"/>
      <x v="1"/>
    </i>
    <i r="2">
      <x v="591"/>
      <x v="3"/>
      <x v="149"/>
      <x v="241"/>
      <x v="1"/>
    </i>
    <i r="2">
      <x v="600"/>
      <x/>
      <x v="149"/>
      <x v="229"/>
      <x v="1"/>
    </i>
    <i r="2">
      <x v="602"/>
      <x/>
      <x v="149"/>
      <x v="229"/>
      <x v="1"/>
    </i>
    <i r="2">
      <x v="603"/>
      <x v="1"/>
      <x v="149"/>
      <x v="256"/>
      <x v="1"/>
    </i>
    <i r="2">
      <x v="605"/>
      <x v="1"/>
      <x v="149"/>
      <x v="262"/>
      <x v="1"/>
    </i>
    <i r="2">
      <x v="606"/>
      <x v="1"/>
      <x v="149"/>
      <x v="256"/>
      <x v="1"/>
    </i>
    <i t="default" r="1">
      <x/>
    </i>
    <i r="1">
      <x v="2"/>
      <x v="78"/>
      <x/>
      <x v="134"/>
      <x v="216"/>
      <x v="1"/>
    </i>
    <i r="2">
      <x v="264"/>
      <x/>
      <x v="134"/>
      <x v="220"/>
      <x v="1"/>
    </i>
    <i r="2">
      <x v="265"/>
      <x/>
      <x v="134"/>
      <x v="220"/>
      <x v="1"/>
    </i>
    <i r="2">
      <x v="266"/>
      <x/>
      <x v="134"/>
      <x v="220"/>
      <x v="1"/>
    </i>
    <i r="2">
      <x v="267"/>
      <x/>
      <x v="134"/>
      <x v="219"/>
      <x v="1"/>
    </i>
    <i r="2">
      <x v="270"/>
      <x v="1"/>
      <x v="134"/>
      <x v="254"/>
      <x v="1"/>
    </i>
    <i r="2">
      <x v="271"/>
      <x v="1"/>
      <x v="134"/>
      <x v="241"/>
      <x v="1"/>
    </i>
    <i r="2">
      <x v="272"/>
      <x v="1"/>
      <x v="134"/>
      <x v="254"/>
      <x v="1"/>
    </i>
    <i r="2">
      <x v="274"/>
      <x v="1"/>
      <x v="134"/>
      <x v="254"/>
      <x v="1"/>
    </i>
    <i r="2">
      <x v="275"/>
      <x v="1"/>
      <x v="134"/>
      <x v="254"/>
      <x v="1"/>
    </i>
    <i r="2">
      <x v="280"/>
      <x v="3"/>
      <x v="134"/>
      <x v="221"/>
      <x v="1"/>
    </i>
    <i r="2">
      <x v="286"/>
      <x v="3"/>
      <x v="134"/>
      <x v="221"/>
      <x v="1"/>
    </i>
    <i r="2">
      <x v="287"/>
      <x v="3"/>
      <x v="134"/>
      <x v="221"/>
      <x v="1"/>
    </i>
    <i r="2">
      <x v="288"/>
      <x v="3"/>
      <x v="134"/>
      <x v="255"/>
      <x v="1"/>
    </i>
    <i r="2">
      <x v="293"/>
      <x/>
      <x v="134"/>
      <x v="253"/>
      <x v="1"/>
    </i>
    <i r="2">
      <x v="583"/>
      <x v="3"/>
      <x v="149"/>
      <x v="241"/>
      <x v="1"/>
    </i>
    <i r="2">
      <x v="584"/>
      <x v="3"/>
      <x v="149"/>
      <x v="241"/>
      <x v="1"/>
    </i>
    <i r="2">
      <x v="585"/>
      <x v="3"/>
      <x v="149"/>
      <x v="241"/>
      <x v="1"/>
    </i>
    <i r="2">
      <x v="586"/>
      <x v="3"/>
      <x v="149"/>
      <x v="234"/>
      <x v="1"/>
    </i>
    <i r="2">
      <x v="588"/>
      <x v="3"/>
      <x v="149"/>
      <x v="241"/>
      <x v="1"/>
    </i>
    <i r="2">
      <x v="592"/>
      <x v="2"/>
      <x v="149"/>
      <x v="234"/>
      <x v="1"/>
    </i>
    <i r="2">
      <x v="593"/>
      <x v="2"/>
      <x v="149"/>
      <x v="231"/>
      <x v="1"/>
    </i>
    <i r="2">
      <x v="594"/>
      <x/>
      <x v="149"/>
      <x v="231"/>
      <x v="1"/>
    </i>
    <i r="2">
      <x v="595"/>
      <x/>
      <x v="149"/>
      <x v="231"/>
      <x v="1"/>
    </i>
    <i r="2">
      <x v="596"/>
      <x/>
      <x v="149"/>
      <x v="231"/>
      <x v="1"/>
    </i>
    <i r="2">
      <x v="597"/>
      <x/>
      <x v="149"/>
      <x v="231"/>
      <x v="1"/>
    </i>
    <i r="2">
      <x v="598"/>
      <x/>
      <x v="149"/>
      <x v="231"/>
      <x v="1"/>
    </i>
    <i r="2">
      <x v="599"/>
      <x/>
      <x v="149"/>
      <x v="229"/>
      <x v="1"/>
    </i>
    <i r="2">
      <x v="601"/>
      <x/>
      <x v="149"/>
      <x v="231"/>
      <x v="1"/>
    </i>
    <i t="default" r="1">
      <x v="2"/>
    </i>
    <i r="1">
      <x v="12"/>
      <x v="268"/>
      <x v="1"/>
      <x v="134"/>
      <x v="253"/>
      <x v="1"/>
    </i>
    <i r="2">
      <x v="269"/>
      <x v="1"/>
      <x v="134"/>
      <x v="253"/>
      <x v="1"/>
    </i>
    <i r="2">
      <x v="273"/>
      <x v="1"/>
      <x v="134"/>
      <x v="219"/>
      <x v="1"/>
    </i>
    <i r="2">
      <x v="276"/>
      <x v="1"/>
      <x v="134"/>
      <x v="219"/>
      <x v="1"/>
    </i>
    <i r="2">
      <x v="277"/>
      <x v="3"/>
      <x v="134"/>
      <x v="221"/>
      <x v="1"/>
    </i>
    <i r="2">
      <x v="278"/>
      <x v="3"/>
      <x v="134"/>
      <x v="221"/>
      <x v="1"/>
    </i>
    <i r="2">
      <x v="279"/>
      <x v="3"/>
      <x v="134"/>
      <x v="255"/>
      <x v="1"/>
    </i>
    <i r="2">
      <x v="281"/>
      <x/>
      <x v="134"/>
      <x v="214"/>
      <x v="1"/>
    </i>
    <i r="3">
      <x v="3"/>
      <x v="134"/>
      <x v="221"/>
      <x v="1"/>
    </i>
    <i r="2">
      <x v="282"/>
      <x v="3"/>
      <x v="134"/>
      <x v="221"/>
      <x v="1"/>
    </i>
    <i r="2">
      <x v="283"/>
      <x v="3"/>
      <x v="134"/>
      <x v="221"/>
      <x v="1"/>
    </i>
    <i r="2">
      <x v="284"/>
      <x v="3"/>
      <x v="134"/>
      <x v="255"/>
      <x v="1"/>
    </i>
    <i r="2">
      <x v="285"/>
      <x v="3"/>
      <x v="134"/>
      <x v="221"/>
      <x v="1"/>
    </i>
    <i r="2">
      <x v="289"/>
      <x v="7"/>
      <x v="134"/>
      <x v="255"/>
      <x v="1"/>
    </i>
    <i r="2">
      <x v="290"/>
      <x/>
      <x v="134"/>
      <x v="214"/>
      <x v="1"/>
    </i>
    <i r="2">
      <x v="291"/>
      <x/>
      <x v="134"/>
      <x v="220"/>
      <x v="1"/>
    </i>
    <i r="2">
      <x v="292"/>
      <x/>
      <x v="134"/>
      <x v="220"/>
      <x v="1"/>
    </i>
    <i t="default" r="1">
      <x v="12"/>
    </i>
    <i r="1">
      <x v="15"/>
      <x v="294"/>
      <x v="6"/>
      <x v="134"/>
      <x v="216"/>
      <x v="1"/>
    </i>
    <i r="2">
      <x v="295"/>
      <x v="6"/>
      <x v="134"/>
      <x v="216"/>
      <x v="1"/>
    </i>
    <i r="2">
      <x v="296"/>
      <x v="2"/>
      <x v="134"/>
      <x v="219"/>
      <x v="1"/>
    </i>
    <i r="2">
      <x v="297"/>
      <x v="2"/>
      <x v="134"/>
      <x v="219"/>
      <x v="1"/>
    </i>
    <i r="2">
      <x v="298"/>
      <x v="2"/>
      <x v="134"/>
      <x v="216"/>
      <x v="1"/>
    </i>
    <i r="2">
      <x v="299"/>
      <x v="2"/>
      <x v="134"/>
      <x v="216"/>
      <x v="1"/>
    </i>
    <i r="2">
      <x v="300"/>
      <x v="2"/>
      <x v="134"/>
      <x v="255"/>
      <x v="1"/>
    </i>
    <i r="2">
      <x v="301"/>
      <x v="12"/>
      <x v="134"/>
      <x v="263"/>
      <x v="1"/>
    </i>
    <i r="2">
      <x v="302"/>
      <x v="12"/>
      <x v="134"/>
      <x v="262"/>
      <x v="1"/>
    </i>
    <i r="2">
      <x v="303"/>
      <x v="12"/>
      <x v="134"/>
      <x v="263"/>
      <x v="1"/>
    </i>
    <i r="2">
      <x v="304"/>
      <x v="12"/>
      <x v="134"/>
      <x v="262"/>
      <x v="1"/>
    </i>
    <i r="2">
      <x v="305"/>
      <x v="12"/>
      <x v="134"/>
      <x v="262"/>
      <x v="1"/>
    </i>
    <i r="2">
      <x v="306"/>
      <x v="12"/>
      <x v="134"/>
      <x v="254"/>
      <x v="1"/>
    </i>
    <i r="2">
      <x v="307"/>
      <x v="12"/>
      <x v="134"/>
      <x v="254"/>
      <x v="1"/>
    </i>
    <i r="2">
      <x v="308"/>
      <x v="12"/>
      <x v="134"/>
      <x v="254"/>
      <x v="1"/>
    </i>
    <i r="2">
      <x v="309"/>
      <x v="12"/>
      <x v="134"/>
      <x v="257"/>
      <x v="1"/>
    </i>
    <i t="default" r="1">
      <x v="15"/>
    </i>
    <i t="default">
      <x v="27"/>
    </i>
    <i>
      <x v="30"/>
      <x v="12"/>
      <x v="644"/>
      <x v="1"/>
      <x v="137"/>
      <x v="249"/>
      <x/>
    </i>
    <i r="2">
      <x v="703"/>
      <x v="1"/>
      <x v="137"/>
      <x v="229"/>
      <x v="1"/>
    </i>
    <i t="default" r="1">
      <x v="12"/>
    </i>
    <i t="default">
      <x v="30"/>
    </i>
    <i>
      <x v="32"/>
      <x v="1"/>
      <x v="579"/>
      <x v="6"/>
      <x v="148"/>
      <x v="261"/>
      <x/>
    </i>
    <i r="2">
      <x v="580"/>
      <x v="6"/>
      <x v="148"/>
      <x v="261"/>
      <x/>
    </i>
    <i r="2">
      <x v="581"/>
      <x v="6"/>
      <x v="148"/>
      <x v="261"/>
      <x/>
    </i>
    <i t="default" r="1">
      <x v="1"/>
    </i>
    <i t="default">
      <x v="32"/>
    </i>
    <i>
      <x v="33"/>
      <x/>
      <x v="445"/>
      <x/>
      <x v="134"/>
      <x v="219"/>
      <x v="1"/>
    </i>
    <i r="2">
      <x v="446"/>
      <x/>
      <x v="134"/>
      <x v="219"/>
      <x v="1"/>
    </i>
    <i t="default" r="1">
      <x/>
    </i>
    <i t="default">
      <x v="33"/>
    </i>
    <i>
      <x v="34"/>
      <x v="12"/>
      <x v="686"/>
      <x v="1"/>
      <x v="148"/>
      <x v="262"/>
      <x v="1"/>
    </i>
    <i r="2">
      <x v="687"/>
      <x v="1"/>
      <x v="148"/>
      <x v="262"/>
      <x v="1"/>
    </i>
    <i r="2">
      <x v="688"/>
      <x v="1"/>
      <x v="148"/>
      <x v="243"/>
      <x v="1"/>
    </i>
    <i r="2">
      <x v="689"/>
      <x v="1"/>
      <x v="148"/>
      <x v="256"/>
      <x v="1"/>
    </i>
    <i r="2">
      <x v="690"/>
      <x v="1"/>
      <x v="148"/>
      <x v="262"/>
      <x v="1"/>
    </i>
    <i r="2">
      <x v="691"/>
      <x v="1"/>
      <x v="148"/>
      <x v="262"/>
      <x v="1"/>
    </i>
    <i r="2">
      <x v="692"/>
      <x v="1"/>
      <x v="148"/>
      <x v="256"/>
      <x v="1"/>
    </i>
    <i r="2">
      <x v="693"/>
      <x v="1"/>
      <x v="148"/>
      <x v="262"/>
      <x v="1"/>
    </i>
    <i r="2">
      <x v="694"/>
      <x v="1"/>
      <x v="148"/>
      <x v="256"/>
      <x v="1"/>
    </i>
    <i r="2">
      <x v="695"/>
      <x v="1"/>
      <x v="148"/>
      <x v="256"/>
      <x v="1"/>
    </i>
    <i r="2">
      <x v="696"/>
      <x v="1"/>
      <x v="148"/>
      <x v="256"/>
      <x v="1"/>
    </i>
    <i r="2">
      <x v="697"/>
      <x v="8"/>
      <x v="148"/>
      <x v="276"/>
      <x v="1"/>
    </i>
    <i r="2">
      <x v="698"/>
      <x v="8"/>
      <x v="148"/>
      <x v="276"/>
      <x v="1"/>
    </i>
    <i r="2">
      <x v="699"/>
      <x v="8"/>
      <x v="148"/>
      <x v="276"/>
      <x/>
    </i>
    <i r="2">
      <x v="700"/>
      <x v="8"/>
      <x v="148"/>
      <x v="276"/>
      <x v="1"/>
    </i>
    <i t="default" r="1">
      <x v="12"/>
    </i>
    <i t="default">
      <x v="34"/>
    </i>
    <i>
      <x v="35"/>
      <x v="15"/>
      <x v="760"/>
      <x v="12"/>
      <x v="166"/>
      <x v="261"/>
      <x/>
    </i>
    <i r="2">
      <x v="761"/>
      <x v="12"/>
      <x v="166"/>
      <x v="261"/>
      <x/>
    </i>
    <i t="default" r="1">
      <x v="15"/>
    </i>
    <i r="1">
      <x v="40"/>
      <x v="744"/>
      <x v="3"/>
      <x v="166"/>
      <x v="261"/>
      <x/>
    </i>
    <i r="2">
      <x v="745"/>
      <x v="3"/>
      <x v="166"/>
      <x v="249"/>
      <x v="1"/>
    </i>
    <i r="2">
      <x v="746"/>
      <x v="3"/>
      <x v="166"/>
      <x v="242"/>
      <x v="1"/>
    </i>
    <i r="2">
      <x v="747"/>
      <x v="3"/>
      <x v="166"/>
      <x v="261"/>
      <x/>
    </i>
    <i r="2">
      <x v="748"/>
      <x v="3"/>
      <x v="166"/>
      <x v="242"/>
      <x v="1"/>
    </i>
    <i r="2">
      <x v="749"/>
      <x v="3"/>
      <x v="166"/>
      <x v="261"/>
      <x/>
    </i>
    <i r="2">
      <x v="750"/>
      <x v="3"/>
      <x v="166"/>
      <x v="261"/>
      <x/>
    </i>
    <i r="2">
      <x v="751"/>
      <x v="3"/>
      <x v="166"/>
      <x v="261"/>
      <x/>
    </i>
    <i r="2">
      <x v="752"/>
      <x v="3"/>
      <x v="166"/>
      <x v="249"/>
      <x v="1"/>
    </i>
    <i r="2">
      <x v="753"/>
      <x v="3"/>
      <x v="166"/>
      <x v="249"/>
      <x v="1"/>
    </i>
    <i r="2">
      <x v="754"/>
      <x v="3"/>
      <x v="166"/>
      <x v="261"/>
      <x/>
    </i>
    <i r="2">
      <x v="755"/>
      <x v="3"/>
      <x v="166"/>
      <x v="249"/>
      <x v="1"/>
    </i>
    <i r="2">
      <x v="756"/>
      <x v="3"/>
      <x v="166"/>
      <x v="249"/>
      <x v="1"/>
    </i>
    <i r="2">
      <x v="757"/>
      <x v="3"/>
      <x v="166"/>
      <x v="261"/>
      <x/>
    </i>
    <i r="2">
      <x v="758"/>
      <x v="3"/>
      <x v="166"/>
      <x v="261"/>
      <x/>
    </i>
    <i r="2">
      <x v="759"/>
      <x v="8"/>
      <x v="166"/>
      <x v="261"/>
      <x/>
    </i>
    <i r="2">
      <x v="762"/>
      <x v="8"/>
      <x v="167"/>
      <x v="256"/>
      <x/>
    </i>
    <i r="2">
      <x v="763"/>
      <x v="8"/>
      <x v="167"/>
      <x v="256"/>
      <x/>
    </i>
    <i t="default" r="1">
      <x v="40"/>
    </i>
    <i t="default">
      <x v="35"/>
    </i>
    <i>
      <x v="37"/>
      <x/>
      <x v="543"/>
      <x/>
      <x v="145"/>
      <x v="229"/>
      <x v="1"/>
    </i>
    <i t="default" r="1">
      <x/>
    </i>
    <i r="1">
      <x v="2"/>
      <x v="544"/>
      <x/>
      <x v="145"/>
      <x v="229"/>
      <x v="1"/>
    </i>
    <i r="2">
      <x v="545"/>
      <x/>
      <x v="145"/>
      <x v="229"/>
      <x v="1"/>
    </i>
    <i t="default" r="1">
      <x v="2"/>
    </i>
    <i t="default">
      <x v="37"/>
    </i>
    <i>
      <x v="41"/>
      <x v="12"/>
      <x v="607"/>
      <x v="8"/>
      <x v="132"/>
      <x v="193"/>
      <x v="3"/>
    </i>
    <i r="2">
      <x v="608"/>
      <x v="8"/>
      <x v="132"/>
      <x v="193"/>
      <x v="3"/>
    </i>
    <i r="2">
      <x v="612"/>
      <x v="8"/>
      <x v="132"/>
      <x v="193"/>
      <x v="3"/>
    </i>
    <i t="default" r="1">
      <x v="12"/>
    </i>
    <i t="default">
      <x v="41"/>
    </i>
    <i>
      <x v="45"/>
      <x/>
      <x v="441"/>
      <x/>
      <x v="134"/>
      <x v="226"/>
      <x v="1"/>
    </i>
    <i r="2">
      <x v="442"/>
      <x/>
      <x v="134"/>
      <x v="226"/>
      <x v="1"/>
    </i>
    <i r="2">
      <x v="443"/>
      <x/>
      <x v="134"/>
      <x v="226"/>
      <x v="1"/>
    </i>
    <i r="2">
      <x v="444"/>
      <x/>
      <x v="134"/>
      <x v="226"/>
      <x v="1"/>
    </i>
    <i r="2">
      <x v="555"/>
      <x/>
      <x v="144"/>
      <x v="226"/>
      <x v="1"/>
    </i>
    <i r="2">
      <x v="556"/>
      <x/>
      <x v="144"/>
      <x v="226"/>
      <x v="1"/>
    </i>
    <i t="default" r="1">
      <x/>
    </i>
    <i r="1">
      <x v="2"/>
      <x v="630"/>
      <x/>
      <x v="153"/>
      <x v="232"/>
      <x v="1"/>
    </i>
    <i r="2">
      <x v="631"/>
      <x/>
      <x v="153"/>
      <x v="232"/>
      <x v="1"/>
    </i>
    <i t="default" r="1">
      <x v="2"/>
    </i>
    <i r="1">
      <x v="15"/>
      <x v="626"/>
      <x v="2"/>
      <x v="153"/>
      <x v="263"/>
      <x v="1"/>
    </i>
    <i r="3">
      <x v="6"/>
      <x v="153"/>
      <x v="271"/>
      <x/>
    </i>
    <i r="3">
      <x v="13"/>
      <x v="156"/>
      <x v="272"/>
      <x v="1"/>
    </i>
    <i r="2">
      <x v="627"/>
      <x v="2"/>
      <x v="153"/>
      <x v="263"/>
      <x v="1"/>
    </i>
    <i r="3">
      <x v="6"/>
      <x v="153"/>
      <x v="271"/>
      <x/>
    </i>
    <i r="3">
      <x v="13"/>
      <x v="156"/>
      <x v="272"/>
      <x v="1"/>
    </i>
    <i r="2">
      <x v="628"/>
      <x v="2"/>
      <x v="153"/>
      <x v="243"/>
      <x v="1"/>
    </i>
    <i r="3">
      <x v="6"/>
      <x v="153"/>
      <x v="271"/>
      <x/>
    </i>
    <i r="3">
      <x v="13"/>
      <x v="156"/>
      <x v="272"/>
      <x v="1"/>
    </i>
    <i r="2">
      <x v="629"/>
      <x v="2"/>
      <x v="153"/>
      <x v="243"/>
      <x v="1"/>
    </i>
    <i r="3">
      <x v="6"/>
      <x v="153"/>
      <x v="271"/>
      <x/>
    </i>
    <i r="3">
      <x v="13"/>
      <x v="156"/>
      <x v="272"/>
      <x v="1"/>
    </i>
    <i t="default" r="1">
      <x v="15"/>
    </i>
    <i t="default">
      <x v="45"/>
    </i>
    <i>
      <x v="46"/>
      <x v="12"/>
      <x v="395"/>
      <x v="9"/>
      <x v="134"/>
      <x v="214"/>
      <x v="1"/>
    </i>
    <i r="2">
      <x v="396"/>
      <x v="8"/>
      <x v="135"/>
      <x v="199"/>
      <x v="1"/>
    </i>
    <i r="2">
      <x v="397"/>
      <x v="3"/>
      <x v="134"/>
      <x v="236"/>
      <x v="1"/>
    </i>
    <i r="2">
      <x v="398"/>
      <x v="9"/>
      <x v="134"/>
      <x v="214"/>
      <x v="1"/>
    </i>
    <i r="2">
      <x v="399"/>
      <x v="9"/>
      <x v="134"/>
      <x v="214"/>
      <x v="1"/>
    </i>
    <i r="2">
      <x v="400"/>
      <x v="3"/>
      <x v="134"/>
      <x v="236"/>
      <x v="1"/>
    </i>
    <i r="2">
      <x v="401"/>
      <x v="3"/>
      <x v="134"/>
      <x v="236"/>
      <x v="1"/>
    </i>
    <i r="2">
      <x v="402"/>
      <x v="3"/>
      <x v="134"/>
      <x v="219"/>
      <x v="1"/>
    </i>
    <i r="2">
      <x v="403"/>
      <x v="3"/>
      <x v="134"/>
      <x v="236"/>
      <x v="1"/>
    </i>
    <i r="2">
      <x v="404"/>
      <x v="3"/>
      <x v="134"/>
      <x v="255"/>
      <x v="1"/>
    </i>
    <i r="2">
      <x v="405"/>
      <x v="8"/>
      <x v="135"/>
      <x v="199"/>
      <x v="1"/>
    </i>
    <i r="2">
      <x v="406"/>
      <x v="8"/>
      <x v="135"/>
      <x v="199"/>
      <x v="1"/>
    </i>
    <i r="2">
      <x v="407"/>
      <x v="3"/>
      <x v="134"/>
      <x v="219"/>
      <x v="1"/>
    </i>
    <i r="2">
      <x v="408"/>
      <x v="3"/>
      <x v="134"/>
      <x v="258"/>
      <x v="1"/>
    </i>
    <i r="2">
      <x v="409"/>
      <x v="9"/>
      <x v="134"/>
      <x v="214"/>
      <x v="1"/>
    </i>
    <i r="2">
      <x v="410"/>
      <x v="3"/>
      <x v="134"/>
      <x v="258"/>
      <x v="1"/>
    </i>
    <i r="2">
      <x v="411"/>
      <x v="3"/>
      <x v="134"/>
      <x v="236"/>
      <x v="1"/>
    </i>
    <i t="default" r="1">
      <x v="12"/>
    </i>
    <i r="1">
      <x v="40"/>
      <x v="400"/>
      <x v="8"/>
      <x v="168"/>
      <x v="249"/>
      <x v="1"/>
    </i>
    <i r="2">
      <x v="764"/>
      <x v="8"/>
      <x v="168"/>
      <x v="249"/>
      <x v="1"/>
    </i>
    <i r="2">
      <x v="765"/>
      <x v="8"/>
      <x v="168"/>
      <x v="249"/>
      <x v="1"/>
    </i>
    <i t="default" r="1">
      <x v="40"/>
    </i>
    <i t="default">
      <x v="46"/>
    </i>
    <i>
      <x v="47"/>
      <x v="2"/>
      <x v="438"/>
      <x v="3"/>
      <x v="141"/>
      <x v="234"/>
      <x v="1"/>
    </i>
    <i r="2">
      <x v="439"/>
      <x v="3"/>
      <x v="141"/>
      <x v="223"/>
      <x/>
    </i>
    <i r="2">
      <x v="440"/>
      <x v="3"/>
      <x v="141"/>
      <x v="234"/>
      <x v="1"/>
    </i>
    <i r="2">
      <x v="546"/>
      <x v="8"/>
      <x v="144"/>
      <x v="225"/>
      <x/>
    </i>
    <i r="2">
      <x v="547"/>
      <x v="8"/>
      <x v="144"/>
      <x v="225"/>
      <x/>
    </i>
    <i r="2">
      <x v="548"/>
      <x v="3"/>
      <x v="141"/>
      <x v="234"/>
      <x v="1"/>
    </i>
    <i r="2">
      <x v="554"/>
      <x v="3"/>
      <x v="144"/>
      <x v="234"/>
      <x v="1"/>
    </i>
    <i t="default" r="1">
      <x v="2"/>
    </i>
    <i r="1">
      <x v="10"/>
      <x v="549"/>
      <x v="2"/>
      <x v="139"/>
      <x v="243"/>
      <x v="1"/>
    </i>
    <i r="2">
      <x v="550"/>
      <x v="2"/>
      <x v="139"/>
      <x v="263"/>
      <x v="1"/>
    </i>
    <i r="2">
      <x v="551"/>
      <x v="2"/>
      <x v="139"/>
      <x v="246"/>
      <x v="1"/>
    </i>
    <i r="2">
      <x v="552"/>
      <x v="2"/>
      <x v="139"/>
      <x v="254"/>
      <x v="1"/>
    </i>
    <i t="default" r="1">
      <x v="10"/>
    </i>
    <i r="1">
      <x v="12"/>
      <x v="553"/>
      <x v="3"/>
      <x v="141"/>
      <x v="223"/>
      <x/>
    </i>
    <i t="default" r="1">
      <x v="12"/>
    </i>
    <i t="default">
      <x v="47"/>
    </i>
    <i>
      <x v="48"/>
      <x v="32"/>
      <x v="477"/>
      <x v="17"/>
      <x v="140"/>
      <x v="214"/>
      <x v="1"/>
    </i>
    <i r="3">
      <x v="20"/>
      <x v="145"/>
      <x v="257"/>
      <x v="1"/>
    </i>
    <i r="2">
      <x v="478"/>
      <x v="17"/>
      <x v="140"/>
      <x v="214"/>
      <x v="1"/>
    </i>
    <i r="3">
      <x v="20"/>
      <x v="145"/>
      <x v="257"/>
      <x v="1"/>
    </i>
    <i r="2">
      <x v="479"/>
      <x v="17"/>
      <x v="140"/>
      <x v="214"/>
      <x v="1"/>
    </i>
    <i r="3">
      <x v="20"/>
      <x v="145"/>
      <x v="257"/>
      <x v="1"/>
    </i>
    <i r="2">
      <x v="480"/>
      <x v="17"/>
      <x v="140"/>
      <x v="214"/>
      <x v="1"/>
    </i>
    <i r="3">
      <x v="20"/>
      <x v="145"/>
      <x v="257"/>
      <x v="1"/>
    </i>
    <i t="default" r="1">
      <x v="32"/>
    </i>
    <i t="default">
      <x v="48"/>
    </i>
    <i>
      <x v="49"/>
      <x v="4"/>
      <x v="534"/>
      <x v="10"/>
      <x v="144"/>
      <x v="225"/>
      <x v="1"/>
    </i>
    <i r="2">
      <x v="535"/>
      <x v="11"/>
      <x v="144"/>
      <x v="200"/>
      <x v="1"/>
    </i>
    <i t="default" r="1">
      <x v="4"/>
    </i>
    <i r="1">
      <x v="6"/>
      <x v="538"/>
      <x v="10"/>
      <x v="144"/>
      <x v="225"/>
      <x v="1"/>
    </i>
    <i r="2">
      <x v="539"/>
      <x v="10"/>
      <x v="144"/>
      <x v="225"/>
      <x v="1"/>
    </i>
    <i t="default" r="1">
      <x v="6"/>
    </i>
    <i r="1">
      <x v="8"/>
      <x v="532"/>
      <x v="10"/>
      <x v="144"/>
      <x v="219"/>
      <x v="1"/>
    </i>
    <i r="2">
      <x v="533"/>
      <x v="11"/>
      <x v="144"/>
      <x v="200"/>
      <x v="1"/>
    </i>
    <i t="default" r="1">
      <x v="8"/>
    </i>
    <i r="1">
      <x v="9"/>
      <x v="536"/>
      <x v="10"/>
      <x v="144"/>
      <x v="225"/>
      <x v="1"/>
    </i>
    <i r="2">
      <x v="537"/>
      <x v="11"/>
      <x v="144"/>
      <x v="200"/>
      <x v="1"/>
    </i>
    <i t="default" r="1">
      <x v="9"/>
    </i>
    <i t="default">
      <x v="49"/>
    </i>
    <i>
      <x v="50"/>
      <x v="38"/>
      <x v="645"/>
      <x v="3"/>
      <x v="154"/>
      <x v="242"/>
      <x/>
    </i>
    <i r="2">
      <x v="646"/>
      <x v="3"/>
      <x v="154"/>
      <x v="242"/>
      <x/>
    </i>
    <i r="2">
      <x v="647"/>
      <x v="3"/>
      <x v="154"/>
      <x v="242"/>
      <x/>
    </i>
    <i r="2">
      <x v="648"/>
      <x v="3"/>
      <x v="154"/>
      <x v="242"/>
      <x/>
    </i>
    <i r="2">
      <x v="649"/>
      <x v="3"/>
      <x v="154"/>
      <x v="242"/>
      <x/>
    </i>
    <i r="2">
      <x v="650"/>
      <x v="3"/>
      <x v="154"/>
      <x v="242"/>
      <x/>
    </i>
    <i r="2">
      <x v="651"/>
      <x v="3"/>
      <x v="154"/>
      <x v="242"/>
      <x/>
    </i>
    <i r="2">
      <x v="652"/>
      <x v="3"/>
      <x v="154"/>
      <x v="242"/>
      <x/>
    </i>
    <i t="default" r="1">
      <x v="38"/>
    </i>
    <i t="default">
      <x v="50"/>
    </i>
    <i>
      <x v="51"/>
      <x v="1"/>
      <x v="731"/>
      <x v="18"/>
      <x v="164"/>
      <x v="261"/>
      <x/>
    </i>
    <i r="2">
      <x v="732"/>
      <x v="18"/>
      <x v="164"/>
      <x v="261"/>
      <x/>
    </i>
    <i r="2">
      <x v="733"/>
      <x v="18"/>
      <x v="164"/>
      <x v="261"/>
      <x/>
    </i>
    <i r="2">
      <x v="734"/>
      <x v="18"/>
      <x v="164"/>
      <x v="261"/>
      <x/>
    </i>
    <i r="2">
      <x v="735"/>
      <x v="18"/>
      <x v="164"/>
      <x v="261"/>
      <x/>
    </i>
    <i r="2">
      <x v="736"/>
      <x v="18"/>
      <x v="164"/>
      <x v="260"/>
      <x/>
    </i>
    <i r="2">
      <x v="737"/>
      <x v="18"/>
      <x v="164"/>
      <x v="260"/>
      <x/>
    </i>
    <i r="2">
      <x v="738"/>
      <x v="18"/>
      <x v="164"/>
      <x v="260"/>
      <x/>
    </i>
    <i r="2">
      <x v="739"/>
      <x v="18"/>
      <x v="164"/>
      <x v="260"/>
      <x/>
    </i>
    <i t="default" r="1">
      <x v="1"/>
    </i>
    <i t="default">
      <x v="51"/>
    </i>
    <i t="grand">
      <x/>
    </i>
  </rowItems>
  <colFields count="1">
    <field x="-2"/>
  </colFields>
  <colItems count="2">
    <i>
      <x/>
    </i>
    <i i="1">
      <x v="1"/>
    </i>
  </colItems>
  <dataFields count="2">
    <dataField name=" 실발주샘플수" fld="0" baseField="0" baseItem="0" numFmtId="177"/>
    <dataField name=" 실입고샘플수" fld="6" baseField="0" baseItem="0" numFmtId="177"/>
  </dataFields>
  <formats count="45">
    <format dxfId="282">
      <pivotArea field="19" type="button" dataOnly="0" labelOnly="1" outline="0"/>
    </format>
    <format dxfId="281">
      <pivotArea field="22" type="button" dataOnly="0" labelOnly="1" outline="0" axis="axisRow" fieldPosition="2"/>
    </format>
    <format dxfId="280">
      <pivotArea dataOnly="0" labelOnly="1" grandCol="1" outline="0" fieldPosition="0"/>
    </format>
    <format dxfId="279">
      <pivotArea field="22" type="button" dataOnly="0" labelOnly="1" outline="0" axis="axisRow" fieldPosition="2"/>
    </format>
    <format dxfId="278">
      <pivotArea dataOnly="0" labelOnly="1" grandCol="1" outline="0" fieldPosition="0"/>
    </format>
    <format dxfId="277">
      <pivotArea field="22" type="button" dataOnly="0" labelOnly="1" outline="0" axis="axisRow" fieldPosition="2"/>
    </format>
    <format dxfId="276">
      <pivotArea type="origin" dataOnly="0" labelOnly="1" outline="0" offset="A2" fieldPosition="0"/>
    </format>
    <format dxfId="275">
      <pivotArea field="19" type="button" dataOnly="0" labelOnly="1" outline="0"/>
    </format>
    <format dxfId="27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73">
      <pivotArea field="19" type="button" dataOnly="0" labelOnly="1" outline="0"/>
    </format>
    <format dxfId="27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71">
      <pivotArea type="all" dataOnly="0" outline="0" fieldPosition="0"/>
    </format>
    <format dxfId="270">
      <pivotArea field="19" type="button" dataOnly="0" labelOnly="1" outline="0"/>
    </format>
    <format dxfId="269">
      <pivotArea dataOnly="0" grandRow="1" outline="0" fieldPosition="0"/>
    </format>
    <format dxfId="268">
      <pivotArea dataOnly="0" grandRow="1" outline="0" fieldPosition="0"/>
    </format>
    <format dxfId="267">
      <pivotArea field="14" type="button" dataOnly="0" labelOnly="1" outline="0" axis="axisRow" fieldPosition="0"/>
    </format>
    <format dxfId="266">
      <pivotArea field="20" type="button" dataOnly="0" labelOnly="1" outline="0" axis="axisRow" fieldPosition="1"/>
    </format>
    <format dxfId="2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4">
      <pivotArea dataOnly="0" outline="0" fieldPosition="0">
        <references count="1">
          <reference field="14" count="0" defaultSubtotal="1"/>
        </references>
      </pivotArea>
    </format>
    <format dxfId="263">
      <pivotArea field="14" type="button" dataOnly="0" labelOnly="1" outline="0" axis="axisRow" fieldPosition="0"/>
    </format>
    <format dxfId="262">
      <pivotArea field="20" type="button" dataOnly="0" labelOnly="1" outline="0" axis="axisRow" fieldPosition="1"/>
    </format>
    <format dxfId="261">
      <pivotArea field="22" type="button" dataOnly="0" labelOnly="1" outline="0" axis="axisRow" fieldPosition="2"/>
    </format>
    <format dxfId="260">
      <pivotArea field="26" type="button" dataOnly="0" labelOnly="1" outline="0" axis="axisRow" fieldPosition="4"/>
    </format>
    <format dxfId="259">
      <pivotArea field="10" type="button" dataOnly="0" labelOnly="1" outline="0" axis="axisRow" fieldPosition="5"/>
    </format>
    <format dxfId="2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7">
      <pivotArea field="14" type="button" dataOnly="0" labelOnly="1" outline="0" axis="axisRow" fieldPosition="0"/>
    </format>
    <format dxfId="256">
      <pivotArea field="20" type="button" dataOnly="0" labelOnly="1" outline="0" axis="axisRow" fieldPosition="1"/>
    </format>
    <format dxfId="255">
      <pivotArea field="22" type="button" dataOnly="0" labelOnly="1" outline="0" axis="axisRow" fieldPosition="2"/>
    </format>
    <format dxfId="254">
      <pivotArea field="25" type="button" dataOnly="0" labelOnly="1" outline="0" axis="axisRow" fieldPosition="3"/>
    </format>
    <format dxfId="253">
      <pivotArea field="26" type="button" dataOnly="0" labelOnly="1" outline="0" axis="axisRow" fieldPosition="4"/>
    </format>
    <format dxfId="252">
      <pivotArea field="10" type="button" dataOnly="0" labelOnly="1" outline="0" axis="axisRow" fieldPosition="5"/>
    </format>
    <format dxfId="2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0">
      <pivotArea field="14" type="button" dataOnly="0" labelOnly="1" outline="0" axis="axisRow" fieldPosition="0"/>
    </format>
    <format dxfId="249">
      <pivotArea field="20" type="button" dataOnly="0" labelOnly="1" outline="0" axis="axisRow" fieldPosition="1"/>
    </format>
    <format dxfId="248">
      <pivotArea field="22" type="button" dataOnly="0" labelOnly="1" outline="0" axis="axisRow" fieldPosition="2"/>
    </format>
    <format dxfId="247">
      <pivotArea field="25" type="button" dataOnly="0" labelOnly="1" outline="0" axis="axisRow" fieldPosition="3"/>
    </format>
    <format dxfId="246">
      <pivotArea field="26" type="button" dataOnly="0" labelOnly="1" outline="0" axis="axisRow" fieldPosition="4"/>
    </format>
    <format dxfId="245">
      <pivotArea field="10" type="button" dataOnly="0" labelOnly="1" outline="0" axis="axisRow" fieldPosition="5"/>
    </format>
    <format dxfId="2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3">
      <pivotArea outline="0" fieldPosition="0">
        <references count="1">
          <reference field="4294967294" count="1">
            <x v="0"/>
          </reference>
        </references>
      </pivotArea>
    </format>
    <format dxfId="242">
      <pivotArea outline="0" fieldPosition="0">
        <references count="1">
          <reference field="4294967294" count="1">
            <x v="1"/>
          </reference>
        </references>
      </pivotArea>
    </format>
    <format dxfId="241">
      <pivotArea dataOnly="0" outline="0" fieldPosition="0">
        <references count="1">
          <reference field="20" count="0" defaultSubtotal="1"/>
        </references>
      </pivotArea>
    </format>
    <format dxfId="240">
      <pivotArea dataOnly="0" outline="0" fieldPosition="0">
        <references count="1">
          <reference field="14" count="0" defaultSubtotal="1"/>
        </references>
      </pivotArea>
    </format>
    <format dxfId="239">
      <pivotArea dataOnly="0" labelOnly="1" outline="0" fieldPosition="0">
        <references count="1">
          <reference field="10" count="0"/>
        </references>
      </pivotArea>
    </format>
    <format dxfId="238">
      <pivotArea type="all" dataOnly="0" outline="0" fieldPosition="0"/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5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1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70C0"/>
  </sheetPr>
  <dimension ref="A1:BB169"/>
  <sheetViews>
    <sheetView showGridLines="0" showZeros="0" topLeftCell="T2" zoomScale="80" zoomScaleNormal="80" workbookViewId="0">
      <selection activeCell="AL8" sqref="AL8"/>
    </sheetView>
  </sheetViews>
  <sheetFormatPr defaultRowHeight="13.5" outlineLevelCol="1"/>
  <cols>
    <col min="1" max="1" width="3.375" style="8" customWidth="1"/>
    <col min="2" max="2" width="14.5" style="8" customWidth="1"/>
    <col min="3" max="3" width="9.625" style="76" customWidth="1"/>
    <col min="4" max="4" width="9.625" style="76" customWidth="1" outlineLevel="1"/>
    <col min="5" max="5" width="9.625" style="8" customWidth="1" outlineLevel="1" collapsed="1"/>
    <col min="6" max="6" width="9.625" style="8" customWidth="1" outlineLevel="1"/>
    <col min="7" max="8" width="9.625" style="8" customWidth="1"/>
    <col min="9" max="9" width="3.375" style="8" customWidth="1"/>
    <col min="10" max="10" width="14.5" style="8" customWidth="1"/>
    <col min="11" max="11" width="9.625" style="76" customWidth="1"/>
    <col min="12" max="12" width="9.625" style="76" customWidth="1" outlineLevel="1"/>
    <col min="13" max="13" width="9.625" style="8" customWidth="1" outlineLevel="1" collapsed="1"/>
    <col min="14" max="16" width="9.625" style="8" customWidth="1" outlineLevel="1"/>
    <col min="17" max="18" width="9.625" style="8" customWidth="1"/>
    <col min="19" max="19" width="2.75" style="14" customWidth="1"/>
    <col min="20" max="22" width="5.125" style="14" customWidth="1" outlineLevel="1"/>
    <col min="23" max="23" width="5.125" style="14" customWidth="1"/>
    <col min="24" max="24" width="7.75" style="246" customWidth="1" outlineLevel="1"/>
    <col min="25" max="26" width="7.75" style="247" customWidth="1" outlineLevel="1"/>
    <col min="27" max="27" width="13.75" style="8" customWidth="1" outlineLevel="1"/>
    <col min="28" max="28" width="10.25" style="8" customWidth="1" outlineLevel="1"/>
    <col min="29" max="29" width="7.75" style="8" customWidth="1" outlineLevel="1"/>
    <col min="30" max="31" width="12.75" style="8" customWidth="1" outlineLevel="1"/>
    <col min="32" max="32" width="12.75" style="14" customWidth="1" outlineLevel="1"/>
    <col min="33" max="33" width="10.625" style="8" customWidth="1"/>
    <col min="34" max="34" width="20.125" style="8" bestFit="1" customWidth="1"/>
    <col min="35" max="51" width="15.25" style="8" bestFit="1" customWidth="1"/>
    <col min="52" max="52" width="10.625" style="8" bestFit="1" customWidth="1"/>
    <col min="53" max="53" width="10" style="8" bestFit="1" customWidth="1"/>
    <col min="54" max="54" width="20.125" style="8" bestFit="1" customWidth="1"/>
    <col min="55" max="16384" width="9" style="8"/>
  </cols>
  <sheetData>
    <row r="1" spans="1:54" s="62" customFormat="1" ht="20.25">
      <c r="B1" s="62" t="s">
        <v>1354</v>
      </c>
      <c r="C1" s="110"/>
      <c r="D1" s="110"/>
      <c r="J1" s="62" t="s">
        <v>1355</v>
      </c>
      <c r="K1" s="110"/>
      <c r="L1" s="110"/>
      <c r="S1" s="108"/>
      <c r="T1" s="108"/>
      <c r="U1" s="108"/>
      <c r="V1" s="108"/>
      <c r="W1" s="108"/>
      <c r="X1" s="244"/>
      <c r="Y1" s="245"/>
      <c r="Z1" s="245"/>
      <c r="AF1" s="108"/>
    </row>
    <row r="2" spans="1:54">
      <c r="AA2" s="161" t="s">
        <v>45</v>
      </c>
      <c r="AB2" s="162" t="s">
        <v>43</v>
      </c>
    </row>
    <row r="3" spans="1:54" ht="21" thickBot="1">
      <c r="E3" s="379" t="s">
        <v>1083</v>
      </c>
      <c r="F3" s="379"/>
      <c r="M3" s="380" t="s">
        <v>1084</v>
      </c>
      <c r="N3" s="380"/>
      <c r="O3" s="379" t="s">
        <v>1085</v>
      </c>
      <c r="P3" s="379"/>
      <c r="R3" s="266">
        <v>41663</v>
      </c>
      <c r="AA3" s="8" t="s">
        <v>882</v>
      </c>
    </row>
    <row r="4" spans="1:54" ht="14.25" hidden="1" thickBot="1">
      <c r="E4" s="264"/>
      <c r="F4" s="264"/>
      <c r="AA4" s="38"/>
      <c r="AB4" s="39"/>
      <c r="AC4" s="39"/>
      <c r="AD4" s="40" t="s">
        <v>0</v>
      </c>
      <c r="AE4" s="39"/>
      <c r="AF4" s="41"/>
    </row>
    <row r="5" spans="1:54" s="44" customFormat="1">
      <c r="A5" s="8"/>
      <c r="B5" s="383" t="s">
        <v>874</v>
      </c>
      <c r="C5" s="381" t="s">
        <v>869</v>
      </c>
      <c r="D5" s="382"/>
      <c r="E5" s="260" t="s">
        <v>872</v>
      </c>
      <c r="F5" s="260" t="s">
        <v>873</v>
      </c>
      <c r="G5" s="131" t="s">
        <v>1109</v>
      </c>
      <c r="H5" s="131" t="s">
        <v>1110</v>
      </c>
      <c r="I5" s="8"/>
      <c r="J5" s="383" t="s">
        <v>838</v>
      </c>
      <c r="K5" s="381" t="s">
        <v>869</v>
      </c>
      <c r="L5" s="382"/>
      <c r="M5" s="258" t="s">
        <v>872</v>
      </c>
      <c r="N5" s="258" t="s">
        <v>873</v>
      </c>
      <c r="O5" s="260" t="s">
        <v>872</v>
      </c>
      <c r="P5" s="260" t="s">
        <v>873</v>
      </c>
      <c r="Q5" s="131" t="s">
        <v>1109</v>
      </c>
      <c r="R5" s="131" t="s">
        <v>1110</v>
      </c>
      <c r="S5" s="20"/>
      <c r="T5" s="20"/>
      <c r="U5" s="20"/>
      <c r="V5" s="20"/>
      <c r="W5" s="20"/>
      <c r="X5" s="20"/>
      <c r="Y5" s="246"/>
      <c r="Z5" s="246"/>
      <c r="AA5" s="242" t="s">
        <v>903</v>
      </c>
      <c r="AB5" s="54" t="s">
        <v>777</v>
      </c>
      <c r="AC5" s="54" t="s">
        <v>42</v>
      </c>
      <c r="AD5" s="54" t="s">
        <v>1</v>
      </c>
      <c r="AE5" s="140" t="s">
        <v>2</v>
      </c>
      <c r="AF5" s="144" t="s">
        <v>881</v>
      </c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</row>
    <row r="6" spans="1:54" s="44" customFormat="1" ht="17.25" customHeight="1" thickBot="1">
      <c r="A6" s="8"/>
      <c r="B6" s="384"/>
      <c r="C6" s="117" t="s">
        <v>870</v>
      </c>
      <c r="D6" s="118" t="s">
        <v>871</v>
      </c>
      <c r="E6" s="261" t="s">
        <v>876</v>
      </c>
      <c r="F6" s="261" t="s">
        <v>870</v>
      </c>
      <c r="G6" s="132" t="s">
        <v>836</v>
      </c>
      <c r="H6" s="132" t="s">
        <v>870</v>
      </c>
      <c r="I6" s="8"/>
      <c r="J6" s="384"/>
      <c r="K6" s="117" t="s">
        <v>836</v>
      </c>
      <c r="L6" s="118" t="s">
        <v>837</v>
      </c>
      <c r="M6" s="259" t="s">
        <v>836</v>
      </c>
      <c r="N6" s="259" t="s">
        <v>836</v>
      </c>
      <c r="O6" s="261" t="s">
        <v>836</v>
      </c>
      <c r="P6" s="261" t="s">
        <v>836</v>
      </c>
      <c r="Q6" s="132" t="s">
        <v>836</v>
      </c>
      <c r="R6" s="132" t="s">
        <v>870</v>
      </c>
      <c r="S6" s="20"/>
      <c r="T6" s="20"/>
      <c r="U6" s="20"/>
      <c r="V6" s="20"/>
      <c r="W6" s="20"/>
      <c r="X6" s="248" t="str">
        <f>Y6&amp;Z6</f>
        <v>ADULTELS-의류</v>
      </c>
      <c r="Y6" s="249" t="str">
        <f t="shared" ref="Y6:Z38" si="0">IF(AA6="",Y5,AA6)</f>
        <v>ADULT</v>
      </c>
      <c r="Z6" s="249" t="str">
        <f t="shared" si="0"/>
        <v>ELS-의류</v>
      </c>
      <c r="AA6" s="38" t="s">
        <v>900</v>
      </c>
      <c r="AB6" s="38" t="s">
        <v>41</v>
      </c>
      <c r="AC6" s="38" t="s">
        <v>25</v>
      </c>
      <c r="AD6" s="71">
        <v>3</v>
      </c>
      <c r="AE6" s="141">
        <v>3</v>
      </c>
      <c r="AF6" s="357">
        <v>0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</row>
    <row r="7" spans="1:54">
      <c r="B7" s="111" t="s">
        <v>868</v>
      </c>
      <c r="C7" s="119">
        <f>IF(ISERROR(VLOOKUP(B7,[1]기획현황요약!$B$6:$T$36,19,FALSE))=TRUE,0,VLOOKUP(B7,[1]기획현황요약!$B$6:$T$36,19,FALSE))</f>
        <v>69.634332717516855</v>
      </c>
      <c r="D7" s="120"/>
      <c r="E7" s="133">
        <f>SUMIF($X:$X,E$3&amp;B7,$AD:$AD)</f>
        <v>64</v>
      </c>
      <c r="F7" s="133">
        <f>SUMIF($X:$X,E$3&amp;B7,$AE:$AE)</f>
        <v>54</v>
      </c>
      <c r="G7" s="133">
        <f>E7</f>
        <v>64</v>
      </c>
      <c r="H7" s="133">
        <f>F7</f>
        <v>54</v>
      </c>
      <c r="I7" s="341" t="str">
        <f>MID(J7,1,2)&amp;"K"&amp;MID(J7,4,10)</f>
        <v>ELK</v>
      </c>
      <c r="J7" s="111" t="s">
        <v>868</v>
      </c>
      <c r="K7" s="119">
        <f>IF(ISERROR(VLOOKUP(I7,[2]기획현황요약!$B$6:$T$30,19,FALSE))=TRUE,0,VLOOKUP(I7,[2]기획현황요약!$B$6:$T$30,19,FALSE))</f>
        <v>75.49716049382701</v>
      </c>
      <c r="L7" s="120"/>
      <c r="M7" s="133">
        <f>SUMIF($X:$X,M$3&amp;J7,$AD:$AD)</f>
        <v>16</v>
      </c>
      <c r="N7" s="133">
        <f>SUMIF($X:$X,M$3&amp;J7,$AE:$AE)</f>
        <v>8</v>
      </c>
      <c r="O7" s="133">
        <f>SUMIF($X:$X,O$3&amp;J7,$AD:$AD)</f>
        <v>0</v>
      </c>
      <c r="P7" s="133">
        <f>SUMIF($X:$X,O$3&amp;J7,$AE:$AE)</f>
        <v>0</v>
      </c>
      <c r="Q7" s="133">
        <f>M7+O7</f>
        <v>16</v>
      </c>
      <c r="R7" s="133">
        <f>N7+P7</f>
        <v>8</v>
      </c>
      <c r="S7" s="109"/>
      <c r="T7" s="109">
        <f>C7+K7</f>
        <v>145.13149321134387</v>
      </c>
      <c r="U7" s="109">
        <f>G7+Q7</f>
        <v>80</v>
      </c>
      <c r="V7" s="267">
        <f>IF(ISERROR(U7/T7)=TRUE,0,U7/T7)</f>
        <v>0.5512242603574824</v>
      </c>
      <c r="W7" s="267"/>
      <c r="X7" s="248" t="str">
        <f t="shared" ref="X7:X38" si="1">Y7&amp;Z7</f>
        <v>ADULTELS-의류</v>
      </c>
      <c r="Y7" s="249" t="str">
        <f t="shared" si="0"/>
        <v>ADULT</v>
      </c>
      <c r="Z7" s="249" t="str">
        <f t="shared" si="0"/>
        <v>ELS-의류</v>
      </c>
      <c r="AA7" s="49"/>
      <c r="AB7" s="49"/>
      <c r="AC7" s="65" t="s">
        <v>26</v>
      </c>
      <c r="AD7" s="72">
        <v>4</v>
      </c>
      <c r="AE7" s="76">
        <v>4</v>
      </c>
      <c r="AF7" s="358">
        <v>0</v>
      </c>
    </row>
    <row r="8" spans="1:54">
      <c r="B8" s="112" t="s">
        <v>41</v>
      </c>
      <c r="C8" s="121">
        <f>IF(ISERROR(VLOOKUP(B8,[1]기획현황요약!$B$6:$T$36,19,FALSE))=TRUE,0,VLOOKUP(B8,[1]기획현황요약!$B$6:$T$36,19,FALSE))</f>
        <v>35.96564927684247</v>
      </c>
      <c r="D8" s="122"/>
      <c r="E8" s="134">
        <f t="shared" ref="E8:E38" si="2">SUMIF($X:$X,E$3&amp;B8,$AD:$AD)</f>
        <v>28</v>
      </c>
      <c r="F8" s="134">
        <f t="shared" ref="F8:F38" si="3">SUMIF($X:$X,E$3&amp;B8,$AE:$AE)</f>
        <v>25</v>
      </c>
      <c r="G8" s="134">
        <f t="shared" ref="G8:G38" si="4">E8</f>
        <v>28</v>
      </c>
      <c r="H8" s="134">
        <f t="shared" ref="H8:H38" si="5">F8</f>
        <v>25</v>
      </c>
      <c r="I8" s="341" t="str">
        <f t="shared" ref="I8:I38" si="6">MID(J8,1,2)&amp;"K"&amp;MID(J8,4,10)</f>
        <v>ELK-의류</v>
      </c>
      <c r="J8" s="112" t="s">
        <v>41</v>
      </c>
      <c r="K8" s="121">
        <f>IF(ISERROR(VLOOKUP(I8,[2]기획현황요약!$B$6:$T$30,19,FALSE))=TRUE,0,VLOOKUP(I8,[2]기획현황요약!$B$6:$T$30,19,FALSE))</f>
        <v>47.966793789894957</v>
      </c>
      <c r="L8" s="122"/>
      <c r="M8" s="134">
        <f t="shared" ref="M8:M38" si="7">SUMIF($X:$X,M$3&amp;J8,$AD:$AD)</f>
        <v>45</v>
      </c>
      <c r="N8" s="134">
        <f t="shared" ref="N8:N38" si="8">SUMIF($X:$X,M$3&amp;J8,$AE:$AE)</f>
        <v>42</v>
      </c>
      <c r="O8" s="134">
        <f t="shared" ref="O8:O38" si="9">SUMIF($X:$X,O$3&amp;J8,$AD:$AD)</f>
        <v>0</v>
      </c>
      <c r="P8" s="134">
        <f t="shared" ref="P8:P38" si="10">SUMIF($X:$X,O$3&amp;J8,$AE:$AE)</f>
        <v>0</v>
      </c>
      <c r="Q8" s="134">
        <f t="shared" ref="Q8:Q38" si="11">M8+O8</f>
        <v>45</v>
      </c>
      <c r="R8" s="134">
        <f t="shared" ref="R8:R38" si="12">N8+P8</f>
        <v>42</v>
      </c>
      <c r="S8" s="109"/>
      <c r="T8" s="109">
        <f t="shared" ref="T8:T15" si="13">C8+K8</f>
        <v>83.93244306673742</v>
      </c>
      <c r="U8" s="109">
        <f t="shared" ref="U8:U15" si="14">G8+Q8</f>
        <v>73</v>
      </c>
      <c r="V8" s="267">
        <f t="shared" ref="V8:V33" si="15">IF(ISERROR(U8/T8)=TRUE,0,U8/T8)</f>
        <v>0.86974711247181646</v>
      </c>
      <c r="W8" s="267"/>
      <c r="X8" s="248" t="str">
        <f t="shared" si="1"/>
        <v>ADULTELS-의류</v>
      </c>
      <c r="Y8" s="249" t="str">
        <f t="shared" si="0"/>
        <v>ADULT</v>
      </c>
      <c r="Z8" s="249" t="str">
        <f t="shared" si="0"/>
        <v>ELS-의류</v>
      </c>
      <c r="AA8" s="49"/>
      <c r="AB8" s="49"/>
      <c r="AC8" s="65" t="s">
        <v>24</v>
      </c>
      <c r="AD8" s="72">
        <v>5</v>
      </c>
      <c r="AE8" s="76">
        <v>5</v>
      </c>
      <c r="AF8" s="358">
        <v>0</v>
      </c>
    </row>
    <row r="9" spans="1:54">
      <c r="B9" s="112" t="s">
        <v>30</v>
      </c>
      <c r="C9" s="121">
        <f>IF(ISERROR(VLOOKUP(B9,[1]기획현황요약!$B$6:$T$36,19,FALSE))=TRUE,0,VLOOKUP(B9,[1]기획현황요약!$B$6:$T$36,19,FALSE))</f>
        <v>20.16067537317813</v>
      </c>
      <c r="D9" s="122"/>
      <c r="E9" s="134">
        <f t="shared" si="2"/>
        <v>6</v>
      </c>
      <c r="F9" s="134">
        <f t="shared" si="3"/>
        <v>6</v>
      </c>
      <c r="G9" s="134">
        <f t="shared" si="4"/>
        <v>6</v>
      </c>
      <c r="H9" s="134">
        <f t="shared" si="5"/>
        <v>6</v>
      </c>
      <c r="I9" s="341" t="str">
        <f t="shared" si="6"/>
        <v>ELK-가방</v>
      </c>
      <c r="J9" s="112" t="s">
        <v>30</v>
      </c>
      <c r="K9" s="121">
        <f>IF(ISERROR(VLOOKUP(I9,[2]기획현황요약!$B$6:$T$30,19,FALSE))=TRUE,0,VLOOKUP(I9,[2]기획현황요약!$B$6:$T$30,19,FALSE))</f>
        <v>7.4873217018671401</v>
      </c>
      <c r="L9" s="122"/>
      <c r="M9" s="134">
        <f t="shared" si="7"/>
        <v>2</v>
      </c>
      <c r="N9" s="134">
        <f t="shared" si="8"/>
        <v>2</v>
      </c>
      <c r="O9" s="134">
        <f t="shared" si="9"/>
        <v>0</v>
      </c>
      <c r="P9" s="134">
        <f t="shared" si="10"/>
        <v>0</v>
      </c>
      <c r="Q9" s="134">
        <f t="shared" si="11"/>
        <v>2</v>
      </c>
      <c r="R9" s="134">
        <f t="shared" si="12"/>
        <v>2</v>
      </c>
      <c r="S9" s="109"/>
      <c r="T9" s="109">
        <f t="shared" si="13"/>
        <v>27.647997075045268</v>
      </c>
      <c r="U9" s="109">
        <f t="shared" si="14"/>
        <v>8</v>
      </c>
      <c r="V9" s="267">
        <f t="shared" si="15"/>
        <v>0.28935188246314952</v>
      </c>
      <c r="W9" s="267"/>
      <c r="X9" s="248" t="str">
        <f t="shared" si="1"/>
        <v>ADULTELS-의류</v>
      </c>
      <c r="Y9" s="249" t="str">
        <f t="shared" si="0"/>
        <v>ADULT</v>
      </c>
      <c r="Z9" s="249" t="str">
        <f t="shared" si="0"/>
        <v>ELS-의류</v>
      </c>
      <c r="AA9" s="49"/>
      <c r="AB9" s="49"/>
      <c r="AC9" s="65" t="s">
        <v>27</v>
      </c>
      <c r="AD9" s="72">
        <v>13</v>
      </c>
      <c r="AE9" s="76">
        <v>10</v>
      </c>
      <c r="AF9" s="358">
        <v>3</v>
      </c>
    </row>
    <row r="10" spans="1:54">
      <c r="B10" s="112" t="s">
        <v>58</v>
      </c>
      <c r="C10" s="121">
        <f>IF(ISERROR(VLOOKUP(B10,[1]기획현황요약!$B$6:$T$36,19,FALSE))=TRUE,0,VLOOKUP(B10,[1]기획현황요약!$B$6:$T$36,19,FALSE))</f>
        <v>4.4121753920150759</v>
      </c>
      <c r="D10" s="122"/>
      <c r="E10" s="134">
        <f>SUMIF($X:$X,E$3&amp;B10,$AD:$AD)</f>
        <v>2</v>
      </c>
      <c r="F10" s="134">
        <f t="shared" si="3"/>
        <v>2</v>
      </c>
      <c r="G10" s="134">
        <f t="shared" si="4"/>
        <v>2</v>
      </c>
      <c r="H10" s="134">
        <f t="shared" si="5"/>
        <v>2</v>
      </c>
      <c r="I10" s="341" t="str">
        <f t="shared" si="6"/>
        <v>ELK-ACC</v>
      </c>
      <c r="J10" s="112" t="s">
        <v>58</v>
      </c>
      <c r="K10" s="121">
        <f>IF(ISERROR(VLOOKUP(I10,[2]기획현황요약!$B$6:$T$30,19,FALSE))=TRUE,0,VLOOKUP(I10,[2]기획현황요약!$B$6:$T$30,19,FALSE))</f>
        <v>5.226726495726485</v>
      </c>
      <c r="L10" s="122"/>
      <c r="M10" s="134">
        <f t="shared" si="7"/>
        <v>2</v>
      </c>
      <c r="N10" s="134">
        <f t="shared" si="8"/>
        <v>2</v>
      </c>
      <c r="O10" s="134">
        <f t="shared" si="9"/>
        <v>0</v>
      </c>
      <c r="P10" s="134">
        <f t="shared" si="10"/>
        <v>0</v>
      </c>
      <c r="Q10" s="134">
        <f t="shared" si="11"/>
        <v>2</v>
      </c>
      <c r="R10" s="134">
        <f t="shared" si="12"/>
        <v>2</v>
      </c>
      <c r="S10" s="109"/>
      <c r="T10" s="109">
        <f t="shared" si="13"/>
        <v>9.6389018877415609</v>
      </c>
      <c r="U10" s="109">
        <f t="shared" si="14"/>
        <v>4</v>
      </c>
      <c r="V10" s="267">
        <f t="shared" si="15"/>
        <v>0.4149850311358671</v>
      </c>
      <c r="W10" s="267"/>
      <c r="X10" s="248" t="str">
        <f t="shared" si="1"/>
        <v>ADULTELS-의류</v>
      </c>
      <c r="Y10" s="249" t="str">
        <f t="shared" si="0"/>
        <v>ADULT</v>
      </c>
      <c r="Z10" s="249" t="str">
        <f t="shared" si="0"/>
        <v>ELS-의류</v>
      </c>
      <c r="AA10" s="49"/>
      <c r="AB10" s="49"/>
      <c r="AC10" s="65" t="s">
        <v>1789</v>
      </c>
      <c r="AD10" s="72">
        <v>3</v>
      </c>
      <c r="AE10" s="76">
        <v>3</v>
      </c>
      <c r="AF10" s="358">
        <v>0</v>
      </c>
    </row>
    <row r="11" spans="1:54">
      <c r="B11" s="112" t="s">
        <v>47</v>
      </c>
      <c r="C11" s="121">
        <f>IF(ISERROR(VLOOKUP(B11,[1]기획현황요약!$B$6:$T$36,19,FALSE))=TRUE,0,VLOOKUP(B11,[1]기획현황요약!$B$6:$T$36,19,FALSE))</f>
        <v>45.567338450298152</v>
      </c>
      <c r="D11" s="122"/>
      <c r="E11" s="134">
        <f t="shared" si="2"/>
        <v>0</v>
      </c>
      <c r="F11" s="134">
        <f t="shared" si="3"/>
        <v>0</v>
      </c>
      <c r="G11" s="134">
        <f t="shared" si="4"/>
        <v>0</v>
      </c>
      <c r="H11" s="134">
        <f t="shared" si="5"/>
        <v>0</v>
      </c>
      <c r="I11" s="341" t="str">
        <f t="shared" si="6"/>
        <v>SMK</v>
      </c>
      <c r="J11" s="112" t="s">
        <v>47</v>
      </c>
      <c r="K11" s="121">
        <f>IF(ISERROR(VLOOKUP(I11,[2]기획현황요약!$B$6:$T$30,19,FALSE))=TRUE,0,VLOOKUP(I11,[2]기획현황요약!$B$6:$T$30,19,FALSE))</f>
        <v>64.342069841269719</v>
      </c>
      <c r="L11" s="122"/>
      <c r="M11" s="134">
        <f t="shared" si="7"/>
        <v>0</v>
      </c>
      <c r="N11" s="134">
        <f t="shared" si="8"/>
        <v>0</v>
      </c>
      <c r="O11" s="134">
        <f t="shared" si="9"/>
        <v>0</v>
      </c>
      <c r="P11" s="134">
        <f t="shared" si="10"/>
        <v>0</v>
      </c>
      <c r="Q11" s="134">
        <f t="shared" si="11"/>
        <v>0</v>
      </c>
      <c r="R11" s="134">
        <f t="shared" si="12"/>
        <v>0</v>
      </c>
      <c r="S11" s="109"/>
      <c r="T11" s="109">
        <f t="shared" si="13"/>
        <v>109.90940829156787</v>
      </c>
      <c r="U11" s="109">
        <f t="shared" si="14"/>
        <v>0</v>
      </c>
      <c r="V11" s="267">
        <f t="shared" si="15"/>
        <v>0</v>
      </c>
      <c r="W11" s="267"/>
      <c r="X11" s="248" t="str">
        <f t="shared" si="1"/>
        <v>ADULTELS-의류 요약</v>
      </c>
      <c r="Y11" s="249" t="str">
        <f t="shared" si="0"/>
        <v>ADULT</v>
      </c>
      <c r="Z11" s="249" t="str">
        <f t="shared" si="0"/>
        <v>ELS-의류 요약</v>
      </c>
      <c r="AA11" s="49"/>
      <c r="AB11" s="50" t="s">
        <v>1454</v>
      </c>
      <c r="AC11" s="51"/>
      <c r="AD11" s="73">
        <v>28</v>
      </c>
      <c r="AE11" s="143">
        <v>25</v>
      </c>
      <c r="AF11" s="68">
        <v>3</v>
      </c>
    </row>
    <row r="12" spans="1:54">
      <c r="B12" s="112" t="s">
        <v>1093</v>
      </c>
      <c r="C12" s="121">
        <f>IF(ISERROR(VLOOKUP(B12,[1]기획현황요약!$B$6:$T$36,19,FALSE))=TRUE,0,VLOOKUP(B12,[1]기획현황요약!$B$6:$T$36,19,FALSE))</f>
        <v>0</v>
      </c>
      <c r="D12" s="122"/>
      <c r="E12" s="134">
        <f t="shared" si="2"/>
        <v>0</v>
      </c>
      <c r="F12" s="134">
        <f t="shared" si="3"/>
        <v>0</v>
      </c>
      <c r="G12" s="134">
        <f t="shared" si="4"/>
        <v>0</v>
      </c>
      <c r="H12" s="134">
        <f t="shared" si="5"/>
        <v>0</v>
      </c>
      <c r="I12" s="341" t="str">
        <f t="shared" si="6"/>
        <v>SMK-의류</v>
      </c>
      <c r="J12" s="112" t="s">
        <v>1093</v>
      </c>
      <c r="K12" s="121">
        <f>IF(ISERROR(VLOOKUP(I12,[2]기획현황요약!$B$6:$T$30,19,FALSE))=TRUE,0,VLOOKUP(I12,[2]기획현황요약!$B$6:$T$30,19,FALSE))</f>
        <v>16.47210774410771</v>
      </c>
      <c r="L12" s="122"/>
      <c r="M12" s="134">
        <f t="shared" si="7"/>
        <v>0</v>
      </c>
      <c r="N12" s="134">
        <f t="shared" si="8"/>
        <v>0</v>
      </c>
      <c r="O12" s="134">
        <f t="shared" si="9"/>
        <v>0</v>
      </c>
      <c r="P12" s="134">
        <f t="shared" si="10"/>
        <v>0</v>
      </c>
      <c r="Q12" s="134">
        <f t="shared" si="11"/>
        <v>0</v>
      </c>
      <c r="R12" s="134">
        <f t="shared" si="12"/>
        <v>0</v>
      </c>
      <c r="S12" s="109"/>
      <c r="T12" s="109">
        <f t="shared" si="13"/>
        <v>16.47210774410771</v>
      </c>
      <c r="U12" s="109">
        <f t="shared" si="14"/>
        <v>0</v>
      </c>
      <c r="V12" s="267">
        <f t="shared" si="15"/>
        <v>0</v>
      </c>
      <c r="W12" s="267"/>
      <c r="X12" s="248" t="str">
        <f t="shared" si="1"/>
        <v>ADULTELS-가방</v>
      </c>
      <c r="Y12" s="249" t="str">
        <f t="shared" si="0"/>
        <v>ADULT</v>
      </c>
      <c r="Z12" s="249" t="str">
        <f t="shared" si="0"/>
        <v>ELS-가방</v>
      </c>
      <c r="AA12" s="49"/>
      <c r="AB12" s="38" t="s">
        <v>30</v>
      </c>
      <c r="AC12" s="38" t="s">
        <v>31</v>
      </c>
      <c r="AD12" s="71">
        <v>4</v>
      </c>
      <c r="AE12" s="141">
        <v>4</v>
      </c>
      <c r="AF12" s="64">
        <v>0</v>
      </c>
    </row>
    <row r="13" spans="1:54">
      <c r="B13" s="112" t="s">
        <v>1094</v>
      </c>
      <c r="C13" s="121">
        <f>IF(ISERROR(VLOOKUP(B13,[1]기획현황요약!$B$6:$T$36,19,FALSE))=TRUE,0,VLOOKUP(B13,[1]기획현황요약!$B$6:$T$36,19,FALSE))</f>
        <v>0</v>
      </c>
      <c r="D13" s="122"/>
      <c r="E13" s="134">
        <f t="shared" si="2"/>
        <v>0</v>
      </c>
      <c r="F13" s="134">
        <f t="shared" si="3"/>
        <v>0</v>
      </c>
      <c r="G13" s="134">
        <f t="shared" si="4"/>
        <v>0</v>
      </c>
      <c r="H13" s="134">
        <f t="shared" si="5"/>
        <v>0</v>
      </c>
      <c r="I13" s="341" t="str">
        <f t="shared" si="6"/>
        <v>SMK-가방</v>
      </c>
      <c r="J13" s="112" t="s">
        <v>1094</v>
      </c>
      <c r="K13" s="121">
        <f>IF(ISERROR(VLOOKUP(I13,[2]기획현황요약!$B$6:$T$30,19,FALSE))=TRUE,0,VLOOKUP(I13,[2]기획현황요약!$B$6:$T$30,19,FALSE))</f>
        <v>0</v>
      </c>
      <c r="L13" s="122"/>
      <c r="M13" s="134">
        <f t="shared" si="7"/>
        <v>0</v>
      </c>
      <c r="N13" s="134">
        <f t="shared" si="8"/>
        <v>0</v>
      </c>
      <c r="O13" s="134">
        <f t="shared" si="9"/>
        <v>0</v>
      </c>
      <c r="P13" s="134">
        <f t="shared" si="10"/>
        <v>0</v>
      </c>
      <c r="Q13" s="134">
        <f t="shared" si="11"/>
        <v>0</v>
      </c>
      <c r="R13" s="134">
        <f t="shared" si="12"/>
        <v>0</v>
      </c>
      <c r="S13" s="109"/>
      <c r="T13" s="109">
        <f t="shared" si="13"/>
        <v>0</v>
      </c>
      <c r="U13" s="109">
        <f t="shared" si="14"/>
        <v>0</v>
      </c>
      <c r="V13" s="267">
        <f t="shared" si="15"/>
        <v>0</v>
      </c>
      <c r="W13" s="267"/>
      <c r="X13" s="248" t="str">
        <f t="shared" si="1"/>
        <v>ADULTELS-가방</v>
      </c>
      <c r="Y13" s="249" t="str">
        <f t="shared" si="0"/>
        <v>ADULT</v>
      </c>
      <c r="Z13" s="249" t="str">
        <f t="shared" si="0"/>
        <v>ELS-가방</v>
      </c>
      <c r="AA13" s="49"/>
      <c r="AB13" s="49"/>
      <c r="AC13" s="65" t="s">
        <v>1835</v>
      </c>
      <c r="AD13" s="72">
        <v>2</v>
      </c>
      <c r="AE13" s="76">
        <v>2</v>
      </c>
      <c r="AF13" s="67">
        <v>0</v>
      </c>
    </row>
    <row r="14" spans="1:54">
      <c r="B14" s="112" t="s">
        <v>863</v>
      </c>
      <c r="C14" s="121">
        <f>IF(ISERROR(VLOOKUP(B14,[1]기획현황요약!$B$6:$T$36,19,FALSE))=TRUE,0,VLOOKUP(B14,[1]기획현황요약!$B$6:$T$36,19,FALSE))</f>
        <v>15.232510281956809</v>
      </c>
      <c r="D14" s="122"/>
      <c r="E14" s="134">
        <f t="shared" si="2"/>
        <v>15</v>
      </c>
      <c r="F14" s="134">
        <f t="shared" si="3"/>
        <v>14</v>
      </c>
      <c r="G14" s="134">
        <f t="shared" si="4"/>
        <v>15</v>
      </c>
      <c r="H14" s="134">
        <f t="shared" si="5"/>
        <v>14</v>
      </c>
      <c r="I14" s="341" t="str">
        <f t="shared" si="6"/>
        <v>NAK</v>
      </c>
      <c r="J14" s="112" t="s">
        <v>863</v>
      </c>
      <c r="K14" s="121">
        <f>IF(ISERROR(VLOOKUP(I14,[2]기획현황요약!$B$6:$T$30,19,FALSE))=TRUE,0,VLOOKUP(I14,[2]기획현황요약!$B$6:$T$30,19,FALSE))</f>
        <v>5.4357955555555444</v>
      </c>
      <c r="L14" s="122"/>
      <c r="M14" s="134">
        <f t="shared" si="7"/>
        <v>0</v>
      </c>
      <c r="N14" s="134">
        <f t="shared" si="8"/>
        <v>0</v>
      </c>
      <c r="O14" s="134">
        <f t="shared" si="9"/>
        <v>0</v>
      </c>
      <c r="P14" s="134">
        <f t="shared" si="10"/>
        <v>0</v>
      </c>
      <c r="Q14" s="134">
        <f t="shared" si="11"/>
        <v>0</v>
      </c>
      <c r="R14" s="134">
        <f t="shared" si="12"/>
        <v>0</v>
      </c>
      <c r="S14" s="243"/>
      <c r="T14" s="109">
        <f t="shared" si="13"/>
        <v>20.668305837512353</v>
      </c>
      <c r="U14" s="109">
        <f t="shared" si="14"/>
        <v>15</v>
      </c>
      <c r="V14" s="267">
        <f t="shared" si="15"/>
        <v>0.72574888904418333</v>
      </c>
      <c r="W14" s="267"/>
      <c r="X14" s="248" t="str">
        <f t="shared" si="1"/>
        <v>ADULTELS-가방 요약</v>
      </c>
      <c r="Y14" s="249" t="str">
        <f t="shared" si="0"/>
        <v>ADULT</v>
      </c>
      <c r="Z14" s="249" t="str">
        <f t="shared" si="0"/>
        <v>ELS-가방 요약</v>
      </c>
      <c r="AA14" s="49"/>
      <c r="AB14" s="50" t="s">
        <v>1907</v>
      </c>
      <c r="AC14" s="51"/>
      <c r="AD14" s="73">
        <v>6</v>
      </c>
      <c r="AE14" s="143">
        <v>6</v>
      </c>
      <c r="AF14" s="68">
        <v>0</v>
      </c>
    </row>
    <row r="15" spans="1:54">
      <c r="B15" s="112" t="s">
        <v>40</v>
      </c>
      <c r="C15" s="121">
        <f>IF(ISERROR(VLOOKUP(B15,[1]기획현황요약!$B$6:$T$36,19,FALSE))=TRUE,0,VLOOKUP(B15,[1]기획현황요약!$B$6:$T$36,19,FALSE))</f>
        <v>11.373607677194416</v>
      </c>
      <c r="D15" s="122"/>
      <c r="E15" s="134">
        <f t="shared" si="2"/>
        <v>11</v>
      </c>
      <c r="F15" s="134">
        <f t="shared" si="3"/>
        <v>11</v>
      </c>
      <c r="G15" s="134">
        <f t="shared" si="4"/>
        <v>11</v>
      </c>
      <c r="H15" s="134">
        <f t="shared" si="5"/>
        <v>11</v>
      </c>
      <c r="I15" s="341" t="str">
        <f t="shared" si="6"/>
        <v>NOK</v>
      </c>
      <c r="J15" s="112" t="s">
        <v>40</v>
      </c>
      <c r="K15" s="121">
        <f>IF(ISERROR(VLOOKUP(I15,[2]기획현황요약!$B$6:$T$30,19,FALSE))=TRUE,0,VLOOKUP(I15,[2]기획현황요약!$B$6:$T$30,19,FALSE))</f>
        <v>8.8489695090439096</v>
      </c>
      <c r="L15" s="122"/>
      <c r="M15" s="134">
        <f t="shared" si="7"/>
        <v>0</v>
      </c>
      <c r="N15" s="134">
        <f t="shared" si="8"/>
        <v>0</v>
      </c>
      <c r="O15" s="134">
        <f t="shared" si="9"/>
        <v>0</v>
      </c>
      <c r="P15" s="134">
        <f t="shared" si="10"/>
        <v>0</v>
      </c>
      <c r="Q15" s="134">
        <f t="shared" si="11"/>
        <v>0</v>
      </c>
      <c r="R15" s="134">
        <f t="shared" si="12"/>
        <v>0</v>
      </c>
      <c r="S15" s="109"/>
      <c r="T15" s="109">
        <f t="shared" si="13"/>
        <v>20.222577186238325</v>
      </c>
      <c r="U15" s="109">
        <f t="shared" si="14"/>
        <v>11</v>
      </c>
      <c r="V15" s="267">
        <f t="shared" si="15"/>
        <v>0.54394649597310551</v>
      </c>
      <c r="W15" s="267"/>
      <c r="X15" s="248" t="str">
        <f t="shared" si="1"/>
        <v>ADULTELS-ACC</v>
      </c>
      <c r="Y15" s="249" t="str">
        <f t="shared" si="0"/>
        <v>ADULT</v>
      </c>
      <c r="Z15" s="249" t="str">
        <f t="shared" si="0"/>
        <v>ELS-ACC</v>
      </c>
      <c r="AA15" s="49"/>
      <c r="AB15" s="38" t="s">
        <v>58</v>
      </c>
      <c r="AC15" s="38" t="s">
        <v>55</v>
      </c>
      <c r="AD15" s="71">
        <v>2</v>
      </c>
      <c r="AE15" s="141">
        <v>2</v>
      </c>
      <c r="AF15" s="64">
        <v>0</v>
      </c>
    </row>
    <row r="16" spans="1:54">
      <c r="B16" s="112" t="s">
        <v>1920</v>
      </c>
      <c r="C16" s="121">
        <f>IF(ISERROR(VLOOKUP(B16,[1]기획현황요약!$B$6:$T$36,19,FALSE))=TRUE,0,VLOOKUP(B16,[1]기획현황요약!$B$6:$T$36,19,FALSE))</f>
        <v>2.5849108357260042</v>
      </c>
      <c r="D16" s="122"/>
      <c r="E16" s="134">
        <f t="shared" si="2"/>
        <v>0</v>
      </c>
      <c r="F16" s="134">
        <f t="shared" si="3"/>
        <v>0</v>
      </c>
      <c r="G16" s="134">
        <f t="shared" si="4"/>
        <v>0</v>
      </c>
      <c r="H16" s="134">
        <f t="shared" si="5"/>
        <v>0</v>
      </c>
      <c r="I16" s="341" t="str">
        <f t="shared" si="6"/>
        <v>NOK-가방</v>
      </c>
      <c r="J16" s="112" t="s">
        <v>1920</v>
      </c>
      <c r="K16" s="121"/>
      <c r="L16" s="122"/>
      <c r="M16" s="134">
        <f t="shared" si="7"/>
        <v>0</v>
      </c>
      <c r="N16" s="134">
        <f t="shared" si="8"/>
        <v>0</v>
      </c>
      <c r="O16" s="134">
        <f t="shared" si="9"/>
        <v>0</v>
      </c>
      <c r="P16" s="134">
        <f t="shared" si="10"/>
        <v>0</v>
      </c>
      <c r="Q16" s="134">
        <f t="shared" si="11"/>
        <v>0</v>
      </c>
      <c r="R16" s="134">
        <f t="shared" si="12"/>
        <v>0</v>
      </c>
      <c r="S16" s="109"/>
      <c r="T16" s="109">
        <f>C17+K17</f>
        <v>96.186752855983315</v>
      </c>
      <c r="U16" s="109">
        <f>G17+Q17</f>
        <v>42</v>
      </c>
      <c r="V16" s="267">
        <f t="shared" si="15"/>
        <v>0.43665056520709217</v>
      </c>
      <c r="W16" s="267"/>
      <c r="X16" s="248" t="str">
        <f t="shared" si="1"/>
        <v>ADULTELS-ACC 요약</v>
      </c>
      <c r="Y16" s="249" t="str">
        <f t="shared" si="0"/>
        <v>ADULT</v>
      </c>
      <c r="Z16" s="249" t="str">
        <f t="shared" si="0"/>
        <v>ELS-ACC 요약</v>
      </c>
      <c r="AA16" s="49"/>
      <c r="AB16" s="50" t="s">
        <v>1079</v>
      </c>
      <c r="AC16" s="51"/>
      <c r="AD16" s="73">
        <v>2</v>
      </c>
      <c r="AE16" s="143">
        <v>2</v>
      </c>
      <c r="AF16" s="68">
        <v>0</v>
      </c>
    </row>
    <row r="17" spans="2:32">
      <c r="B17" s="112" t="s">
        <v>893</v>
      </c>
      <c r="C17" s="268">
        <f>IF(ISERROR(VLOOKUP(B17,[1]기획현황요약!$B$6:$T$36,19,FALSE))=TRUE,0,VLOOKUP(B17,[1]기획현황요약!$B$6:$T$36,19,FALSE))</f>
        <v>49.594219522650079</v>
      </c>
      <c r="D17" s="269"/>
      <c r="E17" s="270">
        <f t="shared" si="2"/>
        <v>42</v>
      </c>
      <c r="F17" s="270">
        <f t="shared" si="3"/>
        <v>29</v>
      </c>
      <c r="G17" s="270">
        <f t="shared" si="4"/>
        <v>42</v>
      </c>
      <c r="H17" s="270">
        <f t="shared" si="5"/>
        <v>29</v>
      </c>
      <c r="I17" s="341" t="str">
        <f t="shared" si="6"/>
        <v>URK</v>
      </c>
      <c r="J17" s="112" t="s">
        <v>893</v>
      </c>
      <c r="K17" s="268">
        <f>IF(ISERROR(VLOOKUP(I17,[2]기획현황요약!$B$6:$T$30,19,FALSE))=TRUE,0,VLOOKUP(I17,[2]기획현황요약!$B$6:$T$30,19,FALSE))</f>
        <v>46.592533333333236</v>
      </c>
      <c r="L17" s="269"/>
      <c r="M17" s="270">
        <f t="shared" si="7"/>
        <v>0</v>
      </c>
      <c r="N17" s="270">
        <f t="shared" si="8"/>
        <v>0</v>
      </c>
      <c r="O17" s="270">
        <f t="shared" si="9"/>
        <v>0</v>
      </c>
      <c r="P17" s="270">
        <f t="shared" si="10"/>
        <v>0</v>
      </c>
      <c r="Q17" s="270">
        <f t="shared" si="11"/>
        <v>0</v>
      </c>
      <c r="R17" s="270">
        <f t="shared" si="12"/>
        <v>0</v>
      </c>
      <c r="S17" s="109"/>
      <c r="T17" s="109">
        <f>C30+K30</f>
        <v>17.105864118820985</v>
      </c>
      <c r="U17" s="109">
        <f>G30+Q30</f>
        <v>19</v>
      </c>
      <c r="V17" s="267">
        <f t="shared" si="15"/>
        <v>1.1107302073734446</v>
      </c>
      <c r="W17" s="267"/>
      <c r="X17" s="248" t="str">
        <f t="shared" si="1"/>
        <v>ADULTPLA-의류</v>
      </c>
      <c r="Y17" s="249" t="str">
        <f t="shared" si="0"/>
        <v>ADULT</v>
      </c>
      <c r="Z17" s="249" t="str">
        <f t="shared" si="0"/>
        <v>PLA-의류</v>
      </c>
      <c r="AA17" s="49"/>
      <c r="AB17" s="38" t="s">
        <v>786</v>
      </c>
      <c r="AC17" s="38" t="s">
        <v>25</v>
      </c>
      <c r="AD17" s="71">
        <v>4</v>
      </c>
      <c r="AE17" s="141">
        <v>4</v>
      </c>
      <c r="AF17" s="64">
        <v>0</v>
      </c>
    </row>
    <row r="18" spans="2:32">
      <c r="B18" s="112" t="s">
        <v>39</v>
      </c>
      <c r="C18" s="121">
        <f>IF(ISERROR(VLOOKUP(B18,[1]기획현황요약!$B$6:$T$36,19,FALSE))=TRUE,0,VLOOKUP(B18,[1]기획현황요약!$B$6:$T$36,19,FALSE))</f>
        <v>26.246786947371735</v>
      </c>
      <c r="D18" s="122"/>
      <c r="E18" s="134">
        <f t="shared" si="2"/>
        <v>13</v>
      </c>
      <c r="F18" s="134">
        <f t="shared" si="3"/>
        <v>13</v>
      </c>
      <c r="G18" s="134">
        <f t="shared" si="4"/>
        <v>13</v>
      </c>
      <c r="H18" s="134">
        <f t="shared" si="5"/>
        <v>13</v>
      </c>
      <c r="I18" s="341" t="str">
        <f t="shared" ref="I18:I24" si="16">MID(J18,1,2)&amp;"K"&amp;MID(J18,4,10)</f>
        <v>VBK</v>
      </c>
      <c r="J18" s="112" t="s">
        <v>39</v>
      </c>
      <c r="K18" s="121">
        <f>IF(ISERROR(VLOOKUP(I18,[2]기획현황요약!$B$6:$T$30,19,FALSE))=TRUE,0,VLOOKUP(I18,[2]기획현황요약!$B$6:$T$30,19,FALSE))</f>
        <v>31.60346253229968</v>
      </c>
      <c r="L18" s="122"/>
      <c r="M18" s="134">
        <f t="shared" si="7"/>
        <v>0</v>
      </c>
      <c r="N18" s="134">
        <f t="shared" si="8"/>
        <v>0</v>
      </c>
      <c r="O18" s="134">
        <f t="shared" si="9"/>
        <v>0</v>
      </c>
      <c r="P18" s="134">
        <f t="shared" si="10"/>
        <v>0</v>
      </c>
      <c r="Q18" s="134">
        <f t="shared" si="11"/>
        <v>0</v>
      </c>
      <c r="R18" s="134">
        <f t="shared" si="12"/>
        <v>0</v>
      </c>
      <c r="S18" s="109"/>
      <c r="T18" s="109">
        <f>C32+K32</f>
        <v>23.758611233279169</v>
      </c>
      <c r="U18" s="109">
        <f>G32+Q32</f>
        <v>12</v>
      </c>
      <c r="V18" s="267">
        <f t="shared" si="15"/>
        <v>0.50508002686585307</v>
      </c>
      <c r="W18" s="267"/>
      <c r="X18" s="248" t="str">
        <f t="shared" si="1"/>
        <v>ADULTPLA-의류</v>
      </c>
      <c r="Y18" s="249" t="str">
        <f t="shared" si="0"/>
        <v>ADULT</v>
      </c>
      <c r="Z18" s="249" t="str">
        <f t="shared" si="0"/>
        <v>PLA-의류</v>
      </c>
      <c r="AA18" s="49"/>
      <c r="AB18" s="49"/>
      <c r="AC18" s="65" t="s">
        <v>26</v>
      </c>
      <c r="AD18" s="72">
        <v>5</v>
      </c>
      <c r="AE18" s="76">
        <v>5</v>
      </c>
      <c r="AF18" s="67">
        <v>0</v>
      </c>
    </row>
    <row r="19" spans="2:32">
      <c r="B19" s="112" t="s">
        <v>1921</v>
      </c>
      <c r="C19" s="121">
        <f>IF(ISERROR(VLOOKUP(B19,[1]기획현황요약!$B$6:$T$36,19,FALSE))=TRUE,0,VLOOKUP(B19,[1]기획현황요약!$B$6:$T$36,19,FALSE))</f>
        <v>1.7950769692541695</v>
      </c>
      <c r="D19" s="122"/>
      <c r="E19" s="134">
        <f t="shared" si="2"/>
        <v>4</v>
      </c>
      <c r="F19" s="134">
        <f t="shared" si="3"/>
        <v>4</v>
      </c>
      <c r="G19" s="134">
        <f t="shared" si="4"/>
        <v>4</v>
      </c>
      <c r="H19" s="134">
        <f t="shared" si="5"/>
        <v>4</v>
      </c>
      <c r="I19" s="341" t="str">
        <f t="shared" si="16"/>
        <v>VBK-의류</v>
      </c>
      <c r="J19" s="112" t="s">
        <v>1921</v>
      </c>
      <c r="K19" s="121">
        <f>IF(ISERROR(VLOOKUP(I19,[2]기획현황요약!$B$6:$T$30,19,FALSE))=TRUE,0,VLOOKUP(I19,[2]기획현황요약!$B$6:$T$30,19,FALSE))</f>
        <v>0</v>
      </c>
      <c r="L19" s="122"/>
      <c r="M19" s="134">
        <f t="shared" si="7"/>
        <v>0</v>
      </c>
      <c r="N19" s="134">
        <f t="shared" si="8"/>
        <v>0</v>
      </c>
      <c r="O19" s="134">
        <f t="shared" si="9"/>
        <v>0</v>
      </c>
      <c r="P19" s="134">
        <f t="shared" si="10"/>
        <v>0</v>
      </c>
      <c r="Q19" s="134">
        <f t="shared" si="11"/>
        <v>0</v>
      </c>
      <c r="R19" s="134">
        <f t="shared" si="12"/>
        <v>0</v>
      </c>
      <c r="S19" s="109"/>
      <c r="T19" s="109">
        <f t="shared" ref="T19:T28" si="17">C20+K20</f>
        <v>29.209488608765991</v>
      </c>
      <c r="U19" s="109">
        <f t="shared" ref="U19:U28" si="18">G20+Q20</f>
        <v>16</v>
      </c>
      <c r="V19" s="267">
        <f t="shared" si="15"/>
        <v>0.54776720723546923</v>
      </c>
      <c r="W19" s="267"/>
      <c r="X19" s="248" t="str">
        <f t="shared" si="1"/>
        <v>ADULTPLA-의류</v>
      </c>
      <c r="Y19" s="249" t="str">
        <f t="shared" si="0"/>
        <v>ADULT</v>
      </c>
      <c r="Z19" s="249" t="str">
        <f t="shared" si="0"/>
        <v>PLA-의류</v>
      </c>
      <c r="AA19" s="49"/>
      <c r="AB19" s="49"/>
      <c r="AC19" s="65" t="s">
        <v>24</v>
      </c>
      <c r="AD19" s="72">
        <v>4</v>
      </c>
      <c r="AE19" s="76">
        <v>4</v>
      </c>
      <c r="AF19" s="67">
        <v>0</v>
      </c>
    </row>
    <row r="20" spans="2:32">
      <c r="B20" s="112" t="s">
        <v>864</v>
      </c>
      <c r="C20" s="121">
        <f>IF(ISERROR(VLOOKUP(B20,[1]기획현황요약!$B$6:$T$36,19,FALSE))=TRUE,0,VLOOKUP(B20,[1]기획현황요약!$B$6:$T$36,19,FALSE))</f>
        <v>17.349571033008438</v>
      </c>
      <c r="D20" s="122"/>
      <c r="E20" s="134">
        <f t="shared" si="2"/>
        <v>16</v>
      </c>
      <c r="F20" s="134">
        <f t="shared" si="3"/>
        <v>11</v>
      </c>
      <c r="G20" s="134">
        <f t="shared" si="4"/>
        <v>16</v>
      </c>
      <c r="H20" s="134">
        <f t="shared" si="5"/>
        <v>11</v>
      </c>
      <c r="I20" s="341" t="str">
        <f t="shared" si="16"/>
        <v>PLK</v>
      </c>
      <c r="J20" s="112" t="s">
        <v>864</v>
      </c>
      <c r="K20" s="121">
        <f>IF(ISERROR(VLOOKUP(I20,[2]기획현황요약!$B$6:$T$30,19,FALSE))=TRUE,0,VLOOKUP(I20,[2]기획현황요약!$B$6:$T$30,19,FALSE))</f>
        <v>11.859917575757553</v>
      </c>
      <c r="L20" s="122"/>
      <c r="M20" s="134">
        <f t="shared" si="7"/>
        <v>0</v>
      </c>
      <c r="N20" s="134">
        <f t="shared" si="8"/>
        <v>0</v>
      </c>
      <c r="O20" s="134">
        <f t="shared" si="9"/>
        <v>0</v>
      </c>
      <c r="P20" s="134">
        <f t="shared" si="10"/>
        <v>0</v>
      </c>
      <c r="Q20" s="134">
        <f t="shared" si="11"/>
        <v>0</v>
      </c>
      <c r="R20" s="134">
        <f t="shared" si="12"/>
        <v>0</v>
      </c>
      <c r="S20" s="109"/>
      <c r="T20" s="109">
        <f t="shared" si="17"/>
        <v>31.48963084281656</v>
      </c>
      <c r="U20" s="109">
        <f t="shared" si="18"/>
        <v>26</v>
      </c>
      <c r="V20" s="267">
        <f t="shared" si="15"/>
        <v>0.82566861865677099</v>
      </c>
      <c r="W20" s="267"/>
      <c r="X20" s="248" t="str">
        <f t="shared" si="1"/>
        <v>ADULTPLA-의류</v>
      </c>
      <c r="Y20" s="249" t="str">
        <f t="shared" si="0"/>
        <v>ADULT</v>
      </c>
      <c r="Z20" s="249" t="str">
        <f t="shared" si="0"/>
        <v>PLA-의류</v>
      </c>
      <c r="AA20" s="49"/>
      <c r="AB20" s="49"/>
      <c r="AC20" s="65" t="s">
        <v>27</v>
      </c>
      <c r="AD20" s="72">
        <v>7</v>
      </c>
      <c r="AE20" s="76">
        <v>7</v>
      </c>
      <c r="AF20" s="67">
        <v>0</v>
      </c>
    </row>
    <row r="21" spans="2:32">
      <c r="B21" s="112" t="s">
        <v>865</v>
      </c>
      <c r="C21" s="121">
        <f>IF(ISERROR(VLOOKUP(B21,[1]기획현황요약!$B$6:$T$36,19,FALSE))=TRUE,0,VLOOKUP(B21,[1]기획현황요약!$B$6:$T$36,19,FALSE))</f>
        <v>5.6868038385972088</v>
      </c>
      <c r="D21" s="122"/>
      <c r="E21" s="134">
        <f t="shared" si="2"/>
        <v>26</v>
      </c>
      <c r="F21" s="134">
        <f t="shared" si="3"/>
        <v>25</v>
      </c>
      <c r="G21" s="134">
        <f t="shared" si="4"/>
        <v>26</v>
      </c>
      <c r="H21" s="134">
        <f t="shared" si="5"/>
        <v>25</v>
      </c>
      <c r="I21" s="341" t="str">
        <f t="shared" si="16"/>
        <v>PLK-의류</v>
      </c>
      <c r="J21" s="112" t="s">
        <v>865</v>
      </c>
      <c r="K21" s="121">
        <f>IF(ISERROR(VLOOKUP(I21,[2]기획현황요약!$B$6:$T$30,19,FALSE))=TRUE,0,VLOOKUP(I21,[2]기획현황요약!$B$6:$T$30,19,FALSE))</f>
        <v>25.802827004219353</v>
      </c>
      <c r="L21" s="122"/>
      <c r="M21" s="134">
        <f t="shared" si="7"/>
        <v>0</v>
      </c>
      <c r="N21" s="134">
        <f t="shared" si="8"/>
        <v>0</v>
      </c>
      <c r="O21" s="134">
        <f t="shared" si="9"/>
        <v>0</v>
      </c>
      <c r="P21" s="134">
        <f t="shared" si="10"/>
        <v>0</v>
      </c>
      <c r="Q21" s="134">
        <f t="shared" si="11"/>
        <v>0</v>
      </c>
      <c r="R21" s="134">
        <f t="shared" si="12"/>
        <v>0</v>
      </c>
      <c r="S21" s="109"/>
      <c r="T21" s="109">
        <f t="shared" si="17"/>
        <v>2.5590617273687442</v>
      </c>
      <c r="U21" s="109">
        <f t="shared" si="18"/>
        <v>0</v>
      </c>
      <c r="V21" s="267">
        <f t="shared" si="15"/>
        <v>0</v>
      </c>
      <c r="W21" s="267"/>
      <c r="X21" s="248" t="str">
        <f t="shared" si="1"/>
        <v>ADULTPLA-의류</v>
      </c>
      <c r="Y21" s="249" t="str">
        <f t="shared" si="0"/>
        <v>ADULT</v>
      </c>
      <c r="Z21" s="249" t="str">
        <f t="shared" si="0"/>
        <v>PLA-의류</v>
      </c>
      <c r="AA21" s="49"/>
      <c r="AB21" s="49"/>
      <c r="AC21" s="65" t="s">
        <v>1789</v>
      </c>
      <c r="AD21" s="72">
        <v>6</v>
      </c>
      <c r="AE21" s="76">
        <v>5</v>
      </c>
      <c r="AF21" s="67">
        <v>1</v>
      </c>
    </row>
    <row r="22" spans="2:32" ht="14.25" thickBot="1">
      <c r="B22" s="113" t="s">
        <v>866</v>
      </c>
      <c r="C22" s="123">
        <f>IF(ISERROR(VLOOKUP(B22,[1]기획현황요약!$B$6:$T$36,19,FALSE))=TRUE,0,VLOOKUP(B22,[1]기획현황요약!$B$6:$T$36,19,FALSE))</f>
        <v>2.5590617273687442</v>
      </c>
      <c r="D22" s="124"/>
      <c r="E22" s="135">
        <f t="shared" si="2"/>
        <v>0</v>
      </c>
      <c r="F22" s="135">
        <f t="shared" si="3"/>
        <v>0</v>
      </c>
      <c r="G22" s="135">
        <f t="shared" si="4"/>
        <v>0</v>
      </c>
      <c r="H22" s="135">
        <f t="shared" si="5"/>
        <v>0</v>
      </c>
      <c r="I22" s="341" t="str">
        <f t="shared" si="16"/>
        <v>PLK-가방</v>
      </c>
      <c r="J22" s="113" t="s">
        <v>866</v>
      </c>
      <c r="K22" s="123">
        <f>IF(ISERROR(VLOOKUP(I22,[2]기획현황요약!$B$6:$T$30,19,FALSE))=TRUE,0,VLOOKUP(I22,[2]기획현황요약!$B$6:$T$30,19,FALSE))</f>
        <v>0</v>
      </c>
      <c r="L22" s="124"/>
      <c r="M22" s="135">
        <f t="shared" si="7"/>
        <v>0</v>
      </c>
      <c r="N22" s="135">
        <f t="shared" si="8"/>
        <v>0</v>
      </c>
      <c r="O22" s="135">
        <f t="shared" si="9"/>
        <v>0</v>
      </c>
      <c r="P22" s="135">
        <f t="shared" si="10"/>
        <v>0</v>
      </c>
      <c r="Q22" s="135">
        <f t="shared" si="11"/>
        <v>0</v>
      </c>
      <c r="R22" s="135">
        <f t="shared" si="12"/>
        <v>0</v>
      </c>
      <c r="S22" s="109"/>
      <c r="T22" s="109">
        <f t="shared" si="17"/>
        <v>39.176904904904831</v>
      </c>
      <c r="U22" s="109">
        <f t="shared" si="18"/>
        <v>160</v>
      </c>
      <c r="V22" s="267">
        <f t="shared" si="15"/>
        <v>4.0840388077713738</v>
      </c>
      <c r="W22" s="267"/>
      <c r="X22" s="248" t="str">
        <f t="shared" si="1"/>
        <v>ADULTPLA-의류 요약</v>
      </c>
      <c r="Y22" s="249" t="str">
        <f t="shared" si="0"/>
        <v>ADULT</v>
      </c>
      <c r="Z22" s="249" t="str">
        <f t="shared" si="0"/>
        <v>PLA-의류 요약</v>
      </c>
      <c r="AA22" s="49"/>
      <c r="AB22" s="50" t="s">
        <v>1908</v>
      </c>
      <c r="AC22" s="51"/>
      <c r="AD22" s="73">
        <v>26</v>
      </c>
      <c r="AE22" s="143">
        <v>25</v>
      </c>
      <c r="AF22" s="68">
        <v>1</v>
      </c>
    </row>
    <row r="23" spans="2:32">
      <c r="B23" s="114" t="s">
        <v>32</v>
      </c>
      <c r="C23" s="125">
        <f>IF(ISERROR(VLOOKUP(B23,[1]기획현황요약!$B$6:$T$36,19,FALSE))=TRUE,0,VLOOKUP(B23,[1]기획현황요약!$B$6:$T$36,19,FALSE))</f>
        <v>0</v>
      </c>
      <c r="D23" s="126"/>
      <c r="E23" s="136">
        <f t="shared" si="2"/>
        <v>160</v>
      </c>
      <c r="F23" s="136">
        <f t="shared" si="3"/>
        <v>149</v>
      </c>
      <c r="G23" s="136">
        <f t="shared" si="4"/>
        <v>160</v>
      </c>
      <c r="H23" s="136">
        <f t="shared" si="5"/>
        <v>149</v>
      </c>
      <c r="I23" s="341" t="str">
        <f t="shared" si="16"/>
        <v>JIK</v>
      </c>
      <c r="J23" s="114" t="s">
        <v>32</v>
      </c>
      <c r="K23" s="125">
        <f>IF(ISERROR(VLOOKUP(I23,[2]기획현황요약!$B$6:$T$30,19,FALSE))=TRUE,0,VLOOKUP(I23,[2]기획현황요약!$B$6:$T$30,19,FALSE))</f>
        <v>39.176904904904831</v>
      </c>
      <c r="L23" s="126"/>
      <c r="M23" s="136">
        <f t="shared" si="7"/>
        <v>0</v>
      </c>
      <c r="N23" s="136">
        <f t="shared" si="8"/>
        <v>0</v>
      </c>
      <c r="O23" s="136">
        <f t="shared" si="9"/>
        <v>0</v>
      </c>
      <c r="P23" s="136">
        <f t="shared" si="10"/>
        <v>0</v>
      </c>
      <c r="Q23" s="136">
        <f t="shared" si="11"/>
        <v>0</v>
      </c>
      <c r="R23" s="136">
        <f t="shared" si="12"/>
        <v>0</v>
      </c>
      <c r="S23" s="109"/>
      <c r="T23" s="109">
        <f t="shared" si="17"/>
        <v>4.1813811965811887</v>
      </c>
      <c r="U23" s="109">
        <f t="shared" si="18"/>
        <v>4</v>
      </c>
      <c r="V23" s="267">
        <f t="shared" si="15"/>
        <v>0.9566217027212226</v>
      </c>
      <c r="W23" s="267"/>
      <c r="X23" s="248" t="str">
        <f t="shared" si="1"/>
        <v>ADULTJIL-ACC</v>
      </c>
      <c r="Y23" s="249" t="str">
        <f t="shared" si="0"/>
        <v>ADULT</v>
      </c>
      <c r="Z23" s="249" t="str">
        <f t="shared" si="0"/>
        <v>JIL-ACC</v>
      </c>
      <c r="AA23" s="49"/>
      <c r="AB23" s="38" t="s">
        <v>787</v>
      </c>
      <c r="AC23" s="38" t="s">
        <v>55</v>
      </c>
      <c r="AD23" s="71">
        <v>1</v>
      </c>
      <c r="AE23" s="141">
        <v>1</v>
      </c>
      <c r="AF23" s="357">
        <v>0</v>
      </c>
    </row>
    <row r="24" spans="2:32">
      <c r="B24" s="112" t="s">
        <v>867</v>
      </c>
      <c r="C24" s="121">
        <f>IF(ISERROR(VLOOKUP(B24,[1]기획현황요약!$B$6:$T$36,19,FALSE))=TRUE,0,VLOOKUP(B24,[1]기획현황요약!$B$6:$T$36,19,FALSE))</f>
        <v>0</v>
      </c>
      <c r="D24" s="122"/>
      <c r="E24" s="134">
        <f t="shared" si="2"/>
        <v>4</v>
      </c>
      <c r="F24" s="134">
        <f t="shared" si="3"/>
        <v>1</v>
      </c>
      <c r="G24" s="134">
        <f t="shared" si="4"/>
        <v>4</v>
      </c>
      <c r="H24" s="134">
        <f t="shared" si="5"/>
        <v>1</v>
      </c>
      <c r="I24" s="341" t="str">
        <f t="shared" si="16"/>
        <v>JIK-ACC</v>
      </c>
      <c r="J24" s="112" t="s">
        <v>867</v>
      </c>
      <c r="K24" s="121">
        <f>IF(ISERROR(VLOOKUP(I24,[2]기획현황요약!$B$6:$T$30,19,FALSE))=TRUE,0,VLOOKUP(I24,[2]기획현황요약!$B$6:$T$30,19,FALSE))</f>
        <v>4.1813811965811887</v>
      </c>
      <c r="L24" s="122"/>
      <c r="M24" s="134">
        <f t="shared" si="7"/>
        <v>0</v>
      </c>
      <c r="N24" s="134">
        <f t="shared" si="8"/>
        <v>0</v>
      </c>
      <c r="O24" s="134">
        <f t="shared" si="9"/>
        <v>0</v>
      </c>
      <c r="P24" s="134">
        <f t="shared" si="10"/>
        <v>0</v>
      </c>
      <c r="Q24" s="134">
        <f t="shared" si="11"/>
        <v>0</v>
      </c>
      <c r="R24" s="134">
        <f t="shared" si="12"/>
        <v>0</v>
      </c>
      <c r="S24" s="109"/>
      <c r="T24" s="109">
        <f t="shared" si="17"/>
        <v>0</v>
      </c>
      <c r="U24" s="109">
        <f t="shared" si="18"/>
        <v>0</v>
      </c>
      <c r="V24" s="267">
        <f t="shared" si="15"/>
        <v>0</v>
      </c>
      <c r="W24" s="267"/>
      <c r="X24" s="248" t="str">
        <f t="shared" si="1"/>
        <v>ADULTJIL-ACC</v>
      </c>
      <c r="Y24" s="249" t="str">
        <f t="shared" si="0"/>
        <v>ADULT</v>
      </c>
      <c r="Z24" s="249" t="str">
        <f t="shared" si="0"/>
        <v>JIL-ACC</v>
      </c>
      <c r="AA24" s="49"/>
      <c r="AB24" s="49"/>
      <c r="AC24" s="65" t="s">
        <v>379</v>
      </c>
      <c r="AD24" s="72">
        <v>3</v>
      </c>
      <c r="AE24" s="76">
        <v>0</v>
      </c>
      <c r="AF24" s="67">
        <v>3</v>
      </c>
    </row>
    <row r="25" spans="2:32">
      <c r="B25" s="112" t="s">
        <v>1119</v>
      </c>
      <c r="C25" s="121">
        <f>IF(ISERROR(VLOOKUP(B25,[1]기획현황요약!$B$6:$T$36,19,FALSE))=TRUE,0,VLOOKUP(B25,[1]기획현황요약!$B$6:$T$36,19,FALSE))</f>
        <v>0</v>
      </c>
      <c r="D25" s="122"/>
      <c r="E25" s="134">
        <f t="shared" si="2"/>
        <v>0</v>
      </c>
      <c r="F25" s="134">
        <f t="shared" si="3"/>
        <v>0</v>
      </c>
      <c r="G25" s="134">
        <f t="shared" si="4"/>
        <v>0</v>
      </c>
      <c r="H25" s="134">
        <f t="shared" si="5"/>
        <v>0</v>
      </c>
      <c r="I25" s="341"/>
      <c r="J25" s="112" t="s">
        <v>1119</v>
      </c>
      <c r="K25" s="121">
        <f>IF(ISERROR(VLOOKUP(I25,[2]기획현황요약!$B$6:$T$30,19,FALSE))=TRUE,0,VLOOKUP(I25,[2]기획현황요약!$B$6:$T$30,19,FALSE))</f>
        <v>0</v>
      </c>
      <c r="L25" s="122"/>
      <c r="M25" s="134">
        <f t="shared" si="7"/>
        <v>0</v>
      </c>
      <c r="N25" s="134">
        <f t="shared" si="8"/>
        <v>0</v>
      </c>
      <c r="O25" s="134">
        <f t="shared" si="9"/>
        <v>0</v>
      </c>
      <c r="P25" s="134">
        <f t="shared" si="10"/>
        <v>0</v>
      </c>
      <c r="Q25" s="134">
        <f t="shared" si="11"/>
        <v>0</v>
      </c>
      <c r="R25" s="134">
        <f t="shared" si="12"/>
        <v>0</v>
      </c>
      <c r="S25" s="109"/>
      <c r="T25" s="109">
        <f t="shared" si="17"/>
        <v>38.495344058655256</v>
      </c>
      <c r="U25" s="109">
        <f t="shared" si="18"/>
        <v>13</v>
      </c>
      <c r="V25" s="267">
        <f t="shared" si="15"/>
        <v>0.3377031773035184</v>
      </c>
      <c r="W25" s="267"/>
      <c r="X25" s="248" t="str">
        <f t="shared" si="1"/>
        <v>ADULTJIL-ACC 요약</v>
      </c>
      <c r="Y25" s="249" t="str">
        <f t="shared" si="0"/>
        <v>ADULT</v>
      </c>
      <c r="Z25" s="249" t="str">
        <f t="shared" si="0"/>
        <v>JIL-ACC 요약</v>
      </c>
      <c r="AA25" s="49"/>
      <c r="AB25" s="50" t="s">
        <v>2026</v>
      </c>
      <c r="AC25" s="51"/>
      <c r="AD25" s="73">
        <v>4</v>
      </c>
      <c r="AE25" s="143">
        <v>1</v>
      </c>
      <c r="AF25" s="68">
        <v>3</v>
      </c>
    </row>
    <row r="26" spans="2:32">
      <c r="B26" s="112" t="s">
        <v>57</v>
      </c>
      <c r="C26" s="121">
        <f>IF(ISERROR(VLOOKUP(B26,[1]기획현황요약!$B$6:$T$36,19,FALSE))=TRUE,0,VLOOKUP(B26,[1]기획현황요약!$B$6:$T$36,19,FALSE))</f>
        <v>29.01430529896535</v>
      </c>
      <c r="D26" s="122"/>
      <c r="E26" s="134">
        <f t="shared" si="2"/>
        <v>13</v>
      </c>
      <c r="F26" s="134">
        <f t="shared" si="3"/>
        <v>13</v>
      </c>
      <c r="G26" s="134">
        <f t="shared" si="4"/>
        <v>13</v>
      </c>
      <c r="H26" s="134">
        <f t="shared" si="5"/>
        <v>13</v>
      </c>
      <c r="I26" s="341" t="str">
        <f>MID(J26,1,2)&amp;"K"&amp;MID(J26,4,10)</f>
        <v>HCK</v>
      </c>
      <c r="J26" s="112" t="s">
        <v>57</v>
      </c>
      <c r="K26" s="121">
        <f>IF(ISERROR(VLOOKUP(I26,[2]기획현황요약!$B$6:$T$30,19,FALSE))=TRUE,0,VLOOKUP(I26,[2]기획현황요약!$B$6:$T$30,19,FALSE))</f>
        <v>9.4810387596899037</v>
      </c>
      <c r="L26" s="122"/>
      <c r="M26" s="134">
        <f t="shared" si="7"/>
        <v>0</v>
      </c>
      <c r="N26" s="134">
        <f t="shared" si="8"/>
        <v>0</v>
      </c>
      <c r="O26" s="134">
        <f t="shared" si="9"/>
        <v>0</v>
      </c>
      <c r="P26" s="134">
        <f t="shared" si="10"/>
        <v>0</v>
      </c>
      <c r="Q26" s="134">
        <f t="shared" si="11"/>
        <v>0</v>
      </c>
      <c r="R26" s="134">
        <f t="shared" si="12"/>
        <v>0</v>
      </c>
      <c r="S26" s="109"/>
      <c r="T26" s="109">
        <f t="shared" si="17"/>
        <v>18.283163880260894</v>
      </c>
      <c r="U26" s="109">
        <f t="shared" si="18"/>
        <v>11</v>
      </c>
      <c r="V26" s="267">
        <f t="shared" si="15"/>
        <v>0.60164641481313652</v>
      </c>
      <c r="W26" s="267"/>
      <c r="X26" s="248" t="str">
        <f t="shared" si="1"/>
        <v>ADULTJOI-ACC</v>
      </c>
      <c r="Y26" s="249" t="str">
        <f t="shared" si="0"/>
        <v>ADULT</v>
      </c>
      <c r="Z26" s="249" t="str">
        <f t="shared" si="0"/>
        <v>JOI-ACC</v>
      </c>
      <c r="AA26" s="49"/>
      <c r="AB26" s="38" t="s">
        <v>52</v>
      </c>
      <c r="AC26" s="38" t="s">
        <v>249</v>
      </c>
      <c r="AD26" s="71">
        <v>3</v>
      </c>
      <c r="AE26" s="141">
        <v>3</v>
      </c>
      <c r="AF26" s="64">
        <v>0</v>
      </c>
    </row>
    <row r="27" spans="2:32">
      <c r="B27" s="112" t="s">
        <v>779</v>
      </c>
      <c r="C27" s="121">
        <f>IF(ISERROR(VLOOKUP(B27,[1]기획현황요약!$B$6:$T$36,19,FALSE))=TRUE,0,VLOOKUP(B27,[1]기획현황요약!$B$6:$T$36,19,FALSE))</f>
        <v>13.056437384534409</v>
      </c>
      <c r="D27" s="122"/>
      <c r="E27" s="134">
        <f t="shared" si="2"/>
        <v>11</v>
      </c>
      <c r="F27" s="134">
        <f t="shared" si="3"/>
        <v>11</v>
      </c>
      <c r="G27" s="134">
        <f t="shared" si="4"/>
        <v>11</v>
      </c>
      <c r="H27" s="134">
        <f t="shared" si="5"/>
        <v>11</v>
      </c>
      <c r="I27" s="341" t="str">
        <f>MID(J27,1,2)&amp;"K"&amp;MID(J27,4,10)</f>
        <v>BRK</v>
      </c>
      <c r="J27" s="112" t="s">
        <v>779</v>
      </c>
      <c r="K27" s="121">
        <f>IF(ISERROR(VLOOKUP(I27,[2]기획현황요약!$B$6:$T$30,19,FALSE))=TRUE,0,VLOOKUP(I27,[2]기획현황요약!$B$6:$T$30,19,FALSE))</f>
        <v>5.226726495726485</v>
      </c>
      <c r="L27" s="122"/>
      <c r="M27" s="134">
        <f t="shared" si="7"/>
        <v>0</v>
      </c>
      <c r="N27" s="134">
        <f t="shared" si="8"/>
        <v>0</v>
      </c>
      <c r="O27" s="134">
        <f t="shared" si="9"/>
        <v>0</v>
      </c>
      <c r="P27" s="134">
        <f t="shared" si="10"/>
        <v>0</v>
      </c>
      <c r="Q27" s="134">
        <f t="shared" si="11"/>
        <v>0</v>
      </c>
      <c r="R27" s="134">
        <f t="shared" si="12"/>
        <v>0</v>
      </c>
      <c r="S27" s="109"/>
      <c r="T27" s="109">
        <f t="shared" si="17"/>
        <v>18.681203779681383</v>
      </c>
      <c r="U27" s="109">
        <f t="shared" si="18"/>
        <v>10</v>
      </c>
      <c r="V27" s="267">
        <f t="shared" si="15"/>
        <v>0.53529741005643883</v>
      </c>
      <c r="W27" s="267"/>
      <c r="X27" s="248" t="str">
        <f t="shared" si="1"/>
        <v>ADULTJOI-ACC 요약</v>
      </c>
      <c r="Y27" s="249" t="str">
        <f t="shared" si="0"/>
        <v>ADULT</v>
      </c>
      <c r="Z27" s="249" t="str">
        <f t="shared" si="0"/>
        <v>JOI-ACC 요약</v>
      </c>
      <c r="AA27" s="49"/>
      <c r="AB27" s="50" t="s">
        <v>1117</v>
      </c>
      <c r="AC27" s="51"/>
      <c r="AD27" s="73">
        <v>3</v>
      </c>
      <c r="AE27" s="143">
        <v>3</v>
      </c>
      <c r="AF27" s="68">
        <v>0</v>
      </c>
    </row>
    <row r="28" spans="2:32">
      <c r="B28" s="112" t="s">
        <v>53</v>
      </c>
      <c r="C28" s="121">
        <f>IF(ISERROR(VLOOKUP(B28,[1]기획현황요약!$B$6:$T$36,19,FALSE))=TRUE,0,VLOOKUP(B28,[1]기획현황요약!$B$6:$T$36,19,FALSE))</f>
        <v>10.445149907627528</v>
      </c>
      <c r="D28" s="122"/>
      <c r="E28" s="134">
        <f t="shared" si="2"/>
        <v>10</v>
      </c>
      <c r="F28" s="134">
        <f t="shared" si="3"/>
        <v>6</v>
      </c>
      <c r="G28" s="134">
        <f t="shared" si="4"/>
        <v>10</v>
      </c>
      <c r="H28" s="134">
        <f t="shared" si="5"/>
        <v>6</v>
      </c>
      <c r="I28" s="341" t="str">
        <f>MID(J28,1,2)&amp;"K"&amp;MID(J28,4,10)</f>
        <v>BMK</v>
      </c>
      <c r="J28" s="112" t="s">
        <v>53</v>
      </c>
      <c r="K28" s="121">
        <f>IF(ISERROR(VLOOKUP(I28,[2]기획현황요약!$B$6:$T$30,19,FALSE))=TRUE,0,VLOOKUP(I28,[2]기획현황요약!$B$6:$T$30,19,FALSE))</f>
        <v>8.236053872053855</v>
      </c>
      <c r="L28" s="122"/>
      <c r="M28" s="134">
        <f t="shared" si="7"/>
        <v>0</v>
      </c>
      <c r="N28" s="134">
        <f t="shared" si="8"/>
        <v>0</v>
      </c>
      <c r="O28" s="134">
        <f t="shared" si="9"/>
        <v>0</v>
      </c>
      <c r="P28" s="134">
        <f t="shared" si="10"/>
        <v>0</v>
      </c>
      <c r="Q28" s="134">
        <f t="shared" si="11"/>
        <v>0</v>
      </c>
      <c r="R28" s="134">
        <f t="shared" si="12"/>
        <v>0</v>
      </c>
      <c r="S28" s="109"/>
      <c r="T28" s="109">
        <f t="shared" si="17"/>
        <v>25.665139965088198</v>
      </c>
      <c r="U28" s="109">
        <f t="shared" si="18"/>
        <v>0</v>
      </c>
      <c r="V28" s="267">
        <f t="shared" si="15"/>
        <v>0</v>
      </c>
      <c r="W28" s="267"/>
      <c r="X28" s="248" t="str">
        <f t="shared" si="1"/>
        <v>ADULTJIL</v>
      </c>
      <c r="Y28" s="249" t="str">
        <f t="shared" si="0"/>
        <v>ADULT</v>
      </c>
      <c r="Z28" s="249" t="str">
        <f t="shared" si="0"/>
        <v>JIL</v>
      </c>
      <c r="AA28" s="49"/>
      <c r="AB28" s="38" t="s">
        <v>32</v>
      </c>
      <c r="AC28" s="38" t="s">
        <v>38</v>
      </c>
      <c r="AD28" s="71">
        <v>16</v>
      </c>
      <c r="AE28" s="141">
        <v>16</v>
      </c>
      <c r="AF28" s="64">
        <v>0</v>
      </c>
    </row>
    <row r="29" spans="2:32">
      <c r="B29" s="112" t="s">
        <v>46</v>
      </c>
      <c r="C29" s="121">
        <f>IF(ISERROR(VLOOKUP(B29,[1]기획현황요약!$B$6:$T$36,19,FALSE))=TRUE,0,VLOOKUP(B29,[1]기획현황요약!$B$6:$T$36,19,FALSE))</f>
        <v>20.118409806358049</v>
      </c>
      <c r="D29" s="122"/>
      <c r="E29" s="134">
        <f t="shared" si="2"/>
        <v>0</v>
      </c>
      <c r="F29" s="134">
        <f t="shared" si="3"/>
        <v>0</v>
      </c>
      <c r="G29" s="134">
        <f t="shared" si="4"/>
        <v>0</v>
      </c>
      <c r="H29" s="134">
        <f t="shared" si="5"/>
        <v>0</v>
      </c>
      <c r="I29" s="341" t="str">
        <f>MID(J29,1,2)&amp;"K"&amp;MID(J29,4,10)</f>
        <v>WTK</v>
      </c>
      <c r="J29" s="112" t="s">
        <v>46</v>
      </c>
      <c r="K29" s="121">
        <f>IF(ISERROR(VLOOKUP(I29,[2]기획현황요약!$B$6:$T$30,19,FALSE))=TRUE,0,VLOOKUP(I29,[2]기획현황요약!$B$6:$T$30,19,FALSE))</f>
        <v>5.5467301587301492</v>
      </c>
      <c r="L29" s="122"/>
      <c r="M29" s="134">
        <f t="shared" si="7"/>
        <v>0</v>
      </c>
      <c r="N29" s="134">
        <f t="shared" si="8"/>
        <v>0</v>
      </c>
      <c r="O29" s="134">
        <f t="shared" si="9"/>
        <v>0</v>
      </c>
      <c r="P29" s="134">
        <f t="shared" si="10"/>
        <v>0</v>
      </c>
      <c r="Q29" s="134">
        <f t="shared" si="11"/>
        <v>0</v>
      </c>
      <c r="R29" s="134">
        <f t="shared" si="12"/>
        <v>0</v>
      </c>
      <c r="S29" s="109"/>
      <c r="T29" s="109">
        <f>C31+K31</f>
        <v>6.9792592564602103</v>
      </c>
      <c r="U29" s="109">
        <f>G31+Q31</f>
        <v>0</v>
      </c>
      <c r="V29" s="267">
        <f t="shared" si="15"/>
        <v>0</v>
      </c>
      <c r="W29" s="267"/>
      <c r="X29" s="248" t="str">
        <f t="shared" si="1"/>
        <v>ADULTJIL</v>
      </c>
      <c r="Y29" s="249" t="str">
        <f t="shared" si="0"/>
        <v>ADULT</v>
      </c>
      <c r="Z29" s="249" t="str">
        <f t="shared" si="0"/>
        <v>JIL</v>
      </c>
      <c r="AA29" s="49"/>
      <c r="AB29" s="49"/>
      <c r="AC29" s="65" t="s">
        <v>33</v>
      </c>
      <c r="AD29" s="72">
        <v>9</v>
      </c>
      <c r="AE29" s="76">
        <v>9</v>
      </c>
      <c r="AF29" s="67">
        <v>0</v>
      </c>
    </row>
    <row r="30" spans="2:32">
      <c r="B30" s="112" t="s">
        <v>1922</v>
      </c>
      <c r="C30" s="121">
        <f>IF(ISERROR(VLOOKUP(B30,[1]기획현황요약!$B$6:$T$36,19,FALSE))=TRUE,0,VLOOKUP(B30,[1]기획현황요약!$B$6:$T$36,19,FALSE))</f>
        <v>9.6934156339725153</v>
      </c>
      <c r="D30" s="122"/>
      <c r="E30" s="134">
        <f t="shared" si="2"/>
        <v>19</v>
      </c>
      <c r="F30" s="134">
        <f t="shared" si="3"/>
        <v>19</v>
      </c>
      <c r="G30" s="134">
        <f t="shared" si="4"/>
        <v>19</v>
      </c>
      <c r="H30" s="134">
        <f t="shared" si="5"/>
        <v>19</v>
      </c>
      <c r="I30" s="341" t="str">
        <f t="shared" si="6"/>
        <v>YGK</v>
      </c>
      <c r="J30" s="112" t="s">
        <v>1922</v>
      </c>
      <c r="K30" s="121">
        <f>IF(ISERROR(VLOOKUP(I30,[2]기획현황요약!$B$6:$T$30,19,FALSE))=TRUE,0,VLOOKUP(I30,[2]기획현황요약!$B$6:$T$30,19,FALSE))</f>
        <v>7.4124484848484702</v>
      </c>
      <c r="L30" s="122"/>
      <c r="M30" s="134">
        <f t="shared" si="7"/>
        <v>0</v>
      </c>
      <c r="N30" s="134">
        <f t="shared" si="8"/>
        <v>0</v>
      </c>
      <c r="O30" s="134">
        <f t="shared" si="9"/>
        <v>0</v>
      </c>
      <c r="P30" s="134">
        <f t="shared" si="10"/>
        <v>0</v>
      </c>
      <c r="Q30" s="134">
        <f t="shared" si="11"/>
        <v>0</v>
      </c>
      <c r="R30" s="134">
        <f t="shared" si="12"/>
        <v>0</v>
      </c>
      <c r="T30" s="109">
        <f>C36+K36</f>
        <v>29.911446329600881</v>
      </c>
      <c r="U30" s="109">
        <f>G36+Q36</f>
        <v>24</v>
      </c>
      <c r="V30" s="267">
        <f t="shared" si="15"/>
        <v>0.8023684222935481</v>
      </c>
      <c r="W30" s="267"/>
      <c r="X30" s="248" t="str">
        <f t="shared" si="1"/>
        <v>ADULTJIL</v>
      </c>
      <c r="Y30" s="249" t="str">
        <f t="shared" si="0"/>
        <v>ADULT</v>
      </c>
      <c r="Z30" s="249" t="str">
        <f t="shared" si="0"/>
        <v>JIL</v>
      </c>
      <c r="AA30" s="49"/>
      <c r="AB30" s="49"/>
      <c r="AC30" s="65" t="s">
        <v>35</v>
      </c>
      <c r="AD30" s="72">
        <v>63</v>
      </c>
      <c r="AE30" s="76">
        <v>61</v>
      </c>
      <c r="AF30" s="67">
        <v>2</v>
      </c>
    </row>
    <row r="31" spans="2:32">
      <c r="B31" s="112" t="s">
        <v>862</v>
      </c>
      <c r="C31" s="121">
        <f>IF(ISERROR(VLOOKUP(B31,[1]기획현황요약!$B$6:$T$36,19,FALSE))=TRUE,0,VLOOKUP(B31,[1]기획현황요약!$B$6:$T$36,19,FALSE))</f>
        <v>6.9792592564602103</v>
      </c>
      <c r="D31" s="122"/>
      <c r="E31" s="134">
        <f t="shared" si="2"/>
        <v>0</v>
      </c>
      <c r="F31" s="134">
        <f t="shared" si="3"/>
        <v>0</v>
      </c>
      <c r="G31" s="134">
        <f t="shared" si="4"/>
        <v>0</v>
      </c>
      <c r="H31" s="134">
        <f t="shared" si="5"/>
        <v>0</v>
      </c>
      <c r="I31" s="341" t="str">
        <f>MID(J31,1,2)&amp;"K"&amp;MID(J31,4,10)</f>
        <v>B1K</v>
      </c>
      <c r="J31" s="112" t="s">
        <v>862</v>
      </c>
      <c r="K31" s="121">
        <f>IF(ISERROR(VLOOKUP(I31,[2]기획현황요약!$B$6:$T$30,19,FALSE))=TRUE,0,VLOOKUP(I31,[2]기획현황요약!$B$6:$T$30,19,FALSE))</f>
        <v>0</v>
      </c>
      <c r="L31" s="122"/>
      <c r="M31" s="134">
        <f t="shared" si="7"/>
        <v>0</v>
      </c>
      <c r="N31" s="134">
        <f t="shared" si="8"/>
        <v>0</v>
      </c>
      <c r="O31" s="134">
        <f t="shared" si="9"/>
        <v>0</v>
      </c>
      <c r="P31" s="134">
        <f t="shared" si="10"/>
        <v>0</v>
      </c>
      <c r="Q31" s="134">
        <f t="shared" si="11"/>
        <v>0</v>
      </c>
      <c r="R31" s="134">
        <f t="shared" si="12"/>
        <v>0</v>
      </c>
      <c r="T31" s="109">
        <f>C37+K37</f>
        <v>0</v>
      </c>
      <c r="U31" s="109">
        <f>G37+Q37</f>
        <v>3</v>
      </c>
      <c r="V31" s="267">
        <f t="shared" si="15"/>
        <v>0</v>
      </c>
      <c r="W31" s="267"/>
      <c r="X31" s="248" t="str">
        <f t="shared" si="1"/>
        <v>ADULTJIL</v>
      </c>
      <c r="Y31" s="249" t="str">
        <f t="shared" si="0"/>
        <v>ADULT</v>
      </c>
      <c r="Z31" s="249" t="str">
        <f t="shared" si="0"/>
        <v>JIL</v>
      </c>
      <c r="AA31" s="49"/>
      <c r="AB31" s="49"/>
      <c r="AC31" s="65" t="s">
        <v>37</v>
      </c>
      <c r="AD31" s="72">
        <v>1</v>
      </c>
      <c r="AE31" s="76">
        <v>1</v>
      </c>
      <c r="AF31" s="67">
        <v>0</v>
      </c>
    </row>
    <row r="32" spans="2:32">
      <c r="B32" s="112" t="s">
        <v>1923</v>
      </c>
      <c r="C32" s="121">
        <f>IF(ISERROR(VLOOKUP(B32,[1]기획현황요약!$B$6:$T$36,19,FALSE))=TRUE,0,VLOOKUP(B32,[1]기획현황요약!$B$6:$T$36,19,FALSE))</f>
        <v>9.4955908251159329</v>
      </c>
      <c r="D32" s="122"/>
      <c r="E32" s="134">
        <f t="shared" si="2"/>
        <v>0</v>
      </c>
      <c r="F32" s="134">
        <f t="shared" si="3"/>
        <v>0</v>
      </c>
      <c r="G32" s="134">
        <f t="shared" si="4"/>
        <v>0</v>
      </c>
      <c r="H32" s="134">
        <f t="shared" si="5"/>
        <v>0</v>
      </c>
      <c r="I32" s="341" t="str">
        <f t="shared" si="6"/>
        <v>POK</v>
      </c>
      <c r="J32" s="112" t="s">
        <v>1923</v>
      </c>
      <c r="K32" s="121">
        <f>IF(ISERROR(VLOOKUP(I32,[2]기획현황요약!$B$6:$T$30,19,FALSE))=TRUE,0,VLOOKUP(I32,[2]기획현황요약!$B$6:$T$30,19,FALSE))</f>
        <v>14.263020408163234</v>
      </c>
      <c r="L32" s="122"/>
      <c r="M32" s="134">
        <f t="shared" si="7"/>
        <v>12</v>
      </c>
      <c r="N32" s="134">
        <f t="shared" si="8"/>
        <v>12</v>
      </c>
      <c r="O32" s="134">
        <f t="shared" si="9"/>
        <v>0</v>
      </c>
      <c r="P32" s="134">
        <f t="shared" si="10"/>
        <v>0</v>
      </c>
      <c r="Q32" s="134">
        <f t="shared" si="11"/>
        <v>12</v>
      </c>
      <c r="R32" s="134">
        <f t="shared" si="12"/>
        <v>12</v>
      </c>
      <c r="T32" s="109">
        <f>C38+K38</f>
        <v>0</v>
      </c>
      <c r="U32" s="109">
        <f>G38+Q38</f>
        <v>19</v>
      </c>
      <c r="V32" s="267">
        <f t="shared" si="15"/>
        <v>0</v>
      </c>
      <c r="W32" s="267"/>
      <c r="X32" s="248" t="str">
        <f t="shared" si="1"/>
        <v>ADULTJIL</v>
      </c>
      <c r="Y32" s="249" t="str">
        <f t="shared" si="0"/>
        <v>ADULT</v>
      </c>
      <c r="Z32" s="249" t="str">
        <f t="shared" si="0"/>
        <v>JIL</v>
      </c>
      <c r="AA32" s="49"/>
      <c r="AB32" s="49"/>
      <c r="AC32" s="65" t="s">
        <v>36</v>
      </c>
      <c r="AD32" s="72">
        <v>2</v>
      </c>
      <c r="AE32" s="76">
        <v>2</v>
      </c>
      <c r="AF32" s="67">
        <v>0</v>
      </c>
    </row>
    <row r="33" spans="2:32">
      <c r="B33" s="112" t="s">
        <v>1924</v>
      </c>
      <c r="C33" s="121">
        <f>IF(ISERROR(VLOOKUP(B33,[1]기획현황요약!$B$6:$T$36,19,FALSE))=TRUE,0,VLOOKUP(B33,[1]기획현황요약!$B$6:$T$36,19,FALSE))</f>
        <v>13.293827155162308</v>
      </c>
      <c r="D33" s="122"/>
      <c r="E33" s="134">
        <f t="shared" si="2"/>
        <v>5</v>
      </c>
      <c r="F33" s="134">
        <f t="shared" si="3"/>
        <v>4</v>
      </c>
      <c r="G33" s="134">
        <f t="shared" si="4"/>
        <v>5</v>
      </c>
      <c r="H33" s="134">
        <f t="shared" si="5"/>
        <v>4</v>
      </c>
      <c r="I33" s="341" t="str">
        <f>MID(J33,1,2)&amp;"K"&amp;MID(J33,4,10)</f>
        <v>DPK</v>
      </c>
      <c r="J33" s="112" t="s">
        <v>1924</v>
      </c>
      <c r="K33" s="121">
        <f>IF(ISERROR(VLOOKUP(I33,[2]기획현황요약!$B$6:$T$30,19,FALSE))=TRUE,0,VLOOKUP(I33,[2]기획현황요약!$B$6:$T$30,19,FALSE))</f>
        <v>0</v>
      </c>
      <c r="L33" s="122"/>
      <c r="M33" s="134">
        <f t="shared" si="7"/>
        <v>0</v>
      </c>
      <c r="N33" s="134">
        <f t="shared" si="8"/>
        <v>0</v>
      </c>
      <c r="O33" s="134">
        <f t="shared" si="9"/>
        <v>0</v>
      </c>
      <c r="P33" s="134">
        <f t="shared" si="10"/>
        <v>0</v>
      </c>
      <c r="Q33" s="134">
        <f t="shared" si="11"/>
        <v>0</v>
      </c>
      <c r="R33" s="134">
        <f t="shared" si="12"/>
        <v>0</v>
      </c>
      <c r="T33" s="109">
        <f>C39+K39</f>
        <v>945.37744546043075</v>
      </c>
      <c r="U33" s="109">
        <f>G39+Q39</f>
        <v>572</v>
      </c>
      <c r="V33" s="267">
        <f t="shared" si="15"/>
        <v>0.6050493406064037</v>
      </c>
      <c r="W33" s="267"/>
      <c r="X33" s="248" t="str">
        <f t="shared" si="1"/>
        <v>ADULTJIL</v>
      </c>
      <c r="Y33" s="249" t="str">
        <f t="shared" si="0"/>
        <v>ADULT</v>
      </c>
      <c r="Z33" s="249" t="str">
        <f t="shared" si="0"/>
        <v>JIL</v>
      </c>
      <c r="AA33" s="49"/>
      <c r="AB33" s="49"/>
      <c r="AC33" s="65" t="s">
        <v>28</v>
      </c>
      <c r="AD33" s="72">
        <v>17</v>
      </c>
      <c r="AE33" s="76">
        <v>9</v>
      </c>
      <c r="AF33" s="67">
        <v>8</v>
      </c>
    </row>
    <row r="34" spans="2:32">
      <c r="B34" s="112" t="s">
        <v>1925</v>
      </c>
      <c r="C34" s="121">
        <f>IF(ISERROR(VLOOKUP(B34,[1]기획현황요약!$B$6:$T$36,19,FALSE))=TRUE,0,VLOOKUP(B34,[1]기획현황요약!$B$6:$T$36,19,FALSE))</f>
        <v>26.112874769068817</v>
      </c>
      <c r="D34" s="122"/>
      <c r="E34" s="134">
        <f t="shared" si="2"/>
        <v>0</v>
      </c>
      <c r="F34" s="134">
        <f t="shared" si="3"/>
        <v>0</v>
      </c>
      <c r="G34" s="134">
        <f t="shared" si="4"/>
        <v>0</v>
      </c>
      <c r="H34" s="134">
        <f t="shared" si="5"/>
        <v>0</v>
      </c>
      <c r="I34" s="341" t="str">
        <f>MID(J34,1,2)&amp;"K"&amp;MID(J34,4,10)</f>
        <v>MGK</v>
      </c>
      <c r="J34" s="112" t="s">
        <v>1925</v>
      </c>
      <c r="K34" s="121">
        <f>IF(ISERROR(VLOOKUP(I34,[2]기획현황요약!$B$6:$T$30,19,FALSE))=TRUE,0,VLOOKUP(I34,[2]기획현황요약!$B$6:$T$30,19,FALSE))</f>
        <v>0</v>
      </c>
      <c r="L34" s="122"/>
      <c r="M34" s="134">
        <f t="shared" si="7"/>
        <v>0</v>
      </c>
      <c r="N34" s="134">
        <f t="shared" si="8"/>
        <v>0</v>
      </c>
      <c r="O34" s="134">
        <f t="shared" si="9"/>
        <v>0</v>
      </c>
      <c r="P34" s="134">
        <f t="shared" si="10"/>
        <v>0</v>
      </c>
      <c r="Q34" s="134">
        <f t="shared" si="11"/>
        <v>0</v>
      </c>
      <c r="R34" s="134">
        <f t="shared" si="12"/>
        <v>0</v>
      </c>
      <c r="X34" s="248" t="str">
        <f t="shared" si="1"/>
        <v>ADULTJIL</v>
      </c>
      <c r="Y34" s="249" t="str">
        <f t="shared" si="0"/>
        <v>ADULT</v>
      </c>
      <c r="Z34" s="249" t="str">
        <f t="shared" si="0"/>
        <v>JIL</v>
      </c>
      <c r="AA34" s="49"/>
      <c r="AB34" s="49"/>
      <c r="AC34" s="65" t="s">
        <v>56</v>
      </c>
      <c r="AD34" s="72">
        <v>52</v>
      </c>
      <c r="AE34" s="76">
        <v>51</v>
      </c>
      <c r="AF34" s="67">
        <v>1</v>
      </c>
    </row>
    <row r="35" spans="2:32">
      <c r="B35" s="112" t="s">
        <v>1926</v>
      </c>
      <c r="C35" s="121">
        <f>IF(ISERROR(VLOOKUP(B35,[1]기획현황요약!$B$6:$T$36,19,FALSE))=TRUE,0,VLOOKUP(B35,[1]기획현황요약!$B$6:$T$36,19,FALSE))</f>
        <v>28.434019192986042</v>
      </c>
      <c r="D35" s="122"/>
      <c r="E35" s="134">
        <f t="shared" si="2"/>
        <v>0</v>
      </c>
      <c r="F35" s="134">
        <f t="shared" si="3"/>
        <v>0</v>
      </c>
      <c r="G35" s="134">
        <f t="shared" si="4"/>
        <v>0</v>
      </c>
      <c r="H35" s="134">
        <f t="shared" si="5"/>
        <v>0</v>
      </c>
      <c r="I35" s="341" t="str">
        <f>MID(J35,1,2)&amp;"K"&amp;MID(J35,4,10)</f>
        <v>ZZK</v>
      </c>
      <c r="J35" s="112" t="s">
        <v>1926</v>
      </c>
      <c r="K35" s="121">
        <f>IF(ISERROR(VLOOKUP(I35,[2]기획현황요약!$B$6:$T$30,19,FALSE))=TRUE,0,VLOOKUP(I35,[2]기획현황요약!$B$6:$T$30,19,FALSE))</f>
        <v>0</v>
      </c>
      <c r="L35" s="122"/>
      <c r="M35" s="134">
        <f t="shared" si="7"/>
        <v>0</v>
      </c>
      <c r="N35" s="134">
        <f t="shared" si="8"/>
        <v>0</v>
      </c>
      <c r="O35" s="134">
        <f t="shared" si="9"/>
        <v>0</v>
      </c>
      <c r="P35" s="134">
        <f t="shared" si="10"/>
        <v>0</v>
      </c>
      <c r="Q35" s="134">
        <f t="shared" si="11"/>
        <v>0</v>
      </c>
      <c r="R35" s="134">
        <f t="shared" si="12"/>
        <v>0</v>
      </c>
      <c r="X35" s="248" t="str">
        <f t="shared" si="1"/>
        <v>ADULTJIL 요약</v>
      </c>
      <c r="Y35" s="249" t="str">
        <f t="shared" si="0"/>
        <v>ADULT</v>
      </c>
      <c r="Z35" s="249" t="str">
        <f t="shared" si="0"/>
        <v>JIL 요약</v>
      </c>
      <c r="AA35" s="49"/>
      <c r="AB35" s="50" t="s">
        <v>1086</v>
      </c>
      <c r="AC35" s="51"/>
      <c r="AD35" s="73">
        <v>160</v>
      </c>
      <c r="AE35" s="143">
        <v>149</v>
      </c>
      <c r="AF35" s="68">
        <v>11</v>
      </c>
    </row>
    <row r="36" spans="2:32">
      <c r="B36" s="112" t="s">
        <v>892</v>
      </c>
      <c r="C36" s="121">
        <f>IF(ISERROR(VLOOKUP(B36,[1]기획현황요약!$B$6:$T$36,19,FALSE))=TRUE,0,VLOOKUP(B36,[1]기획현황요약!$B$6:$T$36,19,FALSE))</f>
        <v>11.191232043886636</v>
      </c>
      <c r="D36" s="122"/>
      <c r="E36" s="134">
        <f t="shared" si="2"/>
        <v>5</v>
      </c>
      <c r="F36" s="134">
        <f t="shared" si="3"/>
        <v>5</v>
      </c>
      <c r="G36" s="134">
        <f t="shared" si="4"/>
        <v>5</v>
      </c>
      <c r="H36" s="134">
        <f t="shared" si="5"/>
        <v>5</v>
      </c>
      <c r="I36" s="341" t="str">
        <f t="shared" si="6"/>
        <v>JOK</v>
      </c>
      <c r="J36" s="112" t="s">
        <v>892</v>
      </c>
      <c r="K36" s="121">
        <f>IF(ISERROR(VLOOKUP(I36,[2]기획현황요약!$B$6:$T$30,19,FALSE))=TRUE,0,VLOOKUP(I36,[2]기획현황요약!$B$6:$T$30,19,FALSE))</f>
        <v>18.720214285714246</v>
      </c>
      <c r="L36" s="122"/>
      <c r="M36" s="134">
        <f t="shared" si="7"/>
        <v>19</v>
      </c>
      <c r="N36" s="134">
        <f t="shared" si="8"/>
        <v>14</v>
      </c>
      <c r="O36" s="134">
        <f t="shared" si="9"/>
        <v>0</v>
      </c>
      <c r="P36" s="134">
        <f t="shared" si="10"/>
        <v>0</v>
      </c>
      <c r="Q36" s="134">
        <f t="shared" si="11"/>
        <v>19</v>
      </c>
      <c r="R36" s="134">
        <f t="shared" si="12"/>
        <v>14</v>
      </c>
      <c r="X36" s="248" t="str">
        <f t="shared" si="1"/>
        <v>ADULTJOI</v>
      </c>
      <c r="Y36" s="249" t="str">
        <f t="shared" si="0"/>
        <v>ADULT</v>
      </c>
      <c r="Z36" s="249" t="str">
        <f t="shared" si="0"/>
        <v>JOI</v>
      </c>
      <c r="AA36" s="49"/>
      <c r="AB36" s="38" t="s">
        <v>51</v>
      </c>
      <c r="AC36" s="38" t="s">
        <v>60</v>
      </c>
      <c r="AD36" s="71">
        <v>1</v>
      </c>
      <c r="AE36" s="141">
        <v>1</v>
      </c>
      <c r="AF36" s="64">
        <v>0</v>
      </c>
    </row>
    <row r="37" spans="2:32">
      <c r="B37" s="112" t="s">
        <v>1098</v>
      </c>
      <c r="C37" s="121">
        <f>IF(ISERROR(VLOOKUP(B37,[1]기획현황요약!$B$6:$T$36,19,FALSE))=TRUE,0,VLOOKUP(B37,[1]기획현황요약!$B$6:$T$36,19,FALSE))</f>
        <v>0</v>
      </c>
      <c r="D37" s="122"/>
      <c r="E37" s="134">
        <f t="shared" si="2"/>
        <v>0</v>
      </c>
      <c r="F37" s="134">
        <f t="shared" si="3"/>
        <v>0</v>
      </c>
      <c r="G37" s="134">
        <f t="shared" si="4"/>
        <v>0</v>
      </c>
      <c r="H37" s="134">
        <f t="shared" si="5"/>
        <v>0</v>
      </c>
      <c r="I37" s="341" t="str">
        <f t="shared" si="6"/>
        <v>JOK-가방</v>
      </c>
      <c r="J37" s="112" t="s">
        <v>1098</v>
      </c>
      <c r="K37" s="121">
        <f>IF(ISERROR(VLOOKUP(I37,[2]기획현황요약!$B$6:$T$30,19,FALSE))=TRUE,0,VLOOKUP(I37,[2]기획현황요약!$B$6:$T$30,19,FALSE))</f>
        <v>0</v>
      </c>
      <c r="L37" s="122"/>
      <c r="M37" s="134">
        <f t="shared" si="7"/>
        <v>3</v>
      </c>
      <c r="N37" s="134">
        <f t="shared" si="8"/>
        <v>0</v>
      </c>
      <c r="O37" s="134">
        <f t="shared" si="9"/>
        <v>0</v>
      </c>
      <c r="P37" s="134">
        <f t="shared" si="10"/>
        <v>0</v>
      </c>
      <c r="Q37" s="134">
        <f t="shared" si="11"/>
        <v>3</v>
      </c>
      <c r="R37" s="134">
        <f t="shared" si="12"/>
        <v>0</v>
      </c>
      <c r="X37" s="248" t="str">
        <f t="shared" si="1"/>
        <v>ADULTJOI</v>
      </c>
      <c r="Y37" s="249" t="str">
        <f t="shared" si="0"/>
        <v>ADULT</v>
      </c>
      <c r="Z37" s="249" t="str">
        <f t="shared" si="0"/>
        <v>JOI</v>
      </c>
      <c r="AA37" s="49"/>
      <c r="AB37" s="49"/>
      <c r="AC37" s="65" t="s">
        <v>56</v>
      </c>
      <c r="AD37" s="72">
        <v>4</v>
      </c>
      <c r="AE37" s="76">
        <v>4</v>
      </c>
      <c r="AF37" s="67">
        <v>0</v>
      </c>
    </row>
    <row r="38" spans="2:32" ht="14.25" thickBot="1">
      <c r="B38" s="115" t="s">
        <v>891</v>
      </c>
      <c r="C38" s="127">
        <f>IF(ISERROR(VLOOKUP(B38,[1]기획현황요약!$B$6:$T$36,19,FALSE))=TRUE,0,VLOOKUP(B38,[1]기획현황요약!$B$6:$T$36,19,FALSE))</f>
        <v>0</v>
      </c>
      <c r="D38" s="128"/>
      <c r="E38" s="137">
        <f t="shared" si="2"/>
        <v>3</v>
      </c>
      <c r="F38" s="137">
        <f t="shared" si="3"/>
        <v>3</v>
      </c>
      <c r="G38" s="137">
        <f t="shared" si="4"/>
        <v>3</v>
      </c>
      <c r="H38" s="137">
        <f t="shared" si="5"/>
        <v>3</v>
      </c>
      <c r="I38" s="341" t="str">
        <f t="shared" si="6"/>
        <v>JOK-ACC</v>
      </c>
      <c r="J38" s="115" t="s">
        <v>891</v>
      </c>
      <c r="K38" s="127">
        <f>IF(ISERROR(VLOOKUP(I38,[2]기획현황요약!$B$6:$T$30,19,FALSE))=TRUE,0,VLOOKUP(I38,[2]기획현황요약!$B$6:$T$30,19,FALSE))</f>
        <v>0</v>
      </c>
      <c r="L38" s="128"/>
      <c r="M38" s="137">
        <f t="shared" si="7"/>
        <v>16</v>
      </c>
      <c r="N38" s="137">
        <f t="shared" si="8"/>
        <v>7</v>
      </c>
      <c r="O38" s="137">
        <f t="shared" si="9"/>
        <v>0</v>
      </c>
      <c r="P38" s="137">
        <f t="shared" si="10"/>
        <v>0</v>
      </c>
      <c r="Q38" s="137">
        <f t="shared" si="11"/>
        <v>16</v>
      </c>
      <c r="R38" s="137">
        <f t="shared" si="12"/>
        <v>7</v>
      </c>
      <c r="X38" s="248" t="str">
        <f t="shared" si="1"/>
        <v>ADULTJOI 요약</v>
      </c>
      <c r="Y38" s="249" t="str">
        <f t="shared" si="0"/>
        <v>ADULT</v>
      </c>
      <c r="Z38" s="249" t="str">
        <f t="shared" si="0"/>
        <v>JOI 요약</v>
      </c>
      <c r="AA38" s="49"/>
      <c r="AB38" s="50" t="s">
        <v>1088</v>
      </c>
      <c r="AC38" s="51"/>
      <c r="AD38" s="73">
        <v>5</v>
      </c>
      <c r="AE38" s="143">
        <v>5</v>
      </c>
      <c r="AF38" s="68">
        <v>0</v>
      </c>
    </row>
    <row r="39" spans="2:32" ht="14.25" thickBot="1">
      <c r="B39" s="116" t="s">
        <v>875</v>
      </c>
      <c r="C39" s="129">
        <f t="shared" ref="C39:H39" si="19">SUM(C7:C38)</f>
        <v>485.99724131711611</v>
      </c>
      <c r="D39" s="130">
        <f t="shared" si="19"/>
        <v>0</v>
      </c>
      <c r="E39" s="263">
        <f t="shared" si="19"/>
        <v>457</v>
      </c>
      <c r="F39" s="263">
        <f t="shared" si="19"/>
        <v>405</v>
      </c>
      <c r="G39" s="138">
        <f t="shared" si="19"/>
        <v>457</v>
      </c>
      <c r="H39" s="138">
        <f t="shared" si="19"/>
        <v>405</v>
      </c>
      <c r="J39" s="116" t="str">
        <f>B39</f>
        <v>합계</v>
      </c>
      <c r="K39" s="129">
        <f t="shared" ref="K39:R39" si="20">SUM(K7:K38)</f>
        <v>459.38020414331464</v>
      </c>
      <c r="L39" s="130">
        <f t="shared" si="20"/>
        <v>0</v>
      </c>
      <c r="M39" s="262">
        <f t="shared" si="20"/>
        <v>115</v>
      </c>
      <c r="N39" s="262">
        <f t="shared" si="20"/>
        <v>87</v>
      </c>
      <c r="O39" s="263">
        <f t="shared" si="20"/>
        <v>0</v>
      </c>
      <c r="P39" s="263">
        <f t="shared" si="20"/>
        <v>0</v>
      </c>
      <c r="Q39" s="138">
        <f t="shared" si="20"/>
        <v>115</v>
      </c>
      <c r="R39" s="138">
        <f t="shared" si="20"/>
        <v>87</v>
      </c>
      <c r="X39" s="248" t="str">
        <f t="shared" ref="X39:X63" si="21">Y39&amp;Z39</f>
        <v>ADULTELS</v>
      </c>
      <c r="Y39" s="249" t="str">
        <f t="shared" ref="Y39:Y63" si="22">IF(AA39="",Y38,AA39)</f>
        <v>ADULT</v>
      </c>
      <c r="Z39" s="249" t="str">
        <f t="shared" ref="Z39:Z63" si="23">IF(AB39="",Z38,AB39)</f>
        <v>ELS</v>
      </c>
      <c r="AA39" s="49"/>
      <c r="AB39" s="38" t="s">
        <v>3</v>
      </c>
      <c r="AC39" s="38" t="s">
        <v>50</v>
      </c>
      <c r="AD39" s="71">
        <v>18</v>
      </c>
      <c r="AE39" s="141">
        <v>15</v>
      </c>
      <c r="AF39" s="64">
        <v>3</v>
      </c>
    </row>
    <row r="40" spans="2:32">
      <c r="X40" s="248" t="str">
        <f t="shared" si="21"/>
        <v>ADULTELS</v>
      </c>
      <c r="Y40" s="249" t="str">
        <f t="shared" si="22"/>
        <v>ADULT</v>
      </c>
      <c r="Z40" s="249" t="str">
        <f t="shared" si="23"/>
        <v>ELS</v>
      </c>
      <c r="AA40" s="49"/>
      <c r="AB40" s="49"/>
      <c r="AC40" s="65" t="s">
        <v>60</v>
      </c>
      <c r="AD40" s="72">
        <v>2</v>
      </c>
      <c r="AE40" s="76">
        <v>2</v>
      </c>
      <c r="AF40" s="67">
        <v>0</v>
      </c>
    </row>
    <row r="41" spans="2:32">
      <c r="B41" s="255" t="s">
        <v>1114</v>
      </c>
      <c r="X41" s="248" t="str">
        <f t="shared" si="21"/>
        <v>ADULTELS</v>
      </c>
      <c r="Y41" s="249" t="str">
        <f t="shared" si="22"/>
        <v>ADULT</v>
      </c>
      <c r="Z41" s="249" t="str">
        <f t="shared" si="23"/>
        <v>ELS</v>
      </c>
      <c r="AA41" s="49"/>
      <c r="AB41" s="49"/>
      <c r="AC41" s="65" t="s">
        <v>35</v>
      </c>
      <c r="AD41" s="72">
        <v>14</v>
      </c>
      <c r="AE41" s="76">
        <v>14</v>
      </c>
      <c r="AF41" s="67">
        <v>0</v>
      </c>
    </row>
    <row r="42" spans="2:32">
      <c r="B42" s="255" t="s">
        <v>1099</v>
      </c>
      <c r="X42" s="248" t="str">
        <f t="shared" si="21"/>
        <v>ADULTELS</v>
      </c>
      <c r="Y42" s="249" t="str">
        <f t="shared" si="22"/>
        <v>ADULT</v>
      </c>
      <c r="Z42" s="249" t="str">
        <f t="shared" si="23"/>
        <v>ELS</v>
      </c>
      <c r="AA42" s="49"/>
      <c r="AB42" s="49"/>
      <c r="AC42" s="65" t="s">
        <v>28</v>
      </c>
      <c r="AD42" s="72">
        <v>6</v>
      </c>
      <c r="AE42" s="76">
        <v>6</v>
      </c>
      <c r="AF42" s="67">
        <v>0</v>
      </c>
    </row>
    <row r="43" spans="2:32">
      <c r="B43" s="255" t="s">
        <v>1100</v>
      </c>
      <c r="X43" s="248" t="str">
        <f t="shared" si="21"/>
        <v>ADULTELS</v>
      </c>
      <c r="Y43" s="249" t="str">
        <f t="shared" si="22"/>
        <v>ADULT</v>
      </c>
      <c r="Z43" s="249" t="str">
        <f t="shared" si="23"/>
        <v>ELS</v>
      </c>
      <c r="AA43" s="49"/>
      <c r="AB43" s="49"/>
      <c r="AC43" s="65" t="s">
        <v>56</v>
      </c>
      <c r="AD43" s="72">
        <v>12</v>
      </c>
      <c r="AE43" s="76">
        <v>9</v>
      </c>
      <c r="AF43" s="67">
        <v>3</v>
      </c>
    </row>
    <row r="44" spans="2:32">
      <c r="X44" s="248" t="str">
        <f t="shared" si="21"/>
        <v>ADULTELS</v>
      </c>
      <c r="Y44" s="249" t="str">
        <f t="shared" si="22"/>
        <v>ADULT</v>
      </c>
      <c r="Z44" s="249" t="str">
        <f t="shared" si="23"/>
        <v>ELS</v>
      </c>
      <c r="AA44" s="49"/>
      <c r="AB44" s="49"/>
      <c r="AC44" s="65" t="s">
        <v>2116</v>
      </c>
      <c r="AD44" s="72">
        <v>12</v>
      </c>
      <c r="AE44" s="76">
        <v>8</v>
      </c>
      <c r="AF44" s="67">
        <v>4</v>
      </c>
    </row>
    <row r="45" spans="2:32">
      <c r="X45" s="248" t="str">
        <f t="shared" si="21"/>
        <v>ADULTELS 요약</v>
      </c>
      <c r="Y45" s="249" t="str">
        <f t="shared" si="22"/>
        <v>ADULT</v>
      </c>
      <c r="Z45" s="249" t="str">
        <f t="shared" si="23"/>
        <v>ELS 요약</v>
      </c>
      <c r="AA45" s="49"/>
      <c r="AB45" s="50" t="s">
        <v>1087</v>
      </c>
      <c r="AC45" s="51"/>
      <c r="AD45" s="73">
        <v>64</v>
      </c>
      <c r="AE45" s="143">
        <v>54</v>
      </c>
      <c r="AF45" s="68">
        <v>10</v>
      </c>
    </row>
    <row r="46" spans="2:32">
      <c r="X46" s="248" t="str">
        <f t="shared" si="21"/>
        <v>ADULTBRO</v>
      </c>
      <c r="Y46" s="249" t="str">
        <f t="shared" si="22"/>
        <v>ADULT</v>
      </c>
      <c r="Z46" s="249" t="str">
        <f t="shared" si="23"/>
        <v>BRO</v>
      </c>
      <c r="AA46" s="49"/>
      <c r="AB46" s="38" t="s">
        <v>779</v>
      </c>
      <c r="AC46" s="38" t="s">
        <v>38</v>
      </c>
      <c r="AD46" s="71">
        <v>1</v>
      </c>
      <c r="AE46" s="141">
        <v>1</v>
      </c>
      <c r="AF46" s="64">
        <v>0</v>
      </c>
    </row>
    <row r="47" spans="2:32">
      <c r="X47" s="248" t="str">
        <f t="shared" si="21"/>
        <v>ADULTBRO</v>
      </c>
      <c r="Y47" s="249" t="str">
        <f t="shared" si="22"/>
        <v>ADULT</v>
      </c>
      <c r="Z47" s="249" t="str">
        <f t="shared" si="23"/>
        <v>BRO</v>
      </c>
      <c r="AA47" s="49"/>
      <c r="AB47" s="49"/>
      <c r="AC47" s="65" t="s">
        <v>33</v>
      </c>
      <c r="AD47" s="72">
        <v>1</v>
      </c>
      <c r="AE47" s="76">
        <v>1</v>
      </c>
      <c r="AF47" s="67">
        <v>0</v>
      </c>
    </row>
    <row r="48" spans="2:32">
      <c r="X48" s="248" t="str">
        <f t="shared" si="21"/>
        <v>ADULTBRO</v>
      </c>
      <c r="Y48" s="249" t="str">
        <f t="shared" si="22"/>
        <v>ADULT</v>
      </c>
      <c r="Z48" s="249" t="str">
        <f t="shared" si="23"/>
        <v>BRO</v>
      </c>
      <c r="AA48" s="49"/>
      <c r="AB48" s="49"/>
      <c r="AC48" s="65" t="s">
        <v>35</v>
      </c>
      <c r="AD48" s="72">
        <v>9</v>
      </c>
      <c r="AE48" s="76">
        <v>9</v>
      </c>
      <c r="AF48" s="67">
        <v>0</v>
      </c>
    </row>
    <row r="49" spans="24:32">
      <c r="X49" s="248" t="str">
        <f t="shared" si="21"/>
        <v>ADULTBRO 요약</v>
      </c>
      <c r="Y49" s="249" t="str">
        <f t="shared" si="22"/>
        <v>ADULT</v>
      </c>
      <c r="Z49" s="249" t="str">
        <f t="shared" si="23"/>
        <v>BRO 요약</v>
      </c>
      <c r="AA49" s="49"/>
      <c r="AB49" s="50" t="s">
        <v>1092</v>
      </c>
      <c r="AC49" s="51"/>
      <c r="AD49" s="73">
        <v>11</v>
      </c>
      <c r="AE49" s="143">
        <v>11</v>
      </c>
      <c r="AF49" s="68">
        <v>0</v>
      </c>
    </row>
    <row r="50" spans="24:32">
      <c r="X50" s="248" t="str">
        <f t="shared" si="21"/>
        <v>ADULTPLA</v>
      </c>
      <c r="Y50" s="249" t="str">
        <f t="shared" si="22"/>
        <v>ADULT</v>
      </c>
      <c r="Z50" s="249" t="str">
        <f t="shared" si="23"/>
        <v>PLA</v>
      </c>
      <c r="AA50" s="49"/>
      <c r="AB50" s="38" t="s">
        <v>61</v>
      </c>
      <c r="AC50" s="38" t="s">
        <v>50</v>
      </c>
      <c r="AD50" s="71">
        <v>16</v>
      </c>
      <c r="AE50" s="141">
        <v>11</v>
      </c>
      <c r="AF50" s="64">
        <v>5</v>
      </c>
    </row>
    <row r="51" spans="24:32">
      <c r="X51" s="248" t="str">
        <f t="shared" si="21"/>
        <v>ADULTPLA 요약</v>
      </c>
      <c r="Y51" s="249" t="str">
        <f t="shared" si="22"/>
        <v>ADULT</v>
      </c>
      <c r="Z51" s="249" t="str">
        <f t="shared" si="23"/>
        <v>PLA 요약</v>
      </c>
      <c r="AA51" s="49"/>
      <c r="AB51" s="50" t="s">
        <v>2152</v>
      </c>
      <c r="AC51" s="51"/>
      <c r="AD51" s="73">
        <v>16</v>
      </c>
      <c r="AE51" s="143">
        <v>11</v>
      </c>
      <c r="AF51" s="68">
        <v>5</v>
      </c>
    </row>
    <row r="52" spans="24:32">
      <c r="X52" s="248" t="str">
        <f t="shared" si="21"/>
        <v>ADULTVBL</v>
      </c>
      <c r="Y52" s="249" t="str">
        <f t="shared" si="22"/>
        <v>ADULT</v>
      </c>
      <c r="Z52" s="249" t="str">
        <f t="shared" si="23"/>
        <v>VBL</v>
      </c>
      <c r="AA52" s="49"/>
      <c r="AB52" s="38" t="s">
        <v>39</v>
      </c>
      <c r="AC52" s="38" t="s">
        <v>38</v>
      </c>
      <c r="AD52" s="71">
        <v>6</v>
      </c>
      <c r="AE52" s="141">
        <v>6</v>
      </c>
      <c r="AF52" s="64">
        <v>0</v>
      </c>
    </row>
    <row r="53" spans="24:32">
      <c r="X53" s="248" t="str">
        <f t="shared" si="21"/>
        <v>ADULTVBL</v>
      </c>
      <c r="Y53" s="249" t="str">
        <f t="shared" si="22"/>
        <v>ADULT</v>
      </c>
      <c r="Z53" s="249" t="str">
        <f t="shared" si="23"/>
        <v>VBL</v>
      </c>
      <c r="AA53" s="49"/>
      <c r="AB53" s="49"/>
      <c r="AC53" s="65" t="s">
        <v>28</v>
      </c>
      <c r="AD53" s="72">
        <v>7</v>
      </c>
      <c r="AE53" s="76">
        <v>7</v>
      </c>
      <c r="AF53" s="67">
        <v>0</v>
      </c>
    </row>
    <row r="54" spans="24:32">
      <c r="X54" s="248" t="str">
        <f t="shared" si="21"/>
        <v>ADULTVBL 요약</v>
      </c>
      <c r="Y54" s="249" t="str">
        <f t="shared" si="22"/>
        <v>ADULT</v>
      </c>
      <c r="Z54" s="249" t="str">
        <f t="shared" si="23"/>
        <v>VBL 요약</v>
      </c>
      <c r="AA54" s="49"/>
      <c r="AB54" s="50" t="s">
        <v>1457</v>
      </c>
      <c r="AC54" s="51"/>
      <c r="AD54" s="73">
        <v>13</v>
      </c>
      <c r="AE54" s="143">
        <v>13</v>
      </c>
      <c r="AF54" s="68">
        <v>0</v>
      </c>
    </row>
    <row r="55" spans="24:32">
      <c r="X55" s="248" t="str">
        <f t="shared" si="21"/>
        <v>ADULTBMD</v>
      </c>
      <c r="Y55" s="249" t="str">
        <f t="shared" si="22"/>
        <v>ADULT</v>
      </c>
      <c r="Z55" s="249" t="str">
        <f t="shared" si="23"/>
        <v>BMD</v>
      </c>
      <c r="AA55" s="49"/>
      <c r="AB55" s="38" t="s">
        <v>53</v>
      </c>
      <c r="AC55" s="38" t="s">
        <v>38</v>
      </c>
      <c r="AD55" s="71">
        <v>4.5</v>
      </c>
      <c r="AE55" s="141">
        <v>2</v>
      </c>
      <c r="AF55" s="64">
        <v>2.5</v>
      </c>
    </row>
    <row r="56" spans="24:32">
      <c r="X56" s="248" t="str">
        <f t="shared" si="21"/>
        <v>ADULTBMD</v>
      </c>
      <c r="Y56" s="249" t="str">
        <f t="shared" si="22"/>
        <v>ADULT</v>
      </c>
      <c r="Z56" s="249" t="str">
        <f t="shared" si="23"/>
        <v>BMD</v>
      </c>
      <c r="AA56" s="49"/>
      <c r="AB56" s="49"/>
      <c r="AC56" s="65" t="s">
        <v>50</v>
      </c>
      <c r="AD56" s="72">
        <v>2</v>
      </c>
      <c r="AE56" s="76">
        <v>2</v>
      </c>
      <c r="AF56" s="67">
        <v>0</v>
      </c>
    </row>
    <row r="57" spans="24:32">
      <c r="X57" s="248" t="str">
        <f t="shared" si="21"/>
        <v>ADULTBMD</v>
      </c>
      <c r="Y57" s="249" t="str">
        <f t="shared" si="22"/>
        <v>ADULT</v>
      </c>
      <c r="Z57" s="249" t="str">
        <f t="shared" si="23"/>
        <v>BMD</v>
      </c>
      <c r="AA57" s="49"/>
      <c r="AB57" s="49"/>
      <c r="AC57" s="65" t="s">
        <v>33</v>
      </c>
      <c r="AD57" s="72">
        <v>1.5</v>
      </c>
      <c r="AE57" s="76">
        <v>0</v>
      </c>
      <c r="AF57" s="67">
        <v>1.5</v>
      </c>
    </row>
    <row r="58" spans="24:32">
      <c r="X58" s="248" t="str">
        <f t="shared" si="21"/>
        <v>ADULTBMD</v>
      </c>
      <c r="Y58" s="249" t="str">
        <f t="shared" si="22"/>
        <v>ADULT</v>
      </c>
      <c r="Z58" s="249" t="str">
        <f t="shared" si="23"/>
        <v>BMD</v>
      </c>
      <c r="AA58" s="49"/>
      <c r="AB58" s="49"/>
      <c r="AC58" s="65" t="s">
        <v>35</v>
      </c>
      <c r="AD58" s="72">
        <v>2</v>
      </c>
      <c r="AE58" s="76">
        <v>2</v>
      </c>
      <c r="AF58" s="67">
        <v>0</v>
      </c>
    </row>
    <row r="59" spans="24:32">
      <c r="X59" s="248" t="str">
        <f t="shared" si="21"/>
        <v>ADULTBMD 요약</v>
      </c>
      <c r="Y59" s="249" t="str">
        <f t="shared" si="22"/>
        <v>ADULT</v>
      </c>
      <c r="Z59" s="249" t="str">
        <f t="shared" si="23"/>
        <v>BMD 요약</v>
      </c>
      <c r="AA59" s="49"/>
      <c r="AB59" s="50" t="s">
        <v>1097</v>
      </c>
      <c r="AC59" s="51"/>
      <c r="AD59" s="73">
        <v>10</v>
      </c>
      <c r="AE59" s="143">
        <v>6</v>
      </c>
      <c r="AF59" s="68">
        <v>4</v>
      </c>
    </row>
    <row r="60" spans="24:32">
      <c r="X60" s="248" t="str">
        <f t="shared" si="21"/>
        <v>ADULTNAA</v>
      </c>
      <c r="Y60" s="249" t="str">
        <f t="shared" si="22"/>
        <v>ADULT</v>
      </c>
      <c r="Z60" s="249" t="str">
        <f t="shared" si="23"/>
        <v>NAA</v>
      </c>
      <c r="AA60" s="49"/>
      <c r="AB60" s="38" t="s">
        <v>1096</v>
      </c>
      <c r="AC60" s="38" t="s">
        <v>50</v>
      </c>
      <c r="AD60" s="71">
        <v>15</v>
      </c>
      <c r="AE60" s="141">
        <v>14</v>
      </c>
      <c r="AF60" s="64">
        <v>1</v>
      </c>
    </row>
    <row r="61" spans="24:32">
      <c r="X61" s="248" t="str">
        <f t="shared" si="21"/>
        <v>ADULTNAA 요약</v>
      </c>
      <c r="Y61" s="249" t="str">
        <f t="shared" si="22"/>
        <v>ADULT</v>
      </c>
      <c r="Z61" s="249" t="str">
        <f t="shared" si="23"/>
        <v>NAA 요약</v>
      </c>
      <c r="AA61" s="49"/>
      <c r="AB61" s="50" t="s">
        <v>2153</v>
      </c>
      <c r="AC61" s="51"/>
      <c r="AD61" s="73">
        <v>15</v>
      </c>
      <c r="AE61" s="143">
        <v>14</v>
      </c>
      <c r="AF61" s="68">
        <v>1</v>
      </c>
    </row>
    <row r="62" spans="24:32">
      <c r="X62" s="248" t="str">
        <f t="shared" si="21"/>
        <v>ADULTURB</v>
      </c>
      <c r="Y62" s="249" t="str">
        <f t="shared" si="22"/>
        <v>ADULT</v>
      </c>
      <c r="Z62" s="249" t="str">
        <f t="shared" si="23"/>
        <v>URB</v>
      </c>
      <c r="AA62" s="49"/>
      <c r="AB62" s="38" t="s">
        <v>1101</v>
      </c>
      <c r="AC62" s="38" t="s">
        <v>50</v>
      </c>
      <c r="AD62" s="71">
        <v>18</v>
      </c>
      <c r="AE62" s="141">
        <v>18</v>
      </c>
      <c r="AF62" s="64">
        <v>0</v>
      </c>
    </row>
    <row r="63" spans="24:32">
      <c r="X63" s="248" t="str">
        <f t="shared" si="21"/>
        <v>ADULTURB</v>
      </c>
      <c r="Y63" s="249" t="str">
        <f t="shared" si="22"/>
        <v>ADULT</v>
      </c>
      <c r="Z63" s="249" t="str">
        <f t="shared" si="23"/>
        <v>URB</v>
      </c>
      <c r="AA63" s="49"/>
      <c r="AB63" s="49"/>
      <c r="AC63" s="65" t="s">
        <v>28</v>
      </c>
      <c r="AD63" s="72">
        <v>4</v>
      </c>
      <c r="AE63" s="76">
        <v>4</v>
      </c>
      <c r="AF63" s="67">
        <v>0</v>
      </c>
    </row>
    <row r="64" spans="24:32">
      <c r="X64" s="248" t="str">
        <f t="shared" ref="X64:X72" si="24">Y64&amp;Z64</f>
        <v>ADULTURB</v>
      </c>
      <c r="Y64" s="249" t="str">
        <f t="shared" ref="Y64:Y72" si="25">IF(AA64="",Y63,AA64)</f>
        <v>ADULT</v>
      </c>
      <c r="Z64" s="249" t="str">
        <f t="shared" ref="Z64:Z72" si="26">IF(AB64="",Z63,AB64)</f>
        <v>URB</v>
      </c>
      <c r="AA64" s="49"/>
      <c r="AB64" s="49"/>
      <c r="AC64" s="65" t="s">
        <v>56</v>
      </c>
      <c r="AD64" s="72">
        <v>2</v>
      </c>
      <c r="AE64" s="76">
        <v>0</v>
      </c>
      <c r="AF64" s="67">
        <v>2</v>
      </c>
    </row>
    <row r="65" spans="24:32">
      <c r="X65" s="248" t="str">
        <f t="shared" si="24"/>
        <v>ADULTURB</v>
      </c>
      <c r="Y65" s="249" t="str">
        <f t="shared" si="25"/>
        <v>ADULT</v>
      </c>
      <c r="Z65" s="249" t="str">
        <f t="shared" si="26"/>
        <v>URB</v>
      </c>
      <c r="AA65" s="49"/>
      <c r="AB65" s="49"/>
      <c r="AC65" s="65" t="s">
        <v>2116</v>
      </c>
      <c r="AD65" s="72">
        <v>18</v>
      </c>
      <c r="AE65" s="76">
        <v>7</v>
      </c>
      <c r="AF65" s="67">
        <v>11</v>
      </c>
    </row>
    <row r="66" spans="24:32">
      <c r="X66" s="248" t="str">
        <f t="shared" si="24"/>
        <v>ADULTURB 요약</v>
      </c>
      <c r="Y66" s="249" t="str">
        <f t="shared" si="25"/>
        <v>ADULT</v>
      </c>
      <c r="Z66" s="249" t="str">
        <f t="shared" si="26"/>
        <v>URB 요약</v>
      </c>
      <c r="AA66" s="49"/>
      <c r="AB66" s="50" t="s">
        <v>1550</v>
      </c>
      <c r="AC66" s="51"/>
      <c r="AD66" s="73">
        <v>42</v>
      </c>
      <c r="AE66" s="143">
        <v>29</v>
      </c>
      <c r="AF66" s="68">
        <v>13</v>
      </c>
    </row>
    <row r="67" spans="24:32">
      <c r="X67" s="248" t="str">
        <f t="shared" si="24"/>
        <v>ADULTNOV</v>
      </c>
      <c r="Y67" s="249" t="str">
        <f t="shared" si="25"/>
        <v>ADULT</v>
      </c>
      <c r="Z67" s="249" t="str">
        <f t="shared" si="26"/>
        <v>NOV</v>
      </c>
      <c r="AA67" s="49"/>
      <c r="AB67" s="38" t="s">
        <v>40</v>
      </c>
      <c r="AC67" s="38" t="s">
        <v>38</v>
      </c>
      <c r="AD67" s="71">
        <v>5</v>
      </c>
      <c r="AE67" s="141">
        <v>5</v>
      </c>
      <c r="AF67" s="64">
        <v>0</v>
      </c>
    </row>
    <row r="68" spans="24:32">
      <c r="X68" s="248" t="str">
        <f t="shared" si="24"/>
        <v>ADULTNOV</v>
      </c>
      <c r="Y68" s="249" t="str">
        <f t="shared" si="25"/>
        <v>ADULT</v>
      </c>
      <c r="Z68" s="249" t="str">
        <f t="shared" si="26"/>
        <v>NOV</v>
      </c>
      <c r="AA68" s="49"/>
      <c r="AB68" s="49"/>
      <c r="AC68" s="65" t="s">
        <v>60</v>
      </c>
      <c r="AD68" s="72">
        <v>1</v>
      </c>
      <c r="AE68" s="76">
        <v>1</v>
      </c>
      <c r="AF68" s="67">
        <v>0</v>
      </c>
    </row>
    <row r="69" spans="24:32">
      <c r="X69" s="248" t="str">
        <f t="shared" si="24"/>
        <v>ADULTNOV</v>
      </c>
      <c r="Y69" s="249" t="str">
        <f t="shared" si="25"/>
        <v>ADULT</v>
      </c>
      <c r="Z69" s="249" t="str">
        <f t="shared" si="26"/>
        <v>NOV</v>
      </c>
      <c r="AA69" s="49"/>
      <c r="AB69" s="49"/>
      <c r="AC69" s="65" t="s">
        <v>28</v>
      </c>
      <c r="AD69" s="72">
        <v>5</v>
      </c>
      <c r="AE69" s="76">
        <v>5</v>
      </c>
      <c r="AF69" s="67">
        <v>0</v>
      </c>
    </row>
    <row r="70" spans="24:32">
      <c r="X70" s="248" t="str">
        <f t="shared" si="24"/>
        <v>ADULTNOV 요약</v>
      </c>
      <c r="Y70" s="249" t="str">
        <f t="shared" si="25"/>
        <v>ADULT</v>
      </c>
      <c r="Z70" s="249" t="str">
        <f t="shared" si="26"/>
        <v>NOV 요약</v>
      </c>
      <c r="AA70" s="49"/>
      <c r="AB70" s="50" t="s">
        <v>1116</v>
      </c>
      <c r="AC70" s="51"/>
      <c r="AD70" s="73">
        <v>11</v>
      </c>
      <c r="AE70" s="143">
        <v>11</v>
      </c>
      <c r="AF70" s="68">
        <v>0</v>
      </c>
    </row>
    <row r="71" spans="24:32">
      <c r="X71" s="248" t="str">
        <f t="shared" si="24"/>
        <v>ADULTHCU</v>
      </c>
      <c r="Y71" s="249" t="str">
        <f t="shared" si="25"/>
        <v>ADULT</v>
      </c>
      <c r="Z71" s="249" t="str">
        <f t="shared" si="26"/>
        <v>HCU</v>
      </c>
      <c r="AA71" s="49"/>
      <c r="AB71" s="38" t="s">
        <v>57</v>
      </c>
      <c r="AC71" s="38" t="s">
        <v>33</v>
      </c>
      <c r="AD71" s="71">
        <v>13</v>
      </c>
      <c r="AE71" s="141">
        <v>13</v>
      </c>
      <c r="AF71" s="64">
        <v>0</v>
      </c>
    </row>
    <row r="72" spans="24:32">
      <c r="X72" s="248" t="str">
        <f t="shared" si="24"/>
        <v>ADULTHCU 요약</v>
      </c>
      <c r="Y72" s="249" t="str">
        <f t="shared" si="25"/>
        <v>ADULT</v>
      </c>
      <c r="Z72" s="249" t="str">
        <f t="shared" si="26"/>
        <v>HCU 요약</v>
      </c>
      <c r="AA72" s="49"/>
      <c r="AB72" s="50" t="s">
        <v>1369</v>
      </c>
      <c r="AC72" s="51"/>
      <c r="AD72" s="73">
        <v>13</v>
      </c>
      <c r="AE72" s="143">
        <v>13</v>
      </c>
      <c r="AF72" s="68">
        <v>0</v>
      </c>
    </row>
    <row r="73" spans="24:32">
      <c r="X73" s="248" t="str">
        <f t="shared" ref="X73:X86" si="27">Y73&amp;Z73</f>
        <v>ADULTMR.REAL GOODMAN</v>
      </c>
      <c r="Y73" s="249" t="str">
        <f t="shared" ref="Y73:Y86" si="28">IF(AA73="",Y72,AA73)</f>
        <v>ADULT</v>
      </c>
      <c r="Z73" s="249" t="str">
        <f t="shared" ref="Z73:Z86" si="29">IF(AB73="",Z72,AB73)</f>
        <v>MR.REAL GOODMAN</v>
      </c>
      <c r="AA73" s="49"/>
      <c r="AB73" s="38" t="s">
        <v>2006</v>
      </c>
      <c r="AC73" s="38" t="s">
        <v>50</v>
      </c>
      <c r="AD73" s="71">
        <v>18</v>
      </c>
      <c r="AE73" s="141">
        <v>18</v>
      </c>
      <c r="AF73" s="64">
        <v>0</v>
      </c>
    </row>
    <row r="74" spans="24:32">
      <c r="X74" s="248" t="str">
        <f t="shared" si="27"/>
        <v>ADULTMR.REAL GOODMAN 요약</v>
      </c>
      <c r="Y74" s="249" t="str">
        <f t="shared" si="28"/>
        <v>ADULT</v>
      </c>
      <c r="Z74" s="249" t="str">
        <f t="shared" si="29"/>
        <v>MR.REAL GOODMAN 요약</v>
      </c>
      <c r="AA74" s="49"/>
      <c r="AB74" s="50" t="s">
        <v>2027</v>
      </c>
      <c r="AC74" s="51"/>
      <c r="AD74" s="73">
        <v>18</v>
      </c>
      <c r="AE74" s="143">
        <v>18</v>
      </c>
      <c r="AF74" s="68">
        <v>0</v>
      </c>
    </row>
    <row r="75" spans="24:32">
      <c r="X75" s="248" t="str">
        <f t="shared" si="27"/>
        <v>ADULTVBL-의류</v>
      </c>
      <c r="Y75" s="249" t="str">
        <f t="shared" si="28"/>
        <v>ADULT</v>
      </c>
      <c r="Z75" s="249" t="str">
        <f t="shared" si="29"/>
        <v>VBL-의류</v>
      </c>
      <c r="AA75" s="49"/>
      <c r="AB75" s="38" t="s">
        <v>1407</v>
      </c>
      <c r="AC75" s="38" t="s">
        <v>26</v>
      </c>
      <c r="AD75" s="71">
        <v>1</v>
      </c>
      <c r="AE75" s="141">
        <v>1</v>
      </c>
      <c r="AF75" s="64">
        <v>0</v>
      </c>
    </row>
    <row r="76" spans="24:32">
      <c r="X76" s="248" t="str">
        <f t="shared" si="27"/>
        <v>ADULTVBL-의류</v>
      </c>
      <c r="Y76" s="249" t="str">
        <f t="shared" si="28"/>
        <v>ADULT</v>
      </c>
      <c r="Z76" s="249" t="str">
        <f t="shared" si="29"/>
        <v>VBL-의류</v>
      </c>
      <c r="AA76" s="49"/>
      <c r="AB76" s="49"/>
      <c r="AC76" s="65" t="s">
        <v>27</v>
      </c>
      <c r="AD76" s="72">
        <v>3</v>
      </c>
      <c r="AE76" s="76">
        <v>3</v>
      </c>
      <c r="AF76" s="67">
        <v>0</v>
      </c>
    </row>
    <row r="77" spans="24:32">
      <c r="X77" s="248" t="str">
        <f t="shared" si="27"/>
        <v>ADULTVBL-의류 요약</v>
      </c>
      <c r="Y77" s="249" t="str">
        <f t="shared" si="28"/>
        <v>ADULT</v>
      </c>
      <c r="Z77" s="249" t="str">
        <f t="shared" si="29"/>
        <v>VBL-의류 요약</v>
      </c>
      <c r="AA77" s="49"/>
      <c r="AB77" s="50" t="s">
        <v>1455</v>
      </c>
      <c r="AC77" s="51"/>
      <c r="AD77" s="73">
        <v>4</v>
      </c>
      <c r="AE77" s="143">
        <v>4</v>
      </c>
      <c r="AF77" s="68">
        <v>0</v>
      </c>
    </row>
    <row r="78" spans="24:32">
      <c r="X78" s="248" t="str">
        <f t="shared" si="27"/>
        <v>ADULTYGF</v>
      </c>
      <c r="Y78" s="249" t="str">
        <f t="shared" si="28"/>
        <v>ADULT</v>
      </c>
      <c r="Z78" s="249" t="str">
        <f t="shared" si="29"/>
        <v>YGF</v>
      </c>
      <c r="AA78" s="49"/>
      <c r="AB78" s="38" t="s">
        <v>1102</v>
      </c>
      <c r="AC78" s="38" t="s">
        <v>50</v>
      </c>
      <c r="AD78" s="71">
        <v>16.5</v>
      </c>
      <c r="AE78" s="141">
        <v>16.5</v>
      </c>
      <c r="AF78" s="64">
        <v>0</v>
      </c>
    </row>
    <row r="79" spans="24:32">
      <c r="X79" s="248" t="str">
        <f t="shared" si="27"/>
        <v>ADULTYGF</v>
      </c>
      <c r="Y79" s="249" t="str">
        <f t="shared" si="28"/>
        <v>ADULT</v>
      </c>
      <c r="Z79" s="249" t="str">
        <f t="shared" si="29"/>
        <v>YGF</v>
      </c>
      <c r="AA79" s="49"/>
      <c r="AB79" s="49"/>
      <c r="AC79" s="65" t="s">
        <v>2116</v>
      </c>
      <c r="AD79" s="72">
        <v>2.5</v>
      </c>
      <c r="AE79" s="76">
        <v>2.5</v>
      </c>
      <c r="AF79" s="67">
        <v>0</v>
      </c>
    </row>
    <row r="80" spans="24:32">
      <c r="X80" s="248" t="str">
        <f t="shared" si="27"/>
        <v>ADULTYGF 요약</v>
      </c>
      <c r="Y80" s="249" t="str">
        <f t="shared" si="28"/>
        <v>ADULT</v>
      </c>
      <c r="Z80" s="249" t="str">
        <f t="shared" si="29"/>
        <v>YGF 요약</v>
      </c>
      <c r="AA80" s="49"/>
      <c r="AB80" s="50" t="s">
        <v>1737</v>
      </c>
      <c r="AC80" s="51"/>
      <c r="AD80" s="73">
        <v>19</v>
      </c>
      <c r="AE80" s="143">
        <v>19</v>
      </c>
      <c r="AF80" s="68">
        <v>0</v>
      </c>
    </row>
    <row r="81" spans="24:32">
      <c r="X81" s="248" t="str">
        <f t="shared" si="27"/>
        <v>ADULTDPS</v>
      </c>
      <c r="Y81" s="249" t="str">
        <f t="shared" si="28"/>
        <v>ADULT</v>
      </c>
      <c r="Z81" s="249" t="str">
        <f t="shared" si="29"/>
        <v>DPS</v>
      </c>
      <c r="AA81" s="49"/>
      <c r="AB81" s="38" t="s">
        <v>1772</v>
      </c>
      <c r="AC81" s="38" t="s">
        <v>50</v>
      </c>
      <c r="AD81" s="71">
        <v>1</v>
      </c>
      <c r="AE81" s="141">
        <v>0</v>
      </c>
      <c r="AF81" s="64">
        <v>1</v>
      </c>
    </row>
    <row r="82" spans="24:32">
      <c r="X82" s="248" t="str">
        <f t="shared" si="27"/>
        <v>ADULTDPS</v>
      </c>
      <c r="Y82" s="249" t="str">
        <f t="shared" si="28"/>
        <v>ADULT</v>
      </c>
      <c r="Z82" s="249" t="str">
        <f t="shared" si="29"/>
        <v>DPS</v>
      </c>
      <c r="AA82" s="49"/>
      <c r="AB82" s="49"/>
      <c r="AC82" s="65" t="s">
        <v>35</v>
      </c>
      <c r="AD82" s="72">
        <v>4</v>
      </c>
      <c r="AE82" s="76">
        <v>4</v>
      </c>
      <c r="AF82" s="67">
        <v>0</v>
      </c>
    </row>
    <row r="83" spans="24:32">
      <c r="X83" s="248" t="str">
        <f t="shared" si="27"/>
        <v>ADULTDPS 요약</v>
      </c>
      <c r="Y83" s="249" t="str">
        <f t="shared" si="28"/>
        <v>ADULT</v>
      </c>
      <c r="Z83" s="249" t="str">
        <f t="shared" si="29"/>
        <v>DPS 요약</v>
      </c>
      <c r="AA83" s="49"/>
      <c r="AB83" s="50" t="s">
        <v>1824</v>
      </c>
      <c r="AC83" s="51"/>
      <c r="AD83" s="73">
        <v>5</v>
      </c>
      <c r="AE83" s="143">
        <v>4</v>
      </c>
      <c r="AF83" s="68">
        <v>1</v>
      </c>
    </row>
    <row r="84" spans="24:32">
      <c r="X84" s="248" t="str">
        <f t="shared" si="27"/>
        <v>ADULTNOV-ACC</v>
      </c>
      <c r="Y84" s="249" t="str">
        <f t="shared" si="28"/>
        <v>ADULT</v>
      </c>
      <c r="Z84" s="249" t="str">
        <f t="shared" si="29"/>
        <v>NOV-ACC</v>
      </c>
      <c r="AA84" s="49"/>
      <c r="AB84" s="38" t="s">
        <v>1828</v>
      </c>
      <c r="AC84" s="38" t="s">
        <v>249</v>
      </c>
      <c r="AD84" s="71">
        <v>4</v>
      </c>
      <c r="AE84" s="141">
        <v>4</v>
      </c>
      <c r="AF84" s="64">
        <v>0</v>
      </c>
    </row>
    <row r="85" spans="24:32">
      <c r="X85" s="248" t="str">
        <f t="shared" si="27"/>
        <v>ADULTNOV-ACC 요약</v>
      </c>
      <c r="Y85" s="249" t="str">
        <f t="shared" si="28"/>
        <v>ADULT</v>
      </c>
      <c r="Z85" s="249" t="str">
        <f t="shared" si="29"/>
        <v>NOV-ACC 요약</v>
      </c>
      <c r="AA85" s="49"/>
      <c r="AB85" s="50" t="s">
        <v>1909</v>
      </c>
      <c r="AC85" s="51"/>
      <c r="AD85" s="73">
        <v>4</v>
      </c>
      <c r="AE85" s="143">
        <v>4</v>
      </c>
      <c r="AF85" s="68">
        <v>0</v>
      </c>
    </row>
    <row r="86" spans="24:32">
      <c r="X86" s="248" t="str">
        <f t="shared" si="27"/>
        <v>ADULTURB-의류</v>
      </c>
      <c r="Y86" s="249" t="str">
        <f t="shared" si="28"/>
        <v>ADULT</v>
      </c>
      <c r="Z86" s="249" t="str">
        <f t="shared" si="29"/>
        <v>URB-의류</v>
      </c>
      <c r="AA86" s="49"/>
      <c r="AB86" s="38" t="s">
        <v>1893</v>
      </c>
      <c r="AC86" s="38" t="s">
        <v>25</v>
      </c>
      <c r="AD86" s="71">
        <v>2</v>
      </c>
      <c r="AE86" s="141">
        <v>2</v>
      </c>
      <c r="AF86" s="64">
        <v>0</v>
      </c>
    </row>
    <row r="87" spans="24:32">
      <c r="X87" s="248" t="str">
        <f>Y87&amp;Z87</f>
        <v>ADULTURB-의류</v>
      </c>
      <c r="Y87" s="249" t="str">
        <f t="shared" ref="Y87:Z89" si="30">IF(AA87="",Y86,AA87)</f>
        <v>ADULT</v>
      </c>
      <c r="Z87" s="249" t="str">
        <f t="shared" si="30"/>
        <v>URB-의류</v>
      </c>
      <c r="AA87" s="49"/>
      <c r="AB87" s="49"/>
      <c r="AC87" s="65" t="s">
        <v>26</v>
      </c>
      <c r="AD87" s="72">
        <v>2</v>
      </c>
      <c r="AE87" s="76">
        <v>2</v>
      </c>
      <c r="AF87" s="67">
        <v>0</v>
      </c>
    </row>
    <row r="88" spans="24:32">
      <c r="X88" s="248" t="str">
        <f>Y88&amp;Z88</f>
        <v>ADULTURB-의류</v>
      </c>
      <c r="Y88" s="249" t="str">
        <f t="shared" si="30"/>
        <v>ADULT</v>
      </c>
      <c r="Z88" s="249" t="str">
        <f t="shared" si="30"/>
        <v>URB-의류</v>
      </c>
      <c r="AA88" s="49"/>
      <c r="AB88" s="49"/>
      <c r="AC88" s="65" t="s">
        <v>24</v>
      </c>
      <c r="AD88" s="72">
        <v>2</v>
      </c>
      <c r="AE88" s="76">
        <v>2</v>
      </c>
      <c r="AF88" s="67">
        <v>0</v>
      </c>
    </row>
    <row r="89" spans="24:32">
      <c r="X89" s="248" t="str">
        <f>Y89&amp;Z89</f>
        <v>ADULTURB-의류</v>
      </c>
      <c r="Y89" s="249" t="str">
        <f t="shared" si="30"/>
        <v>ADULT</v>
      </c>
      <c r="Z89" s="249" t="str">
        <f t="shared" si="30"/>
        <v>URB-의류</v>
      </c>
      <c r="AA89" s="49"/>
      <c r="AB89" s="49"/>
      <c r="AC89" s="65" t="s">
        <v>27</v>
      </c>
      <c r="AD89" s="72">
        <v>2</v>
      </c>
      <c r="AE89" s="76">
        <v>2</v>
      </c>
      <c r="AF89" s="67">
        <v>0</v>
      </c>
    </row>
    <row r="90" spans="24:32">
      <c r="X90" s="248" t="str">
        <f t="shared" ref="X90:X109" si="31">Y90&amp;Z90</f>
        <v>ADULTURB-의류 요약</v>
      </c>
      <c r="Y90" s="249" t="str">
        <f t="shared" ref="Y90:Y109" si="32">IF(AA90="",Y89,AA90)</f>
        <v>ADULT</v>
      </c>
      <c r="Z90" s="249" t="str">
        <f t="shared" ref="Z90:Z109" si="33">IF(AB90="",Z89,AB90)</f>
        <v>URB-의류 요약</v>
      </c>
      <c r="AA90" s="49"/>
      <c r="AB90" s="50" t="s">
        <v>1910</v>
      </c>
      <c r="AC90" s="51"/>
      <c r="AD90" s="73">
        <v>8</v>
      </c>
      <c r="AE90" s="143">
        <v>8</v>
      </c>
      <c r="AF90" s="68">
        <v>0</v>
      </c>
    </row>
    <row r="91" spans="24:32">
      <c r="X91" s="248" t="str">
        <f t="shared" si="31"/>
        <v>ADULTDPS-의류</v>
      </c>
      <c r="Y91" s="249" t="str">
        <f t="shared" si="32"/>
        <v>ADULT</v>
      </c>
      <c r="Z91" s="249" t="str">
        <f t="shared" si="33"/>
        <v>DPS-의류</v>
      </c>
      <c r="AA91" s="49"/>
      <c r="AB91" s="38" t="s">
        <v>2089</v>
      </c>
      <c r="AC91" s="38" t="s">
        <v>1946</v>
      </c>
      <c r="AD91" s="71">
        <v>10</v>
      </c>
      <c r="AE91" s="141">
        <v>0</v>
      </c>
      <c r="AF91" s="64">
        <v>10</v>
      </c>
    </row>
    <row r="92" spans="24:32">
      <c r="X92" s="248" t="str">
        <f t="shared" si="31"/>
        <v>ADULTDPS-의류 요약</v>
      </c>
      <c r="Y92" s="249" t="str">
        <f t="shared" si="32"/>
        <v>ADULT</v>
      </c>
      <c r="Z92" s="249" t="str">
        <f t="shared" si="33"/>
        <v>DPS-의류 요약</v>
      </c>
      <c r="AA92" s="49"/>
      <c r="AB92" s="50" t="s">
        <v>2154</v>
      </c>
      <c r="AC92" s="51"/>
      <c r="AD92" s="73">
        <v>10</v>
      </c>
      <c r="AE92" s="143">
        <v>0</v>
      </c>
      <c r="AF92" s="68">
        <v>10</v>
      </c>
    </row>
    <row r="93" spans="24:32">
      <c r="X93" s="248" t="str">
        <f t="shared" si="31"/>
        <v>ADULTDPS-가방</v>
      </c>
      <c r="Y93" s="249" t="str">
        <f t="shared" si="32"/>
        <v>ADULT</v>
      </c>
      <c r="Z93" s="249" t="str">
        <f t="shared" si="33"/>
        <v>DPS-가방</v>
      </c>
      <c r="AA93" s="49"/>
      <c r="AB93" s="38" t="s">
        <v>2196</v>
      </c>
      <c r="AC93" s="38" t="s">
        <v>31</v>
      </c>
      <c r="AD93" s="71">
        <v>5</v>
      </c>
      <c r="AE93" s="141">
        <v>0</v>
      </c>
      <c r="AF93" s="64">
        <v>5</v>
      </c>
    </row>
    <row r="94" spans="24:32">
      <c r="X94" s="248" t="str">
        <f t="shared" si="31"/>
        <v>ADULTDPS-가방 요약</v>
      </c>
      <c r="Y94" s="249" t="str">
        <f t="shared" si="32"/>
        <v>ADULT</v>
      </c>
      <c r="Z94" s="249" t="str">
        <f t="shared" si="33"/>
        <v>DPS-가방 요약</v>
      </c>
      <c r="AA94" s="49"/>
      <c r="AB94" s="50" t="s">
        <v>2265</v>
      </c>
      <c r="AC94" s="51"/>
      <c r="AD94" s="73">
        <v>5</v>
      </c>
      <c r="AE94" s="143">
        <v>0</v>
      </c>
      <c r="AF94" s="68">
        <v>5</v>
      </c>
    </row>
    <row r="95" spans="24:32">
      <c r="X95" s="248" t="str">
        <f t="shared" si="31"/>
        <v>ADULTURB-가방</v>
      </c>
      <c r="Y95" s="249" t="str">
        <f t="shared" si="32"/>
        <v>ADULT</v>
      </c>
      <c r="Z95" s="249" t="str">
        <f t="shared" si="33"/>
        <v>URB-가방</v>
      </c>
      <c r="AA95" s="49"/>
      <c r="AB95" s="38" t="s">
        <v>2232</v>
      </c>
      <c r="AC95" s="38" t="s">
        <v>31</v>
      </c>
      <c r="AD95" s="71">
        <v>4</v>
      </c>
      <c r="AE95" s="141">
        <v>0</v>
      </c>
      <c r="AF95" s="64">
        <v>4</v>
      </c>
    </row>
    <row r="96" spans="24:32">
      <c r="X96" s="248" t="str">
        <f t="shared" si="31"/>
        <v>ADULTURB-가방 요약</v>
      </c>
      <c r="Y96" s="249" t="str">
        <f t="shared" si="32"/>
        <v>ADULT</v>
      </c>
      <c r="Z96" s="249" t="str">
        <f t="shared" si="33"/>
        <v>URB-가방 요약</v>
      </c>
      <c r="AA96" s="49"/>
      <c r="AB96" s="50" t="s">
        <v>2266</v>
      </c>
      <c r="AC96" s="51"/>
      <c r="AD96" s="73">
        <v>4</v>
      </c>
      <c r="AE96" s="143">
        <v>0</v>
      </c>
      <c r="AF96" s="68">
        <v>4</v>
      </c>
    </row>
    <row r="97" spans="24:32">
      <c r="X97" s="248" t="str">
        <f t="shared" si="31"/>
        <v>ADULT 요약URB-가방 요약</v>
      </c>
      <c r="Y97" s="249" t="str">
        <f t="shared" si="32"/>
        <v>ADULT 요약</v>
      </c>
      <c r="Z97" s="249" t="str">
        <f t="shared" si="33"/>
        <v>URB-가방 요약</v>
      </c>
      <c r="AA97" s="54" t="s">
        <v>1081</v>
      </c>
      <c r="AB97" s="55"/>
      <c r="AC97" s="55"/>
      <c r="AD97" s="253">
        <v>506</v>
      </c>
      <c r="AE97" s="252">
        <v>435</v>
      </c>
      <c r="AF97" s="254">
        <v>71</v>
      </c>
    </row>
    <row r="98" spans="24:32">
      <c r="X98" s="248" t="str">
        <f t="shared" si="31"/>
        <v>CHILDELS-의류</v>
      </c>
      <c r="Y98" s="249" t="str">
        <f t="shared" si="32"/>
        <v>CHILD</v>
      </c>
      <c r="Z98" s="249" t="str">
        <f t="shared" si="33"/>
        <v>ELS-의류</v>
      </c>
      <c r="AA98" s="38" t="s">
        <v>905</v>
      </c>
      <c r="AB98" s="38" t="s">
        <v>41</v>
      </c>
      <c r="AC98" s="38" t="s">
        <v>25</v>
      </c>
      <c r="AD98" s="71">
        <v>4</v>
      </c>
      <c r="AE98" s="141">
        <v>4</v>
      </c>
      <c r="AF98" s="357">
        <v>0</v>
      </c>
    </row>
    <row r="99" spans="24:32">
      <c r="X99" s="248" t="str">
        <f t="shared" si="31"/>
        <v>CHILDELS-의류</v>
      </c>
      <c r="Y99" s="249" t="str">
        <f t="shared" si="32"/>
        <v>CHILD</v>
      </c>
      <c r="Z99" s="249" t="str">
        <f t="shared" si="33"/>
        <v>ELS-의류</v>
      </c>
      <c r="AA99" s="49"/>
      <c r="AB99" s="49"/>
      <c r="AC99" s="65" t="s">
        <v>26</v>
      </c>
      <c r="AD99" s="72">
        <v>4</v>
      </c>
      <c r="AE99" s="76">
        <v>4</v>
      </c>
      <c r="AF99" s="358">
        <v>0</v>
      </c>
    </row>
    <row r="100" spans="24:32">
      <c r="X100" s="248" t="str">
        <f t="shared" si="31"/>
        <v>CHILDELS-의류</v>
      </c>
      <c r="Y100" s="249" t="str">
        <f t="shared" si="32"/>
        <v>CHILD</v>
      </c>
      <c r="Z100" s="249" t="str">
        <f t="shared" si="33"/>
        <v>ELS-의류</v>
      </c>
      <c r="AA100" s="49"/>
      <c r="AB100" s="49"/>
      <c r="AC100" s="65" t="s">
        <v>24</v>
      </c>
      <c r="AD100" s="72">
        <v>9</v>
      </c>
      <c r="AE100" s="76">
        <v>9</v>
      </c>
      <c r="AF100" s="358">
        <v>0</v>
      </c>
    </row>
    <row r="101" spans="24:32">
      <c r="X101" s="248" t="str">
        <f t="shared" si="31"/>
        <v>CHILDELS-의류</v>
      </c>
      <c r="Y101" s="249" t="str">
        <f t="shared" si="32"/>
        <v>CHILD</v>
      </c>
      <c r="Z101" s="249" t="str">
        <f t="shared" si="33"/>
        <v>ELS-의류</v>
      </c>
      <c r="AA101" s="49"/>
      <c r="AB101" s="49"/>
      <c r="AC101" s="65" t="s">
        <v>27</v>
      </c>
      <c r="AD101" s="72">
        <v>18</v>
      </c>
      <c r="AE101" s="76">
        <v>15</v>
      </c>
      <c r="AF101" s="358">
        <v>3</v>
      </c>
    </row>
    <row r="102" spans="24:32">
      <c r="X102" s="248" t="str">
        <f t="shared" si="31"/>
        <v>CHILDELS-의류</v>
      </c>
      <c r="Y102" s="249" t="str">
        <f t="shared" si="32"/>
        <v>CHILD</v>
      </c>
      <c r="Z102" s="249" t="str">
        <f t="shared" si="33"/>
        <v>ELS-의류</v>
      </c>
      <c r="AA102" s="49"/>
      <c r="AB102" s="49"/>
      <c r="AC102" s="65" t="s">
        <v>1789</v>
      </c>
      <c r="AD102" s="72">
        <v>3</v>
      </c>
      <c r="AE102" s="76">
        <v>3</v>
      </c>
      <c r="AF102" s="358">
        <v>0</v>
      </c>
    </row>
    <row r="103" spans="24:32">
      <c r="X103" s="248" t="str">
        <f t="shared" si="31"/>
        <v>CHILDELS-의류</v>
      </c>
      <c r="Y103" s="249" t="str">
        <f t="shared" si="32"/>
        <v>CHILD</v>
      </c>
      <c r="Z103" s="249" t="str">
        <f t="shared" si="33"/>
        <v>ELS-의류</v>
      </c>
      <c r="AA103" s="49"/>
      <c r="AB103" s="49"/>
      <c r="AC103" s="65" t="s">
        <v>1878</v>
      </c>
      <c r="AD103" s="72">
        <v>1</v>
      </c>
      <c r="AE103" s="76">
        <v>1</v>
      </c>
      <c r="AF103" s="67">
        <v>0</v>
      </c>
    </row>
    <row r="104" spans="24:32">
      <c r="X104" s="248" t="str">
        <f t="shared" si="31"/>
        <v>CHILDELS-의류</v>
      </c>
      <c r="Y104" s="249" t="str">
        <f t="shared" si="32"/>
        <v>CHILD</v>
      </c>
      <c r="Z104" s="249" t="str">
        <f t="shared" si="33"/>
        <v>ELS-의류</v>
      </c>
      <c r="AA104" s="49"/>
      <c r="AB104" s="49"/>
      <c r="AC104" s="65" t="s">
        <v>1946</v>
      </c>
      <c r="AD104" s="72">
        <v>5</v>
      </c>
      <c r="AE104" s="76">
        <v>5</v>
      </c>
      <c r="AF104" s="67">
        <v>0</v>
      </c>
    </row>
    <row r="105" spans="24:32">
      <c r="X105" s="248" t="str">
        <f t="shared" si="31"/>
        <v>CHILDELS-의류</v>
      </c>
      <c r="Y105" s="249" t="str">
        <f t="shared" si="32"/>
        <v>CHILD</v>
      </c>
      <c r="Z105" s="249" t="str">
        <f t="shared" si="33"/>
        <v>ELS-의류</v>
      </c>
      <c r="AA105" s="49"/>
      <c r="AB105" s="49"/>
      <c r="AC105" s="65" t="s">
        <v>1976</v>
      </c>
      <c r="AD105" s="72">
        <v>1</v>
      </c>
      <c r="AE105" s="76">
        <v>1</v>
      </c>
      <c r="AF105" s="67">
        <v>0</v>
      </c>
    </row>
    <row r="106" spans="24:32">
      <c r="X106" s="248" t="str">
        <f t="shared" si="31"/>
        <v>CHILDELS-의류 요약</v>
      </c>
      <c r="Y106" s="249" t="str">
        <f t="shared" si="32"/>
        <v>CHILD</v>
      </c>
      <c r="Z106" s="249" t="str">
        <f t="shared" si="33"/>
        <v>ELS-의류 요약</v>
      </c>
      <c r="AA106" s="49"/>
      <c r="AB106" s="50" t="s">
        <v>1454</v>
      </c>
      <c r="AC106" s="51"/>
      <c r="AD106" s="73">
        <v>45</v>
      </c>
      <c r="AE106" s="143">
        <v>42</v>
      </c>
      <c r="AF106" s="68">
        <v>3</v>
      </c>
    </row>
    <row r="107" spans="24:32">
      <c r="X107" s="248" t="str">
        <f t="shared" si="31"/>
        <v>CHILDELS-가방</v>
      </c>
      <c r="Y107" s="249" t="str">
        <f t="shared" si="32"/>
        <v>CHILD</v>
      </c>
      <c r="Z107" s="249" t="str">
        <f t="shared" si="33"/>
        <v>ELS-가방</v>
      </c>
      <c r="AA107" s="49"/>
      <c r="AB107" s="38" t="s">
        <v>30</v>
      </c>
      <c r="AC107" s="38" t="s">
        <v>31</v>
      </c>
      <c r="AD107" s="71">
        <v>2</v>
      </c>
      <c r="AE107" s="141">
        <v>2</v>
      </c>
      <c r="AF107" s="64">
        <v>0</v>
      </c>
    </row>
    <row r="108" spans="24:32">
      <c r="X108" s="248" t="str">
        <f t="shared" si="31"/>
        <v>CHILDELS-가방 요약</v>
      </c>
      <c r="Y108" s="249" t="str">
        <f t="shared" si="32"/>
        <v>CHILD</v>
      </c>
      <c r="Z108" s="249" t="str">
        <f t="shared" si="33"/>
        <v>ELS-가방 요약</v>
      </c>
      <c r="AA108" s="49"/>
      <c r="AB108" s="50" t="s">
        <v>1907</v>
      </c>
      <c r="AC108" s="51"/>
      <c r="AD108" s="73">
        <v>2</v>
      </c>
      <c r="AE108" s="143">
        <v>2</v>
      </c>
      <c r="AF108" s="68">
        <v>0</v>
      </c>
    </row>
    <row r="109" spans="24:32">
      <c r="X109" s="248" t="str">
        <f t="shared" si="31"/>
        <v>CHILDELS-ACC</v>
      </c>
      <c r="Y109" s="249" t="str">
        <f t="shared" si="32"/>
        <v>CHILD</v>
      </c>
      <c r="Z109" s="249" t="str">
        <f t="shared" si="33"/>
        <v>ELS-ACC</v>
      </c>
      <c r="AA109" s="49"/>
      <c r="AB109" s="38" t="s">
        <v>58</v>
      </c>
      <c r="AC109" s="38" t="s">
        <v>55</v>
      </c>
      <c r="AD109" s="71">
        <v>2</v>
      </c>
      <c r="AE109" s="141">
        <v>2</v>
      </c>
      <c r="AF109" s="64">
        <v>0</v>
      </c>
    </row>
    <row r="110" spans="24:32">
      <c r="X110" s="248" t="str">
        <f t="shared" ref="X110:X128" si="34">Y110&amp;Z110</f>
        <v>CHILDELS-ACC 요약</v>
      </c>
      <c r="Y110" s="249" t="str">
        <f t="shared" ref="Y110:Y128" si="35">IF(AA110="",Y109,AA110)</f>
        <v>CHILD</v>
      </c>
      <c r="Z110" s="249" t="str">
        <f t="shared" ref="Z110:Z128" si="36">IF(AB110="",Z109,AB110)</f>
        <v>ELS-ACC 요약</v>
      </c>
      <c r="AA110" s="49"/>
      <c r="AB110" s="50" t="s">
        <v>1079</v>
      </c>
      <c r="AC110" s="51"/>
      <c r="AD110" s="73">
        <v>2</v>
      </c>
      <c r="AE110" s="143">
        <v>2</v>
      </c>
      <c r="AF110" s="68">
        <v>0</v>
      </c>
    </row>
    <row r="111" spans="24:32">
      <c r="X111" s="248" t="str">
        <f t="shared" si="34"/>
        <v>CHILDJOI-ACC</v>
      </c>
      <c r="Y111" s="249" t="str">
        <f t="shared" si="35"/>
        <v>CHILD</v>
      </c>
      <c r="Z111" s="249" t="str">
        <f t="shared" si="36"/>
        <v>JOI-ACC</v>
      </c>
      <c r="AA111" s="49"/>
      <c r="AB111" s="38" t="s">
        <v>52</v>
      </c>
      <c r="AC111" s="38" t="s">
        <v>358</v>
      </c>
      <c r="AD111" s="71">
        <v>1</v>
      </c>
      <c r="AE111" s="141">
        <v>0</v>
      </c>
      <c r="AF111" s="357">
        <v>1</v>
      </c>
    </row>
    <row r="112" spans="24:32">
      <c r="X112" s="248" t="str">
        <f t="shared" si="34"/>
        <v>CHILDJOI-ACC</v>
      </c>
      <c r="Y112" s="249" t="str">
        <f t="shared" si="35"/>
        <v>CHILD</v>
      </c>
      <c r="Z112" s="249" t="str">
        <f t="shared" si="36"/>
        <v>JOI-ACC</v>
      </c>
      <c r="AA112" s="49"/>
      <c r="AB112" s="49"/>
      <c r="AC112" s="65" t="s">
        <v>249</v>
      </c>
      <c r="AD112" s="72">
        <v>15</v>
      </c>
      <c r="AE112" s="76">
        <v>7</v>
      </c>
      <c r="AF112" s="67">
        <v>8</v>
      </c>
    </row>
    <row r="113" spans="24:32">
      <c r="X113" s="248" t="str">
        <f t="shared" si="34"/>
        <v>CHILDJOI-ACC 요약</v>
      </c>
      <c r="Y113" s="249" t="str">
        <f t="shared" si="35"/>
        <v>CHILD</v>
      </c>
      <c r="Z113" s="249" t="str">
        <f t="shared" si="36"/>
        <v>JOI-ACC 요약</v>
      </c>
      <c r="AA113" s="49"/>
      <c r="AB113" s="50" t="s">
        <v>1117</v>
      </c>
      <c r="AC113" s="51"/>
      <c r="AD113" s="73">
        <v>16</v>
      </c>
      <c r="AE113" s="143">
        <v>7</v>
      </c>
      <c r="AF113" s="68">
        <v>9</v>
      </c>
    </row>
    <row r="114" spans="24:32">
      <c r="X114" s="248" t="str">
        <f t="shared" si="34"/>
        <v>CHILDJOI</v>
      </c>
      <c r="Y114" s="249" t="str">
        <f t="shared" si="35"/>
        <v>CHILD</v>
      </c>
      <c r="Z114" s="249" t="str">
        <f t="shared" si="36"/>
        <v>JOI</v>
      </c>
      <c r="AA114" s="49"/>
      <c r="AB114" s="38" t="s">
        <v>51</v>
      </c>
      <c r="AC114" s="38" t="s">
        <v>38</v>
      </c>
      <c r="AD114" s="71">
        <v>7</v>
      </c>
      <c r="AE114" s="141">
        <v>7</v>
      </c>
      <c r="AF114" s="64">
        <v>0</v>
      </c>
    </row>
    <row r="115" spans="24:32">
      <c r="X115" s="248" t="str">
        <f t="shared" si="34"/>
        <v>CHILDJOI</v>
      </c>
      <c r="Y115" s="249" t="str">
        <f t="shared" si="35"/>
        <v>CHILD</v>
      </c>
      <c r="Z115" s="249" t="str">
        <f t="shared" si="36"/>
        <v>JOI</v>
      </c>
      <c r="AA115" s="49"/>
      <c r="AB115" s="49"/>
      <c r="AC115" s="65" t="s">
        <v>60</v>
      </c>
      <c r="AD115" s="72">
        <v>1</v>
      </c>
      <c r="AE115" s="76">
        <v>1</v>
      </c>
      <c r="AF115" s="67">
        <v>0</v>
      </c>
    </row>
    <row r="116" spans="24:32">
      <c r="X116" s="248" t="str">
        <f t="shared" si="34"/>
        <v>CHILDJOI</v>
      </c>
      <c r="Y116" s="249" t="str">
        <f t="shared" si="35"/>
        <v>CHILD</v>
      </c>
      <c r="Z116" s="249" t="str">
        <f t="shared" si="36"/>
        <v>JOI</v>
      </c>
      <c r="AA116" s="49"/>
      <c r="AB116" s="49"/>
      <c r="AC116" s="65" t="s">
        <v>28</v>
      </c>
      <c r="AD116" s="72">
        <v>2</v>
      </c>
      <c r="AE116" s="76">
        <v>2</v>
      </c>
      <c r="AF116" s="67">
        <v>0</v>
      </c>
    </row>
    <row r="117" spans="24:32">
      <c r="X117" s="248" t="str">
        <f t="shared" si="34"/>
        <v>CHILDJOI</v>
      </c>
      <c r="Y117" s="249" t="str">
        <f t="shared" si="35"/>
        <v>CHILD</v>
      </c>
      <c r="Z117" s="249" t="str">
        <f t="shared" si="36"/>
        <v>JOI</v>
      </c>
      <c r="AA117" s="49"/>
      <c r="AB117" s="49"/>
      <c r="AC117" s="65" t="s">
        <v>56</v>
      </c>
      <c r="AD117" s="72">
        <v>9</v>
      </c>
      <c r="AE117" s="76">
        <v>4</v>
      </c>
      <c r="AF117" s="67">
        <v>5</v>
      </c>
    </row>
    <row r="118" spans="24:32">
      <c r="X118" s="248" t="str">
        <f t="shared" si="34"/>
        <v>CHILDJOI 요약</v>
      </c>
      <c r="Y118" s="249" t="str">
        <f t="shared" si="35"/>
        <v>CHILD</v>
      </c>
      <c r="Z118" s="249" t="str">
        <f t="shared" si="36"/>
        <v>JOI 요약</v>
      </c>
      <c r="AA118" s="49"/>
      <c r="AB118" s="50" t="s">
        <v>1088</v>
      </c>
      <c r="AC118" s="51"/>
      <c r="AD118" s="73">
        <v>19</v>
      </c>
      <c r="AE118" s="143">
        <v>14</v>
      </c>
      <c r="AF118" s="68">
        <v>4.9999999999999929</v>
      </c>
    </row>
    <row r="119" spans="24:32">
      <c r="X119" s="248" t="str">
        <f t="shared" si="34"/>
        <v>CHILDELS</v>
      </c>
      <c r="Y119" s="249" t="str">
        <f t="shared" si="35"/>
        <v>CHILD</v>
      </c>
      <c r="Z119" s="249" t="str">
        <f t="shared" si="36"/>
        <v>ELS</v>
      </c>
      <c r="AA119" s="49"/>
      <c r="AB119" s="38" t="s">
        <v>3</v>
      </c>
      <c r="AC119" s="38" t="s">
        <v>38</v>
      </c>
      <c r="AD119" s="71">
        <v>1</v>
      </c>
      <c r="AE119" s="141">
        <v>1</v>
      </c>
      <c r="AF119" s="64">
        <v>0</v>
      </c>
    </row>
    <row r="120" spans="24:32">
      <c r="X120" s="248" t="str">
        <f t="shared" si="34"/>
        <v>CHILDELS</v>
      </c>
      <c r="Y120" s="249" t="str">
        <f t="shared" si="35"/>
        <v>CHILD</v>
      </c>
      <c r="Z120" s="249" t="str">
        <f t="shared" si="36"/>
        <v>ELS</v>
      </c>
      <c r="AA120" s="49"/>
      <c r="AB120" s="49"/>
      <c r="AC120" s="65" t="s">
        <v>35</v>
      </c>
      <c r="AD120" s="72">
        <v>3</v>
      </c>
      <c r="AE120" s="76">
        <v>3</v>
      </c>
      <c r="AF120" s="67">
        <v>0</v>
      </c>
    </row>
    <row r="121" spans="24:32">
      <c r="X121" s="248" t="str">
        <f t="shared" si="34"/>
        <v>CHILDELS</v>
      </c>
      <c r="Y121" s="249" t="str">
        <f t="shared" si="35"/>
        <v>CHILD</v>
      </c>
      <c r="Z121" s="249" t="str">
        <f t="shared" si="36"/>
        <v>ELS</v>
      </c>
      <c r="AA121" s="49"/>
      <c r="AB121" s="49"/>
      <c r="AC121" s="65" t="s">
        <v>28</v>
      </c>
      <c r="AD121" s="72">
        <v>10</v>
      </c>
      <c r="AE121" s="76">
        <v>4</v>
      </c>
      <c r="AF121" s="67">
        <v>6</v>
      </c>
    </row>
    <row r="122" spans="24:32">
      <c r="X122" s="248" t="str">
        <f t="shared" si="34"/>
        <v>CHILDELS</v>
      </c>
      <c r="Y122" s="249" t="str">
        <f t="shared" si="35"/>
        <v>CHILD</v>
      </c>
      <c r="Z122" s="249" t="str">
        <f t="shared" si="36"/>
        <v>ELS</v>
      </c>
      <c r="AA122" s="49"/>
      <c r="AB122" s="49"/>
      <c r="AC122" s="65" t="s">
        <v>56</v>
      </c>
      <c r="AD122" s="72">
        <v>2</v>
      </c>
      <c r="AE122" s="76">
        <v>0</v>
      </c>
      <c r="AF122" s="67">
        <v>2</v>
      </c>
    </row>
    <row r="123" spans="24:32">
      <c r="X123" s="248" t="str">
        <f t="shared" si="34"/>
        <v>CHILDELS 요약</v>
      </c>
      <c r="Y123" s="249" t="str">
        <f t="shared" si="35"/>
        <v>CHILD</v>
      </c>
      <c r="Z123" s="249" t="str">
        <f t="shared" si="36"/>
        <v>ELS 요약</v>
      </c>
      <c r="AA123" s="49"/>
      <c r="AB123" s="50" t="s">
        <v>1087</v>
      </c>
      <c r="AC123" s="51"/>
      <c r="AD123" s="73">
        <v>16</v>
      </c>
      <c r="AE123" s="143">
        <v>8</v>
      </c>
      <c r="AF123" s="68">
        <v>8</v>
      </c>
    </row>
    <row r="124" spans="24:32">
      <c r="X124" s="248" t="str">
        <f t="shared" si="34"/>
        <v>CHILDJOI-가방</v>
      </c>
      <c r="Y124" s="249" t="str">
        <f t="shared" si="35"/>
        <v>CHILD</v>
      </c>
      <c r="Z124" s="249" t="str">
        <f t="shared" si="36"/>
        <v>JOI-가방</v>
      </c>
      <c r="AA124" s="49"/>
      <c r="AB124" s="38" t="s">
        <v>1095</v>
      </c>
      <c r="AC124" s="38" t="s">
        <v>31</v>
      </c>
      <c r="AD124" s="71">
        <v>3</v>
      </c>
      <c r="AE124" s="141">
        <v>0</v>
      </c>
      <c r="AF124" s="64">
        <v>3</v>
      </c>
    </row>
    <row r="125" spans="24:32">
      <c r="X125" s="248" t="str">
        <f t="shared" si="34"/>
        <v>CHILDJOI-가방 요약</v>
      </c>
      <c r="Y125" s="249" t="str">
        <f t="shared" si="35"/>
        <v>CHILD</v>
      </c>
      <c r="Z125" s="249" t="str">
        <f t="shared" si="36"/>
        <v>JOI-가방 요약</v>
      </c>
      <c r="AA125" s="49"/>
      <c r="AB125" s="50" t="s">
        <v>2028</v>
      </c>
      <c r="AC125" s="51"/>
      <c r="AD125" s="73">
        <v>3</v>
      </c>
      <c r="AE125" s="143">
        <v>0</v>
      </c>
      <c r="AF125" s="68">
        <v>3</v>
      </c>
    </row>
    <row r="126" spans="24:32">
      <c r="X126" s="248" t="str">
        <f t="shared" si="34"/>
        <v>CHILDPOL</v>
      </c>
      <c r="Y126" s="249" t="str">
        <f t="shared" si="35"/>
        <v>CHILD</v>
      </c>
      <c r="Z126" s="249" t="str">
        <f t="shared" si="36"/>
        <v>POL</v>
      </c>
      <c r="AA126" s="49"/>
      <c r="AB126" s="38" t="s">
        <v>1677</v>
      </c>
      <c r="AC126" s="38" t="s">
        <v>38</v>
      </c>
      <c r="AD126" s="71">
        <v>6</v>
      </c>
      <c r="AE126" s="141">
        <v>6</v>
      </c>
      <c r="AF126" s="64">
        <v>0</v>
      </c>
    </row>
    <row r="127" spans="24:32">
      <c r="X127" s="248" t="str">
        <f t="shared" si="34"/>
        <v>CHILDPOL</v>
      </c>
      <c r="Y127" s="249" t="str">
        <f t="shared" si="35"/>
        <v>CHILD</v>
      </c>
      <c r="Z127" s="249" t="str">
        <f t="shared" si="36"/>
        <v>POL</v>
      </c>
      <c r="AA127" s="49"/>
      <c r="AB127" s="49"/>
      <c r="AC127" s="65" t="s">
        <v>35</v>
      </c>
      <c r="AD127" s="72">
        <v>2</v>
      </c>
      <c r="AE127" s="76">
        <v>2</v>
      </c>
      <c r="AF127" s="67">
        <v>0</v>
      </c>
    </row>
    <row r="128" spans="24:32">
      <c r="X128" s="248" t="str">
        <f t="shared" si="34"/>
        <v>CHILDPOL</v>
      </c>
      <c r="Y128" s="249" t="str">
        <f t="shared" si="35"/>
        <v>CHILD</v>
      </c>
      <c r="Z128" s="249" t="str">
        <f t="shared" si="36"/>
        <v>POL</v>
      </c>
      <c r="AA128" s="49"/>
      <c r="AB128" s="49"/>
      <c r="AC128" s="65" t="s">
        <v>56</v>
      </c>
      <c r="AD128" s="72">
        <v>4</v>
      </c>
      <c r="AE128" s="76">
        <v>4</v>
      </c>
      <c r="AF128" s="67">
        <v>0</v>
      </c>
    </row>
    <row r="129" spans="27:32">
      <c r="AA129" s="49"/>
      <c r="AB129" s="49"/>
      <c r="AC129" s="65" t="s">
        <v>228</v>
      </c>
      <c r="AD129" s="72">
        <v>4</v>
      </c>
      <c r="AE129" s="76">
        <v>4</v>
      </c>
      <c r="AF129" s="67">
        <v>0</v>
      </c>
    </row>
    <row r="130" spans="27:32">
      <c r="AA130" s="49"/>
      <c r="AB130" s="50" t="s">
        <v>1738</v>
      </c>
      <c r="AC130" s="51"/>
      <c r="AD130" s="73">
        <v>16</v>
      </c>
      <c r="AE130" s="143">
        <v>16</v>
      </c>
      <c r="AF130" s="68">
        <v>0</v>
      </c>
    </row>
    <row r="131" spans="27:32">
      <c r="AA131" s="49"/>
      <c r="AB131" s="38" t="s">
        <v>2196</v>
      </c>
      <c r="AC131" s="38" t="s">
        <v>31</v>
      </c>
      <c r="AD131" s="71">
        <v>4</v>
      </c>
      <c r="AE131" s="141">
        <v>0</v>
      </c>
      <c r="AF131" s="64">
        <v>4</v>
      </c>
    </row>
    <row r="132" spans="27:32">
      <c r="AA132" s="49"/>
      <c r="AB132" s="50" t="s">
        <v>2265</v>
      </c>
      <c r="AC132" s="51"/>
      <c r="AD132" s="73">
        <v>4</v>
      </c>
      <c r="AE132" s="143">
        <v>0</v>
      </c>
      <c r="AF132" s="68">
        <v>4</v>
      </c>
    </row>
    <row r="133" spans="27:32">
      <c r="AA133" s="54" t="s">
        <v>1082</v>
      </c>
      <c r="AB133" s="55"/>
      <c r="AC133" s="55"/>
      <c r="AD133" s="253">
        <v>123</v>
      </c>
      <c r="AE133" s="252">
        <v>91</v>
      </c>
      <c r="AF133" s="254">
        <v>31.999999999999915</v>
      </c>
    </row>
    <row r="134" spans="27:32">
      <c r="AA134" s="38" t="s">
        <v>1847</v>
      </c>
      <c r="AB134" s="38" t="s">
        <v>30</v>
      </c>
      <c r="AC134" s="38" t="s">
        <v>31</v>
      </c>
      <c r="AD134" s="71">
        <v>2</v>
      </c>
      <c r="AE134" s="141">
        <v>2</v>
      </c>
      <c r="AF134" s="64">
        <v>0</v>
      </c>
    </row>
    <row r="135" spans="27:32">
      <c r="AA135" s="49"/>
      <c r="AB135" s="50" t="s">
        <v>1907</v>
      </c>
      <c r="AC135" s="51"/>
      <c r="AD135" s="73">
        <v>2</v>
      </c>
      <c r="AE135" s="143">
        <v>2</v>
      </c>
      <c r="AF135" s="68">
        <v>0</v>
      </c>
    </row>
    <row r="136" spans="27:32">
      <c r="AA136" s="54" t="s">
        <v>1911</v>
      </c>
      <c r="AB136" s="55"/>
      <c r="AC136" s="55"/>
      <c r="AD136" s="253">
        <v>2</v>
      </c>
      <c r="AE136" s="252">
        <v>2</v>
      </c>
      <c r="AF136" s="254">
        <v>0</v>
      </c>
    </row>
    <row r="137" spans="27:32">
      <c r="AA137" s="38" t="s">
        <v>124</v>
      </c>
      <c r="AB137" s="38" t="s">
        <v>787</v>
      </c>
      <c r="AC137" s="38" t="s">
        <v>379</v>
      </c>
      <c r="AD137" s="71">
        <v>1</v>
      </c>
      <c r="AE137" s="141">
        <v>0</v>
      </c>
      <c r="AF137" s="64">
        <v>1</v>
      </c>
    </row>
    <row r="138" spans="27:32">
      <c r="AA138" s="49"/>
      <c r="AB138" s="50" t="s">
        <v>2026</v>
      </c>
      <c r="AC138" s="51"/>
      <c r="AD138" s="73">
        <v>1</v>
      </c>
      <c r="AE138" s="143">
        <v>0</v>
      </c>
      <c r="AF138" s="68">
        <v>1</v>
      </c>
    </row>
    <row r="139" spans="27:32">
      <c r="AA139" s="49"/>
      <c r="AB139" s="38" t="s">
        <v>32</v>
      </c>
      <c r="AC139" s="38" t="s">
        <v>60</v>
      </c>
      <c r="AD139" s="71">
        <v>5</v>
      </c>
      <c r="AE139" s="141">
        <v>5</v>
      </c>
      <c r="AF139" s="64">
        <v>0</v>
      </c>
    </row>
    <row r="140" spans="27:32">
      <c r="AA140" s="49"/>
      <c r="AB140" s="49"/>
      <c r="AC140" s="65" t="s">
        <v>35</v>
      </c>
      <c r="AD140" s="72">
        <v>6</v>
      </c>
      <c r="AE140" s="76">
        <v>6</v>
      </c>
      <c r="AF140" s="67">
        <v>0</v>
      </c>
    </row>
    <row r="141" spans="27:32">
      <c r="AA141" s="49"/>
      <c r="AB141" s="49"/>
      <c r="AC141" s="65" t="s">
        <v>36</v>
      </c>
      <c r="AD141" s="72">
        <v>2</v>
      </c>
      <c r="AE141" s="76">
        <v>0</v>
      </c>
      <c r="AF141" s="67">
        <v>2</v>
      </c>
    </row>
    <row r="142" spans="27:32">
      <c r="AA142" s="49"/>
      <c r="AB142" s="49"/>
      <c r="AC142" s="65" t="s">
        <v>56</v>
      </c>
      <c r="AD142" s="72">
        <v>1</v>
      </c>
      <c r="AE142" s="76">
        <v>0</v>
      </c>
      <c r="AF142" s="67">
        <v>1</v>
      </c>
    </row>
    <row r="143" spans="27:32">
      <c r="AA143" s="49"/>
      <c r="AB143" s="50" t="s">
        <v>1086</v>
      </c>
      <c r="AC143" s="51"/>
      <c r="AD143" s="73">
        <v>14</v>
      </c>
      <c r="AE143" s="143">
        <v>11</v>
      </c>
      <c r="AF143" s="68">
        <v>3</v>
      </c>
    </row>
    <row r="144" spans="27:32">
      <c r="AA144" s="49"/>
      <c r="AB144" s="38" t="s">
        <v>1772</v>
      </c>
      <c r="AC144" s="38" t="s">
        <v>35</v>
      </c>
      <c r="AD144" s="71">
        <v>3</v>
      </c>
      <c r="AE144" s="141">
        <v>0</v>
      </c>
      <c r="AF144" s="64">
        <v>3</v>
      </c>
    </row>
    <row r="145" spans="27:32">
      <c r="AA145" s="49"/>
      <c r="AB145" s="49"/>
      <c r="AC145" s="65" t="s">
        <v>28</v>
      </c>
      <c r="AD145" s="72">
        <v>4</v>
      </c>
      <c r="AE145" s="76">
        <v>4</v>
      </c>
      <c r="AF145" s="67">
        <v>0</v>
      </c>
    </row>
    <row r="146" spans="27:32">
      <c r="AA146" s="49"/>
      <c r="AB146" s="50" t="s">
        <v>1824</v>
      </c>
      <c r="AC146" s="51"/>
      <c r="AD146" s="73">
        <v>7</v>
      </c>
      <c r="AE146" s="143">
        <v>4</v>
      </c>
      <c r="AF146" s="68">
        <v>3</v>
      </c>
    </row>
    <row r="147" spans="27:32">
      <c r="AA147" s="49"/>
      <c r="AB147" s="38" t="s">
        <v>2089</v>
      </c>
      <c r="AC147" s="38" t="s">
        <v>1946</v>
      </c>
      <c r="AD147" s="71">
        <v>4</v>
      </c>
      <c r="AE147" s="141">
        <v>0</v>
      </c>
      <c r="AF147" s="64">
        <v>4</v>
      </c>
    </row>
    <row r="148" spans="27:32">
      <c r="AA148" s="49"/>
      <c r="AB148" s="50" t="s">
        <v>2154</v>
      </c>
      <c r="AC148" s="51"/>
      <c r="AD148" s="73">
        <v>4</v>
      </c>
      <c r="AE148" s="143">
        <v>0</v>
      </c>
      <c r="AF148" s="68">
        <v>4</v>
      </c>
    </row>
    <row r="149" spans="27:32">
      <c r="AA149" s="54" t="s">
        <v>1344</v>
      </c>
      <c r="AB149" s="55"/>
      <c r="AC149" s="55"/>
      <c r="AD149" s="253">
        <v>26</v>
      </c>
      <c r="AE149" s="252">
        <v>15</v>
      </c>
      <c r="AF149" s="254">
        <v>11</v>
      </c>
    </row>
    <row r="150" spans="27:32">
      <c r="AA150" s="38" t="s">
        <v>110</v>
      </c>
      <c r="AB150" s="38" t="s">
        <v>47</v>
      </c>
      <c r="AC150" s="38" t="s">
        <v>38</v>
      </c>
      <c r="AD150" s="71">
        <v>12</v>
      </c>
      <c r="AE150" s="141">
        <v>12</v>
      </c>
      <c r="AF150" s="64">
        <v>0</v>
      </c>
    </row>
    <row r="151" spans="27:32">
      <c r="AA151" s="49"/>
      <c r="AB151" s="49"/>
      <c r="AC151" s="65" t="s">
        <v>50</v>
      </c>
      <c r="AD151" s="72">
        <v>22</v>
      </c>
      <c r="AE151" s="76">
        <v>22</v>
      </c>
      <c r="AF151" s="67">
        <v>0</v>
      </c>
    </row>
    <row r="152" spans="27:32">
      <c r="AA152" s="49"/>
      <c r="AB152" s="49"/>
      <c r="AC152" s="65" t="s">
        <v>35</v>
      </c>
      <c r="AD152" s="72">
        <v>17</v>
      </c>
      <c r="AE152" s="76">
        <v>17</v>
      </c>
      <c r="AF152" s="67">
        <v>0</v>
      </c>
    </row>
    <row r="153" spans="27:32">
      <c r="AA153" s="49"/>
      <c r="AB153" s="49"/>
      <c r="AC153" s="65" t="s">
        <v>56</v>
      </c>
      <c r="AD153" s="72">
        <v>8</v>
      </c>
      <c r="AE153" s="76">
        <v>8</v>
      </c>
      <c r="AF153" s="67">
        <v>0</v>
      </c>
    </row>
    <row r="154" spans="27:32">
      <c r="AA154" s="49"/>
      <c r="AB154" s="50" t="s">
        <v>1091</v>
      </c>
      <c r="AC154" s="51"/>
      <c r="AD154" s="73">
        <v>59</v>
      </c>
      <c r="AE154" s="143">
        <v>59</v>
      </c>
      <c r="AF154" s="68">
        <v>0</v>
      </c>
    </row>
    <row r="155" spans="27:32">
      <c r="AA155" s="49"/>
      <c r="AB155" s="38" t="s">
        <v>46</v>
      </c>
      <c r="AC155" s="38" t="s">
        <v>38</v>
      </c>
      <c r="AD155" s="71">
        <v>4</v>
      </c>
      <c r="AE155" s="141">
        <v>4</v>
      </c>
      <c r="AF155" s="64">
        <v>0</v>
      </c>
    </row>
    <row r="156" spans="27:32">
      <c r="AA156" s="49"/>
      <c r="AB156" s="49"/>
      <c r="AC156" s="65" t="s">
        <v>35</v>
      </c>
      <c r="AD156" s="72">
        <v>6</v>
      </c>
      <c r="AE156" s="76">
        <v>6</v>
      </c>
      <c r="AF156" s="67">
        <v>0</v>
      </c>
    </row>
    <row r="157" spans="27:32">
      <c r="AA157" s="49"/>
      <c r="AB157" s="49"/>
      <c r="AC157" s="65" t="s">
        <v>28</v>
      </c>
      <c r="AD157" s="72">
        <v>2</v>
      </c>
      <c r="AE157" s="76">
        <v>2</v>
      </c>
      <c r="AF157" s="67">
        <v>0</v>
      </c>
    </row>
    <row r="158" spans="27:32">
      <c r="AA158" s="49"/>
      <c r="AB158" s="50" t="s">
        <v>1541</v>
      </c>
      <c r="AC158" s="51"/>
      <c r="AD158" s="73">
        <v>12</v>
      </c>
      <c r="AE158" s="143">
        <v>12</v>
      </c>
      <c r="AF158" s="68">
        <v>0</v>
      </c>
    </row>
    <row r="159" spans="27:32">
      <c r="AA159" s="49"/>
      <c r="AB159" s="38" t="s">
        <v>1477</v>
      </c>
      <c r="AC159" s="38" t="s">
        <v>50</v>
      </c>
      <c r="AD159" s="71">
        <v>5</v>
      </c>
      <c r="AE159" s="141">
        <v>5</v>
      </c>
      <c r="AF159" s="64">
        <v>0</v>
      </c>
    </row>
    <row r="160" spans="27:32">
      <c r="AA160" s="49"/>
      <c r="AB160" s="50" t="s">
        <v>1542</v>
      </c>
      <c r="AC160" s="51"/>
      <c r="AD160" s="73">
        <v>5</v>
      </c>
      <c r="AE160" s="143">
        <v>5</v>
      </c>
      <c r="AF160" s="68">
        <v>0</v>
      </c>
    </row>
    <row r="161" spans="27:32">
      <c r="AA161" s="49"/>
      <c r="AB161" s="38" t="s">
        <v>1557</v>
      </c>
      <c r="AC161" s="38" t="s">
        <v>50</v>
      </c>
      <c r="AD161" s="71">
        <v>6</v>
      </c>
      <c r="AE161" s="141">
        <v>6</v>
      </c>
      <c r="AF161" s="64">
        <v>0</v>
      </c>
    </row>
    <row r="162" spans="27:32">
      <c r="AA162" s="49"/>
      <c r="AB162" s="50" t="s">
        <v>1739</v>
      </c>
      <c r="AC162" s="51"/>
      <c r="AD162" s="73">
        <v>6</v>
      </c>
      <c r="AE162" s="143">
        <v>6</v>
      </c>
      <c r="AF162" s="68">
        <v>0</v>
      </c>
    </row>
    <row r="163" spans="27:32">
      <c r="AA163" s="54" t="s">
        <v>1345</v>
      </c>
      <c r="AB163" s="55"/>
      <c r="AC163" s="55"/>
      <c r="AD163" s="253">
        <v>82</v>
      </c>
      <c r="AE163" s="252">
        <v>82</v>
      </c>
      <c r="AF163" s="254">
        <v>0</v>
      </c>
    </row>
    <row r="164" spans="27:32">
      <c r="AA164" s="38" t="s">
        <v>123</v>
      </c>
      <c r="AB164" s="38" t="s">
        <v>47</v>
      </c>
      <c r="AC164" s="38" t="s">
        <v>50</v>
      </c>
      <c r="AD164" s="71">
        <v>2</v>
      </c>
      <c r="AE164" s="141">
        <v>2</v>
      </c>
      <c r="AF164" s="64">
        <v>0</v>
      </c>
    </row>
    <row r="165" spans="27:32">
      <c r="AA165" s="49"/>
      <c r="AB165" s="49"/>
      <c r="AC165" s="65" t="s">
        <v>35</v>
      </c>
      <c r="AD165" s="72">
        <v>2</v>
      </c>
      <c r="AE165" s="76">
        <v>2</v>
      </c>
      <c r="AF165" s="67">
        <v>0</v>
      </c>
    </row>
    <row r="166" spans="27:32">
      <c r="AA166" s="49"/>
      <c r="AB166" s="49"/>
      <c r="AC166" s="65" t="s">
        <v>56</v>
      </c>
      <c r="AD166" s="72">
        <v>8</v>
      </c>
      <c r="AE166" s="76">
        <v>8</v>
      </c>
      <c r="AF166" s="67">
        <v>0</v>
      </c>
    </row>
    <row r="167" spans="27:32">
      <c r="AA167" s="49"/>
      <c r="AB167" s="50" t="s">
        <v>1091</v>
      </c>
      <c r="AC167" s="51"/>
      <c r="AD167" s="73">
        <v>12</v>
      </c>
      <c r="AE167" s="143">
        <v>12</v>
      </c>
      <c r="AF167" s="68">
        <v>0</v>
      </c>
    </row>
    <row r="168" spans="27:32">
      <c r="AA168" s="54" t="s">
        <v>1740</v>
      </c>
      <c r="AB168" s="55"/>
      <c r="AC168" s="55"/>
      <c r="AD168" s="253">
        <v>12</v>
      </c>
      <c r="AE168" s="252">
        <v>12</v>
      </c>
      <c r="AF168" s="254">
        <v>0</v>
      </c>
    </row>
    <row r="169" spans="27:32">
      <c r="AA169" s="58" t="s">
        <v>4</v>
      </c>
      <c r="AB169" s="59"/>
      <c r="AC169" s="59"/>
      <c r="AD169" s="74">
        <v>751</v>
      </c>
      <c r="AE169" s="142">
        <v>637</v>
      </c>
      <c r="AF169" s="70">
        <v>114.00000000000068</v>
      </c>
    </row>
  </sheetData>
  <mergeCells count="7">
    <mergeCell ref="E3:F3"/>
    <mergeCell ref="M3:N3"/>
    <mergeCell ref="O3:P3"/>
    <mergeCell ref="C5:D5"/>
    <mergeCell ref="B5:B6"/>
    <mergeCell ref="J5:J6"/>
    <mergeCell ref="K5:L5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42" orientation="portrait" r:id="rId2"/>
  <headerFooter alignWithMargins="0"/>
  <colBreaks count="1" manualBreakCount="1">
    <brk id="2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H598"/>
  <sheetViews>
    <sheetView showZeros="0" zoomScale="80" zoomScaleNormal="80" workbookViewId="0">
      <pane xSplit="1" ySplit="7" topLeftCell="CQ23" activePane="bottomRight" state="frozen"/>
      <selection activeCell="K1" sqref="K1"/>
      <selection pane="topRight" activeCell="K1" sqref="K1"/>
      <selection pane="bottomLeft" activeCell="K1" sqref="K1"/>
      <selection pane="bottomRight" activeCell="CR14" sqref="CR14"/>
    </sheetView>
  </sheetViews>
  <sheetFormatPr defaultRowHeight="13.5"/>
  <cols>
    <col min="1" max="1" width="12.5" style="8" customWidth="1"/>
    <col min="2" max="2" width="10.25" style="8" customWidth="1"/>
    <col min="3" max="3" width="13.75" style="81" customWidth="1"/>
    <col min="4" max="8" width="9.5" style="90" customWidth="1"/>
    <col min="9" max="12" width="9.5" style="91" customWidth="1"/>
    <col min="13" max="17" width="7" style="91" customWidth="1"/>
    <col min="18" max="18" width="7" style="90" customWidth="1"/>
    <col min="19" max="19" width="12.5" style="8" customWidth="1"/>
    <col min="20" max="20" width="13.75" style="8" customWidth="1"/>
    <col min="21" max="21" width="13.75" style="81" customWidth="1"/>
    <col min="22" max="30" width="9.5" style="90" customWidth="1"/>
    <col min="31" max="36" width="7" style="90" customWidth="1"/>
    <col min="37" max="37" width="13.75" style="8" customWidth="1"/>
    <col min="38" max="39" width="12" style="81" customWidth="1"/>
    <col min="40" max="44" width="9.5" style="90" customWidth="1"/>
    <col min="45" max="46" width="9.5" style="8" customWidth="1"/>
    <col min="47" max="47" width="7" style="8" customWidth="1"/>
    <col min="48" max="53" width="9.5" style="8" customWidth="1"/>
    <col min="54" max="59" width="9.5" style="333" customWidth="1"/>
    <col min="60" max="66" width="7" style="333" customWidth="1"/>
    <col min="67" max="67" width="10.25" style="8" customWidth="1"/>
    <col min="68" max="69" width="12" style="81" customWidth="1"/>
    <col min="70" max="74" width="9.5" style="90" customWidth="1"/>
    <col min="75" max="75" width="9.5" style="8" customWidth="1"/>
    <col min="76" max="76" width="7" style="8" customWidth="1"/>
    <col min="77" max="83" width="9.5" style="8" customWidth="1"/>
    <col min="84" max="86" width="9.5" style="333" customWidth="1"/>
    <col min="87" max="87" width="7" style="333" customWidth="1"/>
    <col min="88" max="96" width="8.75" style="333" customWidth="1"/>
    <col min="97" max="97" width="19.25" style="8" customWidth="1"/>
    <col min="98" max="99" width="12.75" style="81" customWidth="1"/>
    <col min="100" max="104" width="12.75" style="90" customWidth="1"/>
    <col min="105" max="106" width="7" style="8" customWidth="1"/>
    <col min="107" max="112" width="12.75" style="8" customWidth="1"/>
    <col min="113" max="114" width="12.75" style="345" customWidth="1"/>
    <col min="115" max="115" width="7" style="345" customWidth="1"/>
    <col min="116" max="119" width="8.75" style="345" customWidth="1"/>
    <col min="120" max="120" width="16.125" style="8" customWidth="1"/>
    <col min="121" max="122" width="12.75" style="81" customWidth="1"/>
    <col min="123" max="126" width="12.75" style="90" customWidth="1"/>
    <col min="127" max="127" width="7" style="90" customWidth="1"/>
    <col min="128" max="128" width="7" style="8" customWidth="1"/>
    <col min="129" max="135" width="12.75" style="8" customWidth="1"/>
    <col min="136" max="136" width="12.75" style="8" bestFit="1" customWidth="1"/>
    <col min="137" max="137" width="12.75" style="8" customWidth="1"/>
    <col min="138" max="138" width="7" style="8" customWidth="1"/>
    <col min="139" max="16384" width="9" style="8"/>
  </cols>
  <sheetData>
    <row r="1" spans="1:138" s="62" customFormat="1" ht="20.25">
      <c r="A1" s="62" t="s">
        <v>1353</v>
      </c>
      <c r="C1" s="80"/>
      <c r="D1" s="89"/>
      <c r="E1" s="89"/>
      <c r="F1" s="89"/>
      <c r="G1" s="89"/>
      <c r="H1" s="89"/>
      <c r="I1" s="338"/>
      <c r="J1" s="338"/>
      <c r="K1" s="338"/>
      <c r="L1" s="338"/>
      <c r="M1" s="338"/>
      <c r="N1" s="338"/>
      <c r="O1" s="338"/>
      <c r="P1" s="338"/>
      <c r="Q1" s="338"/>
      <c r="R1" s="89"/>
      <c r="S1" s="62" t="s">
        <v>1354</v>
      </c>
      <c r="U1" s="80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62" t="s">
        <v>1353</v>
      </c>
      <c r="AL1" s="80"/>
      <c r="AM1" s="80"/>
      <c r="AN1" s="89"/>
      <c r="AO1" s="89"/>
      <c r="AP1" s="89"/>
      <c r="AQ1" s="89"/>
      <c r="AR1" s="89"/>
      <c r="BB1" s="334"/>
      <c r="BC1" s="334"/>
      <c r="BD1" s="334"/>
      <c r="BE1" s="334"/>
      <c r="BF1" s="334"/>
      <c r="BG1" s="334"/>
      <c r="BH1" s="334"/>
      <c r="BI1" s="334"/>
      <c r="BJ1" s="334"/>
      <c r="BK1" s="334"/>
      <c r="BL1" s="334"/>
      <c r="BM1" s="334"/>
      <c r="BN1" s="334"/>
      <c r="BO1" s="62" t="s">
        <v>1355</v>
      </c>
      <c r="BP1" s="80"/>
      <c r="BQ1" s="80"/>
      <c r="BR1" s="89"/>
      <c r="BS1" s="89"/>
      <c r="BT1" s="89"/>
      <c r="BU1" s="89"/>
      <c r="BV1" s="89"/>
      <c r="CF1" s="334"/>
      <c r="CG1" s="334"/>
      <c r="CH1" s="334"/>
      <c r="CI1" s="334"/>
      <c r="CJ1" s="334"/>
      <c r="CK1" s="334"/>
      <c r="CL1" s="334"/>
      <c r="CM1" s="334"/>
      <c r="CN1" s="334"/>
      <c r="CO1" s="334"/>
      <c r="CP1" s="334"/>
      <c r="CQ1" s="334"/>
      <c r="CR1" s="334"/>
      <c r="CS1" s="62" t="s">
        <v>1354</v>
      </c>
      <c r="CT1" s="80"/>
      <c r="CU1" s="80"/>
      <c r="CV1" s="89"/>
      <c r="CW1" s="89"/>
      <c r="CX1" s="89"/>
      <c r="CY1" s="89"/>
      <c r="CZ1" s="89"/>
      <c r="DI1" s="343"/>
      <c r="DJ1" s="343"/>
      <c r="DK1" s="343"/>
      <c r="DL1" s="343"/>
      <c r="DM1" s="343"/>
      <c r="DN1" s="343"/>
      <c r="DO1" s="343"/>
      <c r="DP1" s="62" t="s">
        <v>1113</v>
      </c>
      <c r="DQ1" s="80"/>
      <c r="DR1" s="80"/>
      <c r="DS1" s="89"/>
      <c r="DT1" s="89"/>
      <c r="DU1" s="89"/>
      <c r="DV1" s="89"/>
      <c r="DW1" s="89"/>
    </row>
    <row r="2" spans="1:138" s="14" customFormat="1" ht="20.25">
      <c r="A2" s="8"/>
      <c r="B2" s="8"/>
      <c r="C2" s="81"/>
      <c r="D2" s="90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8"/>
      <c r="T2" s="8"/>
      <c r="U2" s="81"/>
      <c r="V2" s="90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8" t="s">
        <v>882</v>
      </c>
      <c r="AL2" s="80"/>
      <c r="AM2" s="80"/>
      <c r="AN2" s="89"/>
      <c r="AO2" s="89"/>
      <c r="AP2" s="89"/>
      <c r="AQ2" s="89"/>
      <c r="AR2" s="89"/>
      <c r="AS2" s="62"/>
      <c r="AT2" s="62"/>
      <c r="AU2" s="62"/>
      <c r="AV2" s="62"/>
      <c r="AW2" s="62"/>
      <c r="AX2" s="62"/>
      <c r="AY2" s="62"/>
      <c r="AZ2" s="62"/>
      <c r="BA2" s="62"/>
      <c r="BB2" s="334"/>
      <c r="BC2" s="334"/>
      <c r="BD2" s="334"/>
      <c r="BE2" s="334"/>
      <c r="BF2" s="334"/>
      <c r="BG2" s="334"/>
      <c r="BH2" s="334"/>
      <c r="BI2" s="334"/>
      <c r="BJ2" s="334"/>
      <c r="BK2" s="334"/>
      <c r="BL2" s="334"/>
      <c r="BM2" s="334"/>
      <c r="BN2" s="334"/>
      <c r="BO2" s="8" t="s">
        <v>882</v>
      </c>
      <c r="BP2" s="80"/>
      <c r="BQ2" s="80"/>
      <c r="BR2" s="89"/>
      <c r="BS2" s="89"/>
      <c r="BT2" s="89"/>
      <c r="BU2" s="89"/>
      <c r="BV2" s="89"/>
      <c r="BW2" s="62"/>
      <c r="BX2" s="62"/>
      <c r="BY2" s="62"/>
      <c r="BZ2" s="62"/>
      <c r="CA2" s="62"/>
      <c r="CB2" s="62"/>
      <c r="CF2" s="333"/>
      <c r="CG2" s="333"/>
      <c r="CH2" s="333"/>
      <c r="CI2" s="333"/>
      <c r="CJ2" s="333"/>
      <c r="CK2" s="333"/>
      <c r="CL2" s="333"/>
      <c r="CM2" s="333"/>
      <c r="CN2" s="333"/>
      <c r="CO2" s="333"/>
      <c r="CP2" s="333"/>
      <c r="CQ2" s="333"/>
      <c r="CR2" s="333"/>
      <c r="CS2" s="8" t="s">
        <v>882</v>
      </c>
      <c r="CT2" s="80"/>
      <c r="CU2" s="80"/>
      <c r="CV2" s="89"/>
      <c r="CW2" s="89"/>
      <c r="CX2" s="89"/>
      <c r="CY2" s="89"/>
      <c r="CZ2" s="89"/>
      <c r="DA2" s="62"/>
      <c r="DB2" s="62"/>
      <c r="DC2" s="62"/>
      <c r="DD2" s="62"/>
      <c r="DE2" s="62"/>
      <c r="DF2" s="62"/>
      <c r="DG2" s="62"/>
      <c r="DH2" s="62"/>
      <c r="DI2" s="343"/>
      <c r="DJ2" s="343"/>
      <c r="DK2" s="343"/>
      <c r="DL2" s="343"/>
      <c r="DM2" s="343"/>
      <c r="DN2" s="343"/>
      <c r="DO2" s="343"/>
      <c r="DP2" s="8" t="s">
        <v>882</v>
      </c>
      <c r="DQ2" s="80"/>
      <c r="DR2" s="80"/>
      <c r="DS2" s="89"/>
      <c r="DT2" s="89"/>
      <c r="DU2" s="89"/>
      <c r="DV2" s="89"/>
      <c r="DW2" s="89"/>
      <c r="DX2" s="62"/>
      <c r="DY2" s="62"/>
      <c r="DZ2" s="62"/>
      <c r="EA2" s="62"/>
      <c r="EB2" s="62"/>
      <c r="EC2" s="62"/>
    </row>
    <row r="3" spans="1:138" s="14" customFormat="1" ht="20.25">
      <c r="A3" s="8" t="s">
        <v>882</v>
      </c>
      <c r="B3" s="8"/>
      <c r="C3" s="81"/>
      <c r="D3" s="90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8" t="s">
        <v>882</v>
      </c>
      <c r="T3" s="8"/>
      <c r="U3" s="81"/>
      <c r="V3" s="90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332" t="s">
        <v>45</v>
      </c>
      <c r="AL3" s="162" t="s">
        <v>43</v>
      </c>
      <c r="AM3" s="80"/>
      <c r="AN3" s="89"/>
      <c r="AO3" s="89"/>
      <c r="AP3" s="89"/>
      <c r="AQ3" s="89"/>
      <c r="AR3" s="89"/>
      <c r="AS3" s="62"/>
      <c r="AT3" s="62"/>
      <c r="AU3" s="62"/>
      <c r="AV3" s="62"/>
      <c r="AW3" s="62"/>
      <c r="AX3" s="62"/>
      <c r="AY3" s="62"/>
      <c r="AZ3" s="62"/>
      <c r="BA3" s="62"/>
      <c r="BB3" s="334"/>
      <c r="BC3" s="334"/>
      <c r="BD3" s="334"/>
      <c r="BE3" s="334"/>
      <c r="BF3" s="334"/>
      <c r="BG3" s="334"/>
      <c r="BH3" s="334"/>
      <c r="BI3" s="334"/>
      <c r="BJ3" s="334"/>
      <c r="BK3" s="334"/>
      <c r="BL3" s="334"/>
      <c r="BM3" s="334"/>
      <c r="BN3" s="334"/>
      <c r="BO3" s="332" t="s">
        <v>45</v>
      </c>
      <c r="BP3" s="162" t="s">
        <v>43</v>
      </c>
      <c r="BQ3" s="80"/>
      <c r="BR3" s="89"/>
      <c r="BS3" s="89"/>
      <c r="BT3" s="89"/>
      <c r="BU3" s="89"/>
      <c r="BV3" s="89"/>
      <c r="BW3" s="62"/>
      <c r="BX3" s="62"/>
      <c r="BY3" s="62"/>
      <c r="BZ3" s="62"/>
      <c r="CA3" s="62"/>
      <c r="CB3" s="62"/>
      <c r="CF3" s="333"/>
      <c r="CG3" s="333"/>
      <c r="CH3" s="333"/>
      <c r="CI3" s="333"/>
      <c r="CJ3" s="333"/>
      <c r="CK3" s="333"/>
      <c r="CL3" s="333"/>
      <c r="CM3" s="333"/>
      <c r="CN3" s="333"/>
      <c r="CO3" s="333"/>
      <c r="CP3" s="333"/>
      <c r="CQ3" s="333"/>
      <c r="CR3" s="333"/>
      <c r="CS3" s="332" t="s">
        <v>45</v>
      </c>
      <c r="CT3" s="162" t="s">
        <v>43</v>
      </c>
      <c r="CU3" s="80"/>
      <c r="CV3" s="89"/>
      <c r="CW3" s="89"/>
      <c r="CX3" s="89"/>
      <c r="CY3" s="89"/>
      <c r="CZ3" s="89"/>
      <c r="DA3" s="62"/>
      <c r="DB3" s="62"/>
      <c r="DC3" s="62"/>
      <c r="DD3" s="62"/>
      <c r="DE3" s="62"/>
      <c r="DF3" s="62"/>
      <c r="DG3" s="62"/>
      <c r="DH3" s="62"/>
      <c r="DI3" s="343"/>
      <c r="DJ3" s="343"/>
      <c r="DK3" s="343"/>
      <c r="DL3" s="343"/>
      <c r="DM3" s="343"/>
      <c r="DN3" s="343"/>
      <c r="DO3" s="343"/>
      <c r="DP3" s="332" t="s">
        <v>45</v>
      </c>
      <c r="DQ3" s="162" t="s">
        <v>43</v>
      </c>
      <c r="DR3" s="80"/>
      <c r="DS3" s="89"/>
      <c r="DT3" s="89"/>
      <c r="DU3" s="89"/>
      <c r="DV3" s="89"/>
      <c r="DW3" s="89"/>
      <c r="DX3" s="62"/>
      <c r="DY3" s="62"/>
      <c r="DZ3" s="62"/>
      <c r="EA3" s="62"/>
      <c r="EB3" s="62"/>
      <c r="EC3" s="62"/>
    </row>
    <row r="4" spans="1:138" s="14" customFormat="1" ht="16.5">
      <c r="A4" s="40" t="s">
        <v>860</v>
      </c>
      <c r="B4" s="39"/>
      <c r="C4" s="39"/>
      <c r="D4" s="92" t="s">
        <v>858</v>
      </c>
      <c r="E4" s="93"/>
      <c r="F4" s="93"/>
      <c r="G4" s="93"/>
      <c r="H4" s="93"/>
      <c r="I4" s="93"/>
      <c r="J4" s="93"/>
      <c r="K4" s="93"/>
      <c r="L4" s="93"/>
      <c r="M4" s="94"/>
      <c r="N4"/>
      <c r="O4"/>
      <c r="P4" s="335"/>
      <c r="Q4" s="335"/>
      <c r="R4"/>
      <c r="S4" s="40" t="s">
        <v>860</v>
      </c>
      <c r="T4" s="39"/>
      <c r="U4" s="39"/>
      <c r="V4" s="92" t="s">
        <v>858</v>
      </c>
      <c r="W4" s="93"/>
      <c r="X4" s="93"/>
      <c r="Y4" s="93"/>
      <c r="Z4" s="93"/>
      <c r="AA4" s="93"/>
      <c r="AB4" s="93"/>
      <c r="AC4" s="93"/>
      <c r="AD4" s="93"/>
      <c r="AE4" s="94"/>
      <c r="AF4"/>
      <c r="AG4"/>
      <c r="AH4"/>
      <c r="AI4"/>
      <c r="AJ4"/>
      <c r="AK4" s="332" t="s">
        <v>903</v>
      </c>
      <c r="AL4" s="162" t="s">
        <v>1122</v>
      </c>
      <c r="AM4" s="81"/>
      <c r="AN4" s="90"/>
      <c r="AO4" s="91"/>
      <c r="AP4" s="91"/>
      <c r="AQ4" s="91"/>
      <c r="AR4" s="91"/>
      <c r="BB4" s="333"/>
      <c r="BC4" s="333"/>
      <c r="BD4" s="333"/>
      <c r="BE4" s="333"/>
      <c r="BF4" s="333"/>
      <c r="BG4" s="333"/>
      <c r="BH4" s="333"/>
      <c r="BI4" s="333"/>
      <c r="BJ4" s="333"/>
      <c r="BK4" s="333"/>
      <c r="BL4" s="333"/>
      <c r="BM4" s="333"/>
      <c r="BN4" s="333"/>
      <c r="BO4" s="332" t="s">
        <v>903</v>
      </c>
      <c r="BP4" s="162" t="s">
        <v>1122</v>
      </c>
      <c r="BQ4" s="81"/>
      <c r="BR4" s="90"/>
      <c r="BS4" s="91"/>
      <c r="BT4" s="91"/>
      <c r="BU4" s="91"/>
      <c r="BV4" s="91"/>
      <c r="CF4" s="333"/>
      <c r="CG4" s="333"/>
      <c r="CH4" s="333"/>
      <c r="CI4" s="333"/>
      <c r="CJ4" s="333"/>
      <c r="CK4" s="333"/>
      <c r="CL4" s="333"/>
      <c r="CM4" s="333"/>
      <c r="CN4" s="333"/>
      <c r="CO4" s="333"/>
      <c r="CP4" s="333"/>
      <c r="CQ4" s="333"/>
      <c r="CR4" s="333"/>
      <c r="CS4" s="332" t="s">
        <v>903</v>
      </c>
      <c r="CT4" s="162" t="s">
        <v>1122</v>
      </c>
      <c r="CU4" s="81"/>
      <c r="CV4" s="90"/>
      <c r="CW4" s="91"/>
      <c r="CX4" s="91"/>
      <c r="CY4" s="91"/>
      <c r="CZ4" s="91"/>
      <c r="DI4" s="333"/>
      <c r="DJ4" s="333"/>
      <c r="DK4" s="333"/>
      <c r="DL4" s="333"/>
      <c r="DM4" s="333"/>
      <c r="DN4" s="333"/>
      <c r="DO4" s="333"/>
      <c r="DP4" s="332" t="s">
        <v>903</v>
      </c>
      <c r="DQ4" s="162" t="s">
        <v>1122</v>
      </c>
      <c r="DR4" s="81"/>
      <c r="DS4" s="90"/>
      <c r="DT4" s="91"/>
      <c r="DU4" s="91"/>
      <c r="DV4" s="91"/>
      <c r="DW4" s="91"/>
    </row>
    <row r="5" spans="1:138" s="44" customFormat="1" ht="16.5">
      <c r="A5" s="79" t="s">
        <v>777</v>
      </c>
      <c r="B5" s="79" t="s">
        <v>42</v>
      </c>
      <c r="C5" s="79" t="s">
        <v>861</v>
      </c>
      <c r="D5" s="365" t="s">
        <v>2155</v>
      </c>
      <c r="E5" s="139" t="s">
        <v>1956</v>
      </c>
      <c r="F5" s="139" t="s">
        <v>1350</v>
      </c>
      <c r="G5" s="139" t="s">
        <v>1351</v>
      </c>
      <c r="H5" s="139" t="s">
        <v>1352</v>
      </c>
      <c r="I5" s="139" t="s">
        <v>1743</v>
      </c>
      <c r="J5" s="139" t="s">
        <v>2068</v>
      </c>
      <c r="K5" s="139" t="s">
        <v>2156</v>
      </c>
      <c r="L5" s="139" t="s">
        <v>2267</v>
      </c>
      <c r="M5" s="95" t="s">
        <v>4</v>
      </c>
      <c r="N5"/>
      <c r="O5"/>
      <c r="P5" s="336"/>
      <c r="Q5" s="336"/>
      <c r="R5"/>
      <c r="S5" s="42" t="s">
        <v>5</v>
      </c>
      <c r="T5" s="79" t="s">
        <v>777</v>
      </c>
      <c r="U5" s="79" t="s">
        <v>861</v>
      </c>
      <c r="V5" s="365" t="s">
        <v>2155</v>
      </c>
      <c r="W5" s="139" t="s">
        <v>1956</v>
      </c>
      <c r="X5" s="139" t="s">
        <v>1350</v>
      </c>
      <c r="Y5" s="139" t="s">
        <v>1351</v>
      </c>
      <c r="Z5" s="139" t="s">
        <v>1352</v>
      </c>
      <c r="AA5" s="139" t="s">
        <v>1743</v>
      </c>
      <c r="AB5" s="139" t="s">
        <v>2068</v>
      </c>
      <c r="AC5" s="139" t="s">
        <v>2156</v>
      </c>
      <c r="AD5" s="139" t="s">
        <v>2267</v>
      </c>
      <c r="AE5" s="95" t="s">
        <v>4</v>
      </c>
      <c r="AF5" s="85"/>
      <c r="AG5" s="85"/>
      <c r="AH5" s="85"/>
      <c r="AI5" s="85"/>
      <c r="AJ5" s="85"/>
      <c r="AK5" s="14"/>
      <c r="AL5" s="81"/>
      <c r="AM5" s="81"/>
      <c r="AN5" s="90"/>
      <c r="AO5" s="91"/>
      <c r="AP5" s="91"/>
      <c r="AQ5" s="91"/>
      <c r="AR5" s="91"/>
      <c r="AS5" s="14"/>
      <c r="AT5" s="14"/>
      <c r="AU5" s="14"/>
      <c r="AV5" s="14"/>
      <c r="AW5" s="14"/>
      <c r="AX5" s="14"/>
      <c r="AY5" s="14"/>
      <c r="AZ5" s="14"/>
      <c r="BA5" s="14"/>
      <c r="BB5" s="333"/>
      <c r="BC5" s="333"/>
      <c r="BD5" s="333"/>
      <c r="BE5" s="333"/>
      <c r="BF5" s="333"/>
      <c r="BG5" s="333"/>
      <c r="BH5" s="333"/>
      <c r="BI5" s="333"/>
      <c r="BJ5" s="333"/>
      <c r="BK5" s="333"/>
      <c r="BL5" s="333"/>
      <c r="BM5" s="333"/>
      <c r="BN5" s="333"/>
      <c r="BO5" s="14"/>
      <c r="BP5" s="81"/>
      <c r="BQ5" s="81"/>
      <c r="BR5" s="90"/>
      <c r="BS5" s="91"/>
      <c r="BT5" s="91"/>
      <c r="BU5" s="91"/>
      <c r="BV5" s="91"/>
      <c r="BW5" s="14"/>
      <c r="BX5" s="14"/>
      <c r="BY5" s="14"/>
      <c r="BZ5" s="14"/>
      <c r="CA5" s="14"/>
      <c r="CB5" s="14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14"/>
      <c r="CT5" s="81"/>
      <c r="CU5" s="81"/>
      <c r="CV5" s="90"/>
      <c r="CW5" s="91"/>
      <c r="CX5" s="91"/>
      <c r="CY5" s="91"/>
      <c r="CZ5" s="91"/>
      <c r="DA5" s="14"/>
      <c r="DB5" s="14"/>
      <c r="DC5" s="14"/>
      <c r="DD5" s="14"/>
      <c r="DE5" s="14"/>
      <c r="DF5" s="14"/>
      <c r="DG5" s="14"/>
      <c r="DH5" s="14"/>
      <c r="DI5" s="333"/>
      <c r="DJ5" s="333"/>
      <c r="DK5" s="333"/>
      <c r="DL5" s="333"/>
      <c r="DM5" s="333"/>
      <c r="DN5" s="333"/>
      <c r="DO5" s="333"/>
      <c r="DP5" s="14"/>
      <c r="DQ5" s="81"/>
      <c r="DR5" s="81"/>
      <c r="DS5" s="90"/>
      <c r="DT5" s="91"/>
      <c r="DU5" s="91"/>
      <c r="DV5" s="91"/>
      <c r="DW5" s="91"/>
      <c r="DX5" s="14"/>
      <c r="DY5" s="14"/>
      <c r="DZ5" s="14"/>
      <c r="EA5" s="14"/>
      <c r="EB5" s="14"/>
      <c r="EC5" s="14"/>
    </row>
    <row r="6" spans="1:138" s="44" customFormat="1" ht="16.5">
      <c r="A6" s="38" t="s">
        <v>41</v>
      </c>
      <c r="B6" s="38" t="s">
        <v>26</v>
      </c>
      <c r="C6" s="38" t="s">
        <v>1351</v>
      </c>
      <c r="D6" s="96"/>
      <c r="E6" s="88"/>
      <c r="F6" s="88">
        <v>5</v>
      </c>
      <c r="G6" s="88"/>
      <c r="H6" s="88"/>
      <c r="I6" s="88"/>
      <c r="J6" s="88"/>
      <c r="K6" s="88"/>
      <c r="L6" s="88"/>
      <c r="M6" s="97">
        <v>5</v>
      </c>
      <c r="N6"/>
      <c r="O6"/>
      <c r="P6" s="243"/>
      <c r="Q6" s="243"/>
      <c r="R6"/>
      <c r="S6" s="38" t="s">
        <v>44</v>
      </c>
      <c r="T6" s="38" t="s">
        <v>32</v>
      </c>
      <c r="U6" s="38" t="s">
        <v>1351</v>
      </c>
      <c r="V6" s="96"/>
      <c r="W6" s="88"/>
      <c r="X6" s="88"/>
      <c r="Y6" s="88">
        <v>1</v>
      </c>
      <c r="Z6" s="88"/>
      <c r="AA6" s="88"/>
      <c r="AB6" s="88"/>
      <c r="AC6" s="88"/>
      <c r="AD6" s="88"/>
      <c r="AE6" s="97">
        <v>1</v>
      </c>
      <c r="AF6"/>
      <c r="AG6"/>
      <c r="AH6"/>
      <c r="AI6"/>
      <c r="AJ6"/>
      <c r="AK6" s="40" t="s">
        <v>1</v>
      </c>
      <c r="AL6" s="39"/>
      <c r="AM6" s="39"/>
      <c r="AN6" s="40" t="s">
        <v>1125</v>
      </c>
      <c r="AO6" s="93"/>
      <c r="AP6" s="93"/>
      <c r="AQ6" s="93"/>
      <c r="AR6" s="93"/>
      <c r="AS6" s="93"/>
      <c r="AT6" s="93"/>
      <c r="AU6" s="94"/>
      <c r="AV6"/>
      <c r="AW6"/>
      <c r="AX6"/>
      <c r="AY6"/>
      <c r="AZ6"/>
      <c r="BA6"/>
      <c r="BB6"/>
      <c r="BC6"/>
      <c r="BD6"/>
      <c r="BE6"/>
      <c r="BF6"/>
      <c r="BG6"/>
      <c r="BH6"/>
      <c r="BI6" s="335"/>
      <c r="BJ6" s="335"/>
      <c r="BK6" s="335"/>
      <c r="BL6" s="335"/>
      <c r="BM6" s="335"/>
      <c r="BN6" s="335"/>
      <c r="BO6" s="40" t="s">
        <v>1</v>
      </c>
      <c r="BP6" s="39"/>
      <c r="BQ6" s="39"/>
      <c r="BR6" s="40" t="s">
        <v>1125</v>
      </c>
      <c r="BS6" s="93"/>
      <c r="BT6" s="93"/>
      <c r="BU6" s="93"/>
      <c r="BV6" s="93"/>
      <c r="BW6" s="93"/>
      <c r="BX6" s="94"/>
      <c r="BY6"/>
      <c r="BZ6"/>
      <c r="CA6"/>
      <c r="CB6"/>
      <c r="CC6"/>
      <c r="CD6"/>
      <c r="CE6"/>
      <c r="CF6"/>
      <c r="CG6"/>
      <c r="CH6"/>
      <c r="CI6"/>
      <c r="CJ6" s="335"/>
      <c r="CK6" s="335"/>
      <c r="CL6" s="335"/>
      <c r="CM6" s="335"/>
      <c r="CN6" s="335"/>
      <c r="CO6" s="335"/>
      <c r="CP6" s="335"/>
      <c r="CQ6" s="335"/>
      <c r="CR6" s="335"/>
      <c r="CS6" s="40" t="s">
        <v>1</v>
      </c>
      <c r="CT6" s="40" t="s">
        <v>1125</v>
      </c>
      <c r="CU6" s="93"/>
      <c r="CV6" s="93"/>
      <c r="CW6" s="93"/>
      <c r="CX6" s="93"/>
      <c r="CY6" s="93"/>
      <c r="CZ6" s="93"/>
      <c r="DA6" s="94"/>
      <c r="DB6"/>
      <c r="DC6"/>
      <c r="DD6"/>
      <c r="DE6"/>
      <c r="DF6"/>
      <c r="DG6"/>
      <c r="DH6"/>
      <c r="DI6"/>
      <c r="DJ6"/>
      <c r="DK6"/>
      <c r="DL6" s="344"/>
      <c r="DM6" s="344"/>
      <c r="DN6" s="344"/>
      <c r="DO6" s="344"/>
      <c r="DP6" s="40" t="s">
        <v>1</v>
      </c>
      <c r="DQ6" s="40" t="s">
        <v>1125</v>
      </c>
      <c r="DR6" s="93"/>
      <c r="DS6" s="93"/>
      <c r="DT6" s="93"/>
      <c r="DU6" s="93"/>
      <c r="DV6" s="93"/>
      <c r="DW6" s="94"/>
      <c r="DX6"/>
      <c r="DY6"/>
      <c r="DZ6"/>
      <c r="EA6"/>
      <c r="EB6"/>
      <c r="EC6"/>
      <c r="ED6"/>
      <c r="EE6"/>
      <c r="EF6"/>
      <c r="EG6"/>
      <c r="EH6"/>
    </row>
    <row r="7" spans="1:138" ht="16.5">
      <c r="A7" s="49"/>
      <c r="B7" s="49"/>
      <c r="C7" s="65" t="s">
        <v>1350</v>
      </c>
      <c r="D7" s="250"/>
      <c r="E7" s="351"/>
      <c r="F7" s="351"/>
      <c r="G7" s="351"/>
      <c r="H7" s="351">
        <v>2</v>
      </c>
      <c r="I7" s="351"/>
      <c r="J7" s="351"/>
      <c r="K7" s="351"/>
      <c r="L7" s="351"/>
      <c r="M7" s="251">
        <v>2</v>
      </c>
      <c r="N7"/>
      <c r="O7"/>
      <c r="P7" s="243"/>
      <c r="Q7" s="243"/>
      <c r="R7"/>
      <c r="S7" s="49"/>
      <c r="T7" s="54" t="s">
        <v>1086</v>
      </c>
      <c r="U7" s="55"/>
      <c r="V7" s="101"/>
      <c r="W7" s="102"/>
      <c r="X7" s="102"/>
      <c r="Y7" s="102">
        <v>1</v>
      </c>
      <c r="Z7" s="102"/>
      <c r="AA7" s="102"/>
      <c r="AB7" s="102"/>
      <c r="AC7" s="102"/>
      <c r="AD7" s="102"/>
      <c r="AE7" s="103">
        <v>1</v>
      </c>
      <c r="AF7"/>
      <c r="AG7"/>
      <c r="AH7"/>
      <c r="AI7"/>
      <c r="AJ7"/>
      <c r="AK7" s="79" t="s">
        <v>1129</v>
      </c>
      <c r="AL7" s="54" t="s">
        <v>1212</v>
      </c>
      <c r="AM7" s="79" t="s">
        <v>1127</v>
      </c>
      <c r="AN7" s="38" t="s">
        <v>1543</v>
      </c>
      <c r="AO7" s="139" t="s">
        <v>1544</v>
      </c>
      <c r="AP7" s="139" t="s">
        <v>1545</v>
      </c>
      <c r="AQ7" s="139" t="s">
        <v>1546</v>
      </c>
      <c r="AR7" s="139" t="s">
        <v>1549</v>
      </c>
      <c r="AS7" s="139" t="s">
        <v>1741</v>
      </c>
      <c r="AT7" s="139" t="s">
        <v>1823</v>
      </c>
      <c r="AU7" s="95" t="s">
        <v>4</v>
      </c>
      <c r="AV7"/>
      <c r="AW7"/>
      <c r="AX7"/>
      <c r="AY7"/>
      <c r="AZ7"/>
      <c r="BA7"/>
      <c r="BB7"/>
      <c r="BC7"/>
      <c r="BD7"/>
      <c r="BE7"/>
      <c r="BF7"/>
      <c r="BG7"/>
      <c r="BH7"/>
      <c r="BI7" s="336"/>
      <c r="BJ7" s="336"/>
      <c r="BK7" s="336"/>
      <c r="BL7" s="336"/>
      <c r="BM7" s="336"/>
      <c r="BN7" s="336"/>
      <c r="BO7" s="79" t="s">
        <v>1129</v>
      </c>
      <c r="BP7" s="54" t="s">
        <v>1212</v>
      </c>
      <c r="BQ7" s="79" t="s">
        <v>1127</v>
      </c>
      <c r="BR7" s="38" t="s">
        <v>1543</v>
      </c>
      <c r="BS7" s="139" t="s">
        <v>1544</v>
      </c>
      <c r="BT7" s="139" t="s">
        <v>1545</v>
      </c>
      <c r="BU7" s="139" t="s">
        <v>1546</v>
      </c>
      <c r="BV7" s="139" t="s">
        <v>1549</v>
      </c>
      <c r="BW7" s="139" t="s">
        <v>1823</v>
      </c>
      <c r="BX7" s="95" t="s">
        <v>4</v>
      </c>
      <c r="BY7"/>
      <c r="BZ7"/>
      <c r="CA7"/>
      <c r="CB7"/>
      <c r="CC7"/>
      <c r="CD7"/>
      <c r="CE7"/>
      <c r="CF7"/>
      <c r="CG7"/>
      <c r="CH7"/>
      <c r="CI7"/>
      <c r="CS7" s="79" t="s">
        <v>1129</v>
      </c>
      <c r="CT7" s="38" t="s">
        <v>1543</v>
      </c>
      <c r="CU7" s="139" t="s">
        <v>1544</v>
      </c>
      <c r="CV7" s="139" t="s">
        <v>1545</v>
      </c>
      <c r="CW7" s="139" t="s">
        <v>1546</v>
      </c>
      <c r="CX7" s="139" t="s">
        <v>1549</v>
      </c>
      <c r="CY7" s="139" t="s">
        <v>1741</v>
      </c>
      <c r="CZ7" s="139" t="s">
        <v>1823</v>
      </c>
      <c r="DA7" s="95" t="s">
        <v>4</v>
      </c>
      <c r="DB7"/>
      <c r="DC7"/>
      <c r="DD7"/>
      <c r="DE7"/>
      <c r="DF7"/>
      <c r="DG7"/>
      <c r="DH7"/>
      <c r="DI7"/>
      <c r="DJ7"/>
      <c r="DK7"/>
      <c r="DP7" s="79" t="s">
        <v>1129</v>
      </c>
      <c r="DQ7" s="38" t="s">
        <v>1543</v>
      </c>
      <c r="DR7" s="139" t="s">
        <v>1544</v>
      </c>
      <c r="DS7" s="139" t="s">
        <v>1545</v>
      </c>
      <c r="DT7" s="139" t="s">
        <v>1546</v>
      </c>
      <c r="DU7" s="139" t="s">
        <v>1549</v>
      </c>
      <c r="DV7" s="139" t="s">
        <v>1823</v>
      </c>
      <c r="DW7" s="95" t="s">
        <v>4</v>
      </c>
      <c r="DX7"/>
      <c r="DY7"/>
      <c r="DZ7"/>
      <c r="EA7"/>
      <c r="EB7"/>
      <c r="EC7"/>
      <c r="ED7"/>
      <c r="EE7"/>
      <c r="EF7"/>
      <c r="EG7"/>
      <c r="EH7"/>
    </row>
    <row r="8" spans="1:138" ht="16.5">
      <c r="A8" s="49"/>
      <c r="B8" s="49"/>
      <c r="C8" s="65" t="s">
        <v>1352</v>
      </c>
      <c r="D8" s="250"/>
      <c r="E8" s="351"/>
      <c r="F8" s="351"/>
      <c r="G8" s="351"/>
      <c r="H8" s="351">
        <v>1</v>
      </c>
      <c r="I8" s="351"/>
      <c r="J8" s="351"/>
      <c r="K8" s="351"/>
      <c r="L8" s="351"/>
      <c r="M8" s="251">
        <v>1</v>
      </c>
      <c r="N8"/>
      <c r="O8"/>
      <c r="P8" s="243"/>
      <c r="Q8" s="243"/>
      <c r="R8"/>
      <c r="S8" s="49"/>
      <c r="T8" s="38" t="s">
        <v>51</v>
      </c>
      <c r="U8" s="38" t="s">
        <v>1351</v>
      </c>
      <c r="V8" s="96"/>
      <c r="W8" s="88"/>
      <c r="X8" s="88"/>
      <c r="Y8" s="88"/>
      <c r="Z8" s="88">
        <v>1</v>
      </c>
      <c r="AA8" s="88">
        <v>2</v>
      </c>
      <c r="AB8" s="88"/>
      <c r="AC8" s="88"/>
      <c r="AD8" s="88"/>
      <c r="AE8" s="97">
        <v>3</v>
      </c>
      <c r="AF8"/>
      <c r="AG8"/>
      <c r="AH8"/>
      <c r="AI8"/>
      <c r="AJ8"/>
      <c r="AK8" s="38" t="s">
        <v>40</v>
      </c>
      <c r="AL8" s="38" t="s">
        <v>1214</v>
      </c>
      <c r="AM8" s="38" t="s">
        <v>1741</v>
      </c>
      <c r="AN8" s="96">
        <v>6</v>
      </c>
      <c r="AO8" s="88"/>
      <c r="AP8" s="88"/>
      <c r="AQ8" s="88"/>
      <c r="AR8" s="88"/>
      <c r="AS8" s="88"/>
      <c r="AT8" s="88"/>
      <c r="AU8" s="97">
        <v>6</v>
      </c>
      <c r="AV8"/>
      <c r="AW8"/>
      <c r="AX8"/>
      <c r="AY8"/>
      <c r="AZ8"/>
      <c r="BA8"/>
      <c r="BB8"/>
      <c r="BC8"/>
      <c r="BD8"/>
      <c r="BE8"/>
      <c r="BF8"/>
      <c r="BG8"/>
      <c r="BH8"/>
      <c r="BI8" s="243"/>
      <c r="BJ8" s="243"/>
      <c r="BK8" s="243"/>
      <c r="BL8" s="243"/>
      <c r="BM8" s="243"/>
      <c r="BN8" s="243"/>
      <c r="BO8" s="38" t="s">
        <v>1772</v>
      </c>
      <c r="BP8" s="38" t="s">
        <v>1370</v>
      </c>
      <c r="BQ8" s="38" t="s">
        <v>1543</v>
      </c>
      <c r="BR8" s="96">
        <v>2</v>
      </c>
      <c r="BS8" s="88"/>
      <c r="BT8" s="88"/>
      <c r="BU8" s="88"/>
      <c r="BV8" s="88"/>
      <c r="BW8" s="88"/>
      <c r="BX8" s="97">
        <v>2</v>
      </c>
      <c r="BY8"/>
      <c r="BZ8"/>
      <c r="CA8"/>
      <c r="CB8"/>
      <c r="CC8"/>
      <c r="CD8"/>
      <c r="CE8"/>
      <c r="CF8"/>
      <c r="CG8"/>
      <c r="CH8"/>
      <c r="CI8"/>
      <c r="CJ8" s="243"/>
      <c r="CK8" s="243"/>
      <c r="CL8" s="243"/>
      <c r="CM8" s="243"/>
      <c r="CN8" s="243"/>
      <c r="CO8" s="243"/>
      <c r="CP8" s="243"/>
      <c r="CQ8" s="243"/>
      <c r="CR8" s="243"/>
      <c r="CS8" s="38" t="s">
        <v>40</v>
      </c>
      <c r="CT8" s="96">
        <v>11</v>
      </c>
      <c r="CU8" s="88"/>
      <c r="CV8" s="88"/>
      <c r="CW8" s="88"/>
      <c r="CX8" s="88"/>
      <c r="CY8" s="88"/>
      <c r="CZ8" s="88"/>
      <c r="DA8" s="97">
        <v>11</v>
      </c>
      <c r="DB8"/>
      <c r="DC8"/>
      <c r="DD8"/>
      <c r="DE8"/>
      <c r="DF8"/>
      <c r="DG8"/>
      <c r="DH8"/>
      <c r="DI8"/>
      <c r="DJ8"/>
      <c r="DK8"/>
      <c r="DL8" s="337"/>
      <c r="DM8" s="337"/>
      <c r="DN8" s="337"/>
      <c r="DO8" s="337"/>
      <c r="DP8" s="38" t="s">
        <v>1772</v>
      </c>
      <c r="DQ8" s="96">
        <v>7</v>
      </c>
      <c r="DR8" s="88"/>
      <c r="DS8" s="88"/>
      <c r="DT8" s="88"/>
      <c r="DU8" s="88"/>
      <c r="DV8" s="88"/>
      <c r="DW8" s="97">
        <v>7</v>
      </c>
      <c r="DX8"/>
      <c r="DY8"/>
      <c r="DZ8"/>
      <c r="EA8"/>
      <c r="EB8"/>
      <c r="EC8"/>
      <c r="ED8"/>
      <c r="EE8"/>
      <c r="EF8"/>
      <c r="EG8"/>
      <c r="EH8"/>
    </row>
    <row r="9" spans="1:138" ht="16.5">
      <c r="A9" s="49"/>
      <c r="B9" s="87" t="s">
        <v>1462</v>
      </c>
      <c r="C9" s="82"/>
      <c r="D9" s="98"/>
      <c r="E9" s="99"/>
      <c r="F9" s="99">
        <v>5</v>
      </c>
      <c r="G9" s="99"/>
      <c r="H9" s="99">
        <v>3</v>
      </c>
      <c r="I9" s="99"/>
      <c r="J9" s="99"/>
      <c r="K9" s="99"/>
      <c r="L9" s="99"/>
      <c r="M9" s="100">
        <v>8</v>
      </c>
      <c r="N9"/>
      <c r="O9"/>
      <c r="P9" s="243"/>
      <c r="Q9" s="243"/>
      <c r="R9"/>
      <c r="S9" s="49"/>
      <c r="T9" s="49"/>
      <c r="U9" s="65" t="s">
        <v>1743</v>
      </c>
      <c r="V9" s="250"/>
      <c r="W9" s="351"/>
      <c r="X9" s="351"/>
      <c r="Y9" s="351"/>
      <c r="Z9" s="351"/>
      <c r="AA9" s="351"/>
      <c r="AB9" s="351">
        <v>4</v>
      </c>
      <c r="AC9" s="351"/>
      <c r="AD9" s="351"/>
      <c r="AE9" s="251">
        <v>4</v>
      </c>
      <c r="AF9"/>
      <c r="AG9"/>
      <c r="AH9"/>
      <c r="AI9"/>
      <c r="AJ9"/>
      <c r="AK9" s="50" t="s">
        <v>1116</v>
      </c>
      <c r="AL9" s="51"/>
      <c r="AM9" s="51"/>
      <c r="AN9" s="98">
        <v>6</v>
      </c>
      <c r="AO9" s="99"/>
      <c r="AP9" s="99"/>
      <c r="AQ9" s="99"/>
      <c r="AR9" s="99"/>
      <c r="AS9" s="99"/>
      <c r="AT9" s="99"/>
      <c r="AU9" s="100">
        <v>6</v>
      </c>
      <c r="AV9"/>
      <c r="AW9"/>
      <c r="AX9"/>
      <c r="AY9"/>
      <c r="AZ9"/>
      <c r="BA9"/>
      <c r="BB9"/>
      <c r="BC9"/>
      <c r="BD9"/>
      <c r="BE9"/>
      <c r="BF9"/>
      <c r="BG9"/>
      <c r="BH9"/>
      <c r="BI9" s="243"/>
      <c r="BJ9" s="243"/>
      <c r="BK9" s="243"/>
      <c r="BL9" s="243"/>
      <c r="BM9" s="243"/>
      <c r="BN9" s="243"/>
      <c r="BO9" s="49"/>
      <c r="BP9" s="38" t="s">
        <v>1214</v>
      </c>
      <c r="BQ9" s="38" t="s">
        <v>1543</v>
      </c>
      <c r="BR9" s="96">
        <v>5</v>
      </c>
      <c r="BS9" s="88"/>
      <c r="BT9" s="88"/>
      <c r="BU9" s="88"/>
      <c r="BV9" s="88"/>
      <c r="BW9" s="88"/>
      <c r="BX9" s="97">
        <v>5</v>
      </c>
      <c r="BY9"/>
      <c r="BZ9"/>
      <c r="CA9"/>
      <c r="CB9"/>
      <c r="CC9"/>
      <c r="CD9"/>
      <c r="CE9"/>
      <c r="CF9"/>
      <c r="CG9"/>
      <c r="CH9"/>
      <c r="CI9"/>
      <c r="CJ9" s="243"/>
      <c r="CK9" s="243"/>
      <c r="CL9" s="243"/>
      <c r="CM9" s="243"/>
      <c r="CN9" s="243"/>
      <c r="CO9" s="243"/>
      <c r="CP9" s="243"/>
      <c r="CQ9" s="243"/>
      <c r="CR9" s="243"/>
      <c r="CS9" s="65" t="s">
        <v>53</v>
      </c>
      <c r="CT9" s="250">
        <v>7</v>
      </c>
      <c r="CU9" s="351"/>
      <c r="CV9" s="351"/>
      <c r="CW9" s="351"/>
      <c r="CX9" s="351">
        <v>3</v>
      </c>
      <c r="CY9" s="351"/>
      <c r="CZ9" s="351"/>
      <c r="DA9" s="251">
        <v>10</v>
      </c>
      <c r="DB9"/>
      <c r="DC9"/>
      <c r="DD9"/>
      <c r="DE9"/>
      <c r="DF9"/>
      <c r="DG9"/>
      <c r="DH9"/>
      <c r="DI9"/>
      <c r="DJ9"/>
      <c r="DK9"/>
      <c r="DL9" s="337"/>
      <c r="DM9" s="337"/>
      <c r="DN9" s="337"/>
      <c r="DO9" s="337"/>
      <c r="DP9" s="65" t="s">
        <v>2196</v>
      </c>
      <c r="DQ9" s="250">
        <v>4</v>
      </c>
      <c r="DR9" s="351"/>
      <c r="DS9" s="351"/>
      <c r="DT9" s="351"/>
      <c r="DU9" s="351"/>
      <c r="DV9" s="351"/>
      <c r="DW9" s="251">
        <v>4</v>
      </c>
      <c r="DX9"/>
      <c r="DY9"/>
      <c r="DZ9"/>
      <c r="EA9"/>
      <c r="EB9"/>
      <c r="EC9"/>
      <c r="ED9"/>
      <c r="EE9"/>
      <c r="EF9"/>
      <c r="EG9"/>
      <c r="EH9"/>
    </row>
    <row r="10" spans="1:138" ht="16.5">
      <c r="A10" s="49"/>
      <c r="B10" s="38" t="s">
        <v>25</v>
      </c>
      <c r="C10" s="38" t="s">
        <v>1350</v>
      </c>
      <c r="D10" s="96"/>
      <c r="E10" s="88"/>
      <c r="F10" s="88"/>
      <c r="G10" s="88"/>
      <c r="H10" s="88">
        <v>5</v>
      </c>
      <c r="I10" s="88"/>
      <c r="J10" s="88"/>
      <c r="K10" s="88"/>
      <c r="L10" s="88"/>
      <c r="M10" s="97">
        <v>5</v>
      </c>
      <c r="N10"/>
      <c r="O10"/>
      <c r="P10" s="243"/>
      <c r="Q10" s="243"/>
      <c r="R10"/>
      <c r="S10" s="49"/>
      <c r="T10" s="54" t="s">
        <v>1088</v>
      </c>
      <c r="U10" s="55"/>
      <c r="V10" s="101"/>
      <c r="W10" s="102"/>
      <c r="X10" s="102"/>
      <c r="Y10" s="102"/>
      <c r="Z10" s="102">
        <v>1</v>
      </c>
      <c r="AA10" s="102">
        <v>2</v>
      </c>
      <c r="AB10" s="102">
        <v>4</v>
      </c>
      <c r="AC10" s="102"/>
      <c r="AD10" s="102"/>
      <c r="AE10" s="103">
        <v>7</v>
      </c>
      <c r="AF10"/>
      <c r="AG10"/>
      <c r="AH10"/>
      <c r="AI10"/>
      <c r="AJ10"/>
      <c r="AK10" s="38" t="s">
        <v>53</v>
      </c>
      <c r="AL10" s="38" t="s">
        <v>1214</v>
      </c>
      <c r="AM10" s="38" t="s">
        <v>1548</v>
      </c>
      <c r="AN10" s="96"/>
      <c r="AO10" s="88"/>
      <c r="AP10" s="88"/>
      <c r="AQ10" s="88"/>
      <c r="AR10" s="88">
        <v>3</v>
      </c>
      <c r="AS10" s="88"/>
      <c r="AT10" s="88"/>
      <c r="AU10" s="97">
        <v>3</v>
      </c>
      <c r="AV10"/>
      <c r="AW10"/>
      <c r="AX10"/>
      <c r="AY10"/>
      <c r="AZ10"/>
      <c r="BA10"/>
      <c r="BB10"/>
      <c r="BC10"/>
      <c r="BD10"/>
      <c r="BE10"/>
      <c r="BF10"/>
      <c r="BG10"/>
      <c r="BH10"/>
      <c r="BI10" s="243"/>
      <c r="BJ10" s="243"/>
      <c r="BK10" s="243"/>
      <c r="BL10" s="243"/>
      <c r="BM10" s="243"/>
      <c r="BN10" s="243"/>
      <c r="BO10" s="50" t="s">
        <v>1824</v>
      </c>
      <c r="BP10" s="51"/>
      <c r="BQ10" s="51"/>
      <c r="BR10" s="98">
        <v>7</v>
      </c>
      <c r="BS10" s="99"/>
      <c r="BT10" s="99"/>
      <c r="BU10" s="99"/>
      <c r="BV10" s="99"/>
      <c r="BW10" s="99"/>
      <c r="BX10" s="100">
        <v>7</v>
      </c>
      <c r="BY10"/>
      <c r="BZ10"/>
      <c r="CA10"/>
      <c r="CB10"/>
      <c r="CC10"/>
      <c r="CD10"/>
      <c r="CE10"/>
      <c r="CF10"/>
      <c r="CG10"/>
      <c r="CH10"/>
      <c r="CI10"/>
      <c r="CJ10" s="243"/>
      <c r="CK10" s="243"/>
      <c r="CL10" s="243"/>
      <c r="CM10" s="243"/>
      <c r="CN10" s="243"/>
      <c r="CO10" s="243"/>
      <c r="CP10" s="243"/>
      <c r="CQ10" s="243"/>
      <c r="CR10" s="243"/>
      <c r="CS10" s="65" t="s">
        <v>779</v>
      </c>
      <c r="CT10" s="250">
        <v>11</v>
      </c>
      <c r="CU10" s="351"/>
      <c r="CV10" s="351"/>
      <c r="CW10" s="351"/>
      <c r="CX10" s="351"/>
      <c r="CY10" s="351"/>
      <c r="CZ10" s="351"/>
      <c r="DA10" s="251">
        <v>11</v>
      </c>
      <c r="DB10"/>
      <c r="DC10"/>
      <c r="DD10"/>
      <c r="DE10"/>
      <c r="DF10"/>
      <c r="DG10"/>
      <c r="DH10"/>
      <c r="DI10"/>
      <c r="DJ10"/>
      <c r="DK10"/>
      <c r="DL10" s="337"/>
      <c r="DM10" s="337"/>
      <c r="DN10" s="337"/>
      <c r="DO10" s="337"/>
      <c r="DP10" s="65" t="s">
        <v>2089</v>
      </c>
      <c r="DQ10" s="250">
        <v>4</v>
      </c>
      <c r="DR10" s="351"/>
      <c r="DS10" s="351"/>
      <c r="DT10" s="351"/>
      <c r="DU10" s="351"/>
      <c r="DV10" s="351"/>
      <c r="DW10" s="251">
        <v>4</v>
      </c>
      <c r="DX10"/>
      <c r="DY10"/>
      <c r="DZ10"/>
      <c r="EA10"/>
      <c r="EB10"/>
      <c r="EC10"/>
      <c r="ED10"/>
      <c r="EE10"/>
      <c r="EF10"/>
      <c r="EG10"/>
      <c r="EH10"/>
    </row>
    <row r="11" spans="1:138" ht="16.5">
      <c r="A11" s="49"/>
      <c r="B11" s="49"/>
      <c r="C11" s="65" t="s">
        <v>1743</v>
      </c>
      <c r="D11" s="250"/>
      <c r="E11" s="351"/>
      <c r="F11" s="351"/>
      <c r="G11" s="351"/>
      <c r="H11" s="351"/>
      <c r="I11" s="351">
        <v>2</v>
      </c>
      <c r="J11" s="351"/>
      <c r="K11" s="351"/>
      <c r="L11" s="351"/>
      <c r="M11" s="251">
        <v>2</v>
      </c>
      <c r="N11"/>
      <c r="O11"/>
      <c r="P11" s="243"/>
      <c r="Q11" s="243"/>
      <c r="R11"/>
      <c r="S11" s="49"/>
      <c r="T11" s="38" t="s">
        <v>3</v>
      </c>
      <c r="U11" s="38" t="s">
        <v>1351</v>
      </c>
      <c r="V11" s="96"/>
      <c r="W11" s="88"/>
      <c r="X11" s="88"/>
      <c r="Y11" s="88"/>
      <c r="Z11" s="88">
        <v>10</v>
      </c>
      <c r="AA11" s="88"/>
      <c r="AB11" s="88"/>
      <c r="AC11" s="88"/>
      <c r="AD11" s="88"/>
      <c r="AE11" s="97">
        <v>10</v>
      </c>
      <c r="AF11"/>
      <c r="AG11"/>
      <c r="AH11"/>
      <c r="AI11"/>
      <c r="AJ11"/>
      <c r="AK11" s="50" t="s">
        <v>1097</v>
      </c>
      <c r="AL11" s="51"/>
      <c r="AM11" s="51"/>
      <c r="AN11" s="98"/>
      <c r="AO11" s="99"/>
      <c r="AP11" s="99"/>
      <c r="AQ11" s="99"/>
      <c r="AR11" s="99">
        <v>3</v>
      </c>
      <c r="AS11" s="99"/>
      <c r="AT11" s="99"/>
      <c r="AU11" s="100">
        <v>3</v>
      </c>
      <c r="AV11"/>
      <c r="AW11"/>
      <c r="AX11"/>
      <c r="AY11"/>
      <c r="AZ11"/>
      <c r="BA11"/>
      <c r="BB11"/>
      <c r="BC11"/>
      <c r="BD11"/>
      <c r="BE11"/>
      <c r="BF11"/>
      <c r="BG11"/>
      <c r="BH11"/>
      <c r="BI11" s="243"/>
      <c r="BJ11" s="243"/>
      <c r="BK11" s="243"/>
      <c r="BL11" s="243"/>
      <c r="BM11" s="243"/>
      <c r="BN11" s="243"/>
      <c r="BO11" s="38" t="s">
        <v>2196</v>
      </c>
      <c r="BP11" s="38" t="s">
        <v>1214</v>
      </c>
      <c r="BQ11" s="38" t="s">
        <v>1543</v>
      </c>
      <c r="BR11" s="96">
        <v>4</v>
      </c>
      <c r="BS11" s="88"/>
      <c r="BT11" s="88"/>
      <c r="BU11" s="88"/>
      <c r="BV11" s="88"/>
      <c r="BW11" s="88"/>
      <c r="BX11" s="97">
        <v>4</v>
      </c>
      <c r="BY11"/>
      <c r="BZ11"/>
      <c r="CA11"/>
      <c r="CB11"/>
      <c r="CC11"/>
      <c r="CD11"/>
      <c r="CE11"/>
      <c r="CF11"/>
      <c r="CG11"/>
      <c r="CH11"/>
      <c r="CI11"/>
      <c r="CJ11" s="243"/>
      <c r="CK11" s="243"/>
      <c r="CL11" s="243"/>
      <c r="CM11" s="243"/>
      <c r="CN11" s="243"/>
      <c r="CO11" s="243"/>
      <c r="CP11" s="243"/>
      <c r="CQ11" s="243"/>
      <c r="CR11" s="243"/>
      <c r="CS11" s="65" t="s">
        <v>1772</v>
      </c>
      <c r="CT11" s="250">
        <v>12</v>
      </c>
      <c r="CU11" s="351"/>
      <c r="CV11" s="351"/>
      <c r="CW11" s="351"/>
      <c r="CX11" s="351"/>
      <c r="CY11" s="351"/>
      <c r="CZ11" s="351"/>
      <c r="DA11" s="251">
        <v>12</v>
      </c>
      <c r="DB11"/>
      <c r="DC11"/>
      <c r="DD11"/>
      <c r="DE11"/>
      <c r="DF11"/>
      <c r="DG11"/>
      <c r="DH11"/>
      <c r="DI11"/>
      <c r="DJ11"/>
      <c r="DK11"/>
      <c r="DL11" s="337"/>
      <c r="DM11" s="337"/>
      <c r="DN11" s="337"/>
      <c r="DO11" s="337"/>
      <c r="DP11" s="65" t="s">
        <v>3</v>
      </c>
      <c r="DQ11" s="250">
        <v>15</v>
      </c>
      <c r="DR11" s="351">
        <v>1</v>
      </c>
      <c r="DS11" s="351"/>
      <c r="DT11" s="351"/>
      <c r="DU11" s="351"/>
      <c r="DV11" s="351"/>
      <c r="DW11" s="251">
        <v>16</v>
      </c>
      <c r="DX11"/>
      <c r="DY11"/>
      <c r="DZ11"/>
      <c r="EA11"/>
      <c r="EB11"/>
      <c r="EC11"/>
      <c r="ED11"/>
      <c r="EE11"/>
      <c r="EF11"/>
      <c r="EG11"/>
      <c r="EH11"/>
    </row>
    <row r="12" spans="1:138" ht="16.5">
      <c r="A12" s="49"/>
      <c r="B12" s="87" t="s">
        <v>1553</v>
      </c>
      <c r="C12" s="82"/>
      <c r="D12" s="98"/>
      <c r="E12" s="99"/>
      <c r="F12" s="99"/>
      <c r="G12" s="99"/>
      <c r="H12" s="99">
        <v>5</v>
      </c>
      <c r="I12" s="99">
        <v>2</v>
      </c>
      <c r="J12" s="99"/>
      <c r="K12" s="99"/>
      <c r="L12" s="99"/>
      <c r="M12" s="100">
        <v>7</v>
      </c>
      <c r="N12"/>
      <c r="O12"/>
      <c r="P12" s="243"/>
      <c r="Q12" s="243"/>
      <c r="R12"/>
      <c r="S12" s="49"/>
      <c r="T12" s="49"/>
      <c r="U12" s="65" t="s">
        <v>1352</v>
      </c>
      <c r="V12" s="250"/>
      <c r="W12" s="351"/>
      <c r="X12" s="351"/>
      <c r="Y12" s="351"/>
      <c r="Z12" s="351"/>
      <c r="AA12" s="351">
        <v>8</v>
      </c>
      <c r="AB12" s="351"/>
      <c r="AC12" s="351"/>
      <c r="AD12" s="351"/>
      <c r="AE12" s="251">
        <v>8</v>
      </c>
      <c r="AF12"/>
      <c r="AG12"/>
      <c r="AH12"/>
      <c r="AI12"/>
      <c r="AJ12"/>
      <c r="AK12" s="38" t="s">
        <v>779</v>
      </c>
      <c r="AL12" s="38" t="s">
        <v>1214</v>
      </c>
      <c r="AM12" s="38" t="s">
        <v>1547</v>
      </c>
      <c r="AN12" s="96">
        <v>8</v>
      </c>
      <c r="AO12" s="88"/>
      <c r="AP12" s="88"/>
      <c r="AQ12" s="88"/>
      <c r="AR12" s="88"/>
      <c r="AS12" s="88"/>
      <c r="AT12" s="88"/>
      <c r="AU12" s="97">
        <v>8</v>
      </c>
      <c r="AV12"/>
      <c r="AW12"/>
      <c r="AX12"/>
      <c r="AY12"/>
      <c r="AZ12"/>
      <c r="BA12"/>
      <c r="BB12"/>
      <c r="BC12"/>
      <c r="BD12"/>
      <c r="BE12"/>
      <c r="BF12"/>
      <c r="BG12"/>
      <c r="BH12"/>
      <c r="BI12" s="243"/>
      <c r="BJ12" s="243"/>
      <c r="BK12" s="243"/>
      <c r="BL12" s="243"/>
      <c r="BM12" s="243"/>
      <c r="BN12" s="243"/>
      <c r="BO12" s="50" t="s">
        <v>2265</v>
      </c>
      <c r="BP12" s="51"/>
      <c r="BQ12" s="51"/>
      <c r="BR12" s="98">
        <v>4</v>
      </c>
      <c r="BS12" s="99"/>
      <c r="BT12" s="99"/>
      <c r="BU12" s="99"/>
      <c r="BV12" s="99"/>
      <c r="BW12" s="99"/>
      <c r="BX12" s="100">
        <v>4</v>
      </c>
      <c r="BY12"/>
      <c r="BZ12"/>
      <c r="CA12"/>
      <c r="CB12"/>
      <c r="CC12"/>
      <c r="CD12"/>
      <c r="CE12"/>
      <c r="CF12"/>
      <c r="CG12"/>
      <c r="CH12"/>
      <c r="CI12"/>
      <c r="CJ12" s="243"/>
      <c r="CK12" s="243"/>
      <c r="CL12" s="243"/>
      <c r="CM12" s="243"/>
      <c r="CN12" s="243"/>
      <c r="CO12" s="243"/>
      <c r="CP12" s="243"/>
      <c r="CQ12" s="243"/>
      <c r="CR12" s="243"/>
      <c r="CS12" s="65" t="s">
        <v>2196</v>
      </c>
      <c r="CT12" s="250">
        <v>5</v>
      </c>
      <c r="CU12" s="351"/>
      <c r="CV12" s="351"/>
      <c r="CW12" s="351"/>
      <c r="CX12" s="351"/>
      <c r="CY12" s="351"/>
      <c r="CZ12" s="351"/>
      <c r="DA12" s="251">
        <v>5</v>
      </c>
      <c r="DB12"/>
      <c r="DC12"/>
      <c r="DD12"/>
      <c r="DE12"/>
      <c r="DF12"/>
      <c r="DG12"/>
      <c r="DH12"/>
      <c r="DI12"/>
      <c r="DJ12"/>
      <c r="DK12"/>
      <c r="DL12" s="337"/>
      <c r="DM12" s="337"/>
      <c r="DN12" s="337"/>
      <c r="DO12" s="337"/>
      <c r="DP12" s="65" t="s">
        <v>58</v>
      </c>
      <c r="DQ12" s="250">
        <v>2</v>
      </c>
      <c r="DR12" s="351"/>
      <c r="DS12" s="351"/>
      <c r="DT12" s="351"/>
      <c r="DU12" s="351"/>
      <c r="DV12" s="351"/>
      <c r="DW12" s="251">
        <v>2</v>
      </c>
      <c r="DX12"/>
      <c r="DY12"/>
      <c r="DZ12"/>
      <c r="EA12"/>
      <c r="EB12"/>
      <c r="EC12"/>
      <c r="ED12"/>
      <c r="EE12"/>
      <c r="EF12"/>
      <c r="EG12"/>
      <c r="EH12"/>
    </row>
    <row r="13" spans="1:138" ht="16.5">
      <c r="A13" s="49"/>
      <c r="B13" s="38" t="s">
        <v>24</v>
      </c>
      <c r="C13" s="38" t="s">
        <v>1350</v>
      </c>
      <c r="D13" s="96"/>
      <c r="E13" s="88"/>
      <c r="F13" s="88"/>
      <c r="G13" s="88"/>
      <c r="H13" s="88">
        <v>8</v>
      </c>
      <c r="I13" s="88"/>
      <c r="J13" s="88"/>
      <c r="K13" s="88"/>
      <c r="L13" s="88"/>
      <c r="M13" s="97">
        <v>8</v>
      </c>
      <c r="N13"/>
      <c r="O13"/>
      <c r="P13" s="243"/>
      <c r="Q13" s="243"/>
      <c r="R13"/>
      <c r="S13" s="49"/>
      <c r="T13" s="49"/>
      <c r="U13" s="65" t="s">
        <v>1743</v>
      </c>
      <c r="V13" s="250"/>
      <c r="W13" s="351"/>
      <c r="X13" s="351"/>
      <c r="Y13" s="351"/>
      <c r="Z13" s="351"/>
      <c r="AA13" s="351">
        <v>9</v>
      </c>
      <c r="AB13" s="351"/>
      <c r="AC13" s="351"/>
      <c r="AD13" s="351"/>
      <c r="AE13" s="251">
        <v>9</v>
      </c>
      <c r="AF13"/>
      <c r="AG13"/>
      <c r="AH13"/>
      <c r="AI13"/>
      <c r="AJ13"/>
      <c r="AK13" s="50" t="s">
        <v>1092</v>
      </c>
      <c r="AL13" s="51"/>
      <c r="AM13" s="51"/>
      <c r="AN13" s="98">
        <v>8</v>
      </c>
      <c r="AO13" s="99"/>
      <c r="AP13" s="99"/>
      <c r="AQ13" s="99"/>
      <c r="AR13" s="99"/>
      <c r="AS13" s="99"/>
      <c r="AT13" s="99"/>
      <c r="AU13" s="100">
        <v>8</v>
      </c>
      <c r="AV13"/>
      <c r="AW13"/>
      <c r="AX13"/>
      <c r="AY13"/>
      <c r="AZ13"/>
      <c r="BA13"/>
      <c r="BB13"/>
      <c r="BC13"/>
      <c r="BD13"/>
      <c r="BE13"/>
      <c r="BF13"/>
      <c r="BG13"/>
      <c r="BH13"/>
      <c r="BI13" s="243"/>
      <c r="BJ13" s="243"/>
      <c r="BK13" s="243"/>
      <c r="BL13" s="243"/>
      <c r="BM13" s="243"/>
      <c r="BN13" s="243"/>
      <c r="BO13" s="38" t="s">
        <v>2089</v>
      </c>
      <c r="BP13" s="38" t="s">
        <v>1214</v>
      </c>
      <c r="BQ13" s="38" t="s">
        <v>1543</v>
      </c>
      <c r="BR13" s="96">
        <v>4</v>
      </c>
      <c r="BS13" s="88"/>
      <c r="BT13" s="88"/>
      <c r="BU13" s="88"/>
      <c r="BV13" s="88"/>
      <c r="BW13" s="88"/>
      <c r="BX13" s="97">
        <v>4</v>
      </c>
      <c r="BY13"/>
      <c r="BZ13"/>
      <c r="CA13"/>
      <c r="CB13"/>
      <c r="CC13"/>
      <c r="CD13"/>
      <c r="CE13"/>
      <c r="CF13"/>
      <c r="CG13"/>
      <c r="CH13"/>
      <c r="CI13"/>
      <c r="CJ13" s="243"/>
      <c r="CK13" s="243"/>
      <c r="CL13" s="243"/>
      <c r="CM13" s="243"/>
      <c r="CN13" s="243"/>
      <c r="CO13" s="243"/>
      <c r="CP13" s="243"/>
      <c r="CQ13" s="243"/>
      <c r="CR13" s="243"/>
      <c r="CS13" s="65" t="s">
        <v>2089</v>
      </c>
      <c r="CT13" s="250">
        <v>14</v>
      </c>
      <c r="CU13" s="351"/>
      <c r="CV13" s="351"/>
      <c r="CW13" s="351"/>
      <c r="CX13" s="351"/>
      <c r="CY13" s="351"/>
      <c r="CZ13" s="351"/>
      <c r="DA13" s="251">
        <v>14</v>
      </c>
      <c r="DB13"/>
      <c r="DC13"/>
      <c r="DD13"/>
      <c r="DE13"/>
      <c r="DF13"/>
      <c r="DG13"/>
      <c r="DH13"/>
      <c r="DI13"/>
      <c r="DJ13"/>
      <c r="DK13"/>
      <c r="DL13" s="337"/>
      <c r="DM13" s="337"/>
      <c r="DN13" s="337"/>
      <c r="DO13" s="337"/>
      <c r="DP13" s="65" t="s">
        <v>30</v>
      </c>
      <c r="DQ13" s="250">
        <v>4</v>
      </c>
      <c r="DR13" s="351"/>
      <c r="DS13" s="351"/>
      <c r="DT13" s="351"/>
      <c r="DU13" s="351"/>
      <c r="DV13" s="351"/>
      <c r="DW13" s="251">
        <v>4</v>
      </c>
      <c r="DX13"/>
      <c r="DY13"/>
      <c r="DZ13"/>
      <c r="EA13"/>
      <c r="EB13"/>
      <c r="EC13"/>
      <c r="ED13"/>
      <c r="EE13"/>
      <c r="EF13"/>
      <c r="EG13"/>
      <c r="EH13"/>
    </row>
    <row r="14" spans="1:138" ht="16.5">
      <c r="A14" s="49"/>
      <c r="B14" s="49"/>
      <c r="C14" s="65" t="s">
        <v>1352</v>
      </c>
      <c r="D14" s="250"/>
      <c r="E14" s="351"/>
      <c r="F14" s="351"/>
      <c r="G14" s="351"/>
      <c r="H14" s="351">
        <v>6</v>
      </c>
      <c r="I14" s="351"/>
      <c r="J14" s="351"/>
      <c r="K14" s="351"/>
      <c r="L14" s="351"/>
      <c r="M14" s="251">
        <v>6</v>
      </c>
      <c r="N14"/>
      <c r="O14"/>
      <c r="P14" s="243"/>
      <c r="Q14" s="243"/>
      <c r="R14"/>
      <c r="S14" s="49"/>
      <c r="T14" s="54" t="s">
        <v>1087</v>
      </c>
      <c r="U14" s="55"/>
      <c r="V14" s="101"/>
      <c r="W14" s="102"/>
      <c r="X14" s="102"/>
      <c r="Y14" s="102"/>
      <c r="Z14" s="102">
        <v>10</v>
      </c>
      <c r="AA14" s="102">
        <v>17</v>
      </c>
      <c r="AB14" s="102"/>
      <c r="AC14" s="102"/>
      <c r="AD14" s="102"/>
      <c r="AE14" s="103">
        <v>27</v>
      </c>
      <c r="AF14"/>
      <c r="AG14"/>
      <c r="AH14"/>
      <c r="AI14"/>
      <c r="AJ14"/>
      <c r="AK14" s="38" t="s">
        <v>3</v>
      </c>
      <c r="AL14" s="38" t="s">
        <v>1214</v>
      </c>
      <c r="AM14" s="38" t="s">
        <v>1547</v>
      </c>
      <c r="AN14" s="96">
        <v>17</v>
      </c>
      <c r="AO14" s="88">
        <v>12</v>
      </c>
      <c r="AP14" s="88"/>
      <c r="AQ14" s="88"/>
      <c r="AR14" s="88"/>
      <c r="AS14" s="88"/>
      <c r="AT14" s="88"/>
      <c r="AU14" s="97">
        <v>29</v>
      </c>
      <c r="AV14"/>
      <c r="AW14"/>
      <c r="AX14"/>
      <c r="AY14"/>
      <c r="AZ14"/>
      <c r="BA14"/>
      <c r="BB14"/>
      <c r="BC14"/>
      <c r="BD14"/>
      <c r="BE14"/>
      <c r="BF14"/>
      <c r="BG14"/>
      <c r="BH14"/>
      <c r="BI14" s="243"/>
      <c r="BJ14" s="243"/>
      <c r="BK14" s="243"/>
      <c r="BL14" s="243"/>
      <c r="BM14" s="243"/>
      <c r="BN14" s="243"/>
      <c r="BO14" s="50" t="s">
        <v>2154</v>
      </c>
      <c r="BP14" s="51"/>
      <c r="BQ14" s="51"/>
      <c r="BR14" s="98">
        <v>4</v>
      </c>
      <c r="BS14" s="99"/>
      <c r="BT14" s="99"/>
      <c r="BU14" s="99"/>
      <c r="BV14" s="99"/>
      <c r="BW14" s="99"/>
      <c r="BX14" s="100">
        <v>4</v>
      </c>
      <c r="BY14"/>
      <c r="BZ14"/>
      <c r="CA14"/>
      <c r="CB14"/>
      <c r="CC14"/>
      <c r="CD14"/>
      <c r="CE14"/>
      <c r="CF14"/>
      <c r="CG14"/>
      <c r="CH14"/>
      <c r="CI14"/>
      <c r="CJ14" s="243"/>
      <c r="CK14" s="243"/>
      <c r="CL14" s="243"/>
      <c r="CM14" s="243"/>
      <c r="CN14" s="243"/>
      <c r="CO14" s="243"/>
      <c r="CP14" s="243"/>
      <c r="CQ14" s="243"/>
      <c r="CR14" s="243"/>
      <c r="CS14" s="65" t="s">
        <v>3</v>
      </c>
      <c r="CT14" s="250">
        <v>53</v>
      </c>
      <c r="CU14" s="351">
        <v>11</v>
      </c>
      <c r="CV14" s="351"/>
      <c r="CW14" s="351"/>
      <c r="CX14" s="351"/>
      <c r="CY14" s="351"/>
      <c r="CZ14" s="351"/>
      <c r="DA14" s="251">
        <v>64</v>
      </c>
      <c r="DB14"/>
      <c r="DC14"/>
      <c r="DD14"/>
      <c r="DE14"/>
      <c r="DF14"/>
      <c r="DG14"/>
      <c r="DH14"/>
      <c r="DI14"/>
      <c r="DJ14"/>
      <c r="DK14"/>
      <c r="DL14" s="337"/>
      <c r="DM14" s="337"/>
      <c r="DN14" s="337"/>
      <c r="DO14" s="337"/>
      <c r="DP14" s="65" t="s">
        <v>41</v>
      </c>
      <c r="DQ14" s="250">
        <v>44</v>
      </c>
      <c r="DR14" s="351"/>
      <c r="DS14" s="351"/>
      <c r="DT14" s="351">
        <v>1</v>
      </c>
      <c r="DU14" s="351"/>
      <c r="DV14" s="351"/>
      <c r="DW14" s="251">
        <v>45</v>
      </c>
      <c r="DX14"/>
      <c r="DY14"/>
      <c r="DZ14"/>
      <c r="EA14"/>
      <c r="EB14"/>
      <c r="EC14"/>
      <c r="ED14"/>
      <c r="EE14"/>
      <c r="EF14"/>
      <c r="EG14"/>
      <c r="EH14"/>
    </row>
    <row r="15" spans="1:138" ht="16.5">
      <c r="A15" s="49"/>
      <c r="B15" s="87" t="s">
        <v>1554</v>
      </c>
      <c r="C15" s="82"/>
      <c r="D15" s="98"/>
      <c r="E15" s="99"/>
      <c r="F15" s="99"/>
      <c r="G15" s="99"/>
      <c r="H15" s="99">
        <v>14</v>
      </c>
      <c r="I15" s="99"/>
      <c r="J15" s="99"/>
      <c r="K15" s="99"/>
      <c r="L15" s="99"/>
      <c r="M15" s="100">
        <v>14</v>
      </c>
      <c r="N15"/>
      <c r="O15"/>
      <c r="P15" s="243"/>
      <c r="Q15" s="243"/>
      <c r="R15"/>
      <c r="S15" s="49"/>
      <c r="T15" s="38" t="s">
        <v>47</v>
      </c>
      <c r="U15" s="38" t="s">
        <v>1351</v>
      </c>
      <c r="V15" s="96"/>
      <c r="W15" s="88"/>
      <c r="X15" s="88"/>
      <c r="Y15" s="88"/>
      <c r="Z15" s="88">
        <v>6</v>
      </c>
      <c r="AA15" s="88"/>
      <c r="AB15" s="88"/>
      <c r="AC15" s="88"/>
      <c r="AD15" s="88"/>
      <c r="AE15" s="97">
        <v>6</v>
      </c>
      <c r="AF15"/>
      <c r="AG15"/>
      <c r="AH15"/>
      <c r="AI15"/>
      <c r="AJ15"/>
      <c r="AK15" s="50" t="s">
        <v>1087</v>
      </c>
      <c r="AL15" s="51"/>
      <c r="AM15" s="51"/>
      <c r="AN15" s="98">
        <v>17</v>
      </c>
      <c r="AO15" s="99">
        <v>12</v>
      </c>
      <c r="AP15" s="99"/>
      <c r="AQ15" s="99"/>
      <c r="AR15" s="99"/>
      <c r="AS15" s="99"/>
      <c r="AT15" s="99"/>
      <c r="AU15" s="100">
        <v>29</v>
      </c>
      <c r="AV15"/>
      <c r="AW15"/>
      <c r="AX15"/>
      <c r="AY15"/>
      <c r="AZ15"/>
      <c r="BA15"/>
      <c r="BB15"/>
      <c r="BC15"/>
      <c r="BD15"/>
      <c r="BE15"/>
      <c r="BF15"/>
      <c r="BG15"/>
      <c r="BH15"/>
      <c r="BI15" s="243"/>
      <c r="BJ15" s="243"/>
      <c r="BK15" s="243"/>
      <c r="BL15" s="243"/>
      <c r="BM15" s="243"/>
      <c r="BN15" s="243"/>
      <c r="BO15" s="38" t="s">
        <v>3</v>
      </c>
      <c r="BP15" s="38" t="s">
        <v>1214</v>
      </c>
      <c r="BQ15" s="38" t="s">
        <v>1547</v>
      </c>
      <c r="BR15" s="96"/>
      <c r="BS15" s="88">
        <v>1</v>
      </c>
      <c r="BT15" s="88"/>
      <c r="BU15" s="88"/>
      <c r="BV15" s="88"/>
      <c r="BW15" s="88"/>
      <c r="BX15" s="97">
        <v>1</v>
      </c>
      <c r="BY15"/>
      <c r="BZ15"/>
      <c r="CA15"/>
      <c r="CB15"/>
      <c r="CC15"/>
      <c r="CD15"/>
      <c r="CE15"/>
      <c r="CF15"/>
      <c r="CG15"/>
      <c r="CH15"/>
      <c r="CI15"/>
      <c r="CJ15" s="243"/>
      <c r="CK15" s="243"/>
      <c r="CL15" s="243"/>
      <c r="CM15" s="243"/>
      <c r="CN15" s="243"/>
      <c r="CO15" s="243"/>
      <c r="CP15" s="243"/>
      <c r="CQ15" s="243"/>
      <c r="CR15" s="243"/>
      <c r="CS15" s="65" t="s">
        <v>58</v>
      </c>
      <c r="CT15" s="250"/>
      <c r="CU15" s="351">
        <v>2</v>
      </c>
      <c r="CV15" s="351"/>
      <c r="CW15" s="351"/>
      <c r="CX15" s="351"/>
      <c r="CY15" s="351"/>
      <c r="CZ15" s="351"/>
      <c r="DA15" s="251">
        <v>2</v>
      </c>
      <c r="DB15"/>
      <c r="DC15"/>
      <c r="DD15"/>
      <c r="DE15"/>
      <c r="DF15"/>
      <c r="DG15"/>
      <c r="DH15"/>
      <c r="DI15"/>
      <c r="DJ15"/>
      <c r="DK15"/>
      <c r="DL15" s="337"/>
      <c r="DM15" s="337"/>
      <c r="DN15" s="337"/>
      <c r="DO15" s="337"/>
      <c r="DP15" s="65" t="s">
        <v>1477</v>
      </c>
      <c r="DQ15" s="250"/>
      <c r="DR15" s="351"/>
      <c r="DS15" s="351"/>
      <c r="DT15" s="351"/>
      <c r="DU15" s="351">
        <v>5</v>
      </c>
      <c r="DV15" s="351"/>
      <c r="DW15" s="251">
        <v>5</v>
      </c>
      <c r="DX15"/>
      <c r="DY15"/>
      <c r="DZ15"/>
      <c r="EA15"/>
      <c r="EB15"/>
      <c r="EC15"/>
      <c r="ED15"/>
      <c r="EE15"/>
      <c r="EF15"/>
      <c r="EG15"/>
      <c r="EH15"/>
    </row>
    <row r="16" spans="1:138" ht="16.5">
      <c r="A16" s="49"/>
      <c r="B16" s="38" t="s">
        <v>27</v>
      </c>
      <c r="C16" s="38" t="s">
        <v>1350</v>
      </c>
      <c r="D16" s="96"/>
      <c r="E16" s="88"/>
      <c r="F16" s="88"/>
      <c r="G16" s="88"/>
      <c r="H16" s="88">
        <v>12</v>
      </c>
      <c r="I16" s="88"/>
      <c r="J16" s="88"/>
      <c r="K16" s="88"/>
      <c r="L16" s="88"/>
      <c r="M16" s="97">
        <v>12</v>
      </c>
      <c r="N16"/>
      <c r="O16"/>
      <c r="P16" s="243"/>
      <c r="Q16" s="243"/>
      <c r="R16"/>
      <c r="S16" s="49"/>
      <c r="T16" s="49"/>
      <c r="U16" s="65" t="s">
        <v>1352</v>
      </c>
      <c r="V16" s="250">
        <v>1</v>
      </c>
      <c r="W16" s="351"/>
      <c r="X16" s="351"/>
      <c r="Y16" s="351"/>
      <c r="Z16" s="351"/>
      <c r="AA16" s="351">
        <v>17.5</v>
      </c>
      <c r="AB16" s="351"/>
      <c r="AC16" s="351"/>
      <c r="AD16" s="351"/>
      <c r="AE16" s="251">
        <v>18.5</v>
      </c>
      <c r="AF16"/>
      <c r="AG16"/>
      <c r="AH16"/>
      <c r="AI16"/>
      <c r="AJ16"/>
      <c r="AK16" s="38" t="s">
        <v>58</v>
      </c>
      <c r="AL16" s="38" t="s">
        <v>1214</v>
      </c>
      <c r="AM16" s="38" t="s">
        <v>1547</v>
      </c>
      <c r="AN16" s="96">
        <v>2</v>
      </c>
      <c r="AO16" s="88">
        <v>2</v>
      </c>
      <c r="AP16" s="88"/>
      <c r="AQ16" s="88"/>
      <c r="AR16" s="88"/>
      <c r="AS16" s="88"/>
      <c r="AT16" s="88"/>
      <c r="AU16" s="97">
        <v>4</v>
      </c>
      <c r="AV16"/>
      <c r="AW16"/>
      <c r="AX16"/>
      <c r="AY16"/>
      <c r="AZ16"/>
      <c r="BA16"/>
      <c r="BB16"/>
      <c r="BC16"/>
      <c r="BD16"/>
      <c r="BE16"/>
      <c r="BF16"/>
      <c r="BG16"/>
      <c r="BH16"/>
      <c r="BI16" s="243"/>
      <c r="BJ16" s="243"/>
      <c r="BK16" s="243"/>
      <c r="BL16" s="243"/>
      <c r="BM16" s="243"/>
      <c r="BN16" s="243"/>
      <c r="BO16" s="49"/>
      <c r="BP16" s="49"/>
      <c r="BQ16" s="65" t="s">
        <v>1544</v>
      </c>
      <c r="BR16" s="250">
        <v>7</v>
      </c>
      <c r="BS16" s="351"/>
      <c r="BT16" s="351"/>
      <c r="BU16" s="351"/>
      <c r="BV16" s="351"/>
      <c r="BW16" s="351"/>
      <c r="BX16" s="251">
        <v>7</v>
      </c>
      <c r="BY16"/>
      <c r="BZ16"/>
      <c r="CA16"/>
      <c r="CB16"/>
      <c r="CC16"/>
      <c r="CD16"/>
      <c r="CE16"/>
      <c r="CF16"/>
      <c r="CG16"/>
      <c r="CH16"/>
      <c r="CI16"/>
      <c r="CJ16" s="243"/>
      <c r="CK16" s="243"/>
      <c r="CL16" s="243"/>
      <c r="CM16" s="243"/>
      <c r="CN16" s="243"/>
      <c r="CO16" s="243"/>
      <c r="CP16" s="243"/>
      <c r="CQ16" s="243"/>
      <c r="CR16" s="243"/>
      <c r="CS16" s="65" t="s">
        <v>30</v>
      </c>
      <c r="CT16" s="250">
        <v>6</v>
      </c>
      <c r="CU16" s="351"/>
      <c r="CV16" s="351"/>
      <c r="CW16" s="351"/>
      <c r="CX16" s="351"/>
      <c r="CY16" s="351"/>
      <c r="CZ16" s="351"/>
      <c r="DA16" s="251">
        <v>6</v>
      </c>
      <c r="DB16"/>
      <c r="DC16"/>
      <c r="DD16"/>
      <c r="DE16"/>
      <c r="DF16"/>
      <c r="DG16"/>
      <c r="DH16"/>
      <c r="DI16"/>
      <c r="DJ16"/>
      <c r="DK16"/>
      <c r="DL16" s="337"/>
      <c r="DM16" s="337"/>
      <c r="DN16" s="337"/>
      <c r="DO16" s="337"/>
      <c r="DP16" s="65" t="s">
        <v>32</v>
      </c>
      <c r="DQ16" s="250">
        <v>13.5</v>
      </c>
      <c r="DR16" s="351"/>
      <c r="DS16" s="351"/>
      <c r="DT16" s="351"/>
      <c r="DU16" s="351"/>
      <c r="DV16" s="351"/>
      <c r="DW16" s="251">
        <v>13.5</v>
      </c>
      <c r="DX16"/>
      <c r="DY16"/>
      <c r="DZ16"/>
      <c r="EA16"/>
      <c r="EB16"/>
      <c r="EC16"/>
      <c r="ED16"/>
      <c r="EE16"/>
      <c r="EF16"/>
      <c r="EG16"/>
      <c r="EH16"/>
    </row>
    <row r="17" spans="1:138" ht="16.5">
      <c r="A17" s="49"/>
      <c r="B17" s="49"/>
      <c r="C17" s="65" t="s">
        <v>1352</v>
      </c>
      <c r="D17" s="250"/>
      <c r="E17" s="351"/>
      <c r="F17" s="351"/>
      <c r="G17" s="351"/>
      <c r="H17" s="351">
        <v>14</v>
      </c>
      <c r="I17" s="351">
        <v>5</v>
      </c>
      <c r="J17" s="351"/>
      <c r="K17" s="351"/>
      <c r="L17" s="351"/>
      <c r="M17" s="251">
        <v>19</v>
      </c>
      <c r="N17"/>
      <c r="O17"/>
      <c r="P17" s="243"/>
      <c r="Q17" s="243"/>
      <c r="R17"/>
      <c r="S17" s="49"/>
      <c r="T17" s="54" t="s">
        <v>1091</v>
      </c>
      <c r="U17" s="55"/>
      <c r="V17" s="101">
        <v>1</v>
      </c>
      <c r="W17" s="102"/>
      <c r="X17" s="102"/>
      <c r="Y17" s="102"/>
      <c r="Z17" s="102">
        <v>6</v>
      </c>
      <c r="AA17" s="102">
        <v>17.5</v>
      </c>
      <c r="AB17" s="102"/>
      <c r="AC17" s="102"/>
      <c r="AD17" s="102"/>
      <c r="AE17" s="103">
        <v>24.5</v>
      </c>
      <c r="AF17"/>
      <c r="AG17"/>
      <c r="AH17"/>
      <c r="AI17"/>
      <c r="AJ17"/>
      <c r="AK17" s="50" t="s">
        <v>1079</v>
      </c>
      <c r="AL17" s="51"/>
      <c r="AM17" s="51"/>
      <c r="AN17" s="98">
        <v>2</v>
      </c>
      <c r="AO17" s="99">
        <v>2</v>
      </c>
      <c r="AP17" s="99"/>
      <c r="AQ17" s="99"/>
      <c r="AR17" s="99"/>
      <c r="AS17" s="99"/>
      <c r="AT17" s="99"/>
      <c r="AU17" s="100">
        <v>4</v>
      </c>
      <c r="AV17"/>
      <c r="AW17"/>
      <c r="AX17"/>
      <c r="AY17"/>
      <c r="AZ17"/>
      <c r="BA17"/>
      <c r="BB17"/>
      <c r="BC17"/>
      <c r="BD17"/>
      <c r="BE17"/>
      <c r="BF17"/>
      <c r="BG17"/>
      <c r="BH17"/>
      <c r="BI17" s="243"/>
      <c r="BJ17" s="243"/>
      <c r="BK17" s="243"/>
      <c r="BL17" s="243"/>
      <c r="BM17" s="243"/>
      <c r="BN17" s="243"/>
      <c r="BO17" s="49"/>
      <c r="BP17" s="49"/>
      <c r="BQ17" s="65" t="s">
        <v>1543</v>
      </c>
      <c r="BR17" s="250">
        <v>8</v>
      </c>
      <c r="BS17" s="351"/>
      <c r="BT17" s="351"/>
      <c r="BU17" s="351"/>
      <c r="BV17" s="351"/>
      <c r="BW17" s="351"/>
      <c r="BX17" s="251">
        <v>8</v>
      </c>
      <c r="BY17"/>
      <c r="BZ17"/>
      <c r="CA17"/>
      <c r="CB17"/>
      <c r="CC17"/>
      <c r="CD17"/>
      <c r="CE17"/>
      <c r="CF17"/>
      <c r="CG17"/>
      <c r="CH17"/>
      <c r="CI17"/>
      <c r="CJ17" s="243"/>
      <c r="CK17" s="243"/>
      <c r="CL17" s="243"/>
      <c r="CM17" s="243"/>
      <c r="CN17" s="243"/>
      <c r="CO17" s="243"/>
      <c r="CP17" s="243"/>
      <c r="CQ17" s="243"/>
      <c r="CR17" s="243"/>
      <c r="CS17" s="65" t="s">
        <v>41</v>
      </c>
      <c r="CT17" s="250">
        <v>24</v>
      </c>
      <c r="CU17" s="351"/>
      <c r="CV17" s="351"/>
      <c r="CW17" s="351">
        <v>4</v>
      </c>
      <c r="CX17" s="351"/>
      <c r="CY17" s="351"/>
      <c r="CZ17" s="351"/>
      <c r="DA17" s="251">
        <v>28</v>
      </c>
      <c r="DB17"/>
      <c r="DC17"/>
      <c r="DD17"/>
      <c r="DE17"/>
      <c r="DF17"/>
      <c r="DG17"/>
      <c r="DH17"/>
      <c r="DI17"/>
      <c r="DJ17"/>
      <c r="DK17"/>
      <c r="DL17" s="337"/>
      <c r="DM17" s="337"/>
      <c r="DN17" s="337"/>
      <c r="DO17" s="337"/>
      <c r="DP17" s="65" t="s">
        <v>787</v>
      </c>
      <c r="DQ17" s="250">
        <v>1</v>
      </c>
      <c r="DR17" s="351"/>
      <c r="DS17" s="351"/>
      <c r="DT17" s="351"/>
      <c r="DU17" s="351"/>
      <c r="DV17" s="351"/>
      <c r="DW17" s="251">
        <v>1</v>
      </c>
      <c r="DX17"/>
      <c r="DY17"/>
      <c r="DZ17"/>
      <c r="EA17"/>
      <c r="EB17"/>
      <c r="EC17"/>
      <c r="ED17"/>
      <c r="EE17"/>
      <c r="EF17"/>
      <c r="EG17"/>
      <c r="EH17"/>
    </row>
    <row r="18" spans="1:138" ht="16.5">
      <c r="A18" s="49"/>
      <c r="B18" s="87" t="s">
        <v>1463</v>
      </c>
      <c r="C18" s="82"/>
      <c r="D18" s="98"/>
      <c r="E18" s="99"/>
      <c r="F18" s="99"/>
      <c r="G18" s="99"/>
      <c r="H18" s="99">
        <v>26</v>
      </c>
      <c r="I18" s="99">
        <v>5</v>
      </c>
      <c r="J18" s="99"/>
      <c r="K18" s="99"/>
      <c r="L18" s="99"/>
      <c r="M18" s="100">
        <v>31</v>
      </c>
      <c r="N18"/>
      <c r="O18"/>
      <c r="P18" s="243"/>
      <c r="Q18" s="243"/>
      <c r="R18"/>
      <c r="S18" s="49"/>
      <c r="T18" s="38" t="s">
        <v>779</v>
      </c>
      <c r="U18" s="38" t="s">
        <v>1351</v>
      </c>
      <c r="V18" s="96"/>
      <c r="W18" s="88"/>
      <c r="X18" s="88"/>
      <c r="Y18" s="88"/>
      <c r="Z18" s="88">
        <v>8</v>
      </c>
      <c r="AA18" s="88"/>
      <c r="AB18" s="88"/>
      <c r="AC18" s="88"/>
      <c r="AD18" s="88"/>
      <c r="AE18" s="97">
        <v>8</v>
      </c>
      <c r="AF18"/>
      <c r="AG18"/>
      <c r="AH18"/>
      <c r="AI18"/>
      <c r="AJ18"/>
      <c r="AK18" s="38" t="s">
        <v>41</v>
      </c>
      <c r="AL18" s="38" t="s">
        <v>1214</v>
      </c>
      <c r="AM18" s="38" t="s">
        <v>1456</v>
      </c>
      <c r="AN18" s="96"/>
      <c r="AO18" s="88"/>
      <c r="AP18" s="88"/>
      <c r="AQ18" s="88">
        <v>1</v>
      </c>
      <c r="AR18" s="88"/>
      <c r="AS18" s="88"/>
      <c r="AT18" s="88"/>
      <c r="AU18" s="97">
        <v>1</v>
      </c>
      <c r="AV18"/>
      <c r="AW18"/>
      <c r="AX18"/>
      <c r="AY18"/>
      <c r="AZ18"/>
      <c r="BA18"/>
      <c r="BB18"/>
      <c r="BC18"/>
      <c r="BD18"/>
      <c r="BE18"/>
      <c r="BF18"/>
      <c r="BG18"/>
      <c r="BH18"/>
      <c r="BI18" s="243"/>
      <c r="BJ18" s="243"/>
      <c r="BK18" s="243"/>
      <c r="BL18" s="243"/>
      <c r="BM18" s="243"/>
      <c r="BN18" s="243"/>
      <c r="BO18" s="50" t="s">
        <v>1087</v>
      </c>
      <c r="BP18" s="51"/>
      <c r="BQ18" s="51"/>
      <c r="BR18" s="98">
        <v>15</v>
      </c>
      <c r="BS18" s="99">
        <v>1</v>
      </c>
      <c r="BT18" s="99"/>
      <c r="BU18" s="99"/>
      <c r="BV18" s="99"/>
      <c r="BW18" s="99"/>
      <c r="BX18" s="100">
        <v>16</v>
      </c>
      <c r="BY18"/>
      <c r="BZ18"/>
      <c r="CA18"/>
      <c r="CB18"/>
      <c r="CC18"/>
      <c r="CD18"/>
      <c r="CE18"/>
      <c r="CF18"/>
      <c r="CG18"/>
      <c r="CH18"/>
      <c r="CI18"/>
      <c r="CJ18" s="243"/>
      <c r="CK18" s="243"/>
      <c r="CL18" s="243"/>
      <c r="CM18" s="243"/>
      <c r="CN18" s="243"/>
      <c r="CO18" s="243"/>
      <c r="CP18" s="243"/>
      <c r="CQ18" s="243"/>
      <c r="CR18" s="243"/>
      <c r="CS18" s="65" t="s">
        <v>57</v>
      </c>
      <c r="CT18" s="250">
        <v>13</v>
      </c>
      <c r="CU18" s="351"/>
      <c r="CV18" s="351"/>
      <c r="CW18" s="351"/>
      <c r="CX18" s="351"/>
      <c r="CY18" s="351"/>
      <c r="CZ18" s="351"/>
      <c r="DA18" s="251">
        <v>13</v>
      </c>
      <c r="DB18"/>
      <c r="DC18"/>
      <c r="DD18"/>
      <c r="DE18"/>
      <c r="DF18"/>
      <c r="DG18"/>
      <c r="DH18"/>
      <c r="DI18"/>
      <c r="DJ18"/>
      <c r="DK18"/>
      <c r="DL18" s="337"/>
      <c r="DM18" s="337"/>
      <c r="DN18" s="337"/>
      <c r="DO18" s="337"/>
      <c r="DP18" s="65" t="s">
        <v>51</v>
      </c>
      <c r="DQ18" s="250">
        <v>18.333333333333332</v>
      </c>
      <c r="DR18" s="351"/>
      <c r="DS18" s="351"/>
      <c r="DT18" s="351"/>
      <c r="DU18" s="351"/>
      <c r="DV18" s="351">
        <v>0.66666666666666663</v>
      </c>
      <c r="DW18" s="251">
        <v>19</v>
      </c>
      <c r="DX18"/>
      <c r="DY18"/>
      <c r="DZ18"/>
      <c r="EA18"/>
      <c r="EB18"/>
      <c r="EC18"/>
      <c r="ED18"/>
      <c r="EE18"/>
      <c r="EF18"/>
      <c r="EG18"/>
      <c r="EH18"/>
    </row>
    <row r="19" spans="1:138" ht="16.5">
      <c r="A19" s="49"/>
      <c r="B19" s="38" t="s">
        <v>1789</v>
      </c>
      <c r="C19" s="38" t="s">
        <v>1352</v>
      </c>
      <c r="D19" s="96"/>
      <c r="E19" s="88"/>
      <c r="F19" s="88"/>
      <c r="G19" s="88"/>
      <c r="H19" s="88">
        <v>4</v>
      </c>
      <c r="I19" s="88">
        <v>2</v>
      </c>
      <c r="J19" s="88"/>
      <c r="K19" s="88"/>
      <c r="L19" s="88"/>
      <c r="M19" s="97">
        <v>6</v>
      </c>
      <c r="N19"/>
      <c r="O19"/>
      <c r="P19" s="243"/>
      <c r="Q19" s="243"/>
      <c r="R19"/>
      <c r="S19" s="49"/>
      <c r="T19" s="49"/>
      <c r="U19" s="65" t="s">
        <v>1350</v>
      </c>
      <c r="V19" s="250"/>
      <c r="W19" s="351"/>
      <c r="X19" s="351"/>
      <c r="Y19" s="351"/>
      <c r="Z19" s="351">
        <v>3</v>
      </c>
      <c r="AA19" s="351"/>
      <c r="AB19" s="351"/>
      <c r="AC19" s="351"/>
      <c r="AD19" s="351"/>
      <c r="AE19" s="251">
        <v>3</v>
      </c>
      <c r="AF19"/>
      <c r="AG19"/>
      <c r="AH19"/>
      <c r="AI19"/>
      <c r="AJ19"/>
      <c r="AK19" s="49"/>
      <c r="AL19" s="49"/>
      <c r="AM19" s="65" t="s">
        <v>1548</v>
      </c>
      <c r="AN19" s="250"/>
      <c r="AO19" s="351"/>
      <c r="AP19" s="351"/>
      <c r="AQ19" s="351">
        <v>4</v>
      </c>
      <c r="AR19" s="351"/>
      <c r="AS19" s="351"/>
      <c r="AT19" s="351"/>
      <c r="AU19" s="251">
        <v>4</v>
      </c>
      <c r="AV19"/>
      <c r="AW19"/>
      <c r="AX19"/>
      <c r="AY19"/>
      <c r="AZ19"/>
      <c r="BA19"/>
      <c r="BB19"/>
      <c r="BC19"/>
      <c r="BD19"/>
      <c r="BE19"/>
      <c r="BF19"/>
      <c r="BG19"/>
      <c r="BH19"/>
      <c r="BI19" s="243"/>
      <c r="BJ19" s="243"/>
      <c r="BK19" s="243"/>
      <c r="BL19" s="243"/>
      <c r="BM19" s="243"/>
      <c r="BN19" s="243"/>
      <c r="BO19" s="38" t="s">
        <v>58</v>
      </c>
      <c r="BP19" s="38" t="s">
        <v>1214</v>
      </c>
      <c r="BQ19" s="38" t="s">
        <v>1547</v>
      </c>
      <c r="BR19" s="96">
        <v>2</v>
      </c>
      <c r="BS19" s="88"/>
      <c r="BT19" s="88"/>
      <c r="BU19" s="88"/>
      <c r="BV19" s="88"/>
      <c r="BW19" s="88"/>
      <c r="BX19" s="97">
        <v>2</v>
      </c>
      <c r="BY19"/>
      <c r="BZ19"/>
      <c r="CA19"/>
      <c r="CB19"/>
      <c r="CC19"/>
      <c r="CD19"/>
      <c r="CE19"/>
      <c r="CF19"/>
      <c r="CG19"/>
      <c r="CH19"/>
      <c r="CI19"/>
      <c r="CJ19" s="243"/>
      <c r="CK19" s="243"/>
      <c r="CL19" s="243"/>
      <c r="CM19" s="243"/>
      <c r="CN19" s="243"/>
      <c r="CO19" s="243"/>
      <c r="CP19" s="243"/>
      <c r="CQ19" s="243"/>
      <c r="CR19" s="243"/>
      <c r="CS19" s="65" t="s">
        <v>1477</v>
      </c>
      <c r="CT19" s="250"/>
      <c r="CU19" s="351"/>
      <c r="CV19" s="351"/>
      <c r="CW19" s="351"/>
      <c r="CX19" s="351">
        <v>5</v>
      </c>
      <c r="CY19" s="351"/>
      <c r="CZ19" s="351"/>
      <c r="DA19" s="251">
        <v>5</v>
      </c>
      <c r="DB19"/>
      <c r="DC19"/>
      <c r="DD19"/>
      <c r="DE19"/>
      <c r="DF19"/>
      <c r="DG19"/>
      <c r="DH19"/>
      <c r="DI19"/>
      <c r="DJ19"/>
      <c r="DK19"/>
      <c r="DL19" s="337"/>
      <c r="DM19" s="337"/>
      <c r="DN19" s="337"/>
      <c r="DO19" s="337"/>
      <c r="DP19" s="65" t="s">
        <v>52</v>
      </c>
      <c r="DQ19" s="250">
        <v>16</v>
      </c>
      <c r="DR19" s="351"/>
      <c r="DS19" s="351"/>
      <c r="DT19" s="351"/>
      <c r="DU19" s="351"/>
      <c r="DV19" s="351"/>
      <c r="DW19" s="251">
        <v>16</v>
      </c>
      <c r="DX19"/>
      <c r="DY19"/>
      <c r="DZ19"/>
      <c r="EA19"/>
      <c r="EB19"/>
      <c r="EC19"/>
      <c r="ED19"/>
      <c r="EE19"/>
      <c r="EF19"/>
      <c r="EG19"/>
      <c r="EH19"/>
    </row>
    <row r="20" spans="1:138" ht="16.5">
      <c r="A20" s="49"/>
      <c r="B20" s="50" t="s">
        <v>1825</v>
      </c>
      <c r="C20" s="51"/>
      <c r="D20" s="98"/>
      <c r="E20" s="99"/>
      <c r="F20" s="99"/>
      <c r="G20" s="99"/>
      <c r="H20" s="99">
        <v>4</v>
      </c>
      <c r="I20" s="99">
        <v>2</v>
      </c>
      <c r="J20" s="99"/>
      <c r="K20" s="99"/>
      <c r="L20" s="99"/>
      <c r="M20" s="100">
        <v>6</v>
      </c>
      <c r="N20"/>
      <c r="O20"/>
      <c r="P20" s="243"/>
      <c r="Q20" s="243"/>
      <c r="R20"/>
      <c r="S20" s="49"/>
      <c r="T20" s="54" t="s">
        <v>1092</v>
      </c>
      <c r="U20" s="55"/>
      <c r="V20" s="101"/>
      <c r="W20" s="102"/>
      <c r="X20" s="102"/>
      <c r="Y20" s="102"/>
      <c r="Z20" s="102">
        <v>11</v>
      </c>
      <c r="AA20" s="102"/>
      <c r="AB20" s="102"/>
      <c r="AC20" s="102"/>
      <c r="AD20" s="102"/>
      <c r="AE20" s="103">
        <v>11</v>
      </c>
      <c r="AF20"/>
      <c r="AG20"/>
      <c r="AH20"/>
      <c r="AI20"/>
      <c r="AJ20"/>
      <c r="AK20" s="50" t="s">
        <v>1454</v>
      </c>
      <c r="AL20" s="51"/>
      <c r="AM20" s="51"/>
      <c r="AN20" s="98"/>
      <c r="AO20" s="99"/>
      <c r="AP20" s="99"/>
      <c r="AQ20" s="99">
        <v>5</v>
      </c>
      <c r="AR20" s="99"/>
      <c r="AS20" s="99"/>
      <c r="AT20" s="99"/>
      <c r="AU20" s="100">
        <v>5</v>
      </c>
      <c r="AV20"/>
      <c r="AW20"/>
      <c r="AX20"/>
      <c r="AY20"/>
      <c r="AZ20"/>
      <c r="BA20"/>
      <c r="BB20"/>
      <c r="BC20"/>
      <c r="BD20"/>
      <c r="BE20"/>
      <c r="BF20"/>
      <c r="BG20"/>
      <c r="BH20"/>
      <c r="BI20" s="243"/>
      <c r="BJ20" s="243"/>
      <c r="BK20" s="243"/>
      <c r="BL20" s="243"/>
      <c r="BM20" s="243"/>
      <c r="BN20" s="243"/>
      <c r="BO20" s="50" t="s">
        <v>1079</v>
      </c>
      <c r="BP20" s="51"/>
      <c r="BQ20" s="51"/>
      <c r="BR20" s="98">
        <v>2</v>
      </c>
      <c r="BS20" s="99"/>
      <c r="BT20" s="99"/>
      <c r="BU20" s="99"/>
      <c r="BV20" s="99"/>
      <c r="BW20" s="99"/>
      <c r="BX20" s="100">
        <v>2</v>
      </c>
      <c r="BY20"/>
      <c r="BZ20"/>
      <c r="CA20"/>
      <c r="CB20"/>
      <c r="CC20"/>
      <c r="CD20"/>
      <c r="CE20"/>
      <c r="CF20"/>
      <c r="CG20"/>
      <c r="CH20"/>
      <c r="CI20"/>
      <c r="CJ20" s="243"/>
      <c r="CK20" s="243"/>
      <c r="CL20" s="243"/>
      <c r="CM20" s="243"/>
      <c r="CN20" s="243"/>
      <c r="CO20" s="243"/>
      <c r="CP20" s="243"/>
      <c r="CQ20" s="243"/>
      <c r="CR20" s="243"/>
      <c r="CS20" s="65" t="s">
        <v>32</v>
      </c>
      <c r="CT20" s="250">
        <v>170.5</v>
      </c>
      <c r="CU20" s="351">
        <v>2</v>
      </c>
      <c r="CV20" s="351"/>
      <c r="CW20" s="351"/>
      <c r="CX20" s="351"/>
      <c r="CY20" s="351">
        <v>1</v>
      </c>
      <c r="CZ20" s="351"/>
      <c r="DA20" s="251">
        <v>173.5</v>
      </c>
      <c r="DB20"/>
      <c r="DC20"/>
      <c r="DD20"/>
      <c r="DE20"/>
      <c r="DF20"/>
      <c r="DG20"/>
      <c r="DH20"/>
      <c r="DI20"/>
      <c r="DJ20"/>
      <c r="DK20"/>
      <c r="DL20" s="337"/>
      <c r="DM20" s="337"/>
      <c r="DN20" s="337"/>
      <c r="DO20" s="337"/>
      <c r="DP20" s="65" t="s">
        <v>1095</v>
      </c>
      <c r="DQ20" s="250">
        <v>3</v>
      </c>
      <c r="DR20" s="351"/>
      <c r="DS20" s="351"/>
      <c r="DT20" s="351"/>
      <c r="DU20" s="351"/>
      <c r="DV20" s="351"/>
      <c r="DW20" s="251">
        <v>3</v>
      </c>
      <c r="DX20"/>
      <c r="DY20"/>
      <c r="DZ20"/>
      <c r="EA20"/>
      <c r="EB20"/>
      <c r="EC20"/>
      <c r="ED20"/>
      <c r="EE20"/>
    </row>
    <row r="21" spans="1:138" ht="16.5">
      <c r="A21" s="49"/>
      <c r="B21" s="38" t="s">
        <v>1878</v>
      </c>
      <c r="C21" s="38" t="s">
        <v>1352</v>
      </c>
      <c r="D21" s="96"/>
      <c r="E21" s="88"/>
      <c r="F21" s="88"/>
      <c r="G21" s="88"/>
      <c r="H21" s="88">
        <v>1</v>
      </c>
      <c r="I21" s="88"/>
      <c r="J21" s="88"/>
      <c r="K21" s="88"/>
      <c r="L21" s="88"/>
      <c r="M21" s="97">
        <v>1</v>
      </c>
      <c r="N21"/>
      <c r="O21"/>
      <c r="P21" s="243"/>
      <c r="Q21" s="243"/>
      <c r="R21"/>
      <c r="S21" s="49"/>
      <c r="T21" s="38" t="s">
        <v>53</v>
      </c>
      <c r="U21" s="38" t="s">
        <v>1351</v>
      </c>
      <c r="V21" s="96"/>
      <c r="W21" s="88"/>
      <c r="X21" s="88">
        <v>3</v>
      </c>
      <c r="Y21" s="88"/>
      <c r="Z21" s="88"/>
      <c r="AA21" s="88"/>
      <c r="AB21" s="88"/>
      <c r="AC21" s="88"/>
      <c r="AD21" s="88"/>
      <c r="AE21" s="97">
        <v>3</v>
      </c>
      <c r="AF21"/>
      <c r="AG21"/>
      <c r="AH21"/>
      <c r="AI21"/>
      <c r="AJ21"/>
      <c r="AK21" s="38" t="s">
        <v>32</v>
      </c>
      <c r="AL21" s="38" t="s">
        <v>1214</v>
      </c>
      <c r="AM21" s="38" t="s">
        <v>1548</v>
      </c>
      <c r="AN21" s="96">
        <v>14</v>
      </c>
      <c r="AO21" s="88"/>
      <c r="AP21" s="88"/>
      <c r="AQ21" s="88"/>
      <c r="AR21" s="88"/>
      <c r="AS21" s="88">
        <v>1</v>
      </c>
      <c r="AT21" s="88"/>
      <c r="AU21" s="97">
        <v>15</v>
      </c>
      <c r="AV21"/>
      <c r="AW21"/>
      <c r="AX21"/>
      <c r="AY21"/>
      <c r="AZ21"/>
      <c r="BA21"/>
      <c r="BB21"/>
      <c r="BC21"/>
      <c r="BD21"/>
      <c r="BE21"/>
      <c r="BF21"/>
      <c r="BG21"/>
      <c r="BH21"/>
      <c r="BI21" s="243"/>
      <c r="BJ21" s="243"/>
      <c r="BK21" s="243"/>
      <c r="BL21" s="243"/>
      <c r="BM21" s="243"/>
      <c r="BN21" s="243"/>
      <c r="BO21" s="38" t="s">
        <v>30</v>
      </c>
      <c r="BP21" s="38" t="s">
        <v>1214</v>
      </c>
      <c r="BQ21" s="38" t="s">
        <v>1543</v>
      </c>
      <c r="BR21" s="96">
        <v>4</v>
      </c>
      <c r="BS21" s="88"/>
      <c r="BT21" s="88"/>
      <c r="BU21" s="88"/>
      <c r="BV21" s="88"/>
      <c r="BW21" s="88"/>
      <c r="BX21" s="97">
        <v>4</v>
      </c>
      <c r="BY21"/>
      <c r="BZ21"/>
      <c r="CA21"/>
      <c r="CB21"/>
      <c r="CC21"/>
      <c r="CD21"/>
      <c r="CE21"/>
      <c r="CF21"/>
      <c r="CG21"/>
      <c r="CH21"/>
      <c r="CI21"/>
      <c r="CJ21" s="243"/>
      <c r="CK21" s="243"/>
      <c r="CL21" s="243"/>
      <c r="CM21" s="243"/>
      <c r="CN21" s="243"/>
      <c r="CO21" s="243"/>
      <c r="CP21" s="243"/>
      <c r="CQ21" s="243"/>
      <c r="CR21" s="243"/>
      <c r="CS21" s="65" t="s">
        <v>787</v>
      </c>
      <c r="CT21" s="250">
        <v>5</v>
      </c>
      <c r="CU21" s="351"/>
      <c r="CV21" s="351"/>
      <c r="CW21" s="351"/>
      <c r="CX21" s="351"/>
      <c r="CY21" s="351"/>
      <c r="CZ21" s="351"/>
      <c r="DA21" s="251">
        <v>5</v>
      </c>
      <c r="DB21"/>
      <c r="DC21"/>
      <c r="DD21"/>
      <c r="DE21"/>
      <c r="DF21"/>
      <c r="DG21"/>
      <c r="DH21"/>
      <c r="DI21"/>
      <c r="DJ21"/>
      <c r="DK21"/>
      <c r="DL21" s="337"/>
      <c r="DM21" s="337"/>
      <c r="DN21" s="337"/>
      <c r="DO21" s="337"/>
      <c r="DP21" s="65" t="s">
        <v>1557</v>
      </c>
      <c r="DQ21" s="250"/>
      <c r="DR21" s="351">
        <v>6</v>
      </c>
      <c r="DS21" s="351"/>
      <c r="DT21" s="351"/>
      <c r="DU21" s="351"/>
      <c r="DV21" s="351"/>
      <c r="DW21" s="251">
        <v>6</v>
      </c>
      <c r="DX21"/>
      <c r="DY21"/>
      <c r="DZ21"/>
      <c r="EA21"/>
      <c r="EB21"/>
      <c r="EC21"/>
      <c r="ED21"/>
      <c r="EE21"/>
    </row>
    <row r="22" spans="1:138" ht="16.5">
      <c r="A22" s="49"/>
      <c r="B22" s="50" t="s">
        <v>1917</v>
      </c>
      <c r="C22" s="51"/>
      <c r="D22" s="98"/>
      <c r="E22" s="99"/>
      <c r="F22" s="99"/>
      <c r="G22" s="99"/>
      <c r="H22" s="99">
        <v>1</v>
      </c>
      <c r="I22" s="99"/>
      <c r="J22" s="99"/>
      <c r="K22" s="99"/>
      <c r="L22" s="99"/>
      <c r="M22" s="100">
        <v>1</v>
      </c>
      <c r="N22"/>
      <c r="O22"/>
      <c r="P22" s="243"/>
      <c r="Q22" s="243"/>
      <c r="R22"/>
      <c r="S22" s="49"/>
      <c r="T22" s="49"/>
      <c r="U22" s="65" t="s">
        <v>1350</v>
      </c>
      <c r="V22" s="250"/>
      <c r="W22" s="351"/>
      <c r="X22" s="351"/>
      <c r="Y22" s="351"/>
      <c r="Z22" s="351"/>
      <c r="AA22" s="351"/>
      <c r="AB22" s="351">
        <v>1</v>
      </c>
      <c r="AC22" s="351"/>
      <c r="AD22" s="351"/>
      <c r="AE22" s="251">
        <v>1</v>
      </c>
      <c r="AF22"/>
      <c r="AG22"/>
      <c r="AH22"/>
      <c r="AI22"/>
      <c r="AJ22"/>
      <c r="AK22" s="50" t="s">
        <v>1086</v>
      </c>
      <c r="AL22" s="51"/>
      <c r="AM22" s="51"/>
      <c r="AN22" s="98">
        <v>14</v>
      </c>
      <c r="AO22" s="99"/>
      <c r="AP22" s="99"/>
      <c r="AQ22" s="99"/>
      <c r="AR22" s="99"/>
      <c r="AS22" s="99">
        <v>1</v>
      </c>
      <c r="AT22" s="99"/>
      <c r="AU22" s="100">
        <v>15</v>
      </c>
      <c r="AV22"/>
      <c r="AW22"/>
      <c r="AX22"/>
      <c r="AY22"/>
      <c r="AZ22"/>
      <c r="BA22"/>
      <c r="BB22"/>
      <c r="BC22"/>
      <c r="BD22"/>
      <c r="BE22"/>
      <c r="BF22"/>
      <c r="BG22"/>
      <c r="BH22"/>
      <c r="BI22" s="243"/>
      <c r="BJ22" s="243"/>
      <c r="BK22" s="243"/>
      <c r="BL22" s="243"/>
      <c r="BM22" s="243"/>
      <c r="BN22" s="243"/>
      <c r="BO22" s="50" t="s">
        <v>1907</v>
      </c>
      <c r="BP22" s="51"/>
      <c r="BQ22" s="51"/>
      <c r="BR22" s="98">
        <v>4</v>
      </c>
      <c r="BS22" s="99"/>
      <c r="BT22" s="99"/>
      <c r="BU22" s="99"/>
      <c r="BV22" s="99"/>
      <c r="BW22" s="99"/>
      <c r="BX22" s="100">
        <v>4</v>
      </c>
      <c r="BY22"/>
      <c r="BZ22"/>
      <c r="CA22"/>
      <c r="CB22"/>
      <c r="CC22"/>
      <c r="CD22"/>
      <c r="CE22"/>
      <c r="CF22"/>
      <c r="CG22"/>
      <c r="CH22"/>
      <c r="CI22"/>
      <c r="CJ22" s="243"/>
      <c r="CK22" s="243"/>
      <c r="CL22" s="243"/>
      <c r="CM22" s="243"/>
      <c r="CN22" s="243"/>
      <c r="CO22" s="243"/>
      <c r="CP22" s="243"/>
      <c r="CQ22" s="243"/>
      <c r="CR22" s="243"/>
      <c r="CS22" s="65" t="s">
        <v>51</v>
      </c>
      <c r="CT22" s="250">
        <v>5</v>
      </c>
      <c r="CU22" s="351"/>
      <c r="CV22" s="351"/>
      <c r="CW22" s="351"/>
      <c r="CX22" s="351"/>
      <c r="CY22" s="351"/>
      <c r="CZ22" s="351"/>
      <c r="DA22" s="251">
        <v>5</v>
      </c>
      <c r="DB22"/>
      <c r="DC22"/>
      <c r="DD22"/>
      <c r="DE22"/>
      <c r="DF22"/>
      <c r="DG22"/>
      <c r="DH22"/>
      <c r="DI22"/>
      <c r="DJ22"/>
      <c r="DK22"/>
      <c r="DL22" s="337"/>
      <c r="DM22" s="337"/>
      <c r="DN22" s="337"/>
      <c r="DO22" s="337"/>
      <c r="DP22" s="65" t="s">
        <v>1677</v>
      </c>
      <c r="DQ22" s="250">
        <v>13.333333333333334</v>
      </c>
      <c r="DR22" s="351"/>
      <c r="DS22" s="351"/>
      <c r="DT22" s="351"/>
      <c r="DU22" s="351"/>
      <c r="DV22" s="351">
        <v>2.6666666666666665</v>
      </c>
      <c r="DW22" s="251">
        <v>16</v>
      </c>
      <c r="DX22"/>
      <c r="DY22"/>
      <c r="DZ22"/>
      <c r="EA22"/>
      <c r="EB22"/>
      <c r="EC22"/>
      <c r="ED22"/>
      <c r="EE22"/>
    </row>
    <row r="23" spans="1:138" ht="16.5">
      <c r="A23" s="49"/>
      <c r="B23" s="38" t="s">
        <v>1946</v>
      </c>
      <c r="C23" s="38" t="s">
        <v>1352</v>
      </c>
      <c r="D23" s="96"/>
      <c r="E23" s="88"/>
      <c r="F23" s="88"/>
      <c r="G23" s="88"/>
      <c r="H23" s="88"/>
      <c r="I23" s="88">
        <v>5</v>
      </c>
      <c r="J23" s="88"/>
      <c r="K23" s="88"/>
      <c r="L23" s="88"/>
      <c r="M23" s="97">
        <v>5</v>
      </c>
      <c r="N23"/>
      <c r="O23"/>
      <c r="P23" s="243"/>
      <c r="Q23" s="243"/>
      <c r="R23"/>
      <c r="S23" s="49"/>
      <c r="T23" s="49"/>
      <c r="U23" s="65" t="s">
        <v>1352</v>
      </c>
      <c r="V23" s="250"/>
      <c r="W23" s="351"/>
      <c r="X23" s="351"/>
      <c r="Y23" s="351"/>
      <c r="Z23" s="351"/>
      <c r="AA23" s="351">
        <v>1.5</v>
      </c>
      <c r="AB23" s="351"/>
      <c r="AC23" s="351"/>
      <c r="AD23" s="351"/>
      <c r="AE23" s="251">
        <v>1.5</v>
      </c>
      <c r="AF23"/>
      <c r="AG23"/>
      <c r="AH23"/>
      <c r="AI23"/>
      <c r="AJ23"/>
      <c r="AK23" s="38" t="s">
        <v>51</v>
      </c>
      <c r="AL23" s="38" t="s">
        <v>1214</v>
      </c>
      <c r="AM23" s="38" t="s">
        <v>1548</v>
      </c>
      <c r="AN23" s="96">
        <v>3</v>
      </c>
      <c r="AO23" s="88"/>
      <c r="AP23" s="88"/>
      <c r="AQ23" s="88"/>
      <c r="AR23" s="88"/>
      <c r="AS23" s="88"/>
      <c r="AT23" s="88"/>
      <c r="AU23" s="97">
        <v>3</v>
      </c>
      <c r="AV23"/>
      <c r="AW23"/>
      <c r="AX23"/>
      <c r="AY23"/>
      <c r="AZ23"/>
      <c r="BA23"/>
      <c r="BB23"/>
      <c r="BC23"/>
      <c r="BD23"/>
      <c r="BE23"/>
      <c r="BF23"/>
      <c r="BG23"/>
      <c r="BH23"/>
      <c r="BI23" s="243"/>
      <c r="BJ23" s="243"/>
      <c r="BK23" s="243"/>
      <c r="BL23" s="243"/>
      <c r="BM23" s="243"/>
      <c r="BN23" s="243"/>
      <c r="BO23" s="38" t="s">
        <v>41</v>
      </c>
      <c r="BP23" s="38" t="s">
        <v>1370</v>
      </c>
      <c r="BQ23" s="38" t="s">
        <v>1546</v>
      </c>
      <c r="BR23" s="96">
        <v>3</v>
      </c>
      <c r="BS23" s="88"/>
      <c r="BT23" s="88"/>
      <c r="BU23" s="88"/>
      <c r="BV23" s="88"/>
      <c r="BW23" s="88"/>
      <c r="BX23" s="97">
        <v>3</v>
      </c>
      <c r="BY23"/>
      <c r="BZ23"/>
      <c r="CA23"/>
      <c r="CB23"/>
      <c r="CC23"/>
      <c r="CD23"/>
      <c r="CE23"/>
      <c r="CF23"/>
      <c r="CG23"/>
      <c r="CH23"/>
      <c r="CI23"/>
      <c r="CJ23" s="243"/>
      <c r="CK23" s="243"/>
      <c r="CL23" s="243"/>
      <c r="CM23" s="243"/>
      <c r="CN23" s="243"/>
      <c r="CO23" s="243"/>
      <c r="CP23" s="243"/>
      <c r="CQ23" s="243"/>
      <c r="CR23" s="243"/>
      <c r="CS23" s="65" t="s">
        <v>52</v>
      </c>
      <c r="CT23" s="250">
        <v>3</v>
      </c>
      <c r="CU23" s="351"/>
      <c r="CV23" s="351"/>
      <c r="CW23" s="351"/>
      <c r="CX23" s="351"/>
      <c r="CY23" s="351"/>
      <c r="CZ23" s="351"/>
      <c r="DA23" s="251">
        <v>3</v>
      </c>
      <c r="DB23"/>
      <c r="DC23"/>
      <c r="DD23"/>
      <c r="DE23"/>
      <c r="DF23"/>
      <c r="DG23"/>
      <c r="DH23"/>
      <c r="DI23"/>
      <c r="DJ23"/>
      <c r="DK23"/>
      <c r="DL23" s="337"/>
      <c r="DM23" s="337"/>
      <c r="DN23" s="337"/>
      <c r="DO23" s="337"/>
      <c r="DP23" s="65" t="s">
        <v>47</v>
      </c>
      <c r="DQ23" s="250">
        <v>65</v>
      </c>
      <c r="DR23" s="351">
        <v>1</v>
      </c>
      <c r="DS23" s="351">
        <v>1</v>
      </c>
      <c r="DT23" s="351"/>
      <c r="DU23" s="351"/>
      <c r="DV23" s="351">
        <v>4</v>
      </c>
      <c r="DW23" s="251">
        <v>71</v>
      </c>
      <c r="DX23"/>
      <c r="DY23"/>
      <c r="DZ23"/>
      <c r="EA23"/>
      <c r="EB23"/>
      <c r="EC23"/>
      <c r="ED23"/>
      <c r="EE23"/>
    </row>
    <row r="24" spans="1:138" ht="16.5">
      <c r="A24" s="49"/>
      <c r="B24" s="50" t="s">
        <v>1957</v>
      </c>
      <c r="C24" s="51"/>
      <c r="D24" s="98"/>
      <c r="E24" s="99"/>
      <c r="F24" s="99"/>
      <c r="G24" s="99"/>
      <c r="H24" s="99"/>
      <c r="I24" s="99">
        <v>5</v>
      </c>
      <c r="J24" s="99"/>
      <c r="K24" s="99"/>
      <c r="L24" s="99"/>
      <c r="M24" s="100">
        <v>5</v>
      </c>
      <c r="N24"/>
      <c r="O24"/>
      <c r="P24" s="243"/>
      <c r="Q24" s="243"/>
      <c r="R24"/>
      <c r="S24" s="49"/>
      <c r="T24" s="54" t="s">
        <v>1097</v>
      </c>
      <c r="U24" s="55"/>
      <c r="V24" s="101"/>
      <c r="W24" s="102"/>
      <c r="X24" s="102">
        <v>3</v>
      </c>
      <c r="Y24" s="102"/>
      <c r="Z24" s="102"/>
      <c r="AA24" s="102">
        <v>1.5</v>
      </c>
      <c r="AB24" s="102">
        <v>1</v>
      </c>
      <c r="AC24" s="102"/>
      <c r="AD24" s="102"/>
      <c r="AE24" s="103">
        <v>5.5</v>
      </c>
      <c r="AF24"/>
      <c r="AG24"/>
      <c r="AH24"/>
      <c r="AI24"/>
      <c r="AJ24"/>
      <c r="AK24" s="49"/>
      <c r="AL24" s="49"/>
      <c r="AM24" s="65" t="s">
        <v>1547</v>
      </c>
      <c r="AN24" s="250">
        <v>10</v>
      </c>
      <c r="AO24" s="351"/>
      <c r="AP24" s="351"/>
      <c r="AQ24" s="351"/>
      <c r="AR24" s="351"/>
      <c r="AS24" s="351"/>
      <c r="AT24" s="351"/>
      <c r="AU24" s="251">
        <v>10</v>
      </c>
      <c r="AV24"/>
      <c r="AW24"/>
      <c r="AX24"/>
      <c r="AY24"/>
      <c r="AZ24"/>
      <c r="BA24"/>
      <c r="BB24"/>
      <c r="BC24"/>
      <c r="BD24"/>
      <c r="BE24"/>
      <c r="BF24"/>
      <c r="BG24"/>
      <c r="BH24"/>
      <c r="BI24" s="243"/>
      <c r="BJ24" s="243"/>
      <c r="BK24" s="243"/>
      <c r="BL24" s="243"/>
      <c r="BM24" s="243"/>
      <c r="BN24" s="243"/>
      <c r="BO24" s="49"/>
      <c r="BP24" s="49"/>
      <c r="BQ24" s="65" t="s">
        <v>1543</v>
      </c>
      <c r="BR24" s="250">
        <v>13</v>
      </c>
      <c r="BS24" s="351"/>
      <c r="BT24" s="351"/>
      <c r="BU24" s="351"/>
      <c r="BV24" s="351"/>
      <c r="BW24" s="351"/>
      <c r="BX24" s="251">
        <v>13</v>
      </c>
      <c r="BY24"/>
      <c r="BZ24"/>
      <c r="CA24"/>
      <c r="CB24"/>
      <c r="CC24"/>
      <c r="CD24"/>
      <c r="CE24"/>
      <c r="CF24"/>
      <c r="CG24"/>
      <c r="CH24"/>
      <c r="CI24"/>
      <c r="CJ24" s="243"/>
      <c r="CK24" s="243"/>
      <c r="CL24" s="243"/>
      <c r="CM24" s="243"/>
      <c r="CN24" s="243"/>
      <c r="CO24" s="243"/>
      <c r="CP24" s="243"/>
      <c r="CQ24" s="243"/>
      <c r="CR24" s="243"/>
      <c r="CS24" s="65" t="s">
        <v>1557</v>
      </c>
      <c r="CT24" s="250"/>
      <c r="CU24" s="351">
        <v>6</v>
      </c>
      <c r="CV24" s="351"/>
      <c r="CW24" s="351"/>
      <c r="CX24" s="351"/>
      <c r="CY24" s="351"/>
      <c r="CZ24" s="351"/>
      <c r="DA24" s="251">
        <v>6</v>
      </c>
      <c r="DB24"/>
      <c r="DC24"/>
      <c r="DD24"/>
      <c r="DE24"/>
      <c r="DF24"/>
      <c r="DG24"/>
      <c r="DH24"/>
      <c r="DI24"/>
      <c r="DJ24"/>
      <c r="DK24"/>
      <c r="DL24" s="337"/>
      <c r="DM24" s="337"/>
      <c r="DN24" s="337"/>
      <c r="DO24" s="337"/>
      <c r="DP24" s="65" t="s">
        <v>46</v>
      </c>
      <c r="DQ24" s="250">
        <v>12</v>
      </c>
      <c r="DR24" s="351"/>
      <c r="DS24" s="351"/>
      <c r="DT24" s="351"/>
      <c r="DU24" s="351"/>
      <c r="DV24" s="351"/>
      <c r="DW24" s="251">
        <v>12</v>
      </c>
      <c r="DX24"/>
      <c r="DY24"/>
      <c r="DZ24"/>
      <c r="EA24"/>
      <c r="EB24"/>
      <c r="EC24"/>
      <c r="ED24"/>
      <c r="EE24"/>
    </row>
    <row r="25" spans="1:138" ht="16.5">
      <c r="A25" s="49"/>
      <c r="B25" s="38" t="s">
        <v>1976</v>
      </c>
      <c r="C25" s="38" t="s">
        <v>1352</v>
      </c>
      <c r="D25" s="96"/>
      <c r="E25" s="88"/>
      <c r="F25" s="88"/>
      <c r="G25" s="88"/>
      <c r="H25" s="88"/>
      <c r="I25" s="88">
        <v>1</v>
      </c>
      <c r="J25" s="88"/>
      <c r="K25" s="88"/>
      <c r="L25" s="88"/>
      <c r="M25" s="97">
        <v>1</v>
      </c>
      <c r="N25"/>
      <c r="O25"/>
      <c r="P25" s="243"/>
      <c r="Q25" s="243"/>
      <c r="R25"/>
      <c r="S25" s="49"/>
      <c r="T25" s="38" t="s">
        <v>46</v>
      </c>
      <c r="U25" s="38" t="s">
        <v>1350</v>
      </c>
      <c r="V25" s="96"/>
      <c r="W25" s="88"/>
      <c r="X25" s="88"/>
      <c r="Y25" s="88"/>
      <c r="Z25" s="88">
        <v>6</v>
      </c>
      <c r="AA25" s="88"/>
      <c r="AB25" s="88"/>
      <c r="AC25" s="88"/>
      <c r="AD25" s="88"/>
      <c r="AE25" s="97">
        <v>6</v>
      </c>
      <c r="AF25"/>
      <c r="AG25"/>
      <c r="AH25"/>
      <c r="AI25"/>
      <c r="AJ25"/>
      <c r="AK25" s="50" t="s">
        <v>1088</v>
      </c>
      <c r="AL25" s="51"/>
      <c r="AM25" s="51"/>
      <c r="AN25" s="98">
        <v>13</v>
      </c>
      <c r="AO25" s="99"/>
      <c r="AP25" s="99"/>
      <c r="AQ25" s="99"/>
      <c r="AR25" s="99"/>
      <c r="AS25" s="99"/>
      <c r="AT25" s="99"/>
      <c r="AU25" s="100">
        <v>13</v>
      </c>
      <c r="AV25"/>
      <c r="AW25"/>
      <c r="AX25"/>
      <c r="AY25"/>
      <c r="AZ25"/>
      <c r="BA25"/>
      <c r="BB25"/>
      <c r="BC25"/>
      <c r="BD25"/>
      <c r="BE25"/>
      <c r="BF25"/>
      <c r="BG25"/>
      <c r="BH25"/>
      <c r="BI25" s="243"/>
      <c r="BJ25" s="243"/>
      <c r="BK25" s="243"/>
      <c r="BL25" s="243"/>
      <c r="BM25" s="243"/>
      <c r="BN25" s="243"/>
      <c r="BO25" s="49"/>
      <c r="BP25" s="38" t="s">
        <v>1214</v>
      </c>
      <c r="BQ25" s="38" t="s">
        <v>1548</v>
      </c>
      <c r="BR25" s="96"/>
      <c r="BS25" s="88"/>
      <c r="BT25" s="88"/>
      <c r="BU25" s="88">
        <v>1</v>
      </c>
      <c r="BV25" s="88"/>
      <c r="BW25" s="88"/>
      <c r="BX25" s="97">
        <v>1</v>
      </c>
      <c r="BY25"/>
      <c r="BZ25"/>
      <c r="CA25"/>
      <c r="CB25"/>
      <c r="CC25"/>
      <c r="CD25"/>
      <c r="CE25"/>
      <c r="CF25"/>
      <c r="CG25"/>
      <c r="CH25"/>
      <c r="CI25"/>
      <c r="CJ25" s="243"/>
      <c r="CK25" s="243"/>
      <c r="CL25" s="243"/>
      <c r="CM25" s="243"/>
      <c r="CN25" s="243"/>
      <c r="CO25" s="243"/>
      <c r="CP25" s="243"/>
      <c r="CQ25" s="243"/>
      <c r="CR25" s="243"/>
      <c r="CS25" s="65" t="s">
        <v>2006</v>
      </c>
      <c r="CT25" s="250">
        <v>3.5</v>
      </c>
      <c r="CU25" s="351"/>
      <c r="CV25" s="351">
        <v>9.5</v>
      </c>
      <c r="CW25" s="351">
        <v>5</v>
      </c>
      <c r="CX25" s="351"/>
      <c r="CY25" s="351"/>
      <c r="CZ25" s="351"/>
      <c r="DA25" s="251">
        <v>18</v>
      </c>
      <c r="DB25"/>
      <c r="DC25"/>
      <c r="DD25"/>
      <c r="DE25"/>
      <c r="DF25"/>
      <c r="DG25"/>
      <c r="DH25"/>
      <c r="DI25"/>
      <c r="DJ25"/>
      <c r="DK25"/>
      <c r="DL25" s="243"/>
      <c r="DM25" s="243"/>
      <c r="DN25" s="243"/>
      <c r="DO25" s="243"/>
      <c r="DP25" s="65" t="s">
        <v>1218</v>
      </c>
      <c r="DQ25" s="250"/>
      <c r="DR25" s="351"/>
      <c r="DS25" s="351"/>
      <c r="DT25" s="351"/>
      <c r="DU25" s="351"/>
      <c r="DV25" s="351">
        <v>0.5</v>
      </c>
      <c r="DW25" s="251">
        <v>0.5</v>
      </c>
      <c r="DX25"/>
      <c r="DY25"/>
      <c r="DZ25"/>
      <c r="EA25"/>
      <c r="EB25"/>
      <c r="EC25"/>
      <c r="ED25"/>
      <c r="EE25"/>
    </row>
    <row r="26" spans="1:138" ht="16.5">
      <c r="A26" s="49"/>
      <c r="B26" s="50" t="s">
        <v>2030</v>
      </c>
      <c r="C26" s="51"/>
      <c r="D26" s="98"/>
      <c r="E26" s="99"/>
      <c r="F26" s="99"/>
      <c r="G26" s="99"/>
      <c r="H26" s="99"/>
      <c r="I26" s="99">
        <v>1</v>
      </c>
      <c r="J26" s="99"/>
      <c r="K26" s="99"/>
      <c r="L26" s="99"/>
      <c r="M26" s="100">
        <v>1</v>
      </c>
      <c r="N26"/>
      <c r="O26"/>
      <c r="P26" s="243"/>
      <c r="Q26" s="243"/>
      <c r="R26"/>
      <c r="S26" s="49"/>
      <c r="T26" s="49"/>
      <c r="U26" s="65" t="s">
        <v>1352</v>
      </c>
      <c r="V26" s="250"/>
      <c r="W26" s="351"/>
      <c r="X26" s="351"/>
      <c r="Y26" s="351"/>
      <c r="Z26" s="351"/>
      <c r="AA26" s="351">
        <v>3</v>
      </c>
      <c r="AB26" s="351"/>
      <c r="AC26" s="351"/>
      <c r="AD26" s="351"/>
      <c r="AE26" s="251">
        <v>3</v>
      </c>
      <c r="AF26"/>
      <c r="AG26"/>
      <c r="AH26"/>
      <c r="AI26"/>
      <c r="AJ26"/>
      <c r="AK26" s="38" t="s">
        <v>52</v>
      </c>
      <c r="AL26" s="38" t="s">
        <v>1214</v>
      </c>
      <c r="AM26" s="38" t="s">
        <v>1547</v>
      </c>
      <c r="AN26" s="96">
        <v>7</v>
      </c>
      <c r="AO26" s="88"/>
      <c r="AP26" s="88"/>
      <c r="AQ26" s="88"/>
      <c r="AR26" s="88"/>
      <c r="AS26" s="88"/>
      <c r="AT26" s="88"/>
      <c r="AU26" s="97">
        <v>7</v>
      </c>
      <c r="AV26"/>
      <c r="AW26"/>
      <c r="AX26"/>
      <c r="AY26"/>
      <c r="AZ26"/>
      <c r="BA26"/>
      <c r="BB26"/>
      <c r="BC26"/>
      <c r="BD26"/>
      <c r="BE26"/>
      <c r="BF26"/>
      <c r="BG26"/>
      <c r="BH26"/>
      <c r="BI26" s="243"/>
      <c r="BJ26" s="243"/>
      <c r="BK26" s="243"/>
      <c r="BL26" s="243"/>
      <c r="BM26" s="243"/>
      <c r="BN26" s="243"/>
      <c r="BO26" s="49"/>
      <c r="BP26" s="49"/>
      <c r="BQ26" s="65" t="s">
        <v>1546</v>
      </c>
      <c r="BR26" s="250">
        <v>4</v>
      </c>
      <c r="BS26" s="351"/>
      <c r="BT26" s="351"/>
      <c r="BU26" s="351"/>
      <c r="BV26" s="351"/>
      <c r="BW26" s="351"/>
      <c r="BX26" s="251">
        <v>4</v>
      </c>
      <c r="BY26"/>
      <c r="BZ26"/>
      <c r="CA26"/>
      <c r="CB26"/>
      <c r="CC26"/>
      <c r="CD26"/>
      <c r="CE26"/>
      <c r="CF26"/>
      <c r="CG26"/>
      <c r="CH26"/>
      <c r="CI26"/>
      <c r="CJ26" s="243"/>
      <c r="CK26" s="243"/>
      <c r="CL26" s="243"/>
      <c r="CM26" s="243"/>
      <c r="CN26" s="243"/>
      <c r="CO26" s="243"/>
      <c r="CP26" s="243"/>
      <c r="CQ26" s="243"/>
      <c r="CR26" s="243"/>
      <c r="CS26" s="65" t="s">
        <v>1096</v>
      </c>
      <c r="CT26" s="250">
        <v>15</v>
      </c>
      <c r="CU26" s="351"/>
      <c r="CV26" s="351"/>
      <c r="CW26" s="351"/>
      <c r="CX26" s="351"/>
      <c r="CY26" s="351"/>
      <c r="CZ26" s="351"/>
      <c r="DA26" s="251">
        <v>15</v>
      </c>
      <c r="DB26"/>
      <c r="DC26"/>
      <c r="DD26"/>
      <c r="DE26"/>
      <c r="DF26"/>
      <c r="DG26"/>
      <c r="DH26"/>
      <c r="DI26"/>
      <c r="DJ26"/>
      <c r="DK26"/>
      <c r="DL26" s="243"/>
      <c r="DM26" s="243"/>
      <c r="DN26" s="243"/>
      <c r="DO26" s="243"/>
      <c r="DP26" s="86" t="s">
        <v>4</v>
      </c>
      <c r="DQ26" s="104">
        <v>222.16666666666666</v>
      </c>
      <c r="DR26" s="105">
        <v>8</v>
      </c>
      <c r="DS26" s="105">
        <v>1</v>
      </c>
      <c r="DT26" s="105">
        <v>1</v>
      </c>
      <c r="DU26" s="105">
        <v>5</v>
      </c>
      <c r="DV26" s="105">
        <v>7.833333333333333</v>
      </c>
      <c r="DW26" s="106">
        <v>245</v>
      </c>
      <c r="DX26"/>
      <c r="DY26"/>
      <c r="DZ26"/>
      <c r="EA26"/>
      <c r="EB26"/>
      <c r="EC26"/>
      <c r="ED26"/>
      <c r="EE26"/>
    </row>
    <row r="27" spans="1:138" ht="16.5">
      <c r="A27" s="79" t="s">
        <v>1454</v>
      </c>
      <c r="B27" s="83"/>
      <c r="C27" s="83"/>
      <c r="D27" s="101"/>
      <c r="E27" s="102"/>
      <c r="F27" s="102">
        <v>5</v>
      </c>
      <c r="G27" s="102"/>
      <c r="H27" s="102">
        <v>53</v>
      </c>
      <c r="I27" s="102">
        <v>15</v>
      </c>
      <c r="J27" s="102"/>
      <c r="K27" s="102"/>
      <c r="L27" s="102"/>
      <c r="M27" s="103">
        <v>73</v>
      </c>
      <c r="N27"/>
      <c r="O27"/>
      <c r="P27" s="243"/>
      <c r="Q27" s="243"/>
      <c r="R27"/>
      <c r="S27" s="49"/>
      <c r="T27" s="54" t="s">
        <v>1541</v>
      </c>
      <c r="U27" s="55"/>
      <c r="V27" s="101"/>
      <c r="W27" s="102"/>
      <c r="X27" s="102"/>
      <c r="Y27" s="102"/>
      <c r="Z27" s="102">
        <v>6</v>
      </c>
      <c r="AA27" s="102">
        <v>3</v>
      </c>
      <c r="AB27" s="102"/>
      <c r="AC27" s="102"/>
      <c r="AD27" s="102"/>
      <c r="AE27" s="103">
        <v>9</v>
      </c>
      <c r="AF27"/>
      <c r="AG27"/>
      <c r="AH27"/>
      <c r="AI27"/>
      <c r="AJ27"/>
      <c r="AK27" s="50" t="s">
        <v>1117</v>
      </c>
      <c r="AL27" s="51"/>
      <c r="AM27" s="51"/>
      <c r="AN27" s="98">
        <v>7</v>
      </c>
      <c r="AO27" s="99"/>
      <c r="AP27" s="99"/>
      <c r="AQ27" s="99"/>
      <c r="AR27" s="99"/>
      <c r="AS27" s="99"/>
      <c r="AT27" s="99"/>
      <c r="AU27" s="100">
        <v>7</v>
      </c>
      <c r="AV27"/>
      <c r="AW27"/>
      <c r="AX27"/>
      <c r="AY27"/>
      <c r="AZ27"/>
      <c r="BA27"/>
      <c r="BB27"/>
      <c r="BC27"/>
      <c r="BD27"/>
      <c r="BE27"/>
      <c r="BF27"/>
      <c r="BG27"/>
      <c r="BH27"/>
      <c r="BI27" s="243"/>
      <c r="BJ27" s="243"/>
      <c r="BK27" s="243"/>
      <c r="BL27" s="243"/>
      <c r="BM27" s="243"/>
      <c r="BN27" s="243"/>
      <c r="BO27" s="49"/>
      <c r="BP27" s="49"/>
      <c r="BQ27" s="65" t="s">
        <v>1545</v>
      </c>
      <c r="BR27" s="250">
        <v>3</v>
      </c>
      <c r="BS27" s="351"/>
      <c r="BT27" s="351"/>
      <c r="BU27" s="351"/>
      <c r="BV27" s="351"/>
      <c r="BW27" s="351"/>
      <c r="BX27" s="251">
        <v>3</v>
      </c>
      <c r="BY27"/>
      <c r="BZ27"/>
      <c r="CA27"/>
      <c r="CB27"/>
      <c r="CC27"/>
      <c r="CD27"/>
      <c r="CE27"/>
      <c r="CF27"/>
      <c r="CG27"/>
      <c r="CH27"/>
      <c r="CI27"/>
      <c r="CJ27" s="243"/>
      <c r="CK27" s="243"/>
      <c r="CL27" s="243"/>
      <c r="CM27" s="243"/>
      <c r="CN27" s="243"/>
      <c r="CO27" s="243"/>
      <c r="CP27" s="243"/>
      <c r="CQ27" s="243"/>
      <c r="CR27" s="243"/>
      <c r="CS27" s="65" t="s">
        <v>1828</v>
      </c>
      <c r="CT27" s="250">
        <v>4</v>
      </c>
      <c r="CU27" s="351"/>
      <c r="CV27" s="351"/>
      <c r="CW27" s="351"/>
      <c r="CX27" s="351"/>
      <c r="CY27" s="351"/>
      <c r="CZ27" s="351"/>
      <c r="DA27" s="251">
        <v>4</v>
      </c>
      <c r="DB27"/>
      <c r="DC27"/>
      <c r="DD27"/>
      <c r="DE27"/>
      <c r="DF27"/>
      <c r="DG27"/>
      <c r="DH27"/>
      <c r="DI27"/>
      <c r="DJ27"/>
      <c r="DK27"/>
      <c r="DL27" s="243"/>
      <c r="DM27" s="243"/>
      <c r="DN27" s="243"/>
      <c r="DO27" s="243"/>
      <c r="DP27" s="339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</row>
    <row r="28" spans="1:138" ht="16.5">
      <c r="A28" s="38" t="s">
        <v>30</v>
      </c>
      <c r="B28" s="38" t="s">
        <v>31</v>
      </c>
      <c r="C28" s="38" t="s">
        <v>1352</v>
      </c>
      <c r="D28" s="96"/>
      <c r="E28" s="88"/>
      <c r="F28" s="88"/>
      <c r="G28" s="88"/>
      <c r="H28" s="88">
        <v>1</v>
      </c>
      <c r="I28" s="88">
        <v>5</v>
      </c>
      <c r="J28" s="88"/>
      <c r="K28" s="88"/>
      <c r="L28" s="88"/>
      <c r="M28" s="97">
        <v>6</v>
      </c>
      <c r="N28"/>
      <c r="O28"/>
      <c r="P28" s="243"/>
      <c r="Q28" s="243"/>
      <c r="R28"/>
      <c r="S28" s="49"/>
      <c r="T28" s="38" t="s">
        <v>57</v>
      </c>
      <c r="U28" s="38" t="s">
        <v>1350</v>
      </c>
      <c r="V28" s="96"/>
      <c r="W28" s="88"/>
      <c r="X28" s="88"/>
      <c r="Y28" s="88"/>
      <c r="Z28" s="88">
        <v>7</v>
      </c>
      <c r="AA28" s="88">
        <v>6</v>
      </c>
      <c r="AB28" s="88"/>
      <c r="AC28" s="88"/>
      <c r="AD28" s="88"/>
      <c r="AE28" s="97">
        <v>13</v>
      </c>
      <c r="AF28"/>
      <c r="AG28"/>
      <c r="AH28"/>
      <c r="AI28"/>
      <c r="AJ28"/>
      <c r="AK28" s="38" t="s">
        <v>2006</v>
      </c>
      <c r="AL28" s="38" t="s">
        <v>1370</v>
      </c>
      <c r="AM28" s="38" t="s">
        <v>1548</v>
      </c>
      <c r="AN28" s="96"/>
      <c r="AO28" s="88"/>
      <c r="AP28" s="88">
        <v>6.5</v>
      </c>
      <c r="AQ28" s="88"/>
      <c r="AR28" s="88"/>
      <c r="AS28" s="88"/>
      <c r="AT28" s="88"/>
      <c r="AU28" s="97">
        <v>6.5</v>
      </c>
      <c r="AV28"/>
      <c r="AW28"/>
      <c r="AX28"/>
      <c r="AY28"/>
      <c r="AZ28"/>
      <c r="BA28"/>
      <c r="BB28"/>
      <c r="BC28"/>
      <c r="BD28"/>
      <c r="BE28"/>
      <c r="BF28"/>
      <c r="BG28"/>
      <c r="BH28"/>
      <c r="BI28" s="243"/>
      <c r="BJ28" s="243"/>
      <c r="BK28" s="243"/>
      <c r="BL28" s="243"/>
      <c r="BM28" s="243"/>
      <c r="BN28" s="243"/>
      <c r="BO28" s="49"/>
      <c r="BP28" s="49"/>
      <c r="BQ28" s="65" t="s">
        <v>1544</v>
      </c>
      <c r="BR28" s="250">
        <v>1</v>
      </c>
      <c r="BS28" s="351"/>
      <c r="BT28" s="351"/>
      <c r="BU28" s="351"/>
      <c r="BV28" s="351"/>
      <c r="BW28" s="351"/>
      <c r="BX28" s="251">
        <v>1</v>
      </c>
      <c r="BY28"/>
      <c r="BZ28"/>
      <c r="CA28"/>
      <c r="CB28"/>
      <c r="CC28"/>
      <c r="CD28"/>
      <c r="CE28"/>
      <c r="CF28"/>
      <c r="CG28"/>
      <c r="CH28"/>
      <c r="CI28"/>
      <c r="CJ28" s="243"/>
      <c r="CK28" s="243"/>
      <c r="CL28" s="243"/>
      <c r="CM28" s="243"/>
      <c r="CN28" s="243"/>
      <c r="CO28" s="243"/>
      <c r="CP28" s="243"/>
      <c r="CQ28" s="243"/>
      <c r="CR28" s="243"/>
      <c r="CS28" s="65" t="s">
        <v>61</v>
      </c>
      <c r="CT28" s="250">
        <v>12</v>
      </c>
      <c r="CU28" s="351">
        <v>4</v>
      </c>
      <c r="CV28" s="351"/>
      <c r="CW28" s="351"/>
      <c r="CX28" s="351"/>
      <c r="CY28" s="351"/>
      <c r="CZ28" s="351"/>
      <c r="DA28" s="251">
        <v>16</v>
      </c>
      <c r="DB28"/>
      <c r="DC28"/>
      <c r="DD28"/>
      <c r="DE28"/>
      <c r="DF28"/>
      <c r="DG28"/>
      <c r="DH28"/>
      <c r="DI28"/>
      <c r="DJ28"/>
      <c r="DK28"/>
      <c r="DL28" s="342"/>
      <c r="DM28" s="342"/>
      <c r="DN28" s="342"/>
      <c r="DO28" s="342"/>
      <c r="DP28" s="339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</row>
    <row r="29" spans="1:138" ht="16.5">
      <c r="A29" s="49"/>
      <c r="B29" s="49"/>
      <c r="C29" s="65" t="s">
        <v>2068</v>
      </c>
      <c r="D29" s="250"/>
      <c r="E29" s="351"/>
      <c r="F29" s="351"/>
      <c r="G29" s="351"/>
      <c r="H29" s="351"/>
      <c r="I29" s="351"/>
      <c r="J29" s="351">
        <v>2</v>
      </c>
      <c r="K29" s="351"/>
      <c r="L29" s="351"/>
      <c r="M29" s="251">
        <v>2</v>
      </c>
      <c r="N29"/>
      <c r="O29"/>
      <c r="P29" s="243"/>
      <c r="Q29" s="243"/>
      <c r="R29"/>
      <c r="S29" s="49"/>
      <c r="T29" s="54" t="s">
        <v>1369</v>
      </c>
      <c r="U29" s="55"/>
      <c r="V29" s="101"/>
      <c r="W29" s="102"/>
      <c r="X29" s="102"/>
      <c r="Y29" s="102"/>
      <c r="Z29" s="102">
        <v>7</v>
      </c>
      <c r="AA29" s="102">
        <v>6</v>
      </c>
      <c r="AB29" s="102"/>
      <c r="AC29" s="102"/>
      <c r="AD29" s="102"/>
      <c r="AE29" s="103">
        <v>13</v>
      </c>
      <c r="AF29"/>
      <c r="AG29"/>
      <c r="AH29"/>
      <c r="AI29"/>
      <c r="AJ29"/>
      <c r="AK29" s="50" t="s">
        <v>2027</v>
      </c>
      <c r="AL29" s="51"/>
      <c r="AM29" s="51"/>
      <c r="AN29" s="98"/>
      <c r="AO29" s="99"/>
      <c r="AP29" s="99">
        <v>6.5</v>
      </c>
      <c r="AQ29" s="99"/>
      <c r="AR29" s="99"/>
      <c r="AS29" s="99"/>
      <c r="AT29" s="99"/>
      <c r="AU29" s="100">
        <v>6.5</v>
      </c>
      <c r="AV29"/>
      <c r="AW29"/>
      <c r="AX29"/>
      <c r="AY29"/>
      <c r="AZ29"/>
      <c r="BA29"/>
      <c r="BB29"/>
      <c r="BC29"/>
      <c r="BD29"/>
      <c r="BE29"/>
      <c r="BF29"/>
      <c r="BG29"/>
      <c r="BH29"/>
      <c r="BI29" s="243"/>
      <c r="BJ29" s="243"/>
      <c r="BK29" s="243"/>
      <c r="BL29" s="243"/>
      <c r="BM29" s="243"/>
      <c r="BN29" s="243"/>
      <c r="BO29" s="49"/>
      <c r="BP29" s="49"/>
      <c r="BQ29" s="65" t="s">
        <v>1543</v>
      </c>
      <c r="BR29" s="250">
        <v>20</v>
      </c>
      <c r="BS29" s="351"/>
      <c r="BT29" s="351"/>
      <c r="BU29" s="351"/>
      <c r="BV29" s="351"/>
      <c r="BW29" s="351"/>
      <c r="BX29" s="251">
        <v>20</v>
      </c>
      <c r="BY29"/>
      <c r="BZ29"/>
      <c r="CA29"/>
      <c r="CB29"/>
      <c r="CC29"/>
      <c r="CD29"/>
      <c r="CE29"/>
      <c r="CF29"/>
      <c r="CG29"/>
      <c r="CH29"/>
      <c r="CI29"/>
      <c r="CJ29" s="243"/>
      <c r="CK29" s="243"/>
      <c r="CL29" s="243"/>
      <c r="CM29" s="243"/>
      <c r="CN29" s="243"/>
      <c r="CO29" s="243"/>
      <c r="CP29" s="243"/>
      <c r="CQ29" s="243"/>
      <c r="CR29" s="243"/>
      <c r="CS29" s="65" t="s">
        <v>786</v>
      </c>
      <c r="CT29" s="250">
        <v>25</v>
      </c>
      <c r="CU29" s="351">
        <v>1</v>
      </c>
      <c r="CV29" s="351"/>
      <c r="CW29" s="351"/>
      <c r="CX29" s="351"/>
      <c r="CY29" s="351"/>
      <c r="CZ29" s="351"/>
      <c r="DA29" s="251">
        <v>26</v>
      </c>
      <c r="DB29"/>
      <c r="DC29"/>
      <c r="DD29"/>
      <c r="DE29"/>
      <c r="DF29"/>
      <c r="DG29"/>
      <c r="DH29"/>
      <c r="DI29"/>
      <c r="DJ29"/>
      <c r="DK29"/>
      <c r="DL29" s="342"/>
      <c r="DM29" s="342"/>
      <c r="DN29" s="342"/>
      <c r="DO29" s="342"/>
      <c r="DP29" s="33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</row>
    <row r="30" spans="1:138" ht="16.5">
      <c r="A30" s="49"/>
      <c r="B30" s="87" t="s">
        <v>1915</v>
      </c>
      <c r="C30" s="82"/>
      <c r="D30" s="98"/>
      <c r="E30" s="99"/>
      <c r="F30" s="99"/>
      <c r="G30" s="99"/>
      <c r="H30" s="99">
        <v>1</v>
      </c>
      <c r="I30" s="99">
        <v>5</v>
      </c>
      <c r="J30" s="99">
        <v>2</v>
      </c>
      <c r="K30" s="99"/>
      <c r="L30" s="99"/>
      <c r="M30" s="100">
        <v>8</v>
      </c>
      <c r="N30"/>
      <c r="O30"/>
      <c r="P30" s="243"/>
      <c r="Q30" s="243"/>
      <c r="R30"/>
      <c r="S30" s="49"/>
      <c r="T30" s="38" t="s">
        <v>2006</v>
      </c>
      <c r="U30" s="38" t="s">
        <v>1350</v>
      </c>
      <c r="V30" s="96"/>
      <c r="W30" s="88"/>
      <c r="X30" s="88">
        <v>5</v>
      </c>
      <c r="Y30" s="88"/>
      <c r="Z30" s="88">
        <v>2</v>
      </c>
      <c r="AA30" s="88"/>
      <c r="AB30" s="88"/>
      <c r="AC30" s="88"/>
      <c r="AD30" s="88"/>
      <c r="AE30" s="97">
        <v>7</v>
      </c>
      <c r="AF30"/>
      <c r="AG30"/>
      <c r="AH30"/>
      <c r="AI30"/>
      <c r="AJ30"/>
      <c r="AK30" s="38" t="s">
        <v>61</v>
      </c>
      <c r="AL30" s="38" t="s">
        <v>1214</v>
      </c>
      <c r="AM30" s="38" t="s">
        <v>1548</v>
      </c>
      <c r="AN30" s="96">
        <v>6</v>
      </c>
      <c r="AO30" s="88">
        <v>4</v>
      </c>
      <c r="AP30" s="88"/>
      <c r="AQ30" s="88"/>
      <c r="AR30" s="88"/>
      <c r="AS30" s="88"/>
      <c r="AT30" s="88"/>
      <c r="AU30" s="97">
        <v>10</v>
      </c>
      <c r="AV30"/>
      <c r="AW30"/>
      <c r="AX30"/>
      <c r="AY30"/>
      <c r="AZ30"/>
      <c r="BA30"/>
      <c r="BB30"/>
      <c r="BC30"/>
      <c r="BD30"/>
      <c r="BE30"/>
      <c r="BF30"/>
      <c r="BG30"/>
      <c r="BH30"/>
      <c r="BI30" s="243"/>
      <c r="BJ30" s="243"/>
      <c r="BK30" s="243"/>
      <c r="BL30" s="243"/>
      <c r="BM30" s="243"/>
      <c r="BN30" s="243"/>
      <c r="BO30" s="50" t="s">
        <v>1454</v>
      </c>
      <c r="BP30" s="51"/>
      <c r="BQ30" s="51"/>
      <c r="BR30" s="98">
        <v>44</v>
      </c>
      <c r="BS30" s="99"/>
      <c r="BT30" s="99"/>
      <c r="BU30" s="99">
        <v>1</v>
      </c>
      <c r="BV30" s="99"/>
      <c r="BW30" s="99"/>
      <c r="BX30" s="100">
        <v>45</v>
      </c>
      <c r="BY30"/>
      <c r="BZ30"/>
      <c r="CA30"/>
      <c r="CB30"/>
      <c r="CC30"/>
      <c r="CD30"/>
      <c r="CE30"/>
      <c r="CF30"/>
      <c r="CG30"/>
      <c r="CH30"/>
      <c r="CI30"/>
      <c r="CJ30" s="243"/>
      <c r="CK30" s="243"/>
      <c r="CL30" s="243"/>
      <c r="CM30" s="243"/>
      <c r="CN30" s="243"/>
      <c r="CO30" s="243"/>
      <c r="CP30" s="243"/>
      <c r="CQ30" s="243"/>
      <c r="CR30" s="243"/>
      <c r="CS30" s="65" t="s">
        <v>47</v>
      </c>
      <c r="CT30" s="250">
        <v>65</v>
      </c>
      <c r="CU30" s="351">
        <v>1</v>
      </c>
      <c r="CV30" s="351">
        <v>1</v>
      </c>
      <c r="CW30" s="351"/>
      <c r="CX30" s="351"/>
      <c r="CY30" s="351"/>
      <c r="CZ30" s="351">
        <v>4</v>
      </c>
      <c r="DA30" s="251">
        <v>71</v>
      </c>
      <c r="DB30"/>
      <c r="DC30"/>
      <c r="DD30"/>
      <c r="DE30"/>
      <c r="DF30"/>
      <c r="DG30"/>
      <c r="DH30"/>
      <c r="DI30" s="346"/>
      <c r="DJ30" s="346"/>
      <c r="DK30" s="346"/>
      <c r="DL30" s="346"/>
      <c r="DM30" s="346"/>
      <c r="DN30" s="346"/>
      <c r="DO30" s="346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</row>
    <row r="31" spans="1:138" ht="16.5">
      <c r="A31" s="49"/>
      <c r="B31" s="38" t="s">
        <v>1835</v>
      </c>
      <c r="C31" s="38" t="s">
        <v>1352</v>
      </c>
      <c r="D31" s="96"/>
      <c r="E31" s="88"/>
      <c r="F31" s="88"/>
      <c r="G31" s="88"/>
      <c r="H31" s="88">
        <v>2</v>
      </c>
      <c r="I31" s="88"/>
      <c r="J31" s="88"/>
      <c r="K31" s="88"/>
      <c r="L31" s="88"/>
      <c r="M31" s="97">
        <v>2</v>
      </c>
      <c r="N31"/>
      <c r="O31"/>
      <c r="P31" s="243"/>
      <c r="Q31" s="243"/>
      <c r="R31"/>
      <c r="S31" s="49"/>
      <c r="T31" s="54" t="s">
        <v>2027</v>
      </c>
      <c r="U31" s="55"/>
      <c r="V31" s="101"/>
      <c r="W31" s="102"/>
      <c r="X31" s="102">
        <v>5</v>
      </c>
      <c r="Y31" s="102"/>
      <c r="Z31" s="102">
        <v>2</v>
      </c>
      <c r="AA31" s="102"/>
      <c r="AB31" s="102"/>
      <c r="AC31" s="102"/>
      <c r="AD31" s="102"/>
      <c r="AE31" s="103">
        <v>7</v>
      </c>
      <c r="AF31"/>
      <c r="AG31"/>
      <c r="AH31"/>
      <c r="AI31"/>
      <c r="AJ31"/>
      <c r="AK31" s="50" t="s">
        <v>2152</v>
      </c>
      <c r="AL31" s="51"/>
      <c r="AM31" s="51"/>
      <c r="AN31" s="98">
        <v>6</v>
      </c>
      <c r="AO31" s="99">
        <v>4</v>
      </c>
      <c r="AP31" s="99"/>
      <c r="AQ31" s="99"/>
      <c r="AR31" s="99"/>
      <c r="AS31" s="99"/>
      <c r="AT31" s="99"/>
      <c r="AU31" s="100">
        <v>10</v>
      </c>
      <c r="AV31"/>
      <c r="AW31"/>
      <c r="AX31"/>
      <c r="AY31"/>
      <c r="AZ31"/>
      <c r="BA31"/>
      <c r="BB31"/>
      <c r="BC31"/>
      <c r="BD31"/>
      <c r="BE31"/>
      <c r="BF31"/>
      <c r="BG31"/>
      <c r="BH31"/>
      <c r="BI31" s="243"/>
      <c r="BJ31" s="243"/>
      <c r="BK31" s="243"/>
      <c r="BL31" s="243"/>
      <c r="BM31" s="243"/>
      <c r="BN31" s="243"/>
      <c r="BO31" s="38" t="s">
        <v>1477</v>
      </c>
      <c r="BP31" s="38" t="s">
        <v>1370</v>
      </c>
      <c r="BQ31" s="38" t="s">
        <v>1742</v>
      </c>
      <c r="BR31" s="96"/>
      <c r="BS31" s="88"/>
      <c r="BT31" s="88"/>
      <c r="BU31" s="88"/>
      <c r="BV31" s="88">
        <v>5</v>
      </c>
      <c r="BW31" s="88"/>
      <c r="BX31" s="97">
        <v>5</v>
      </c>
      <c r="BY31"/>
      <c r="BZ31"/>
      <c r="CA31"/>
      <c r="CB31"/>
      <c r="CC31"/>
      <c r="CD31"/>
      <c r="CE31"/>
      <c r="CF31"/>
      <c r="CG31"/>
      <c r="CH31"/>
      <c r="CI31"/>
      <c r="CJ31" s="243"/>
      <c r="CK31" s="243"/>
      <c r="CL31" s="243"/>
      <c r="CM31" s="243"/>
      <c r="CN31" s="243"/>
      <c r="CO31" s="243"/>
      <c r="CP31" s="243"/>
      <c r="CQ31" s="243"/>
      <c r="CR31" s="243"/>
      <c r="CS31" s="65" t="s">
        <v>1101</v>
      </c>
      <c r="CT31" s="250">
        <v>42</v>
      </c>
      <c r="CU31" s="351"/>
      <c r="CV31" s="351"/>
      <c r="CW31" s="351"/>
      <c r="CX31" s="351"/>
      <c r="CY31" s="351"/>
      <c r="CZ31" s="351"/>
      <c r="DA31" s="251">
        <v>42</v>
      </c>
      <c r="DB31"/>
      <c r="DC31"/>
      <c r="DD31"/>
      <c r="DE31"/>
      <c r="DF31"/>
      <c r="DG31"/>
      <c r="DH31"/>
      <c r="DI31" s="346"/>
      <c r="DJ31" s="346"/>
      <c r="DK31" s="346"/>
      <c r="DL31" s="346"/>
      <c r="DM31" s="346"/>
      <c r="DN31" s="346"/>
      <c r="DO31" s="346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</row>
    <row r="32" spans="1:138" ht="16.5">
      <c r="A32" s="49"/>
      <c r="B32" s="50" t="s">
        <v>1916</v>
      </c>
      <c r="C32" s="51"/>
      <c r="D32" s="98"/>
      <c r="E32" s="99"/>
      <c r="F32" s="99"/>
      <c r="G32" s="99"/>
      <c r="H32" s="99">
        <v>2</v>
      </c>
      <c r="I32" s="99"/>
      <c r="J32" s="99"/>
      <c r="K32" s="99"/>
      <c r="L32" s="99"/>
      <c r="M32" s="100">
        <v>2</v>
      </c>
      <c r="N32"/>
      <c r="O32"/>
      <c r="P32" s="243"/>
      <c r="Q32" s="243"/>
      <c r="R32"/>
      <c r="S32" s="49"/>
      <c r="T32" s="38" t="s">
        <v>1677</v>
      </c>
      <c r="U32" s="38" t="s">
        <v>1352</v>
      </c>
      <c r="V32" s="96"/>
      <c r="W32" s="88"/>
      <c r="X32" s="88"/>
      <c r="Y32" s="88"/>
      <c r="Z32" s="88"/>
      <c r="AA32" s="88">
        <v>6</v>
      </c>
      <c r="AB32" s="88"/>
      <c r="AC32" s="88"/>
      <c r="AD32" s="88"/>
      <c r="AE32" s="97">
        <v>6</v>
      </c>
      <c r="AF32"/>
      <c r="AG32"/>
      <c r="AH32"/>
      <c r="AI32"/>
      <c r="AJ32"/>
      <c r="AK32" s="38" t="s">
        <v>47</v>
      </c>
      <c r="AL32" s="38" t="s">
        <v>1214</v>
      </c>
      <c r="AM32" s="38" t="s">
        <v>1547</v>
      </c>
      <c r="AN32" s="96">
        <v>19.5</v>
      </c>
      <c r="AO32" s="88">
        <v>1</v>
      </c>
      <c r="AP32" s="88">
        <v>1</v>
      </c>
      <c r="AQ32" s="88"/>
      <c r="AR32" s="88"/>
      <c r="AS32" s="88"/>
      <c r="AT32" s="88">
        <v>1</v>
      </c>
      <c r="AU32" s="97">
        <v>22.5</v>
      </c>
      <c r="AV32"/>
      <c r="AW32"/>
      <c r="AX32"/>
      <c r="AY32"/>
      <c r="AZ32"/>
      <c r="BA32"/>
      <c r="BB32"/>
      <c r="BC32"/>
      <c r="BD32"/>
      <c r="BE32"/>
      <c r="BF32"/>
      <c r="BG32"/>
      <c r="BH32"/>
      <c r="BI32" s="243"/>
      <c r="BJ32" s="243"/>
      <c r="BK32" s="243"/>
      <c r="BL32" s="243"/>
      <c r="BM32" s="243"/>
      <c r="BN32" s="243"/>
      <c r="BO32" s="50" t="s">
        <v>1542</v>
      </c>
      <c r="BP32" s="51"/>
      <c r="BQ32" s="51"/>
      <c r="BR32" s="98"/>
      <c r="BS32" s="99"/>
      <c r="BT32" s="99"/>
      <c r="BU32" s="99"/>
      <c r="BV32" s="99">
        <v>5</v>
      </c>
      <c r="BW32" s="99"/>
      <c r="BX32" s="100">
        <v>5</v>
      </c>
      <c r="BY32"/>
      <c r="BZ32"/>
      <c r="CA32"/>
      <c r="CB32"/>
      <c r="CC32"/>
      <c r="CD32"/>
      <c r="CE32"/>
      <c r="CF32"/>
      <c r="CG32"/>
      <c r="CH32"/>
      <c r="CI32"/>
      <c r="CJ32" s="243"/>
      <c r="CK32" s="243"/>
      <c r="CL32" s="243"/>
      <c r="CM32" s="243"/>
      <c r="CN32" s="243"/>
      <c r="CO32" s="243"/>
      <c r="CP32" s="243"/>
      <c r="CQ32" s="243"/>
      <c r="CR32" s="243"/>
      <c r="CS32" s="65" t="s">
        <v>2232</v>
      </c>
      <c r="CT32" s="250">
        <v>4</v>
      </c>
      <c r="CU32" s="351"/>
      <c r="CV32" s="351"/>
      <c r="CW32" s="351"/>
      <c r="CX32" s="351"/>
      <c r="CY32" s="351"/>
      <c r="CZ32" s="351"/>
      <c r="DA32" s="251">
        <v>4</v>
      </c>
      <c r="DB32"/>
      <c r="DC32"/>
      <c r="DD32"/>
      <c r="DE32"/>
      <c r="DF32"/>
      <c r="DG32"/>
      <c r="DH32"/>
      <c r="DI32" s="346"/>
      <c r="DJ32" s="346"/>
      <c r="DK32" s="346"/>
      <c r="DL32" s="346"/>
      <c r="DM32" s="346"/>
      <c r="DN32" s="346"/>
      <c r="DO32" s="346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</row>
    <row r="33" spans="1:135" ht="16.5">
      <c r="A33" s="79" t="s">
        <v>1907</v>
      </c>
      <c r="B33" s="83"/>
      <c r="C33" s="83"/>
      <c r="D33" s="101"/>
      <c r="E33" s="102"/>
      <c r="F33" s="102"/>
      <c r="G33" s="102"/>
      <c r="H33" s="102">
        <v>3</v>
      </c>
      <c r="I33" s="102">
        <v>5</v>
      </c>
      <c r="J33" s="102">
        <v>2</v>
      </c>
      <c r="K33" s="102"/>
      <c r="L33" s="102"/>
      <c r="M33" s="103">
        <v>10</v>
      </c>
      <c r="N33"/>
      <c r="O33"/>
      <c r="P33" s="243"/>
      <c r="Q33" s="243"/>
      <c r="R33"/>
      <c r="S33" s="49"/>
      <c r="T33" s="49"/>
      <c r="U33" s="65" t="s">
        <v>1743</v>
      </c>
      <c r="V33" s="250"/>
      <c r="W33" s="351"/>
      <c r="X33" s="351"/>
      <c r="Y33" s="351"/>
      <c r="Z33" s="351"/>
      <c r="AA33" s="351">
        <v>2</v>
      </c>
      <c r="AB33" s="351"/>
      <c r="AC33" s="351"/>
      <c r="AD33" s="351"/>
      <c r="AE33" s="251">
        <v>2</v>
      </c>
      <c r="AF33"/>
      <c r="AG33"/>
      <c r="AH33"/>
      <c r="AI33"/>
      <c r="AJ33"/>
      <c r="AK33" s="50" t="s">
        <v>1091</v>
      </c>
      <c r="AL33" s="51"/>
      <c r="AM33" s="51"/>
      <c r="AN33" s="98">
        <v>19.5</v>
      </c>
      <c r="AO33" s="99">
        <v>1</v>
      </c>
      <c r="AP33" s="99">
        <v>1</v>
      </c>
      <c r="AQ33" s="99"/>
      <c r="AR33" s="99"/>
      <c r="AS33" s="99"/>
      <c r="AT33" s="99">
        <v>1</v>
      </c>
      <c r="AU33" s="100">
        <v>22.5</v>
      </c>
      <c r="AV33"/>
      <c r="AW33"/>
      <c r="AX33"/>
      <c r="AY33"/>
      <c r="AZ33"/>
      <c r="BA33"/>
      <c r="BB33"/>
      <c r="BC33"/>
      <c r="BD33"/>
      <c r="BE33"/>
      <c r="BF33"/>
      <c r="BG33"/>
      <c r="BH33"/>
      <c r="BI33" s="243"/>
      <c r="BJ33" s="243"/>
      <c r="BK33" s="243"/>
      <c r="BL33" s="243"/>
      <c r="BM33" s="243"/>
      <c r="BN33" s="243"/>
      <c r="BO33" s="38" t="s">
        <v>32</v>
      </c>
      <c r="BP33" s="38" t="s">
        <v>1214</v>
      </c>
      <c r="BQ33" s="38" t="s">
        <v>1545</v>
      </c>
      <c r="BR33" s="96">
        <v>3</v>
      </c>
      <c r="BS33" s="88"/>
      <c r="BT33" s="88"/>
      <c r="BU33" s="88"/>
      <c r="BV33" s="88"/>
      <c r="BW33" s="88"/>
      <c r="BX33" s="97">
        <v>3</v>
      </c>
      <c r="BY33"/>
      <c r="BZ33"/>
      <c r="CA33"/>
      <c r="CB33"/>
      <c r="CC33"/>
      <c r="CD33"/>
      <c r="CE33"/>
      <c r="CF33"/>
      <c r="CG33"/>
      <c r="CH33"/>
      <c r="CI33"/>
      <c r="CJ33" s="243"/>
      <c r="CK33" s="243"/>
      <c r="CL33" s="243"/>
      <c r="CM33" s="243"/>
      <c r="CN33" s="243"/>
      <c r="CO33" s="243"/>
      <c r="CP33" s="243"/>
      <c r="CQ33" s="243"/>
      <c r="CR33" s="243"/>
      <c r="CS33" s="65" t="s">
        <v>1893</v>
      </c>
      <c r="CT33" s="250">
        <v>8</v>
      </c>
      <c r="CU33" s="351"/>
      <c r="CV33" s="351"/>
      <c r="CW33" s="351"/>
      <c r="CX33" s="351"/>
      <c r="CY33" s="351"/>
      <c r="CZ33" s="351"/>
      <c r="DA33" s="251">
        <v>8</v>
      </c>
      <c r="DB33"/>
      <c r="DC33"/>
      <c r="DD33"/>
      <c r="DE33"/>
      <c r="DF33"/>
      <c r="DG33"/>
      <c r="DH33"/>
      <c r="DI33" s="346"/>
      <c r="DJ33" s="346"/>
      <c r="DK33" s="346"/>
      <c r="DL33" s="346"/>
      <c r="DM33" s="346"/>
      <c r="DN33" s="346"/>
      <c r="DO33" s="346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</row>
    <row r="34" spans="1:135" ht="16.5">
      <c r="A34" s="38" t="s">
        <v>58</v>
      </c>
      <c r="B34" s="38" t="s">
        <v>55</v>
      </c>
      <c r="C34" s="38" t="s">
        <v>1351</v>
      </c>
      <c r="D34" s="96"/>
      <c r="E34" s="88"/>
      <c r="F34" s="88"/>
      <c r="G34" s="88"/>
      <c r="H34" s="88">
        <v>2</v>
      </c>
      <c r="I34" s="88">
        <v>2</v>
      </c>
      <c r="J34" s="88"/>
      <c r="K34" s="88"/>
      <c r="L34" s="88"/>
      <c r="M34" s="97">
        <v>4</v>
      </c>
      <c r="N34"/>
      <c r="O34"/>
      <c r="P34" s="243"/>
      <c r="Q34" s="243"/>
      <c r="R34"/>
      <c r="S34" s="49"/>
      <c r="T34" s="54" t="s">
        <v>1738</v>
      </c>
      <c r="U34" s="55"/>
      <c r="V34" s="101"/>
      <c r="W34" s="102"/>
      <c r="X34" s="102"/>
      <c r="Y34" s="102"/>
      <c r="Z34" s="102"/>
      <c r="AA34" s="102">
        <v>8</v>
      </c>
      <c r="AB34" s="102"/>
      <c r="AC34" s="102"/>
      <c r="AD34" s="102"/>
      <c r="AE34" s="103">
        <v>8</v>
      </c>
      <c r="AF34"/>
      <c r="AG34"/>
      <c r="AH34"/>
      <c r="AI34"/>
      <c r="AJ34"/>
      <c r="AK34" s="38" t="s">
        <v>39</v>
      </c>
      <c r="AL34" s="38" t="s">
        <v>1214</v>
      </c>
      <c r="AM34" s="38" t="s">
        <v>1547</v>
      </c>
      <c r="AN34" s="96">
        <v>13</v>
      </c>
      <c r="AO34" s="88"/>
      <c r="AP34" s="88"/>
      <c r="AQ34" s="88"/>
      <c r="AR34" s="88"/>
      <c r="AS34" s="88"/>
      <c r="AT34" s="88"/>
      <c r="AU34" s="97">
        <v>13</v>
      </c>
      <c r="AV34"/>
      <c r="AW34"/>
      <c r="AX34"/>
      <c r="AY34"/>
      <c r="AZ34"/>
      <c r="BA34"/>
      <c r="BB34"/>
      <c r="BC34"/>
      <c r="BD34"/>
      <c r="BE34"/>
      <c r="BF34"/>
      <c r="BG34"/>
      <c r="BH34"/>
      <c r="BI34" s="243"/>
      <c r="BJ34" s="243"/>
      <c r="BK34" s="243"/>
      <c r="BL34" s="243"/>
      <c r="BM34" s="243"/>
      <c r="BN34" s="243"/>
      <c r="BO34" s="49"/>
      <c r="BP34" s="49"/>
      <c r="BQ34" s="65" t="s">
        <v>1544</v>
      </c>
      <c r="BR34" s="250">
        <v>2</v>
      </c>
      <c r="BS34" s="351"/>
      <c r="BT34" s="351"/>
      <c r="BU34" s="351"/>
      <c r="BV34" s="351"/>
      <c r="BW34" s="351"/>
      <c r="BX34" s="251">
        <v>2</v>
      </c>
      <c r="BY34"/>
      <c r="BZ34"/>
      <c r="CA34"/>
      <c r="CB34"/>
      <c r="CC34"/>
      <c r="CD34"/>
      <c r="CE34"/>
      <c r="CF34"/>
      <c r="CG34"/>
      <c r="CH34"/>
      <c r="CI34"/>
      <c r="CJ34" s="243"/>
      <c r="CK34" s="243"/>
      <c r="CL34" s="243"/>
      <c r="CM34" s="243"/>
      <c r="CN34" s="243"/>
      <c r="CO34" s="243"/>
      <c r="CP34" s="243"/>
      <c r="CQ34" s="243"/>
      <c r="CR34" s="243"/>
      <c r="CS34" s="65" t="s">
        <v>39</v>
      </c>
      <c r="CT34" s="250">
        <v>13</v>
      </c>
      <c r="CU34" s="351"/>
      <c r="CV34" s="351"/>
      <c r="CW34" s="351"/>
      <c r="CX34" s="351"/>
      <c r="CY34" s="351"/>
      <c r="CZ34" s="351"/>
      <c r="DA34" s="251">
        <v>13</v>
      </c>
      <c r="DB34"/>
      <c r="DC34"/>
      <c r="DD34"/>
      <c r="DE34"/>
      <c r="DF34"/>
      <c r="DG34"/>
      <c r="DH34"/>
      <c r="DI34" s="346"/>
      <c r="DJ34" s="346"/>
      <c r="DK34" s="346"/>
      <c r="DL34" s="346"/>
      <c r="DM34" s="346"/>
      <c r="DN34" s="346"/>
      <c r="DO34" s="346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</row>
    <row r="35" spans="1:135" ht="16.5">
      <c r="A35" s="49"/>
      <c r="B35" s="87" t="s">
        <v>1349</v>
      </c>
      <c r="C35" s="82"/>
      <c r="D35" s="98"/>
      <c r="E35" s="99"/>
      <c r="F35" s="99"/>
      <c r="G35" s="99"/>
      <c r="H35" s="99">
        <v>2</v>
      </c>
      <c r="I35" s="99">
        <v>2</v>
      </c>
      <c r="J35" s="99"/>
      <c r="K35" s="99"/>
      <c r="L35" s="99"/>
      <c r="M35" s="100">
        <v>4</v>
      </c>
      <c r="N35"/>
      <c r="O35"/>
      <c r="P35" s="243"/>
      <c r="Q35" s="243"/>
      <c r="R35"/>
      <c r="S35" s="50" t="s">
        <v>877</v>
      </c>
      <c r="T35" s="51"/>
      <c r="U35" s="51"/>
      <c r="V35" s="98">
        <v>1</v>
      </c>
      <c r="W35" s="99"/>
      <c r="X35" s="99">
        <v>8</v>
      </c>
      <c r="Y35" s="99">
        <v>1</v>
      </c>
      <c r="Z35" s="99">
        <v>43</v>
      </c>
      <c r="AA35" s="99">
        <v>55</v>
      </c>
      <c r="AB35" s="99">
        <v>5</v>
      </c>
      <c r="AC35" s="99"/>
      <c r="AD35" s="99"/>
      <c r="AE35" s="100">
        <v>113</v>
      </c>
      <c r="AF35"/>
      <c r="AG35"/>
      <c r="AH35"/>
      <c r="AI35"/>
      <c r="AJ35"/>
      <c r="AK35" s="50" t="s">
        <v>1457</v>
      </c>
      <c r="AL35" s="51"/>
      <c r="AM35" s="51"/>
      <c r="AN35" s="98">
        <v>13</v>
      </c>
      <c r="AO35" s="99"/>
      <c r="AP35" s="99"/>
      <c r="AQ35" s="99"/>
      <c r="AR35" s="99"/>
      <c r="AS35" s="99"/>
      <c r="AT35" s="99"/>
      <c r="AU35" s="100">
        <v>13</v>
      </c>
      <c r="AV35"/>
      <c r="AW35"/>
      <c r="AX35"/>
      <c r="AY35"/>
      <c r="AZ35"/>
      <c r="BA35"/>
      <c r="BB35"/>
      <c r="BC35"/>
      <c r="BD35"/>
      <c r="BE35"/>
      <c r="BF35"/>
      <c r="BG35"/>
      <c r="BH35"/>
      <c r="BI35" s="243"/>
      <c r="BJ35" s="243"/>
      <c r="BK35" s="243"/>
      <c r="BL35" s="243"/>
      <c r="BM35" s="243"/>
      <c r="BN35" s="243"/>
      <c r="BO35" s="49"/>
      <c r="BP35" s="49"/>
      <c r="BQ35" s="65" t="s">
        <v>1543</v>
      </c>
      <c r="BR35" s="250">
        <v>8.5</v>
      </c>
      <c r="BS35" s="351"/>
      <c r="BT35" s="351"/>
      <c r="BU35" s="351"/>
      <c r="BV35" s="351"/>
      <c r="BW35" s="351"/>
      <c r="BX35" s="251">
        <v>8.5</v>
      </c>
      <c r="BY35"/>
      <c r="BZ35"/>
      <c r="CA35"/>
      <c r="CB35"/>
      <c r="CC35"/>
      <c r="CD35"/>
      <c r="CE35"/>
      <c r="CF35"/>
      <c r="CG35"/>
      <c r="CH35"/>
      <c r="CI35"/>
      <c r="CJ35" s="243"/>
      <c r="CK35" s="243"/>
      <c r="CL35" s="243"/>
      <c r="CM35" s="243"/>
      <c r="CN35" s="243"/>
      <c r="CO35" s="243"/>
      <c r="CP35" s="243"/>
      <c r="CQ35" s="243"/>
      <c r="CR35" s="243"/>
      <c r="CS35" s="65" t="s">
        <v>1407</v>
      </c>
      <c r="CT35" s="250">
        <v>1.5</v>
      </c>
      <c r="CU35" s="351">
        <v>2.5</v>
      </c>
      <c r="CV35" s="351"/>
      <c r="CW35" s="351"/>
      <c r="CX35" s="351"/>
      <c r="CY35" s="351"/>
      <c r="CZ35" s="351"/>
      <c r="DA35" s="251">
        <v>4</v>
      </c>
      <c r="DB35"/>
      <c r="DC35"/>
      <c r="DD35"/>
      <c r="DE35"/>
      <c r="DF35"/>
      <c r="DG35"/>
      <c r="DH35"/>
      <c r="DI35" s="346"/>
      <c r="DJ35" s="346"/>
      <c r="DK35" s="346"/>
      <c r="DL35" s="346"/>
      <c r="DM35" s="346"/>
      <c r="DN35" s="346"/>
      <c r="DO35" s="346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</row>
    <row r="36" spans="1:135" ht="16.5">
      <c r="A36" s="79" t="s">
        <v>1079</v>
      </c>
      <c r="B36" s="83"/>
      <c r="C36" s="83"/>
      <c r="D36" s="101"/>
      <c r="E36" s="102"/>
      <c r="F36" s="102"/>
      <c r="G36" s="102"/>
      <c r="H36" s="102">
        <v>2</v>
      </c>
      <c r="I36" s="102">
        <v>2</v>
      </c>
      <c r="J36" s="102"/>
      <c r="K36" s="102"/>
      <c r="L36" s="102"/>
      <c r="M36" s="103">
        <v>4</v>
      </c>
      <c r="N36"/>
      <c r="O36"/>
      <c r="P36" s="243"/>
      <c r="Q36" s="243"/>
      <c r="R36"/>
      <c r="S36" s="38" t="s">
        <v>48</v>
      </c>
      <c r="T36" s="38" t="s">
        <v>3</v>
      </c>
      <c r="U36" s="38" t="s">
        <v>1351</v>
      </c>
      <c r="V36" s="96"/>
      <c r="W36" s="88"/>
      <c r="X36" s="88"/>
      <c r="Y36" s="88"/>
      <c r="Z36" s="88">
        <v>9</v>
      </c>
      <c r="AA36" s="88"/>
      <c r="AB36" s="88"/>
      <c r="AC36" s="88"/>
      <c r="AD36" s="88"/>
      <c r="AE36" s="97">
        <v>9</v>
      </c>
      <c r="AF36"/>
      <c r="AG36"/>
      <c r="AH36"/>
      <c r="AI36"/>
      <c r="AJ36"/>
      <c r="AK36" s="86" t="s">
        <v>4</v>
      </c>
      <c r="AL36" s="84"/>
      <c r="AM36" s="84"/>
      <c r="AN36" s="104">
        <v>105.5</v>
      </c>
      <c r="AO36" s="105">
        <v>19</v>
      </c>
      <c r="AP36" s="105">
        <v>7.5</v>
      </c>
      <c r="AQ36" s="105">
        <v>5</v>
      </c>
      <c r="AR36" s="105">
        <v>3</v>
      </c>
      <c r="AS36" s="105">
        <v>1</v>
      </c>
      <c r="AT36" s="105">
        <v>1</v>
      </c>
      <c r="AU36" s="106">
        <v>142</v>
      </c>
      <c r="AV36"/>
      <c r="AW36"/>
      <c r="AX36"/>
      <c r="AY36"/>
      <c r="AZ36"/>
      <c r="BA36"/>
      <c r="BB36"/>
      <c r="BC36"/>
      <c r="BD36"/>
      <c r="BE36"/>
      <c r="BF36"/>
      <c r="BG36"/>
      <c r="BH36"/>
      <c r="BI36" s="243"/>
      <c r="BJ36" s="243"/>
      <c r="BK36" s="243"/>
      <c r="BL36" s="243"/>
      <c r="BM36" s="243"/>
      <c r="BN36" s="243"/>
      <c r="BO36" s="50" t="s">
        <v>1086</v>
      </c>
      <c r="BP36" s="51"/>
      <c r="BQ36" s="51"/>
      <c r="BR36" s="98">
        <v>13.5</v>
      </c>
      <c r="BS36" s="99"/>
      <c r="BT36" s="99"/>
      <c r="BU36" s="99"/>
      <c r="BV36" s="99"/>
      <c r="BW36" s="99"/>
      <c r="BX36" s="100">
        <v>13.5</v>
      </c>
      <c r="BY36"/>
      <c r="BZ36"/>
      <c r="CA36"/>
      <c r="CB36"/>
      <c r="CC36"/>
      <c r="CD36"/>
      <c r="CE36"/>
      <c r="CF36"/>
      <c r="CG36"/>
      <c r="CH36"/>
      <c r="CI36"/>
      <c r="CJ36" s="243"/>
      <c r="CK36" s="243"/>
      <c r="CL36" s="243"/>
      <c r="CM36" s="243"/>
      <c r="CN36" s="243"/>
      <c r="CO36" s="243"/>
      <c r="CP36" s="243"/>
      <c r="CQ36" s="243"/>
      <c r="CR36" s="243"/>
      <c r="CS36" s="65" t="s">
        <v>46</v>
      </c>
      <c r="CT36" s="250">
        <v>12</v>
      </c>
      <c r="CU36" s="351"/>
      <c r="CV36" s="351"/>
      <c r="CW36" s="351"/>
      <c r="CX36" s="351"/>
      <c r="CY36" s="351"/>
      <c r="CZ36" s="351"/>
      <c r="DA36" s="251">
        <v>12</v>
      </c>
      <c r="DB36"/>
      <c r="DC36"/>
      <c r="DD36"/>
      <c r="DE36"/>
      <c r="DF36"/>
      <c r="DG36"/>
      <c r="DH36"/>
      <c r="DI36" s="346"/>
      <c r="DJ36" s="346"/>
      <c r="DK36" s="346"/>
      <c r="DL36" s="346"/>
      <c r="DM36" s="346"/>
      <c r="DN36" s="346"/>
      <c r="DO36" s="34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</row>
    <row r="37" spans="1:135" ht="16.5">
      <c r="A37" s="38" t="s">
        <v>786</v>
      </c>
      <c r="B37" s="38" t="s">
        <v>26</v>
      </c>
      <c r="C37" s="38" t="s">
        <v>1352</v>
      </c>
      <c r="D37" s="96"/>
      <c r="E37" s="88"/>
      <c r="F37" s="88"/>
      <c r="G37" s="88"/>
      <c r="H37" s="88">
        <v>2</v>
      </c>
      <c r="I37" s="88">
        <v>3</v>
      </c>
      <c r="J37" s="88"/>
      <c r="K37" s="88"/>
      <c r="L37" s="88"/>
      <c r="M37" s="97">
        <v>5</v>
      </c>
      <c r="N37"/>
      <c r="O37"/>
      <c r="P37" s="243"/>
      <c r="Q37" s="243"/>
      <c r="R37"/>
      <c r="S37" s="49"/>
      <c r="T37" s="49"/>
      <c r="U37" s="65" t="s">
        <v>1352</v>
      </c>
      <c r="V37" s="250"/>
      <c r="W37" s="351"/>
      <c r="X37" s="351"/>
      <c r="Y37" s="351"/>
      <c r="Z37" s="351"/>
      <c r="AA37" s="351">
        <v>3</v>
      </c>
      <c r="AB37" s="351"/>
      <c r="AC37" s="351"/>
      <c r="AD37" s="351"/>
      <c r="AE37" s="251">
        <v>3</v>
      </c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 s="243"/>
      <c r="BJ37" s="243"/>
      <c r="BK37" s="243"/>
      <c r="BL37" s="243"/>
      <c r="BM37" s="243"/>
      <c r="BN37" s="243"/>
      <c r="BO37" s="38" t="s">
        <v>787</v>
      </c>
      <c r="BP37" s="38" t="s">
        <v>1214</v>
      </c>
      <c r="BQ37" s="38" t="s">
        <v>1543</v>
      </c>
      <c r="BR37" s="96">
        <v>1</v>
      </c>
      <c r="BS37" s="88"/>
      <c r="BT37" s="88"/>
      <c r="BU37" s="88"/>
      <c r="BV37" s="88"/>
      <c r="BW37" s="88"/>
      <c r="BX37" s="97">
        <v>1</v>
      </c>
      <c r="BY37"/>
      <c r="BZ37"/>
      <c r="CA37"/>
      <c r="CB37"/>
      <c r="CC37"/>
      <c r="CD37"/>
      <c r="CE37"/>
      <c r="CF37"/>
      <c r="CG37"/>
      <c r="CH37"/>
      <c r="CI37"/>
      <c r="CJ37" s="243"/>
      <c r="CK37" s="243"/>
      <c r="CL37" s="243"/>
      <c r="CM37" s="243"/>
      <c r="CN37" s="243"/>
      <c r="CO37" s="243"/>
      <c r="CP37" s="243"/>
      <c r="CQ37" s="243"/>
      <c r="CR37" s="243"/>
      <c r="CS37" s="65" t="s">
        <v>1102</v>
      </c>
      <c r="CT37" s="250">
        <v>19</v>
      </c>
      <c r="CU37" s="351"/>
      <c r="CV37" s="351"/>
      <c r="CW37" s="351"/>
      <c r="CX37" s="351"/>
      <c r="CY37" s="351"/>
      <c r="CZ37" s="351"/>
      <c r="DA37" s="251">
        <v>19</v>
      </c>
      <c r="DB37"/>
      <c r="DC37"/>
      <c r="DD37"/>
      <c r="DE37"/>
      <c r="DF37"/>
      <c r="DG37"/>
      <c r="DH37"/>
      <c r="DI37" s="346"/>
      <c r="DJ37" s="346"/>
      <c r="DK37" s="346"/>
      <c r="DL37" s="346"/>
      <c r="DM37" s="346"/>
      <c r="DN37" s="346"/>
      <c r="DO37" s="346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</row>
    <row r="38" spans="1:135" ht="16.5">
      <c r="A38" s="49"/>
      <c r="B38" s="87" t="s">
        <v>1462</v>
      </c>
      <c r="C38" s="82"/>
      <c r="D38" s="98"/>
      <c r="E38" s="99"/>
      <c r="F38" s="99"/>
      <c r="G38" s="99"/>
      <c r="H38" s="99">
        <v>2</v>
      </c>
      <c r="I38" s="99">
        <v>3</v>
      </c>
      <c r="J38" s="99"/>
      <c r="K38" s="99"/>
      <c r="L38" s="99"/>
      <c r="M38" s="100">
        <v>5</v>
      </c>
      <c r="N38"/>
      <c r="O38"/>
      <c r="P38" s="243"/>
      <c r="Q38" s="243"/>
      <c r="R38"/>
      <c r="S38" s="49"/>
      <c r="T38" s="49"/>
      <c r="U38" s="65" t="s">
        <v>1743</v>
      </c>
      <c r="V38" s="250"/>
      <c r="W38" s="351"/>
      <c r="X38" s="351"/>
      <c r="Y38" s="351"/>
      <c r="Z38" s="351"/>
      <c r="AA38" s="351"/>
      <c r="AB38" s="351">
        <v>3</v>
      </c>
      <c r="AC38" s="351"/>
      <c r="AD38" s="351"/>
      <c r="AE38" s="251">
        <v>3</v>
      </c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 s="243"/>
      <c r="BJ38" s="243"/>
      <c r="BK38" s="243"/>
      <c r="BL38" s="243"/>
      <c r="BM38" s="243"/>
      <c r="BN38" s="243"/>
      <c r="BO38" s="50" t="s">
        <v>2026</v>
      </c>
      <c r="BP38" s="51"/>
      <c r="BQ38" s="51"/>
      <c r="BR38" s="98">
        <v>1</v>
      </c>
      <c r="BS38" s="99"/>
      <c r="BT38" s="99"/>
      <c r="BU38" s="99"/>
      <c r="BV38" s="99"/>
      <c r="BW38" s="99"/>
      <c r="BX38" s="100">
        <v>1</v>
      </c>
      <c r="BY38"/>
      <c r="BZ38"/>
      <c r="CA38"/>
      <c r="CB38"/>
      <c r="CC38"/>
      <c r="CD38"/>
      <c r="CE38"/>
      <c r="CF38"/>
      <c r="CG38"/>
      <c r="CH38"/>
      <c r="CI38"/>
      <c r="CJ38" s="243"/>
      <c r="CK38" s="243"/>
      <c r="CL38" s="243"/>
      <c r="CM38" s="243"/>
      <c r="CN38" s="243"/>
      <c r="CO38" s="243"/>
      <c r="CP38" s="243"/>
      <c r="CQ38" s="243"/>
      <c r="CR38" s="243"/>
      <c r="CS38" s="65" t="s">
        <v>1218</v>
      </c>
      <c r="CT38" s="250"/>
      <c r="CU38" s="351"/>
      <c r="CV38" s="351"/>
      <c r="CW38" s="351"/>
      <c r="CX38" s="351"/>
      <c r="CY38" s="351"/>
      <c r="CZ38" s="351">
        <v>0.5</v>
      </c>
      <c r="DA38" s="251">
        <v>0.5</v>
      </c>
      <c r="DB38"/>
      <c r="DC38"/>
      <c r="DD38"/>
      <c r="DE38"/>
      <c r="DF38"/>
      <c r="DG38"/>
      <c r="DH38"/>
      <c r="DI38" s="346"/>
      <c r="DJ38" s="346"/>
      <c r="DK38" s="346"/>
      <c r="DL38" s="346"/>
      <c r="DM38" s="346"/>
      <c r="DN38" s="346"/>
      <c r="DO38" s="346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</row>
    <row r="39" spans="1:135" ht="16.5">
      <c r="A39" s="49"/>
      <c r="B39" s="38" t="s">
        <v>25</v>
      </c>
      <c r="C39" s="38" t="s">
        <v>1352</v>
      </c>
      <c r="D39" s="96"/>
      <c r="E39" s="88"/>
      <c r="F39" s="88"/>
      <c r="G39" s="88"/>
      <c r="H39" s="88">
        <v>1</v>
      </c>
      <c r="I39" s="88">
        <v>2</v>
      </c>
      <c r="J39" s="88"/>
      <c r="K39" s="88"/>
      <c r="L39" s="88"/>
      <c r="M39" s="97">
        <v>3</v>
      </c>
      <c r="N39"/>
      <c r="O39"/>
      <c r="P39" s="243"/>
      <c r="Q39" s="243"/>
      <c r="R39"/>
      <c r="S39" s="49"/>
      <c r="T39" s="54" t="s">
        <v>1087</v>
      </c>
      <c r="U39" s="55"/>
      <c r="V39" s="101"/>
      <c r="W39" s="102"/>
      <c r="X39" s="102"/>
      <c r="Y39" s="102"/>
      <c r="Z39" s="102">
        <v>9</v>
      </c>
      <c r="AA39" s="102">
        <v>3</v>
      </c>
      <c r="AB39" s="102">
        <v>3</v>
      </c>
      <c r="AC39" s="102"/>
      <c r="AD39" s="102"/>
      <c r="AE39" s="103">
        <v>15</v>
      </c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 s="243"/>
      <c r="BJ39" s="243"/>
      <c r="BK39" s="243"/>
      <c r="BL39" s="243"/>
      <c r="BM39" s="243"/>
      <c r="BN39" s="243"/>
      <c r="BO39" s="38" t="s">
        <v>51</v>
      </c>
      <c r="BP39" s="38" t="s">
        <v>1214</v>
      </c>
      <c r="BQ39" s="38" t="s">
        <v>1548</v>
      </c>
      <c r="BR39" s="96">
        <v>3</v>
      </c>
      <c r="BS39" s="88"/>
      <c r="BT39" s="88"/>
      <c r="BU39" s="88"/>
      <c r="BV39" s="88"/>
      <c r="BW39" s="88"/>
      <c r="BX39" s="97">
        <v>3</v>
      </c>
      <c r="BY39"/>
      <c r="BZ39"/>
      <c r="CA39"/>
      <c r="CB39"/>
      <c r="CC39"/>
      <c r="CD39"/>
      <c r="CE39"/>
      <c r="CF39"/>
      <c r="CG39"/>
      <c r="CH39"/>
      <c r="CI39"/>
      <c r="CJ39" s="243"/>
      <c r="CK39" s="243"/>
      <c r="CL39" s="243"/>
      <c r="CM39" s="243"/>
      <c r="CN39" s="243"/>
      <c r="CO39" s="243"/>
      <c r="CP39" s="243"/>
      <c r="CQ39" s="243"/>
      <c r="CR39" s="243"/>
      <c r="CS39" s="86" t="s">
        <v>4</v>
      </c>
      <c r="CT39" s="104">
        <v>563.5</v>
      </c>
      <c r="CU39" s="105">
        <v>29.5</v>
      </c>
      <c r="CV39" s="105">
        <v>10.5</v>
      </c>
      <c r="CW39" s="105">
        <v>9</v>
      </c>
      <c r="CX39" s="105">
        <v>8</v>
      </c>
      <c r="CY39" s="105">
        <v>1</v>
      </c>
      <c r="CZ39" s="105">
        <v>4.5</v>
      </c>
      <c r="DA39" s="106">
        <v>626</v>
      </c>
      <c r="DB39"/>
      <c r="DC39"/>
      <c r="DD39"/>
      <c r="DE39"/>
      <c r="DF39"/>
      <c r="DG39"/>
      <c r="DH39"/>
      <c r="DI39" s="346"/>
      <c r="DJ39" s="346"/>
      <c r="DK39" s="346"/>
      <c r="DL39" s="346"/>
      <c r="DM39" s="346"/>
      <c r="DN39" s="346"/>
      <c r="DO39" s="346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</row>
    <row r="40" spans="1:135" ht="16.5">
      <c r="A40" s="49"/>
      <c r="B40" s="49"/>
      <c r="C40" s="65" t="s">
        <v>1743</v>
      </c>
      <c r="D40" s="250"/>
      <c r="E40" s="351"/>
      <c r="F40" s="351"/>
      <c r="G40" s="351"/>
      <c r="H40" s="351"/>
      <c r="I40" s="351">
        <v>1</v>
      </c>
      <c r="J40" s="351"/>
      <c r="K40" s="351"/>
      <c r="L40" s="351"/>
      <c r="M40" s="251">
        <v>1</v>
      </c>
      <c r="N40"/>
      <c r="O40"/>
      <c r="P40" s="243"/>
      <c r="Q40" s="243"/>
      <c r="R40"/>
      <c r="S40" s="49"/>
      <c r="T40" s="38" t="s">
        <v>47</v>
      </c>
      <c r="U40" s="38" t="s">
        <v>2155</v>
      </c>
      <c r="V40" s="96">
        <v>1</v>
      </c>
      <c r="W40" s="88"/>
      <c r="X40" s="88"/>
      <c r="Y40" s="88"/>
      <c r="Z40" s="88"/>
      <c r="AA40" s="88"/>
      <c r="AB40" s="88"/>
      <c r="AC40" s="88"/>
      <c r="AD40" s="88"/>
      <c r="AE40" s="97">
        <v>1</v>
      </c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 s="243"/>
      <c r="BJ40" s="243"/>
      <c r="BK40" s="243"/>
      <c r="BL40" s="243"/>
      <c r="BM40" s="243"/>
      <c r="BN40" s="243"/>
      <c r="BO40" s="49"/>
      <c r="BP40" s="49"/>
      <c r="BQ40" s="65" t="s">
        <v>1547</v>
      </c>
      <c r="BR40" s="250">
        <v>5</v>
      </c>
      <c r="BS40" s="351"/>
      <c r="BT40" s="351"/>
      <c r="BU40" s="351"/>
      <c r="BV40" s="351"/>
      <c r="BW40" s="351"/>
      <c r="BX40" s="251">
        <v>5</v>
      </c>
      <c r="BY40"/>
      <c r="BZ40"/>
      <c r="CA40"/>
      <c r="CB40"/>
      <c r="CC40"/>
      <c r="CD40"/>
      <c r="CE40"/>
      <c r="CF40"/>
      <c r="CG40"/>
      <c r="CH40"/>
      <c r="CI40"/>
      <c r="CJ40" s="243"/>
      <c r="CK40" s="243"/>
      <c r="CL40" s="243"/>
      <c r="CM40" s="243"/>
      <c r="CN40" s="243"/>
      <c r="CO40" s="243"/>
      <c r="CP40" s="243"/>
      <c r="CQ40" s="243"/>
      <c r="CR40" s="243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 s="346"/>
      <c r="DJ40" s="346"/>
      <c r="DK40" s="346"/>
      <c r="DL40" s="346"/>
      <c r="DM40" s="346"/>
      <c r="DN40" s="346"/>
      <c r="DO40" s="346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</row>
    <row r="41" spans="1:135" ht="16.5">
      <c r="A41" s="49"/>
      <c r="B41" s="50" t="s">
        <v>1553</v>
      </c>
      <c r="C41" s="51"/>
      <c r="D41" s="98"/>
      <c r="E41" s="99"/>
      <c r="F41" s="99"/>
      <c r="G41" s="99"/>
      <c r="H41" s="99">
        <v>1</v>
      </c>
      <c r="I41" s="99">
        <v>3</v>
      </c>
      <c r="J41" s="99"/>
      <c r="K41" s="99"/>
      <c r="L41" s="99"/>
      <c r="M41" s="100">
        <v>4</v>
      </c>
      <c r="N41"/>
      <c r="O41"/>
      <c r="P41" s="243"/>
      <c r="Q41" s="243"/>
      <c r="R41"/>
      <c r="S41" s="49"/>
      <c r="T41" s="49"/>
      <c r="U41" s="65" t="s">
        <v>1351</v>
      </c>
      <c r="V41" s="250"/>
      <c r="W41" s="351"/>
      <c r="X41" s="351">
        <v>1</v>
      </c>
      <c r="Y41" s="351"/>
      <c r="Z41" s="351">
        <v>4.5</v>
      </c>
      <c r="AA41" s="351"/>
      <c r="AB41" s="351"/>
      <c r="AC41" s="351"/>
      <c r="AD41" s="351"/>
      <c r="AE41" s="251">
        <v>5.5</v>
      </c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 s="243"/>
      <c r="BJ41" s="243"/>
      <c r="BK41" s="243"/>
      <c r="BL41" s="243"/>
      <c r="BM41" s="243"/>
      <c r="BN41" s="243"/>
      <c r="BO41" s="49"/>
      <c r="BP41" s="49"/>
      <c r="BQ41" s="65" t="s">
        <v>1543</v>
      </c>
      <c r="BR41" s="250">
        <v>9.6666666666666661</v>
      </c>
      <c r="BS41" s="351"/>
      <c r="BT41" s="351"/>
      <c r="BU41" s="351"/>
      <c r="BV41" s="351"/>
      <c r="BW41" s="351">
        <v>0.66666666666666663</v>
      </c>
      <c r="BX41" s="251">
        <v>10.333333333333332</v>
      </c>
      <c r="BY41"/>
      <c r="BZ41"/>
      <c r="CA41"/>
      <c r="CB41"/>
      <c r="CC41"/>
      <c r="CD41"/>
      <c r="CE41"/>
      <c r="CF41"/>
      <c r="CG41"/>
      <c r="CH41"/>
      <c r="CI41"/>
      <c r="CJ41" s="243"/>
      <c r="CK41" s="243"/>
      <c r="CL41" s="243"/>
      <c r="CM41" s="243"/>
      <c r="CN41" s="243"/>
      <c r="CO41" s="243"/>
      <c r="CP41" s="243"/>
      <c r="CQ41" s="243"/>
      <c r="CR41" s="243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 s="346"/>
      <c r="DJ41" s="346"/>
      <c r="DK41" s="346"/>
      <c r="DL41" s="346"/>
      <c r="DM41" s="346"/>
      <c r="DN41" s="346"/>
      <c r="DO41" s="346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</row>
    <row r="42" spans="1:135" ht="16.5">
      <c r="A42" s="49"/>
      <c r="B42" s="38" t="s">
        <v>24</v>
      </c>
      <c r="C42" s="38" t="s">
        <v>1352</v>
      </c>
      <c r="D42" s="96"/>
      <c r="E42" s="88"/>
      <c r="F42" s="88"/>
      <c r="G42" s="88"/>
      <c r="H42" s="88">
        <v>3</v>
      </c>
      <c r="I42" s="88">
        <v>1</v>
      </c>
      <c r="J42" s="88"/>
      <c r="K42" s="88"/>
      <c r="L42" s="88"/>
      <c r="M42" s="97">
        <v>4</v>
      </c>
      <c r="N42"/>
      <c r="O42"/>
      <c r="P42" s="243"/>
      <c r="Q42" s="243"/>
      <c r="R42"/>
      <c r="S42" s="49"/>
      <c r="T42" s="49"/>
      <c r="U42" s="65" t="s">
        <v>1352</v>
      </c>
      <c r="V42" s="250">
        <v>2</v>
      </c>
      <c r="W42" s="351"/>
      <c r="X42" s="351"/>
      <c r="Y42" s="351"/>
      <c r="Z42" s="351"/>
      <c r="AA42" s="351">
        <v>9</v>
      </c>
      <c r="AB42" s="351">
        <v>1</v>
      </c>
      <c r="AC42" s="351"/>
      <c r="AD42" s="351"/>
      <c r="AE42" s="251">
        <v>12</v>
      </c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 s="243"/>
      <c r="BJ42" s="243"/>
      <c r="BK42" s="243"/>
      <c r="BL42" s="243"/>
      <c r="BM42" s="243"/>
      <c r="BN42" s="243"/>
      <c r="BO42" s="49"/>
      <c r="BP42" s="38" t="s">
        <v>1823</v>
      </c>
      <c r="BQ42" s="38" t="s">
        <v>1543</v>
      </c>
      <c r="BR42" s="96">
        <v>0.66666666666666663</v>
      </c>
      <c r="BS42" s="88"/>
      <c r="BT42" s="88"/>
      <c r="BU42" s="88"/>
      <c r="BV42" s="88"/>
      <c r="BW42" s="88"/>
      <c r="BX42" s="97">
        <v>0.66666666666666663</v>
      </c>
      <c r="BY42"/>
      <c r="BZ42"/>
      <c r="CA42"/>
      <c r="CB42"/>
      <c r="CC42"/>
      <c r="CD42"/>
      <c r="CE42"/>
      <c r="CF42"/>
      <c r="CG42"/>
      <c r="CH42"/>
      <c r="CI42"/>
      <c r="CJ42" s="243"/>
      <c r="CK42" s="243"/>
      <c r="CL42" s="243"/>
      <c r="CM42" s="243"/>
      <c r="CN42" s="243"/>
      <c r="CO42" s="243"/>
      <c r="CP42" s="243"/>
      <c r="CQ42" s="243"/>
      <c r="CR42" s="243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 s="346"/>
      <c r="DJ42" s="346"/>
      <c r="DK42" s="346"/>
      <c r="DL42" s="346"/>
      <c r="DM42" s="346"/>
      <c r="DN42" s="346"/>
      <c r="DO42" s="346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</row>
    <row r="43" spans="1:135" ht="16.5">
      <c r="A43" s="49"/>
      <c r="B43" s="50" t="s">
        <v>1554</v>
      </c>
      <c r="C43" s="51"/>
      <c r="D43" s="98"/>
      <c r="E43" s="99"/>
      <c r="F43" s="99"/>
      <c r="G43" s="99"/>
      <c r="H43" s="99">
        <v>3</v>
      </c>
      <c r="I43" s="99">
        <v>1</v>
      </c>
      <c r="J43" s="99"/>
      <c r="K43" s="99"/>
      <c r="L43" s="99"/>
      <c r="M43" s="100">
        <v>4</v>
      </c>
      <c r="N43"/>
      <c r="O43"/>
      <c r="P43" s="243"/>
      <c r="Q43" s="243"/>
      <c r="R43"/>
      <c r="S43" s="49"/>
      <c r="T43" s="54" t="s">
        <v>1091</v>
      </c>
      <c r="U43" s="55"/>
      <c r="V43" s="101">
        <v>3</v>
      </c>
      <c r="W43" s="102"/>
      <c r="X43" s="102">
        <v>1</v>
      </c>
      <c r="Y43" s="102"/>
      <c r="Z43" s="102">
        <v>4.5</v>
      </c>
      <c r="AA43" s="102">
        <v>9</v>
      </c>
      <c r="AB43" s="102">
        <v>1</v>
      </c>
      <c r="AC43" s="102"/>
      <c r="AD43" s="102"/>
      <c r="AE43" s="103">
        <v>18.5</v>
      </c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 s="243"/>
      <c r="BJ43" s="243"/>
      <c r="BK43" s="243"/>
      <c r="BL43" s="243"/>
      <c r="BM43" s="243"/>
      <c r="BN43" s="243"/>
      <c r="BO43" s="50" t="s">
        <v>1088</v>
      </c>
      <c r="BP43" s="51"/>
      <c r="BQ43" s="51"/>
      <c r="BR43" s="98">
        <v>18.333333333333332</v>
      </c>
      <c r="BS43" s="99"/>
      <c r="BT43" s="99"/>
      <c r="BU43" s="99"/>
      <c r="BV43" s="99"/>
      <c r="BW43" s="99">
        <v>0.66666666666666663</v>
      </c>
      <c r="BX43" s="100">
        <v>19</v>
      </c>
      <c r="BY43"/>
      <c r="BZ43"/>
      <c r="CA43"/>
      <c r="CB43"/>
      <c r="CC43"/>
      <c r="CD43"/>
      <c r="CE43"/>
      <c r="CF43"/>
      <c r="CG43"/>
      <c r="CH43"/>
      <c r="CI43"/>
      <c r="CJ43" s="243"/>
      <c r="CK43" s="243"/>
      <c r="CL43" s="243"/>
      <c r="CM43" s="243"/>
      <c r="CN43" s="243"/>
      <c r="CO43" s="243"/>
      <c r="CP43" s="243"/>
      <c r="CQ43" s="243"/>
      <c r="CR43" s="2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 s="346"/>
      <c r="DJ43" s="346"/>
      <c r="DK43" s="346"/>
      <c r="DL43" s="346"/>
      <c r="DM43" s="346"/>
      <c r="DN43" s="346"/>
      <c r="DO43" s="346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</row>
    <row r="44" spans="1:135" ht="16.5">
      <c r="A44" s="49"/>
      <c r="B44" s="38" t="s">
        <v>27</v>
      </c>
      <c r="C44" s="38" t="s">
        <v>1352</v>
      </c>
      <c r="D44" s="96"/>
      <c r="E44" s="88"/>
      <c r="F44" s="88"/>
      <c r="G44" s="88"/>
      <c r="H44" s="88">
        <v>2</v>
      </c>
      <c r="I44" s="88">
        <v>4</v>
      </c>
      <c r="J44" s="88"/>
      <c r="K44" s="88"/>
      <c r="L44" s="88"/>
      <c r="M44" s="97">
        <v>6</v>
      </c>
      <c r="N44"/>
      <c r="O44"/>
      <c r="P44" s="243"/>
      <c r="Q44" s="243"/>
      <c r="R44"/>
      <c r="S44" s="49"/>
      <c r="T44" s="38" t="s">
        <v>61</v>
      </c>
      <c r="U44" s="38" t="s">
        <v>1351</v>
      </c>
      <c r="V44" s="96"/>
      <c r="W44" s="88"/>
      <c r="X44" s="88"/>
      <c r="Y44" s="88"/>
      <c r="Z44" s="88">
        <v>10</v>
      </c>
      <c r="AA44" s="88"/>
      <c r="AB44" s="88"/>
      <c r="AC44" s="88"/>
      <c r="AD44" s="88"/>
      <c r="AE44" s="97">
        <v>10</v>
      </c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 s="243"/>
      <c r="BJ44" s="243"/>
      <c r="BK44" s="243"/>
      <c r="BL44" s="243"/>
      <c r="BM44" s="243"/>
      <c r="BN44" s="243"/>
      <c r="BO44" s="38" t="s">
        <v>52</v>
      </c>
      <c r="BP44" s="38" t="s">
        <v>1214</v>
      </c>
      <c r="BQ44" s="38" t="s">
        <v>1547</v>
      </c>
      <c r="BR44" s="96">
        <v>5</v>
      </c>
      <c r="BS44" s="88"/>
      <c r="BT44" s="88"/>
      <c r="BU44" s="88"/>
      <c r="BV44" s="88"/>
      <c r="BW44" s="88"/>
      <c r="BX44" s="97">
        <v>5</v>
      </c>
      <c r="BY44"/>
      <c r="BZ44"/>
      <c r="CA44"/>
      <c r="CB44"/>
      <c r="CC44"/>
      <c r="CD44"/>
      <c r="CE44"/>
      <c r="CF44"/>
      <c r="CG44"/>
      <c r="CH44"/>
      <c r="CI44"/>
      <c r="CJ44" s="243"/>
      <c r="CK44" s="243"/>
      <c r="CL44" s="243"/>
      <c r="CM44" s="243"/>
      <c r="CN44" s="243"/>
      <c r="CO44" s="243"/>
      <c r="CP44" s="243"/>
      <c r="CQ44" s="243"/>
      <c r="CR44" s="243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 s="346"/>
      <c r="DJ44" s="346"/>
      <c r="DK44" s="346"/>
      <c r="DL44" s="346"/>
      <c r="DM44" s="346"/>
      <c r="DN44" s="346"/>
      <c r="DO44" s="346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</row>
    <row r="45" spans="1:135" ht="16.5">
      <c r="A45" s="49"/>
      <c r="B45" s="49"/>
      <c r="C45" s="65" t="s">
        <v>1743</v>
      </c>
      <c r="D45" s="250"/>
      <c r="E45" s="351"/>
      <c r="F45" s="351"/>
      <c r="G45" s="351"/>
      <c r="H45" s="351"/>
      <c r="I45" s="351">
        <v>1</v>
      </c>
      <c r="J45" s="351"/>
      <c r="K45" s="351"/>
      <c r="L45" s="351"/>
      <c r="M45" s="251">
        <v>1</v>
      </c>
      <c r="N45"/>
      <c r="O45"/>
      <c r="P45" s="243"/>
      <c r="Q45" s="243"/>
      <c r="R45"/>
      <c r="S45" s="49"/>
      <c r="T45" s="49"/>
      <c r="U45" s="65" t="s">
        <v>1352</v>
      </c>
      <c r="V45" s="250"/>
      <c r="W45" s="351"/>
      <c r="X45" s="351"/>
      <c r="Y45" s="351"/>
      <c r="Z45" s="351"/>
      <c r="AA45" s="351">
        <v>1</v>
      </c>
      <c r="AB45" s="351">
        <v>1</v>
      </c>
      <c r="AC45" s="351"/>
      <c r="AD45" s="351"/>
      <c r="AE45" s="251">
        <v>2</v>
      </c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 s="243"/>
      <c r="BJ45" s="243"/>
      <c r="BK45" s="243"/>
      <c r="BL45" s="243"/>
      <c r="BM45" s="243"/>
      <c r="BN45" s="243"/>
      <c r="BO45" s="49"/>
      <c r="BP45" s="49"/>
      <c r="BQ45" s="65" t="s">
        <v>1543</v>
      </c>
      <c r="BR45" s="250">
        <v>11</v>
      </c>
      <c r="BS45" s="351"/>
      <c r="BT45" s="351"/>
      <c r="BU45" s="351"/>
      <c r="BV45" s="351"/>
      <c r="BW45" s="351"/>
      <c r="BX45" s="251">
        <v>11</v>
      </c>
      <c r="BY45"/>
      <c r="BZ45"/>
      <c r="CA45"/>
      <c r="CB45"/>
      <c r="CC45"/>
      <c r="CD45"/>
      <c r="CE45"/>
      <c r="CF45"/>
      <c r="CG45"/>
      <c r="CH45"/>
      <c r="CI45"/>
      <c r="CJ45" s="243"/>
      <c r="CK45" s="243"/>
      <c r="CL45" s="243"/>
      <c r="CM45" s="243"/>
      <c r="CN45" s="243"/>
      <c r="CO45" s="243"/>
      <c r="CP45" s="243"/>
      <c r="CQ45" s="243"/>
      <c r="CR45" s="243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 s="346"/>
      <c r="DJ45" s="346"/>
      <c r="DK45" s="346"/>
      <c r="DL45" s="346"/>
      <c r="DM45" s="346"/>
      <c r="DN45" s="346"/>
      <c r="DO45" s="346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</row>
    <row r="46" spans="1:135" ht="16.5">
      <c r="A46" s="49"/>
      <c r="B46" s="87" t="s">
        <v>1463</v>
      </c>
      <c r="C46" s="82"/>
      <c r="D46" s="98"/>
      <c r="E46" s="99"/>
      <c r="F46" s="99"/>
      <c r="G46" s="99"/>
      <c r="H46" s="99">
        <v>2</v>
      </c>
      <c r="I46" s="99">
        <v>5</v>
      </c>
      <c r="J46" s="99"/>
      <c r="K46" s="99"/>
      <c r="L46" s="99"/>
      <c r="M46" s="100">
        <v>7</v>
      </c>
      <c r="N46"/>
      <c r="O46"/>
      <c r="P46" s="243"/>
      <c r="Q46" s="243"/>
      <c r="R46"/>
      <c r="S46" s="49"/>
      <c r="T46" s="49"/>
      <c r="U46" s="65" t="s">
        <v>2068</v>
      </c>
      <c r="V46" s="250"/>
      <c r="W46" s="351"/>
      <c r="X46" s="351"/>
      <c r="Y46" s="351"/>
      <c r="Z46" s="351"/>
      <c r="AA46" s="351"/>
      <c r="AB46" s="351"/>
      <c r="AC46" s="351"/>
      <c r="AD46" s="351">
        <v>4</v>
      </c>
      <c r="AE46" s="251">
        <v>4</v>
      </c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 s="243"/>
      <c r="BJ46" s="243"/>
      <c r="BK46" s="243"/>
      <c r="BL46" s="243"/>
      <c r="BM46" s="243"/>
      <c r="BN46" s="243"/>
      <c r="BO46" s="50" t="s">
        <v>1117</v>
      </c>
      <c r="BP46" s="51"/>
      <c r="BQ46" s="51"/>
      <c r="BR46" s="98">
        <v>16</v>
      </c>
      <c r="BS46" s="99"/>
      <c r="BT46" s="99"/>
      <c r="BU46" s="99"/>
      <c r="BV46" s="99"/>
      <c r="BW46" s="99"/>
      <c r="BX46" s="100">
        <v>16</v>
      </c>
      <c r="BY46"/>
      <c r="BZ46"/>
      <c r="CA46"/>
      <c r="CB46"/>
      <c r="CC46"/>
      <c r="CD46"/>
      <c r="CE46"/>
      <c r="CF46"/>
      <c r="CG46"/>
      <c r="CH46"/>
      <c r="CI46"/>
      <c r="CJ46" s="243"/>
      <c r="CK46" s="243"/>
      <c r="CL46" s="243"/>
      <c r="CM46" s="243"/>
      <c r="CN46" s="243"/>
      <c r="CO46" s="243"/>
      <c r="CP46" s="243"/>
      <c r="CQ46" s="243"/>
      <c r="CR46" s="243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 s="346"/>
      <c r="DJ46" s="346"/>
      <c r="DK46" s="346"/>
      <c r="DL46" s="346"/>
      <c r="DM46" s="346"/>
      <c r="DN46" s="346"/>
      <c r="DO46" s="3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</row>
    <row r="47" spans="1:135" ht="16.5">
      <c r="A47" s="49"/>
      <c r="B47" s="38" t="s">
        <v>1789</v>
      </c>
      <c r="C47" s="38" t="s">
        <v>1352</v>
      </c>
      <c r="D47" s="96"/>
      <c r="E47" s="88"/>
      <c r="F47" s="88"/>
      <c r="G47" s="88"/>
      <c r="H47" s="88">
        <v>2</v>
      </c>
      <c r="I47" s="88">
        <v>4</v>
      </c>
      <c r="J47" s="88"/>
      <c r="K47" s="88"/>
      <c r="L47" s="88"/>
      <c r="M47" s="97">
        <v>6</v>
      </c>
      <c r="N47"/>
      <c r="O47"/>
      <c r="P47" s="243"/>
      <c r="Q47" s="243"/>
      <c r="R47"/>
      <c r="S47" s="49"/>
      <c r="T47" s="54" t="s">
        <v>2152</v>
      </c>
      <c r="U47" s="55"/>
      <c r="V47" s="101"/>
      <c r="W47" s="102"/>
      <c r="X47" s="102"/>
      <c r="Y47" s="102"/>
      <c r="Z47" s="102">
        <v>10</v>
      </c>
      <c r="AA47" s="102">
        <v>1</v>
      </c>
      <c r="AB47" s="102">
        <v>1</v>
      </c>
      <c r="AC47" s="102"/>
      <c r="AD47" s="102">
        <v>4</v>
      </c>
      <c r="AE47" s="103">
        <v>16</v>
      </c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 s="243"/>
      <c r="BJ47" s="243"/>
      <c r="BK47" s="243"/>
      <c r="BL47" s="243"/>
      <c r="BM47" s="243"/>
      <c r="BN47" s="243"/>
      <c r="BO47" s="38" t="s">
        <v>1095</v>
      </c>
      <c r="BP47" s="38" t="s">
        <v>1214</v>
      </c>
      <c r="BQ47" s="38" t="s">
        <v>1543</v>
      </c>
      <c r="BR47" s="96">
        <v>3</v>
      </c>
      <c r="BS47" s="88"/>
      <c r="BT47" s="88"/>
      <c r="BU47" s="88"/>
      <c r="BV47" s="88"/>
      <c r="BW47" s="88"/>
      <c r="BX47" s="97">
        <v>3</v>
      </c>
      <c r="BY47"/>
      <c r="BZ47"/>
      <c r="CA47"/>
      <c r="CB47"/>
      <c r="CC47"/>
      <c r="CD47"/>
      <c r="CE47"/>
      <c r="CF47"/>
      <c r="CG47"/>
      <c r="CH47"/>
      <c r="CI47"/>
      <c r="CJ47" s="243"/>
      <c r="CK47" s="243"/>
      <c r="CL47" s="243"/>
      <c r="CM47" s="243"/>
      <c r="CN47" s="243"/>
      <c r="CO47" s="243"/>
      <c r="CP47" s="243"/>
      <c r="CQ47" s="243"/>
      <c r="CR47" s="243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 s="346"/>
      <c r="DJ47" s="346"/>
      <c r="DK47" s="346"/>
      <c r="DL47" s="346"/>
      <c r="DM47" s="346"/>
      <c r="DN47" s="346"/>
      <c r="DO47" s="346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</row>
    <row r="48" spans="1:135" ht="16.5">
      <c r="A48" s="49"/>
      <c r="B48" s="50" t="s">
        <v>1825</v>
      </c>
      <c r="C48" s="51"/>
      <c r="D48" s="98"/>
      <c r="E48" s="99"/>
      <c r="F48" s="99"/>
      <c r="G48" s="99"/>
      <c r="H48" s="99">
        <v>2</v>
      </c>
      <c r="I48" s="99">
        <v>4</v>
      </c>
      <c r="J48" s="99"/>
      <c r="K48" s="99"/>
      <c r="L48" s="99"/>
      <c r="M48" s="100">
        <v>6</v>
      </c>
      <c r="N48"/>
      <c r="O48"/>
      <c r="P48" s="243"/>
      <c r="Q48" s="243"/>
      <c r="R48"/>
      <c r="S48" s="49"/>
      <c r="T48" s="38" t="s">
        <v>1096</v>
      </c>
      <c r="U48" s="38" t="s">
        <v>1352</v>
      </c>
      <c r="V48" s="96"/>
      <c r="W48" s="88"/>
      <c r="X48" s="88"/>
      <c r="Y48" s="88"/>
      <c r="Z48" s="88"/>
      <c r="AA48" s="88">
        <v>9</v>
      </c>
      <c r="AB48" s="88">
        <v>1</v>
      </c>
      <c r="AC48" s="88"/>
      <c r="AD48" s="88"/>
      <c r="AE48" s="97">
        <v>10</v>
      </c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 s="243"/>
      <c r="BJ48" s="243"/>
      <c r="BK48" s="243"/>
      <c r="BL48" s="243"/>
      <c r="BM48" s="243"/>
      <c r="BN48" s="243"/>
      <c r="BO48" s="50" t="s">
        <v>2028</v>
      </c>
      <c r="BP48" s="51"/>
      <c r="BQ48" s="51"/>
      <c r="BR48" s="98">
        <v>3</v>
      </c>
      <c r="BS48" s="99"/>
      <c r="BT48" s="99"/>
      <c r="BU48" s="99"/>
      <c r="BV48" s="99"/>
      <c r="BW48" s="99"/>
      <c r="BX48" s="100">
        <v>3</v>
      </c>
      <c r="BY48"/>
      <c r="BZ48"/>
      <c r="CA48"/>
      <c r="CB48"/>
      <c r="CC48"/>
      <c r="CD48"/>
      <c r="CE48"/>
      <c r="CF48"/>
      <c r="CG48"/>
      <c r="CH48"/>
      <c r="CI48"/>
      <c r="CJ48" s="243"/>
      <c r="CK48" s="243"/>
      <c r="CL48" s="243"/>
      <c r="CM48" s="243"/>
      <c r="CN48" s="243"/>
      <c r="CO48" s="243"/>
      <c r="CP48" s="243"/>
      <c r="CQ48" s="243"/>
      <c r="CR48" s="243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 s="346"/>
      <c r="DJ48" s="346"/>
      <c r="DK48" s="346"/>
      <c r="DL48" s="346"/>
      <c r="DM48" s="346"/>
      <c r="DN48" s="346"/>
      <c r="DO48" s="346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</row>
    <row r="49" spans="1:133" ht="16.5">
      <c r="A49" s="79" t="s">
        <v>1908</v>
      </c>
      <c r="B49" s="83"/>
      <c r="C49" s="83"/>
      <c r="D49" s="101"/>
      <c r="E49" s="102"/>
      <c r="F49" s="102"/>
      <c r="G49" s="102"/>
      <c r="H49" s="102">
        <v>10</v>
      </c>
      <c r="I49" s="102">
        <v>16</v>
      </c>
      <c r="J49" s="102"/>
      <c r="K49" s="102"/>
      <c r="L49" s="102"/>
      <c r="M49" s="103">
        <v>26</v>
      </c>
      <c r="N49"/>
      <c r="O49"/>
      <c r="P49" s="243"/>
      <c r="Q49" s="243"/>
      <c r="R49"/>
      <c r="S49" s="49"/>
      <c r="T49" s="54" t="s">
        <v>2153</v>
      </c>
      <c r="U49" s="55"/>
      <c r="V49" s="101"/>
      <c r="W49" s="102"/>
      <c r="X49" s="102"/>
      <c r="Y49" s="102"/>
      <c r="Z49" s="102"/>
      <c r="AA49" s="102">
        <v>9</v>
      </c>
      <c r="AB49" s="102">
        <v>1</v>
      </c>
      <c r="AC49" s="102"/>
      <c r="AD49" s="102"/>
      <c r="AE49" s="103">
        <v>10</v>
      </c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 s="243"/>
      <c r="BJ49" s="243"/>
      <c r="BK49" s="243"/>
      <c r="BL49" s="243"/>
      <c r="BM49" s="243"/>
      <c r="BN49" s="243"/>
      <c r="BO49" s="38" t="s">
        <v>1557</v>
      </c>
      <c r="BP49" s="38" t="s">
        <v>1370</v>
      </c>
      <c r="BQ49" s="38" t="s">
        <v>1546</v>
      </c>
      <c r="BR49" s="96"/>
      <c r="BS49" s="88">
        <v>6</v>
      </c>
      <c r="BT49" s="88"/>
      <c r="BU49" s="88"/>
      <c r="BV49" s="88"/>
      <c r="BW49" s="88"/>
      <c r="BX49" s="97">
        <v>6</v>
      </c>
      <c r="BY49"/>
      <c r="BZ49"/>
      <c r="CA49"/>
      <c r="CB49"/>
      <c r="CC49"/>
      <c r="CD49"/>
      <c r="CE49"/>
      <c r="CF49"/>
      <c r="CG49"/>
      <c r="CH49"/>
      <c r="CI49"/>
      <c r="CJ49" s="342"/>
      <c r="CK49" s="342"/>
      <c r="CL49" s="342"/>
      <c r="CM49" s="342"/>
      <c r="CN49" s="342"/>
      <c r="CO49" s="342"/>
      <c r="CP49" s="342"/>
      <c r="CQ49" s="342"/>
      <c r="CR49" s="342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 s="346"/>
      <c r="DJ49" s="346"/>
      <c r="DK49" s="346"/>
      <c r="DL49" s="346"/>
      <c r="DM49" s="346"/>
      <c r="DN49" s="346"/>
      <c r="DO49" s="346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</row>
    <row r="50" spans="1:133" ht="16.5">
      <c r="A50" s="38" t="s">
        <v>787</v>
      </c>
      <c r="B50" s="38" t="s">
        <v>55</v>
      </c>
      <c r="C50" s="38" t="s">
        <v>1352</v>
      </c>
      <c r="D50" s="96"/>
      <c r="E50" s="88"/>
      <c r="F50" s="88"/>
      <c r="G50" s="88"/>
      <c r="H50" s="88"/>
      <c r="I50" s="88">
        <v>1</v>
      </c>
      <c r="J50" s="88"/>
      <c r="K50" s="88"/>
      <c r="L50" s="88"/>
      <c r="M50" s="97">
        <v>1</v>
      </c>
      <c r="N50"/>
      <c r="O50"/>
      <c r="P50" s="243"/>
      <c r="Q50" s="243"/>
      <c r="R50"/>
      <c r="S50" s="50" t="s">
        <v>878</v>
      </c>
      <c r="T50" s="51"/>
      <c r="U50" s="51"/>
      <c r="V50" s="98">
        <v>3</v>
      </c>
      <c r="W50" s="99"/>
      <c r="X50" s="99">
        <v>1</v>
      </c>
      <c r="Y50" s="99"/>
      <c r="Z50" s="99">
        <v>23.5</v>
      </c>
      <c r="AA50" s="99">
        <v>22</v>
      </c>
      <c r="AB50" s="99">
        <v>6</v>
      </c>
      <c r="AC50" s="99"/>
      <c r="AD50" s="99">
        <v>4</v>
      </c>
      <c r="AE50" s="100">
        <v>59.5</v>
      </c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 s="243"/>
      <c r="BJ50" s="243"/>
      <c r="BK50" s="243"/>
      <c r="BL50" s="243"/>
      <c r="BM50" s="243"/>
      <c r="BN50" s="243"/>
      <c r="BO50" s="50" t="s">
        <v>1739</v>
      </c>
      <c r="BP50" s="51"/>
      <c r="BQ50" s="51"/>
      <c r="BR50" s="98"/>
      <c r="BS50" s="99">
        <v>6</v>
      </c>
      <c r="BT50" s="99"/>
      <c r="BU50" s="99"/>
      <c r="BV50" s="99"/>
      <c r="BW50" s="99"/>
      <c r="BX50" s="100">
        <v>6</v>
      </c>
      <c r="BY50"/>
      <c r="BZ50"/>
      <c r="CA50"/>
      <c r="CB50"/>
      <c r="CC50"/>
      <c r="CD50"/>
      <c r="CE50"/>
      <c r="CF50"/>
      <c r="CG50"/>
      <c r="CH50"/>
      <c r="CI50"/>
      <c r="CJ50" s="342"/>
      <c r="CK50" s="342"/>
      <c r="CL50" s="342"/>
      <c r="CM50" s="342"/>
      <c r="CN50" s="342"/>
      <c r="CO50" s="342"/>
      <c r="CP50" s="342"/>
      <c r="CQ50" s="342"/>
      <c r="CR50" s="342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 s="346"/>
      <c r="DJ50" s="346"/>
      <c r="DK50" s="346"/>
      <c r="DL50" s="346"/>
      <c r="DM50" s="346"/>
      <c r="DN50" s="346"/>
      <c r="DO50" s="346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</row>
    <row r="51" spans="1:133" ht="16.5">
      <c r="A51" s="49"/>
      <c r="B51" s="87" t="s">
        <v>1349</v>
      </c>
      <c r="C51" s="82"/>
      <c r="D51" s="98"/>
      <c r="E51" s="99"/>
      <c r="F51" s="99"/>
      <c r="G51" s="99"/>
      <c r="H51" s="99"/>
      <c r="I51" s="99">
        <v>1</v>
      </c>
      <c r="J51" s="99"/>
      <c r="K51" s="99"/>
      <c r="L51" s="99"/>
      <c r="M51" s="100">
        <v>1</v>
      </c>
      <c r="N51"/>
      <c r="O51"/>
      <c r="P51" s="243"/>
      <c r="Q51" s="243"/>
      <c r="R51"/>
      <c r="S51" s="38" t="s">
        <v>6</v>
      </c>
      <c r="T51" s="38" t="s">
        <v>58</v>
      </c>
      <c r="U51" s="38" t="s">
        <v>1351</v>
      </c>
      <c r="V51" s="96"/>
      <c r="W51" s="88"/>
      <c r="X51" s="88"/>
      <c r="Y51" s="88"/>
      <c r="Z51" s="88">
        <v>2</v>
      </c>
      <c r="AA51" s="88">
        <v>2</v>
      </c>
      <c r="AB51" s="88"/>
      <c r="AC51" s="88"/>
      <c r="AD51" s="88"/>
      <c r="AE51" s="97">
        <v>4</v>
      </c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 s="243"/>
      <c r="BJ51" s="243"/>
      <c r="BK51" s="243"/>
      <c r="BL51" s="243"/>
      <c r="BM51" s="243"/>
      <c r="BN51" s="243"/>
      <c r="BO51" s="38" t="s">
        <v>1677</v>
      </c>
      <c r="BP51" s="38" t="s">
        <v>1214</v>
      </c>
      <c r="BQ51" s="38" t="s">
        <v>1545</v>
      </c>
      <c r="BR51" s="96">
        <v>4</v>
      </c>
      <c r="BS51" s="88"/>
      <c r="BT51" s="88"/>
      <c r="BU51" s="88"/>
      <c r="BV51" s="88"/>
      <c r="BW51" s="88"/>
      <c r="BX51" s="97">
        <v>4</v>
      </c>
      <c r="BY51"/>
      <c r="BZ51"/>
      <c r="CA51"/>
      <c r="CB51"/>
      <c r="CC51"/>
      <c r="CD51"/>
      <c r="CE51"/>
      <c r="CF51"/>
      <c r="CG51"/>
      <c r="CH51"/>
      <c r="CI51"/>
      <c r="CJ51" s="342"/>
      <c r="CK51" s="342"/>
      <c r="CL51" s="342"/>
      <c r="CM51" s="342"/>
      <c r="CN51" s="342"/>
      <c r="CO51" s="342"/>
      <c r="CP51" s="342"/>
      <c r="CQ51" s="342"/>
      <c r="CR51" s="342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 s="346"/>
      <c r="DJ51" s="346"/>
      <c r="DK51" s="346"/>
      <c r="DL51" s="346"/>
      <c r="DM51" s="346"/>
      <c r="DN51" s="346"/>
      <c r="DO51" s="346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</row>
    <row r="52" spans="1:133" ht="16.5">
      <c r="A52" s="49"/>
      <c r="B52" s="38" t="s">
        <v>379</v>
      </c>
      <c r="C52" s="38" t="s">
        <v>1743</v>
      </c>
      <c r="D52" s="96"/>
      <c r="E52" s="88"/>
      <c r="F52" s="88"/>
      <c r="G52" s="88"/>
      <c r="H52" s="88"/>
      <c r="I52" s="88"/>
      <c r="J52" s="88">
        <v>4</v>
      </c>
      <c r="K52" s="88"/>
      <c r="L52" s="88"/>
      <c r="M52" s="97">
        <v>4</v>
      </c>
      <c r="N52"/>
      <c r="O52"/>
      <c r="P52" s="243"/>
      <c r="Q52" s="243"/>
      <c r="R52"/>
      <c r="S52" s="49"/>
      <c r="T52" s="79" t="s">
        <v>1079</v>
      </c>
      <c r="U52" s="83"/>
      <c r="V52" s="101"/>
      <c r="W52" s="102"/>
      <c r="X52" s="102"/>
      <c r="Y52" s="102"/>
      <c r="Z52" s="102">
        <v>2</v>
      </c>
      <c r="AA52" s="102">
        <v>2</v>
      </c>
      <c r="AB52" s="102"/>
      <c r="AC52" s="102"/>
      <c r="AD52" s="102"/>
      <c r="AE52" s="103">
        <v>4</v>
      </c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 s="243"/>
      <c r="BJ52" s="243"/>
      <c r="BK52" s="243"/>
      <c r="BL52" s="243"/>
      <c r="BM52" s="243"/>
      <c r="BN52" s="243"/>
      <c r="BO52" s="49"/>
      <c r="BP52" s="49"/>
      <c r="BQ52" s="65" t="s">
        <v>1544</v>
      </c>
      <c r="BR52" s="250">
        <v>4</v>
      </c>
      <c r="BS52" s="351"/>
      <c r="BT52" s="351"/>
      <c r="BU52" s="351"/>
      <c r="BV52" s="351"/>
      <c r="BW52" s="351"/>
      <c r="BX52" s="251">
        <v>4</v>
      </c>
      <c r="BY52"/>
      <c r="BZ52"/>
      <c r="CA52"/>
      <c r="CB52"/>
      <c r="CC52"/>
      <c r="CD52"/>
      <c r="CE52"/>
      <c r="CF52"/>
      <c r="CG52"/>
      <c r="CH52"/>
      <c r="CI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 s="346"/>
      <c r="DJ52" s="346"/>
      <c r="DK52" s="346"/>
      <c r="DL52" s="346"/>
      <c r="DM52" s="346"/>
      <c r="DN52" s="346"/>
      <c r="DO52" s="346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</row>
    <row r="53" spans="1:133" ht="16.5">
      <c r="A53" s="49"/>
      <c r="B53" s="50" t="s">
        <v>2268</v>
      </c>
      <c r="C53" s="51"/>
      <c r="D53" s="98"/>
      <c r="E53" s="99"/>
      <c r="F53" s="99"/>
      <c r="G53" s="99"/>
      <c r="H53" s="99"/>
      <c r="I53" s="99"/>
      <c r="J53" s="99">
        <v>4</v>
      </c>
      <c r="K53" s="99"/>
      <c r="L53" s="99"/>
      <c r="M53" s="100">
        <v>4</v>
      </c>
      <c r="N53"/>
      <c r="O53"/>
      <c r="P53" s="243"/>
      <c r="Q53" s="243"/>
      <c r="R53"/>
      <c r="S53" s="49"/>
      <c r="T53" s="38" t="s">
        <v>787</v>
      </c>
      <c r="U53" s="38" t="s">
        <v>1352</v>
      </c>
      <c r="V53" s="96"/>
      <c r="W53" s="88"/>
      <c r="X53" s="88"/>
      <c r="Y53" s="88"/>
      <c r="Z53" s="88"/>
      <c r="AA53" s="88">
        <v>1</v>
      </c>
      <c r="AB53" s="88"/>
      <c r="AC53" s="88"/>
      <c r="AD53" s="88"/>
      <c r="AE53" s="97">
        <v>1</v>
      </c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 s="243"/>
      <c r="BJ53" s="243"/>
      <c r="BK53" s="243"/>
      <c r="BL53" s="243"/>
      <c r="BM53" s="243"/>
      <c r="BN53" s="243"/>
      <c r="BO53" s="49"/>
      <c r="BP53" s="49"/>
      <c r="BQ53" s="65" t="s">
        <v>1543</v>
      </c>
      <c r="BR53" s="250">
        <v>5.3333333333333339</v>
      </c>
      <c r="BS53" s="351"/>
      <c r="BT53" s="351"/>
      <c r="BU53" s="351"/>
      <c r="BV53" s="351"/>
      <c r="BW53" s="351">
        <v>2.6666666666666665</v>
      </c>
      <c r="BX53" s="251">
        <v>8</v>
      </c>
      <c r="BY53"/>
      <c r="BZ53"/>
      <c r="CA53"/>
      <c r="CB53"/>
      <c r="CC53"/>
      <c r="CD53"/>
      <c r="CE53"/>
      <c r="CF53"/>
      <c r="CG53"/>
      <c r="CH53"/>
      <c r="CI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 s="346"/>
      <c r="DJ53" s="346"/>
      <c r="DK53" s="346"/>
      <c r="DL53" s="346"/>
      <c r="DM53" s="346"/>
      <c r="DN53" s="346"/>
      <c r="DO53" s="346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</row>
    <row r="54" spans="1:133" ht="16.5">
      <c r="A54" s="79" t="s">
        <v>2026</v>
      </c>
      <c r="B54" s="83"/>
      <c r="C54" s="83"/>
      <c r="D54" s="101"/>
      <c r="E54" s="102"/>
      <c r="F54" s="102"/>
      <c r="G54" s="102"/>
      <c r="H54" s="102"/>
      <c r="I54" s="102">
        <v>1</v>
      </c>
      <c r="J54" s="102">
        <v>4</v>
      </c>
      <c r="K54" s="102"/>
      <c r="L54" s="102"/>
      <c r="M54" s="103">
        <v>5</v>
      </c>
      <c r="N54"/>
      <c r="O54"/>
      <c r="P54" s="243"/>
      <c r="Q54" s="243"/>
      <c r="R54"/>
      <c r="S54" s="49"/>
      <c r="T54" s="49"/>
      <c r="U54" s="65" t="s">
        <v>1743</v>
      </c>
      <c r="V54" s="250"/>
      <c r="W54" s="351"/>
      <c r="X54" s="351"/>
      <c r="Y54" s="351"/>
      <c r="Z54" s="351"/>
      <c r="AA54" s="351"/>
      <c r="AB54" s="351">
        <v>3</v>
      </c>
      <c r="AC54" s="351"/>
      <c r="AD54" s="351"/>
      <c r="AE54" s="251">
        <v>3</v>
      </c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 s="243"/>
      <c r="BJ54" s="243"/>
      <c r="BK54" s="243"/>
      <c r="BL54" s="243"/>
      <c r="BM54" s="243"/>
      <c r="BN54" s="243"/>
      <c r="BO54" s="50" t="s">
        <v>1738</v>
      </c>
      <c r="BP54" s="51"/>
      <c r="BQ54" s="51"/>
      <c r="BR54" s="98">
        <v>13.333333333333334</v>
      </c>
      <c r="BS54" s="99"/>
      <c r="BT54" s="99"/>
      <c r="BU54" s="99"/>
      <c r="BV54" s="99"/>
      <c r="BW54" s="99">
        <v>2.6666666666666665</v>
      </c>
      <c r="BX54" s="100">
        <v>16</v>
      </c>
      <c r="BY54"/>
      <c r="BZ54"/>
      <c r="CA54"/>
      <c r="CB54"/>
      <c r="CC54"/>
      <c r="CD54"/>
      <c r="CE54"/>
      <c r="CF54"/>
      <c r="CG54"/>
      <c r="CH54"/>
      <c r="CI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 s="346"/>
      <c r="DJ54" s="346"/>
      <c r="DK54" s="346"/>
      <c r="DL54" s="346"/>
      <c r="DM54" s="346"/>
      <c r="DN54" s="346"/>
      <c r="DO54" s="346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</row>
    <row r="55" spans="1:133" ht="16.5">
      <c r="A55" s="38" t="s">
        <v>52</v>
      </c>
      <c r="B55" s="38" t="s">
        <v>358</v>
      </c>
      <c r="C55" s="38" t="s">
        <v>1352</v>
      </c>
      <c r="D55" s="96"/>
      <c r="E55" s="88"/>
      <c r="F55" s="88"/>
      <c r="G55" s="88"/>
      <c r="H55" s="88"/>
      <c r="I55" s="88"/>
      <c r="J55" s="88">
        <v>1</v>
      </c>
      <c r="K55" s="88"/>
      <c r="L55" s="88"/>
      <c r="M55" s="97">
        <v>1</v>
      </c>
      <c r="N55"/>
      <c r="O55"/>
      <c r="P55" s="243"/>
      <c r="Q55" s="243"/>
      <c r="R55"/>
      <c r="S55" s="49"/>
      <c r="T55" s="79" t="s">
        <v>2026</v>
      </c>
      <c r="U55" s="83"/>
      <c r="V55" s="101"/>
      <c r="W55" s="102"/>
      <c r="X55" s="102"/>
      <c r="Y55" s="102"/>
      <c r="Z55" s="102"/>
      <c r="AA55" s="102">
        <v>1</v>
      </c>
      <c r="AB55" s="102">
        <v>3</v>
      </c>
      <c r="AC55" s="102"/>
      <c r="AD55" s="102"/>
      <c r="AE55" s="103">
        <v>4</v>
      </c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 s="243"/>
      <c r="BJ55" s="243"/>
      <c r="BK55" s="243"/>
      <c r="BL55" s="243"/>
      <c r="BM55" s="243"/>
      <c r="BN55" s="243"/>
      <c r="BO55" s="38" t="s">
        <v>47</v>
      </c>
      <c r="BP55" s="38" t="s">
        <v>1214</v>
      </c>
      <c r="BQ55" s="38" t="s">
        <v>1547</v>
      </c>
      <c r="BR55" s="96">
        <v>19.5</v>
      </c>
      <c r="BS55" s="88">
        <v>1</v>
      </c>
      <c r="BT55" s="88">
        <v>1</v>
      </c>
      <c r="BU55" s="88"/>
      <c r="BV55" s="88"/>
      <c r="BW55" s="88">
        <v>1</v>
      </c>
      <c r="BX55" s="97">
        <v>22.5</v>
      </c>
      <c r="BY55"/>
      <c r="BZ55"/>
      <c r="CA55"/>
      <c r="CB55"/>
      <c r="CC55"/>
      <c r="CD55"/>
      <c r="CE55"/>
      <c r="CF55"/>
      <c r="CG55"/>
      <c r="CH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 s="346"/>
      <c r="DJ55" s="346"/>
      <c r="DK55" s="346"/>
      <c r="DL55" s="346"/>
      <c r="DM55" s="346"/>
      <c r="DN55" s="346"/>
      <c r="DO55" s="346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</row>
    <row r="56" spans="1:133" ht="16.5">
      <c r="A56" s="49"/>
      <c r="B56" s="87" t="s">
        <v>2029</v>
      </c>
      <c r="C56" s="82"/>
      <c r="D56" s="98"/>
      <c r="E56" s="99"/>
      <c r="F56" s="99"/>
      <c r="G56" s="99"/>
      <c r="H56" s="99"/>
      <c r="I56" s="99"/>
      <c r="J56" s="99">
        <v>1</v>
      </c>
      <c r="K56" s="99"/>
      <c r="L56" s="99"/>
      <c r="M56" s="100">
        <v>1</v>
      </c>
      <c r="N56"/>
      <c r="O56"/>
      <c r="P56" s="243"/>
      <c r="Q56" s="243"/>
      <c r="R56"/>
      <c r="S56" s="49"/>
      <c r="T56" s="38" t="s">
        <v>52</v>
      </c>
      <c r="U56" s="38" t="s">
        <v>1351</v>
      </c>
      <c r="V56" s="96"/>
      <c r="W56" s="88"/>
      <c r="X56" s="88"/>
      <c r="Y56" s="88"/>
      <c r="Z56" s="88">
        <v>3</v>
      </c>
      <c r="AA56" s="88">
        <v>1.5</v>
      </c>
      <c r="AB56" s="88"/>
      <c r="AC56" s="88"/>
      <c r="AD56" s="88"/>
      <c r="AE56" s="97">
        <v>4.5</v>
      </c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 s="243"/>
      <c r="BJ56" s="243"/>
      <c r="BK56" s="243"/>
      <c r="BL56" s="243"/>
      <c r="BM56" s="243"/>
      <c r="BN56" s="243"/>
      <c r="BO56" s="49"/>
      <c r="BP56" s="49"/>
      <c r="BQ56" s="65" t="s">
        <v>1544</v>
      </c>
      <c r="BR56" s="250">
        <v>43.5</v>
      </c>
      <c r="BS56" s="351"/>
      <c r="BT56" s="351"/>
      <c r="BU56" s="351"/>
      <c r="BV56" s="351"/>
      <c r="BW56" s="351">
        <v>3</v>
      </c>
      <c r="BX56" s="251">
        <v>46.5</v>
      </c>
      <c r="BY56"/>
      <c r="BZ56"/>
      <c r="CA56"/>
      <c r="CB56"/>
      <c r="CC56"/>
      <c r="CD56"/>
      <c r="CE56"/>
      <c r="CF56"/>
      <c r="CG56"/>
      <c r="CH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 s="346"/>
      <c r="DJ56" s="346"/>
      <c r="DK56" s="346"/>
      <c r="DL56" s="346"/>
      <c r="DM56" s="346"/>
      <c r="DN56" s="346"/>
      <c r="DO56" s="34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</row>
    <row r="57" spans="1:133" ht="16.5">
      <c r="A57" s="49"/>
      <c r="B57" s="38" t="s">
        <v>249</v>
      </c>
      <c r="C57" s="38" t="s">
        <v>1351</v>
      </c>
      <c r="D57" s="96"/>
      <c r="E57" s="88"/>
      <c r="F57" s="88"/>
      <c r="G57" s="88"/>
      <c r="H57" s="88">
        <v>4</v>
      </c>
      <c r="I57" s="88">
        <v>1.5</v>
      </c>
      <c r="J57" s="88">
        <v>1.5</v>
      </c>
      <c r="K57" s="88"/>
      <c r="L57" s="88"/>
      <c r="M57" s="97">
        <v>7</v>
      </c>
      <c r="N57"/>
      <c r="O57"/>
      <c r="P57" s="243"/>
      <c r="Q57" s="243"/>
      <c r="R57"/>
      <c r="S57" s="49"/>
      <c r="T57" s="49"/>
      <c r="U57" s="65" t="s">
        <v>1352</v>
      </c>
      <c r="V57" s="250"/>
      <c r="W57" s="351"/>
      <c r="X57" s="351"/>
      <c r="Y57" s="351"/>
      <c r="Z57" s="351"/>
      <c r="AA57" s="351">
        <v>1</v>
      </c>
      <c r="AB57" s="351">
        <v>0.5</v>
      </c>
      <c r="AC57" s="351"/>
      <c r="AD57" s="351"/>
      <c r="AE57" s="251">
        <v>1.5</v>
      </c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 s="243"/>
      <c r="BJ57" s="243"/>
      <c r="BK57" s="243"/>
      <c r="BL57" s="243"/>
      <c r="BM57" s="243"/>
      <c r="BN57" s="243"/>
      <c r="BO57" s="49"/>
      <c r="BP57" s="49"/>
      <c r="BQ57" s="65" t="s">
        <v>1543</v>
      </c>
      <c r="BR57" s="250">
        <v>2</v>
      </c>
      <c r="BS57" s="351"/>
      <c r="BT57" s="351"/>
      <c r="BU57" s="351"/>
      <c r="BV57" s="351"/>
      <c r="BW57" s="351"/>
      <c r="BX57" s="251">
        <v>2</v>
      </c>
      <c r="BY57"/>
      <c r="BZ57"/>
      <c r="CA57"/>
      <c r="CB57"/>
      <c r="CC57"/>
      <c r="CD57"/>
      <c r="CE57"/>
      <c r="CF57"/>
      <c r="CG57"/>
      <c r="CH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 s="346"/>
      <c r="DJ57" s="346"/>
      <c r="DK57" s="346"/>
      <c r="DL57" s="346"/>
      <c r="DM57" s="346"/>
      <c r="DN57" s="346"/>
      <c r="DO57" s="346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</row>
    <row r="58" spans="1:133" ht="16.5">
      <c r="A58" s="49"/>
      <c r="B58" s="49"/>
      <c r="C58" s="65" t="s">
        <v>1352</v>
      </c>
      <c r="D58" s="250"/>
      <c r="E58" s="351"/>
      <c r="F58" s="351"/>
      <c r="G58" s="351"/>
      <c r="H58" s="351"/>
      <c r="I58" s="351">
        <v>1</v>
      </c>
      <c r="J58" s="351">
        <v>10</v>
      </c>
      <c r="K58" s="351"/>
      <c r="L58" s="351"/>
      <c r="M58" s="251">
        <v>11</v>
      </c>
      <c r="N58"/>
      <c r="O58"/>
      <c r="P58" s="243"/>
      <c r="Q58" s="243"/>
      <c r="R58"/>
      <c r="S58" s="49"/>
      <c r="T58" s="79" t="s">
        <v>1117</v>
      </c>
      <c r="U58" s="83"/>
      <c r="V58" s="101"/>
      <c r="W58" s="102"/>
      <c r="X58" s="102"/>
      <c r="Y58" s="102"/>
      <c r="Z58" s="102">
        <v>3</v>
      </c>
      <c r="AA58" s="102">
        <v>2.5</v>
      </c>
      <c r="AB58" s="102">
        <v>0.5</v>
      </c>
      <c r="AC58" s="102"/>
      <c r="AD58" s="102"/>
      <c r="AE58" s="103">
        <v>6</v>
      </c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 s="243"/>
      <c r="BJ58" s="243"/>
      <c r="BK58" s="243"/>
      <c r="BL58" s="243"/>
      <c r="BM58" s="243"/>
      <c r="BN58" s="243"/>
      <c r="BO58" s="50" t="s">
        <v>1091</v>
      </c>
      <c r="BP58" s="51"/>
      <c r="BQ58" s="51"/>
      <c r="BR58" s="98">
        <v>65</v>
      </c>
      <c r="BS58" s="99">
        <v>1</v>
      </c>
      <c r="BT58" s="99">
        <v>1</v>
      </c>
      <c r="BU58" s="99"/>
      <c r="BV58" s="99"/>
      <c r="BW58" s="99">
        <v>4</v>
      </c>
      <c r="BX58" s="100">
        <v>71</v>
      </c>
      <c r="BY58"/>
      <c r="BZ58"/>
      <c r="CA58"/>
      <c r="CB58"/>
      <c r="CC58"/>
      <c r="CD58"/>
      <c r="CE58"/>
      <c r="CF58"/>
      <c r="CG58"/>
      <c r="CH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 s="346"/>
      <c r="DJ58" s="346"/>
      <c r="DK58" s="346"/>
      <c r="DL58" s="346"/>
      <c r="DM58" s="346"/>
      <c r="DN58" s="346"/>
      <c r="DO58" s="346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</row>
    <row r="59" spans="1:133" ht="16.5">
      <c r="A59" s="49"/>
      <c r="B59" s="50" t="s">
        <v>1118</v>
      </c>
      <c r="C59" s="51"/>
      <c r="D59" s="98"/>
      <c r="E59" s="99"/>
      <c r="F59" s="99"/>
      <c r="G59" s="99"/>
      <c r="H59" s="99">
        <v>4</v>
      </c>
      <c r="I59" s="99">
        <v>2.5</v>
      </c>
      <c r="J59" s="99">
        <v>11.5</v>
      </c>
      <c r="K59" s="99"/>
      <c r="L59" s="99"/>
      <c r="M59" s="100">
        <v>18</v>
      </c>
      <c r="N59"/>
      <c r="O59"/>
      <c r="P59" s="243"/>
      <c r="Q59" s="243"/>
      <c r="R59"/>
      <c r="S59" s="49"/>
      <c r="T59" s="38" t="s">
        <v>32</v>
      </c>
      <c r="U59" s="38" t="s">
        <v>1351</v>
      </c>
      <c r="V59" s="96"/>
      <c r="W59" s="88"/>
      <c r="X59" s="88"/>
      <c r="Y59" s="88"/>
      <c r="Z59" s="88">
        <v>12</v>
      </c>
      <c r="AA59" s="88">
        <v>2</v>
      </c>
      <c r="AB59" s="88"/>
      <c r="AC59" s="88"/>
      <c r="AD59" s="88"/>
      <c r="AE59" s="97">
        <v>14</v>
      </c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 s="243"/>
      <c r="BJ59" s="243"/>
      <c r="BK59" s="243"/>
      <c r="BL59" s="243"/>
      <c r="BM59" s="243"/>
      <c r="BN59" s="243"/>
      <c r="BO59" s="38" t="s">
        <v>46</v>
      </c>
      <c r="BP59" s="38" t="s">
        <v>1214</v>
      </c>
      <c r="BQ59" s="38" t="s">
        <v>1742</v>
      </c>
      <c r="BR59" s="96">
        <v>12</v>
      </c>
      <c r="BS59" s="88"/>
      <c r="BT59" s="88"/>
      <c r="BU59" s="88"/>
      <c r="BV59" s="88"/>
      <c r="BW59" s="88"/>
      <c r="BX59" s="97">
        <v>12</v>
      </c>
      <c r="BY59"/>
      <c r="BZ59"/>
      <c r="CA59"/>
      <c r="CB59"/>
      <c r="CC59"/>
      <c r="CD59"/>
      <c r="CE59"/>
      <c r="CF59"/>
      <c r="CG59"/>
      <c r="CH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 s="346"/>
      <c r="DJ59" s="346"/>
      <c r="DK59" s="346"/>
      <c r="DL59" s="346"/>
      <c r="DM59" s="346"/>
      <c r="DN59" s="346"/>
      <c r="DO59" s="346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</row>
    <row r="60" spans="1:133" ht="16.5">
      <c r="A60" s="79" t="s">
        <v>1117</v>
      </c>
      <c r="B60" s="83"/>
      <c r="C60" s="83"/>
      <c r="D60" s="101"/>
      <c r="E60" s="102"/>
      <c r="F60" s="102"/>
      <c r="G60" s="102"/>
      <c r="H60" s="102">
        <v>4</v>
      </c>
      <c r="I60" s="102">
        <v>2.5</v>
      </c>
      <c r="J60" s="102">
        <v>12.5</v>
      </c>
      <c r="K60" s="102"/>
      <c r="L60" s="102"/>
      <c r="M60" s="103">
        <v>19</v>
      </c>
      <c r="N60"/>
      <c r="O60"/>
      <c r="P60" s="243"/>
      <c r="Q60" s="243"/>
      <c r="R60"/>
      <c r="S60" s="49"/>
      <c r="T60" s="49"/>
      <c r="U60" s="65" t="s">
        <v>1350</v>
      </c>
      <c r="V60" s="250"/>
      <c r="W60" s="351"/>
      <c r="X60" s="351"/>
      <c r="Y60" s="351"/>
      <c r="Z60" s="351">
        <v>22.5</v>
      </c>
      <c r="AA60" s="351">
        <v>48</v>
      </c>
      <c r="AB60" s="351">
        <v>2</v>
      </c>
      <c r="AC60" s="351"/>
      <c r="AD60" s="351"/>
      <c r="AE60" s="251">
        <v>72.5</v>
      </c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 s="243"/>
      <c r="BJ60" s="243"/>
      <c r="BK60" s="243"/>
      <c r="BL60" s="243"/>
      <c r="BM60" s="243"/>
      <c r="BN60" s="243"/>
      <c r="BO60" s="50" t="s">
        <v>1541</v>
      </c>
      <c r="BP60" s="51"/>
      <c r="BQ60" s="51"/>
      <c r="BR60" s="98">
        <v>12</v>
      </c>
      <c r="BS60" s="99"/>
      <c r="BT60" s="99"/>
      <c r="BU60" s="99"/>
      <c r="BV60" s="99"/>
      <c r="BW60" s="99"/>
      <c r="BX60" s="100">
        <v>12</v>
      </c>
      <c r="BY60"/>
      <c r="BZ60"/>
      <c r="CA60"/>
      <c r="CB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 s="346"/>
      <c r="DJ60" s="346"/>
      <c r="DK60" s="346"/>
      <c r="DL60" s="346"/>
      <c r="DM60" s="346"/>
      <c r="DN60" s="346"/>
      <c r="DO60" s="346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</row>
    <row r="61" spans="1:133" ht="16.5">
      <c r="A61" s="38" t="s">
        <v>32</v>
      </c>
      <c r="B61" s="38" t="s">
        <v>38</v>
      </c>
      <c r="C61" s="38" t="s">
        <v>1351</v>
      </c>
      <c r="D61" s="96"/>
      <c r="E61" s="88"/>
      <c r="F61" s="88"/>
      <c r="G61" s="88"/>
      <c r="H61" s="88">
        <v>6</v>
      </c>
      <c r="I61" s="88"/>
      <c r="J61" s="88"/>
      <c r="K61" s="88"/>
      <c r="L61" s="88"/>
      <c r="M61" s="97">
        <v>6</v>
      </c>
      <c r="N61"/>
      <c r="O61"/>
      <c r="P61" s="243"/>
      <c r="Q61" s="243"/>
      <c r="R61"/>
      <c r="S61" s="49"/>
      <c r="T61" s="49"/>
      <c r="U61" s="65" t="s">
        <v>1352</v>
      </c>
      <c r="V61" s="250"/>
      <c r="W61" s="351"/>
      <c r="X61" s="351"/>
      <c r="Y61" s="351"/>
      <c r="Z61" s="351">
        <v>2</v>
      </c>
      <c r="AA61" s="351">
        <v>19</v>
      </c>
      <c r="AB61" s="351"/>
      <c r="AC61" s="351"/>
      <c r="AD61" s="351"/>
      <c r="AE61" s="251">
        <v>21</v>
      </c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 s="243"/>
      <c r="BJ61" s="243"/>
      <c r="BK61" s="243"/>
      <c r="BL61" s="243"/>
      <c r="BM61" s="243"/>
      <c r="BN61" s="243"/>
      <c r="BO61" s="38" t="s">
        <v>1218</v>
      </c>
      <c r="BP61" s="38" t="s">
        <v>1214</v>
      </c>
      <c r="BQ61" s="38" t="s">
        <v>1543</v>
      </c>
      <c r="BR61" s="96"/>
      <c r="BS61" s="88"/>
      <c r="BT61" s="88"/>
      <c r="BU61" s="88"/>
      <c r="BV61" s="88"/>
      <c r="BW61" s="88">
        <v>0.5</v>
      </c>
      <c r="BX61" s="97">
        <v>0.5</v>
      </c>
      <c r="BY61"/>
      <c r="BZ61"/>
      <c r="CA61"/>
      <c r="CB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 s="346"/>
      <c r="DJ61" s="346"/>
      <c r="DK61" s="346"/>
      <c r="DL61" s="346"/>
      <c r="DM61" s="346"/>
      <c r="DN61" s="346"/>
      <c r="DO61" s="346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</row>
    <row r="62" spans="1:133" ht="16.5">
      <c r="A62" s="49"/>
      <c r="B62" s="49"/>
      <c r="C62" s="65" t="s">
        <v>1350</v>
      </c>
      <c r="D62" s="250"/>
      <c r="E62" s="351"/>
      <c r="F62" s="351"/>
      <c r="G62" s="351"/>
      <c r="H62" s="351">
        <v>3</v>
      </c>
      <c r="I62" s="351"/>
      <c r="J62" s="351"/>
      <c r="K62" s="351"/>
      <c r="L62" s="351"/>
      <c r="M62" s="251">
        <v>3</v>
      </c>
      <c r="N62"/>
      <c r="O62"/>
      <c r="P62" s="243"/>
      <c r="Q62" s="243"/>
      <c r="R62"/>
      <c r="S62" s="49"/>
      <c r="T62" s="49"/>
      <c r="U62" s="65" t="s">
        <v>1743</v>
      </c>
      <c r="V62" s="250">
        <v>0.5</v>
      </c>
      <c r="W62" s="351"/>
      <c r="X62" s="351"/>
      <c r="Y62" s="351"/>
      <c r="Z62" s="351"/>
      <c r="AA62" s="351">
        <v>2</v>
      </c>
      <c r="AB62" s="351">
        <v>14</v>
      </c>
      <c r="AC62" s="351"/>
      <c r="AD62" s="351"/>
      <c r="AE62" s="251">
        <v>16.5</v>
      </c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 s="243"/>
      <c r="BJ62" s="243"/>
      <c r="BK62" s="243"/>
      <c r="BL62" s="243"/>
      <c r="BM62" s="243"/>
      <c r="BN62" s="243"/>
      <c r="BO62" s="50" t="s">
        <v>1219</v>
      </c>
      <c r="BP62" s="51"/>
      <c r="BQ62" s="51"/>
      <c r="BR62" s="98"/>
      <c r="BS62" s="99"/>
      <c r="BT62" s="99"/>
      <c r="BU62" s="99"/>
      <c r="BV62" s="99"/>
      <c r="BW62" s="99">
        <v>0.5</v>
      </c>
      <c r="BX62" s="100">
        <v>0.5</v>
      </c>
      <c r="BY62"/>
      <c r="BZ62"/>
      <c r="CA62"/>
      <c r="CB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 s="346"/>
      <c r="DJ62" s="346"/>
      <c r="DK62" s="346"/>
      <c r="DL62" s="346"/>
      <c r="DM62" s="346"/>
      <c r="DN62" s="346"/>
      <c r="DO62" s="346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</row>
    <row r="63" spans="1:133" ht="16.5">
      <c r="A63" s="49"/>
      <c r="B63" s="49"/>
      <c r="C63" s="65" t="s">
        <v>1352</v>
      </c>
      <c r="D63" s="250"/>
      <c r="E63" s="351"/>
      <c r="F63" s="351"/>
      <c r="G63" s="351"/>
      <c r="H63" s="351">
        <v>1</v>
      </c>
      <c r="I63" s="351"/>
      <c r="J63" s="351"/>
      <c r="K63" s="351"/>
      <c r="L63" s="351"/>
      <c r="M63" s="251">
        <v>1</v>
      </c>
      <c r="N63"/>
      <c r="O63"/>
      <c r="P63" s="243"/>
      <c r="Q63" s="243"/>
      <c r="R63"/>
      <c r="S63" s="49"/>
      <c r="T63" s="54" t="s">
        <v>1086</v>
      </c>
      <c r="U63" s="55"/>
      <c r="V63" s="101">
        <v>0.5</v>
      </c>
      <c r="W63" s="102"/>
      <c r="X63" s="102"/>
      <c r="Y63" s="102"/>
      <c r="Z63" s="102">
        <v>36.5</v>
      </c>
      <c r="AA63" s="102">
        <v>71</v>
      </c>
      <c r="AB63" s="102">
        <v>16</v>
      </c>
      <c r="AC63" s="102"/>
      <c r="AD63" s="102"/>
      <c r="AE63" s="103">
        <v>124</v>
      </c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 s="243"/>
      <c r="BJ63" s="243"/>
      <c r="BK63" s="243"/>
      <c r="BL63" s="243"/>
      <c r="BM63" s="243"/>
      <c r="BN63" s="243"/>
      <c r="BO63" s="86" t="s">
        <v>4</v>
      </c>
      <c r="BP63" s="84"/>
      <c r="BQ63" s="84"/>
      <c r="BR63" s="104">
        <v>222.16666666666669</v>
      </c>
      <c r="BS63" s="105">
        <v>8</v>
      </c>
      <c r="BT63" s="105">
        <v>1</v>
      </c>
      <c r="BU63" s="105">
        <v>1</v>
      </c>
      <c r="BV63" s="105">
        <v>5</v>
      </c>
      <c r="BW63" s="105">
        <v>7.833333333333333</v>
      </c>
      <c r="BX63" s="106">
        <v>245</v>
      </c>
      <c r="BY63"/>
      <c r="BZ63"/>
      <c r="CA63"/>
      <c r="CB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 s="346"/>
      <c r="DJ63" s="346"/>
      <c r="DK63" s="346"/>
      <c r="DL63" s="346"/>
      <c r="DM63" s="346"/>
      <c r="DN63" s="346"/>
      <c r="DO63" s="346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</row>
    <row r="64" spans="1:133" ht="16.5">
      <c r="A64" s="49"/>
      <c r="B64" s="49"/>
      <c r="C64" s="65" t="s">
        <v>1743</v>
      </c>
      <c r="D64" s="250"/>
      <c r="E64" s="351"/>
      <c r="F64" s="351"/>
      <c r="G64" s="351"/>
      <c r="H64" s="351"/>
      <c r="I64" s="351">
        <v>2</v>
      </c>
      <c r="J64" s="351">
        <v>4</v>
      </c>
      <c r="K64" s="351"/>
      <c r="L64" s="351"/>
      <c r="M64" s="251">
        <v>6</v>
      </c>
      <c r="N64"/>
      <c r="O64"/>
      <c r="P64" s="243"/>
      <c r="Q64" s="243"/>
      <c r="R64"/>
      <c r="S64" s="49"/>
      <c r="T64" s="38" t="s">
        <v>51</v>
      </c>
      <c r="U64" s="38" t="s">
        <v>1351</v>
      </c>
      <c r="V64" s="96"/>
      <c r="W64" s="88"/>
      <c r="X64" s="88"/>
      <c r="Y64" s="88"/>
      <c r="Z64" s="88">
        <v>4.5</v>
      </c>
      <c r="AA64" s="88">
        <v>1.5</v>
      </c>
      <c r="AB64" s="88"/>
      <c r="AC64" s="88"/>
      <c r="AD64" s="88"/>
      <c r="AE64" s="97">
        <v>6</v>
      </c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 s="243"/>
      <c r="BJ64" s="243"/>
      <c r="BK64" s="243"/>
      <c r="BL64" s="243"/>
      <c r="BM64" s="243"/>
      <c r="BN64" s="243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 s="346"/>
      <c r="DJ64" s="346"/>
      <c r="DK64" s="346"/>
      <c r="DL64" s="346"/>
      <c r="DM64" s="346"/>
      <c r="DN64" s="346"/>
      <c r="DO64" s="346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</row>
    <row r="65" spans="1:133" ht="16.5">
      <c r="A65" s="49"/>
      <c r="B65" s="50" t="s">
        <v>853</v>
      </c>
      <c r="C65" s="51"/>
      <c r="D65" s="98"/>
      <c r="E65" s="99"/>
      <c r="F65" s="99"/>
      <c r="G65" s="99"/>
      <c r="H65" s="99">
        <v>10</v>
      </c>
      <c r="I65" s="99">
        <v>2</v>
      </c>
      <c r="J65" s="99">
        <v>4</v>
      </c>
      <c r="K65" s="99"/>
      <c r="L65" s="99"/>
      <c r="M65" s="100">
        <v>16</v>
      </c>
      <c r="N65"/>
      <c r="O65"/>
      <c r="P65" s="243"/>
      <c r="Q65" s="243"/>
      <c r="R65"/>
      <c r="S65" s="49"/>
      <c r="T65" s="49"/>
      <c r="U65" s="65" t="s">
        <v>1743</v>
      </c>
      <c r="V65" s="250"/>
      <c r="W65" s="351"/>
      <c r="X65" s="351"/>
      <c r="Y65" s="351"/>
      <c r="Z65" s="351"/>
      <c r="AA65" s="351"/>
      <c r="AB65" s="351">
        <v>4.166666666666667</v>
      </c>
      <c r="AC65" s="351"/>
      <c r="AD65" s="351"/>
      <c r="AE65" s="251">
        <v>4.166666666666667</v>
      </c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 s="243"/>
      <c r="BJ65" s="243"/>
      <c r="BK65" s="243"/>
      <c r="BL65" s="243"/>
      <c r="BM65" s="243"/>
      <c r="BN65" s="243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 s="346"/>
      <c r="DJ65" s="346"/>
      <c r="DK65" s="346"/>
      <c r="DL65" s="346"/>
      <c r="DM65" s="346"/>
      <c r="DN65" s="346"/>
      <c r="DO65" s="346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</row>
    <row r="66" spans="1:133" ht="16.5">
      <c r="A66" s="49"/>
      <c r="B66" s="38" t="s">
        <v>60</v>
      </c>
      <c r="C66" s="38" t="s">
        <v>1352</v>
      </c>
      <c r="D66" s="96"/>
      <c r="E66" s="88"/>
      <c r="F66" s="88"/>
      <c r="G66" s="88"/>
      <c r="H66" s="88"/>
      <c r="I66" s="88">
        <v>5</v>
      </c>
      <c r="J66" s="88"/>
      <c r="K66" s="88"/>
      <c r="L66" s="88"/>
      <c r="M66" s="97">
        <v>5</v>
      </c>
      <c r="N66"/>
      <c r="O66"/>
      <c r="P66" s="243"/>
      <c r="Q66" s="243"/>
      <c r="R66"/>
      <c r="S66" s="49"/>
      <c r="T66" s="54" t="s">
        <v>1088</v>
      </c>
      <c r="U66" s="55"/>
      <c r="V66" s="101"/>
      <c r="W66" s="102"/>
      <c r="X66" s="102"/>
      <c r="Y66" s="102"/>
      <c r="Z66" s="102">
        <v>4.5</v>
      </c>
      <c r="AA66" s="102">
        <v>1.5</v>
      </c>
      <c r="AB66" s="102">
        <v>4.166666666666667</v>
      </c>
      <c r="AC66" s="102"/>
      <c r="AD66" s="102"/>
      <c r="AE66" s="103">
        <v>10.166666666666668</v>
      </c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 s="243"/>
      <c r="BJ66" s="243"/>
      <c r="BK66" s="243"/>
      <c r="BL66" s="243"/>
      <c r="BM66" s="243"/>
      <c r="BN66" s="243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 s="346"/>
      <c r="DJ66" s="346"/>
      <c r="DK66" s="346"/>
      <c r="DL66" s="346"/>
      <c r="DM66" s="346"/>
      <c r="DN66" s="346"/>
      <c r="DO66" s="34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</row>
    <row r="67" spans="1:133" ht="16.5">
      <c r="A67" s="49"/>
      <c r="B67" s="50" t="s">
        <v>856</v>
      </c>
      <c r="C67" s="51"/>
      <c r="D67" s="98"/>
      <c r="E67" s="99"/>
      <c r="F67" s="99"/>
      <c r="G67" s="99"/>
      <c r="H67" s="99"/>
      <c r="I67" s="99">
        <v>5</v>
      </c>
      <c r="J67" s="99"/>
      <c r="K67" s="99"/>
      <c r="L67" s="99"/>
      <c r="M67" s="100">
        <v>5</v>
      </c>
      <c r="N67"/>
      <c r="O67"/>
      <c r="P67" s="243"/>
      <c r="Q67" s="243"/>
      <c r="R67"/>
      <c r="S67" s="49"/>
      <c r="T67" s="38" t="s">
        <v>3</v>
      </c>
      <c r="U67" s="38" t="s">
        <v>1351</v>
      </c>
      <c r="V67" s="96"/>
      <c r="W67" s="88"/>
      <c r="X67" s="88"/>
      <c r="Y67" s="88"/>
      <c r="Z67" s="88">
        <v>6</v>
      </c>
      <c r="AA67" s="88"/>
      <c r="AB67" s="88"/>
      <c r="AC67" s="88"/>
      <c r="AD67" s="88"/>
      <c r="AE67" s="97">
        <v>6</v>
      </c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 s="243"/>
      <c r="BJ67" s="243"/>
      <c r="BK67" s="243"/>
      <c r="BL67" s="243"/>
      <c r="BM67" s="243"/>
      <c r="BN67" s="243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 s="346"/>
      <c r="DJ67" s="346"/>
      <c r="DK67" s="346"/>
      <c r="DL67" s="346"/>
      <c r="DM67" s="346"/>
      <c r="DN67" s="346"/>
      <c r="DO67" s="346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</row>
    <row r="68" spans="1:133" ht="16.5">
      <c r="A68" s="49"/>
      <c r="B68" s="38" t="s">
        <v>33</v>
      </c>
      <c r="C68" s="38" t="s">
        <v>1351</v>
      </c>
      <c r="D68" s="96"/>
      <c r="E68" s="88"/>
      <c r="F68" s="88"/>
      <c r="G68" s="88">
        <v>1</v>
      </c>
      <c r="H68" s="88">
        <v>4</v>
      </c>
      <c r="I68" s="88"/>
      <c r="J68" s="88"/>
      <c r="K68" s="88"/>
      <c r="L68" s="88"/>
      <c r="M68" s="97">
        <v>5</v>
      </c>
      <c r="N68"/>
      <c r="O68"/>
      <c r="P68" s="243"/>
      <c r="Q68" s="243"/>
      <c r="R68"/>
      <c r="S68" s="49"/>
      <c r="T68" s="49"/>
      <c r="U68" s="65" t="s">
        <v>1352</v>
      </c>
      <c r="V68" s="250"/>
      <c r="W68" s="351"/>
      <c r="X68" s="351"/>
      <c r="Y68" s="351"/>
      <c r="Z68" s="351"/>
      <c r="AA68" s="351">
        <v>11</v>
      </c>
      <c r="AB68" s="351"/>
      <c r="AC68" s="351"/>
      <c r="AD68" s="351"/>
      <c r="AE68" s="251">
        <v>11</v>
      </c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 s="243"/>
      <c r="BJ68" s="243"/>
      <c r="BK68" s="243"/>
      <c r="BL68" s="243"/>
      <c r="BM68" s="243"/>
      <c r="BN68" s="243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 s="346"/>
      <c r="DJ68" s="346"/>
      <c r="DK68" s="346"/>
      <c r="DL68" s="346"/>
      <c r="DM68" s="346"/>
      <c r="DN68" s="346"/>
      <c r="DO68" s="346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</row>
    <row r="69" spans="1:133" ht="16.5">
      <c r="A69" s="49"/>
      <c r="B69" s="49"/>
      <c r="C69" s="65" t="s">
        <v>1350</v>
      </c>
      <c r="D69" s="250"/>
      <c r="E69" s="351"/>
      <c r="F69" s="351"/>
      <c r="G69" s="351"/>
      <c r="H69" s="351">
        <v>2</v>
      </c>
      <c r="I69" s="351"/>
      <c r="J69" s="351"/>
      <c r="K69" s="351"/>
      <c r="L69" s="351"/>
      <c r="M69" s="251">
        <v>2</v>
      </c>
      <c r="N69"/>
      <c r="O69"/>
      <c r="P69" s="243"/>
      <c r="Q69" s="243"/>
      <c r="R69"/>
      <c r="S69" s="49"/>
      <c r="T69" s="49"/>
      <c r="U69" s="65" t="s">
        <v>1743</v>
      </c>
      <c r="V69" s="250"/>
      <c r="W69" s="351"/>
      <c r="X69" s="351"/>
      <c r="Y69" s="351"/>
      <c r="Z69" s="351"/>
      <c r="AA69" s="351"/>
      <c r="AB69" s="351">
        <v>2</v>
      </c>
      <c r="AC69" s="351"/>
      <c r="AD69" s="351"/>
      <c r="AE69" s="251">
        <v>2</v>
      </c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 s="243"/>
      <c r="BJ69" s="243"/>
      <c r="BK69" s="243"/>
      <c r="BL69" s="243"/>
      <c r="BM69" s="243"/>
      <c r="BN69" s="243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 s="346"/>
      <c r="DJ69" s="346"/>
      <c r="DK69" s="346"/>
      <c r="DL69" s="346"/>
      <c r="DM69" s="346"/>
      <c r="DN69" s="346"/>
      <c r="DO69" s="346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</row>
    <row r="70" spans="1:133" ht="16.5">
      <c r="A70" s="49"/>
      <c r="B70" s="49"/>
      <c r="C70" s="65" t="s">
        <v>1352</v>
      </c>
      <c r="D70" s="250"/>
      <c r="E70" s="351"/>
      <c r="F70" s="351"/>
      <c r="G70" s="351"/>
      <c r="H70" s="351"/>
      <c r="I70" s="351">
        <v>2</v>
      </c>
      <c r="J70" s="351"/>
      <c r="K70" s="351"/>
      <c r="L70" s="351"/>
      <c r="M70" s="251">
        <v>2</v>
      </c>
      <c r="N70"/>
      <c r="O70"/>
      <c r="P70" s="243"/>
      <c r="Q70" s="243"/>
      <c r="R70"/>
      <c r="S70" s="49"/>
      <c r="T70" s="49"/>
      <c r="U70" s="65" t="s">
        <v>2068</v>
      </c>
      <c r="V70" s="250"/>
      <c r="W70" s="351"/>
      <c r="X70" s="351"/>
      <c r="Y70" s="351"/>
      <c r="Z70" s="351"/>
      <c r="AA70" s="351"/>
      <c r="AB70" s="351"/>
      <c r="AC70" s="351"/>
      <c r="AD70" s="351">
        <v>6</v>
      </c>
      <c r="AE70" s="251">
        <v>6</v>
      </c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 s="243"/>
      <c r="BJ70" s="243"/>
      <c r="BK70" s="243"/>
      <c r="BL70" s="243"/>
      <c r="BM70" s="243"/>
      <c r="BN70" s="243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 s="346"/>
      <c r="DJ70" s="346"/>
      <c r="DK70" s="346"/>
      <c r="DL70" s="346"/>
      <c r="DM70" s="346"/>
      <c r="DN70" s="346"/>
      <c r="DO70" s="346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</row>
    <row r="71" spans="1:133" ht="16.5">
      <c r="A71" s="49"/>
      <c r="B71" s="50" t="s">
        <v>854</v>
      </c>
      <c r="C71" s="51"/>
      <c r="D71" s="98"/>
      <c r="E71" s="99"/>
      <c r="F71" s="99"/>
      <c r="G71" s="99">
        <v>1</v>
      </c>
      <c r="H71" s="99">
        <v>6</v>
      </c>
      <c r="I71" s="99">
        <v>2</v>
      </c>
      <c r="J71" s="99"/>
      <c r="K71" s="99"/>
      <c r="L71" s="99"/>
      <c r="M71" s="100">
        <v>9</v>
      </c>
      <c r="N71"/>
      <c r="O71"/>
      <c r="P71" s="243"/>
      <c r="Q71" s="243"/>
      <c r="R71"/>
      <c r="S71" s="49"/>
      <c r="T71" s="54" t="s">
        <v>1087</v>
      </c>
      <c r="U71" s="55"/>
      <c r="V71" s="101"/>
      <c r="W71" s="102"/>
      <c r="X71" s="102"/>
      <c r="Y71" s="102"/>
      <c r="Z71" s="102">
        <v>6</v>
      </c>
      <c r="AA71" s="102">
        <v>11</v>
      </c>
      <c r="AB71" s="102">
        <v>2</v>
      </c>
      <c r="AC71" s="102"/>
      <c r="AD71" s="102">
        <v>6</v>
      </c>
      <c r="AE71" s="103">
        <v>25</v>
      </c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 s="243"/>
      <c r="BJ71" s="243"/>
      <c r="BK71" s="243"/>
      <c r="BL71" s="243"/>
      <c r="BM71" s="243"/>
      <c r="BN71" s="243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 s="346"/>
      <c r="DJ71" s="346"/>
      <c r="DK71" s="346"/>
      <c r="DL71" s="346"/>
      <c r="DM71" s="346"/>
      <c r="DN71" s="346"/>
      <c r="DO71" s="346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</row>
    <row r="72" spans="1:133" ht="16.5">
      <c r="A72" s="49"/>
      <c r="B72" s="38" t="s">
        <v>35</v>
      </c>
      <c r="C72" s="38" t="s">
        <v>1351</v>
      </c>
      <c r="D72" s="96"/>
      <c r="E72" s="88"/>
      <c r="F72" s="88"/>
      <c r="G72" s="88"/>
      <c r="H72" s="88">
        <v>2</v>
      </c>
      <c r="I72" s="88">
        <v>1</v>
      </c>
      <c r="J72" s="88"/>
      <c r="K72" s="88"/>
      <c r="L72" s="88"/>
      <c r="M72" s="97">
        <v>3</v>
      </c>
      <c r="N72"/>
      <c r="O72"/>
      <c r="P72" s="243"/>
      <c r="Q72" s="243"/>
      <c r="R72"/>
      <c r="S72" s="49"/>
      <c r="T72" s="38" t="s">
        <v>47</v>
      </c>
      <c r="U72" s="38" t="s">
        <v>1352</v>
      </c>
      <c r="V72" s="96"/>
      <c r="W72" s="88"/>
      <c r="X72" s="88"/>
      <c r="Y72" s="88"/>
      <c r="Z72" s="88"/>
      <c r="AA72" s="88">
        <v>7</v>
      </c>
      <c r="AB72" s="88"/>
      <c r="AC72" s="88"/>
      <c r="AD72" s="88"/>
      <c r="AE72" s="97">
        <v>7</v>
      </c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 s="243"/>
      <c r="BJ72" s="243"/>
      <c r="BK72" s="243"/>
      <c r="BL72" s="243"/>
      <c r="BM72" s="243"/>
      <c r="BN72" s="243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 s="346"/>
      <c r="DJ72" s="346"/>
      <c r="DK72" s="346"/>
      <c r="DL72" s="346"/>
      <c r="DM72" s="346"/>
      <c r="DN72" s="346"/>
      <c r="DO72" s="346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</row>
    <row r="73" spans="1:133" ht="16.5">
      <c r="A73" s="49"/>
      <c r="B73" s="49"/>
      <c r="C73" s="65" t="s">
        <v>1350</v>
      </c>
      <c r="D73" s="250"/>
      <c r="E73" s="351"/>
      <c r="F73" s="351"/>
      <c r="G73" s="351"/>
      <c r="H73" s="351">
        <v>9</v>
      </c>
      <c r="I73" s="351">
        <v>43</v>
      </c>
      <c r="J73" s="351">
        <v>3</v>
      </c>
      <c r="K73" s="351"/>
      <c r="L73" s="351"/>
      <c r="M73" s="251">
        <v>55</v>
      </c>
      <c r="N73"/>
      <c r="O73"/>
      <c r="P73" s="243"/>
      <c r="Q73" s="243"/>
      <c r="R73"/>
      <c r="S73" s="49"/>
      <c r="T73" s="54" t="s">
        <v>1091</v>
      </c>
      <c r="U73" s="55"/>
      <c r="V73" s="101"/>
      <c r="W73" s="102"/>
      <c r="X73" s="102"/>
      <c r="Y73" s="102"/>
      <c r="Z73" s="102"/>
      <c r="AA73" s="102">
        <v>7</v>
      </c>
      <c r="AB73" s="102"/>
      <c r="AC73" s="102"/>
      <c r="AD73" s="102"/>
      <c r="AE73" s="103">
        <v>7</v>
      </c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 s="243"/>
      <c r="BJ73" s="243"/>
      <c r="BK73" s="243"/>
      <c r="BL73" s="243"/>
      <c r="BM73" s="243"/>
      <c r="BN73" s="24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 s="346"/>
      <c r="DJ73" s="346"/>
      <c r="DK73" s="346"/>
      <c r="DL73" s="346"/>
      <c r="DM73" s="346"/>
      <c r="DN73" s="346"/>
      <c r="DO73" s="346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</row>
    <row r="74" spans="1:133" ht="16.5">
      <c r="A74" s="49"/>
      <c r="B74" s="49"/>
      <c r="C74" s="65" t="s">
        <v>1352</v>
      </c>
      <c r="D74" s="250"/>
      <c r="E74" s="351"/>
      <c r="F74" s="351"/>
      <c r="G74" s="351"/>
      <c r="H74" s="351">
        <v>1</v>
      </c>
      <c r="I74" s="351">
        <v>9</v>
      </c>
      <c r="J74" s="351"/>
      <c r="K74" s="351"/>
      <c r="L74" s="351"/>
      <c r="M74" s="251">
        <v>10</v>
      </c>
      <c r="N74"/>
      <c r="O74"/>
      <c r="P74" s="243"/>
      <c r="Q74" s="243"/>
      <c r="R74"/>
      <c r="S74" s="49"/>
      <c r="T74" s="38" t="s">
        <v>39</v>
      </c>
      <c r="U74" s="38" t="s">
        <v>1351</v>
      </c>
      <c r="V74" s="96"/>
      <c r="W74" s="88"/>
      <c r="X74" s="88"/>
      <c r="Y74" s="88"/>
      <c r="Z74" s="88">
        <v>12</v>
      </c>
      <c r="AA74" s="88">
        <v>1</v>
      </c>
      <c r="AB74" s="88"/>
      <c r="AC74" s="88"/>
      <c r="AD74" s="88"/>
      <c r="AE74" s="97">
        <v>13</v>
      </c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 s="243"/>
      <c r="BJ74" s="243"/>
      <c r="BK74" s="243"/>
      <c r="BL74" s="243"/>
      <c r="BM74" s="243"/>
      <c r="BN74" s="243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 s="346"/>
      <c r="DJ74" s="346"/>
      <c r="DK74" s="346"/>
      <c r="DL74" s="346"/>
      <c r="DM74" s="346"/>
      <c r="DN74" s="346"/>
      <c r="DO74" s="346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</row>
    <row r="75" spans="1:133" ht="16.5">
      <c r="A75" s="49"/>
      <c r="B75" s="49"/>
      <c r="C75" s="65" t="s">
        <v>1743</v>
      </c>
      <c r="D75" s="250"/>
      <c r="E75" s="351"/>
      <c r="F75" s="351"/>
      <c r="G75" s="351"/>
      <c r="H75" s="351"/>
      <c r="I75" s="351"/>
      <c r="J75" s="351">
        <v>1</v>
      </c>
      <c r="K75" s="351"/>
      <c r="L75" s="351"/>
      <c r="M75" s="251">
        <v>1</v>
      </c>
      <c r="N75"/>
      <c r="O75"/>
      <c r="P75" s="243"/>
      <c r="Q75" s="243"/>
      <c r="R75"/>
      <c r="S75" s="49"/>
      <c r="T75" s="54" t="s">
        <v>1457</v>
      </c>
      <c r="U75" s="55"/>
      <c r="V75" s="101"/>
      <c r="W75" s="102"/>
      <c r="X75" s="102"/>
      <c r="Y75" s="102"/>
      <c r="Z75" s="102">
        <v>12</v>
      </c>
      <c r="AA75" s="102">
        <v>1</v>
      </c>
      <c r="AB75" s="102"/>
      <c r="AC75" s="102"/>
      <c r="AD75" s="102"/>
      <c r="AE75" s="103">
        <v>13</v>
      </c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 s="243"/>
      <c r="BJ75" s="243"/>
      <c r="BK75" s="243"/>
      <c r="BL75" s="243"/>
      <c r="BM75" s="243"/>
      <c r="BN75" s="243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 s="346"/>
      <c r="DJ75" s="346"/>
      <c r="DK75" s="346"/>
      <c r="DL75" s="346"/>
      <c r="DM75" s="346"/>
      <c r="DN75" s="346"/>
      <c r="DO75" s="346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</row>
    <row r="76" spans="1:133" ht="16.5">
      <c r="A76" s="49"/>
      <c r="B76" s="50" t="s">
        <v>1347</v>
      </c>
      <c r="C76" s="51"/>
      <c r="D76" s="98"/>
      <c r="E76" s="99"/>
      <c r="F76" s="99"/>
      <c r="G76" s="99"/>
      <c r="H76" s="99">
        <v>12</v>
      </c>
      <c r="I76" s="99">
        <v>53</v>
      </c>
      <c r="J76" s="99">
        <v>4</v>
      </c>
      <c r="K76" s="99"/>
      <c r="L76" s="99"/>
      <c r="M76" s="100">
        <v>69</v>
      </c>
      <c r="N76"/>
      <c r="O76"/>
      <c r="P76" s="243"/>
      <c r="Q76" s="243"/>
      <c r="R76"/>
      <c r="S76" s="49"/>
      <c r="T76" s="38" t="s">
        <v>53</v>
      </c>
      <c r="U76" s="38" t="s">
        <v>2068</v>
      </c>
      <c r="V76" s="96"/>
      <c r="W76" s="88"/>
      <c r="X76" s="88"/>
      <c r="Y76" s="88"/>
      <c r="Z76" s="88"/>
      <c r="AA76" s="88"/>
      <c r="AB76" s="88"/>
      <c r="AC76" s="88"/>
      <c r="AD76" s="88">
        <v>4.5</v>
      </c>
      <c r="AE76" s="97">
        <v>4.5</v>
      </c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 s="243"/>
      <c r="BJ76" s="243"/>
      <c r="BK76" s="243"/>
      <c r="BL76" s="243"/>
      <c r="BM76" s="243"/>
      <c r="BN76" s="243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 s="346"/>
      <c r="DJ76" s="346"/>
      <c r="DK76" s="346"/>
      <c r="DL76" s="346"/>
      <c r="DM76" s="346"/>
      <c r="DN76" s="346"/>
      <c r="DO76" s="34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</row>
    <row r="77" spans="1:133" ht="16.5">
      <c r="A77" s="49"/>
      <c r="B77" s="38" t="s">
        <v>37</v>
      </c>
      <c r="C77" s="38" t="s">
        <v>1352</v>
      </c>
      <c r="D77" s="96"/>
      <c r="E77" s="88"/>
      <c r="F77" s="88"/>
      <c r="G77" s="88"/>
      <c r="H77" s="88"/>
      <c r="I77" s="88">
        <v>1</v>
      </c>
      <c r="J77" s="88"/>
      <c r="K77" s="88"/>
      <c r="L77" s="88"/>
      <c r="M77" s="97">
        <v>1</v>
      </c>
      <c r="N77"/>
      <c r="O77"/>
      <c r="P77" s="243"/>
      <c r="Q77" s="243"/>
      <c r="R77"/>
      <c r="S77" s="49"/>
      <c r="T77" s="54" t="s">
        <v>1097</v>
      </c>
      <c r="U77" s="55"/>
      <c r="V77" s="101"/>
      <c r="W77" s="102"/>
      <c r="X77" s="102"/>
      <c r="Y77" s="102"/>
      <c r="Z77" s="102"/>
      <c r="AA77" s="102"/>
      <c r="AB77" s="102"/>
      <c r="AC77" s="102"/>
      <c r="AD77" s="102">
        <v>4.5</v>
      </c>
      <c r="AE77" s="103">
        <v>4.5</v>
      </c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 s="243"/>
      <c r="BJ77" s="243"/>
      <c r="BK77" s="243"/>
      <c r="BL77" s="243"/>
      <c r="BM77" s="243"/>
      <c r="BN77" s="243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 s="346"/>
      <c r="DJ77" s="346"/>
      <c r="DK77" s="346"/>
      <c r="DL77" s="346"/>
      <c r="DM77" s="346"/>
      <c r="DN77" s="346"/>
      <c r="DO77" s="346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</row>
    <row r="78" spans="1:133" ht="16.5">
      <c r="A78" s="49"/>
      <c r="B78" s="50" t="s">
        <v>1826</v>
      </c>
      <c r="C78" s="51"/>
      <c r="D78" s="98"/>
      <c r="E78" s="99"/>
      <c r="F78" s="99"/>
      <c r="G78" s="99"/>
      <c r="H78" s="99"/>
      <c r="I78" s="99">
        <v>1</v>
      </c>
      <c r="J78" s="99"/>
      <c r="K78" s="99"/>
      <c r="L78" s="99"/>
      <c r="M78" s="100">
        <v>1</v>
      </c>
      <c r="N78"/>
      <c r="O78"/>
      <c r="P78" s="243"/>
      <c r="Q78" s="243"/>
      <c r="R78"/>
      <c r="S78" s="49"/>
      <c r="T78" s="38" t="s">
        <v>46</v>
      </c>
      <c r="U78" s="38" t="s">
        <v>1350</v>
      </c>
      <c r="V78" s="96"/>
      <c r="W78" s="88"/>
      <c r="X78" s="88"/>
      <c r="Y78" s="88"/>
      <c r="Z78" s="88">
        <v>6</v>
      </c>
      <c r="AA78" s="88"/>
      <c r="AB78" s="88"/>
      <c r="AC78" s="88"/>
      <c r="AD78" s="88"/>
      <c r="AE78" s="97">
        <v>6</v>
      </c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 s="243"/>
      <c r="BJ78" s="243"/>
      <c r="BK78" s="243"/>
      <c r="BL78" s="243"/>
      <c r="BM78" s="243"/>
      <c r="BN78" s="243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 s="346"/>
      <c r="DJ78" s="346"/>
      <c r="DK78" s="346"/>
      <c r="DL78" s="346"/>
      <c r="DM78" s="346"/>
      <c r="DN78" s="346"/>
      <c r="DO78" s="346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</row>
    <row r="79" spans="1:133" ht="16.5">
      <c r="A79" s="49"/>
      <c r="B79" s="38" t="s">
        <v>36</v>
      </c>
      <c r="C79" s="38" t="s">
        <v>1351</v>
      </c>
      <c r="D79" s="96"/>
      <c r="E79" s="88"/>
      <c r="F79" s="88"/>
      <c r="G79" s="88"/>
      <c r="H79" s="88"/>
      <c r="I79" s="88">
        <v>1</v>
      </c>
      <c r="J79" s="88"/>
      <c r="K79" s="88"/>
      <c r="L79" s="88"/>
      <c r="M79" s="97">
        <v>1</v>
      </c>
      <c r="N79"/>
      <c r="O79"/>
      <c r="P79" s="243"/>
      <c r="Q79" s="243"/>
      <c r="R79"/>
      <c r="S79" s="49"/>
      <c r="T79" s="54" t="s">
        <v>1541</v>
      </c>
      <c r="U79" s="55"/>
      <c r="V79" s="101"/>
      <c r="W79" s="102"/>
      <c r="X79" s="102"/>
      <c r="Y79" s="102"/>
      <c r="Z79" s="102">
        <v>6</v>
      </c>
      <c r="AA79" s="102"/>
      <c r="AB79" s="102"/>
      <c r="AC79" s="102"/>
      <c r="AD79" s="102"/>
      <c r="AE79" s="103">
        <v>6</v>
      </c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 s="243"/>
      <c r="BJ79" s="243"/>
      <c r="BK79" s="243"/>
      <c r="BL79" s="243"/>
      <c r="BM79" s="243"/>
      <c r="BN79" s="243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 s="346"/>
      <c r="DJ79" s="346"/>
      <c r="DK79" s="346"/>
      <c r="DL79" s="346"/>
      <c r="DM79" s="346"/>
      <c r="DN79" s="346"/>
      <c r="DO79" s="346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</row>
    <row r="80" spans="1:133" ht="16.5">
      <c r="A80" s="49"/>
      <c r="B80" s="49"/>
      <c r="C80" s="65" t="s">
        <v>1350</v>
      </c>
      <c r="D80" s="250"/>
      <c r="E80" s="351"/>
      <c r="F80" s="351"/>
      <c r="G80" s="351"/>
      <c r="H80" s="351">
        <v>1</v>
      </c>
      <c r="I80" s="351"/>
      <c r="J80" s="351"/>
      <c r="K80" s="351"/>
      <c r="L80" s="351"/>
      <c r="M80" s="251">
        <v>1</v>
      </c>
      <c r="N80"/>
      <c r="O80"/>
      <c r="P80" s="243"/>
      <c r="Q80" s="243"/>
      <c r="R80"/>
      <c r="S80" s="49"/>
      <c r="T80" s="38" t="s">
        <v>40</v>
      </c>
      <c r="U80" s="38" t="s">
        <v>1351</v>
      </c>
      <c r="V80" s="96"/>
      <c r="W80" s="88"/>
      <c r="X80" s="88"/>
      <c r="Y80" s="88"/>
      <c r="Z80" s="88"/>
      <c r="AA80" s="88"/>
      <c r="AB80" s="88">
        <v>6</v>
      </c>
      <c r="AC80" s="88"/>
      <c r="AD80" s="88"/>
      <c r="AE80" s="97">
        <v>6</v>
      </c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 s="243"/>
      <c r="BJ80" s="243"/>
      <c r="BK80" s="243"/>
      <c r="BL80" s="243"/>
      <c r="BM80" s="243"/>
      <c r="BN80" s="243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 s="346"/>
      <c r="DJ80" s="346"/>
      <c r="DK80" s="346"/>
      <c r="DL80" s="346"/>
      <c r="DM80" s="346"/>
      <c r="DN80" s="346"/>
      <c r="DO80" s="346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</row>
    <row r="81" spans="1:133" ht="16.5">
      <c r="A81" s="49"/>
      <c r="B81" s="49"/>
      <c r="C81" s="65" t="s">
        <v>1743</v>
      </c>
      <c r="D81" s="250"/>
      <c r="E81" s="351"/>
      <c r="F81" s="351"/>
      <c r="G81" s="351"/>
      <c r="H81" s="351"/>
      <c r="I81" s="351"/>
      <c r="J81" s="351">
        <v>2</v>
      </c>
      <c r="K81" s="351"/>
      <c r="L81" s="351"/>
      <c r="M81" s="251">
        <v>2</v>
      </c>
      <c r="N81"/>
      <c r="O81"/>
      <c r="P81" s="243"/>
      <c r="Q81" s="243"/>
      <c r="R81"/>
      <c r="S81" s="49"/>
      <c r="T81" s="49"/>
      <c r="U81" s="65" t="s">
        <v>1350</v>
      </c>
      <c r="V81" s="250"/>
      <c r="W81" s="351"/>
      <c r="X81" s="351"/>
      <c r="Y81" s="351"/>
      <c r="Z81" s="351">
        <v>2</v>
      </c>
      <c r="AA81" s="351"/>
      <c r="AB81" s="351">
        <v>3</v>
      </c>
      <c r="AC81" s="351"/>
      <c r="AD81" s="351"/>
      <c r="AE81" s="251">
        <v>5</v>
      </c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 s="243"/>
      <c r="BJ81" s="243"/>
      <c r="BK81" s="243"/>
      <c r="BL81" s="243"/>
      <c r="BM81" s="243"/>
      <c r="BN81" s="243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 s="346"/>
      <c r="DJ81" s="346"/>
      <c r="DK81" s="346"/>
      <c r="DL81" s="346"/>
      <c r="DM81" s="346"/>
      <c r="DN81" s="346"/>
      <c r="DO81" s="346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</row>
    <row r="82" spans="1:133" ht="16.5">
      <c r="A82" s="49"/>
      <c r="B82" s="50" t="s">
        <v>857</v>
      </c>
      <c r="C82" s="51"/>
      <c r="D82" s="98"/>
      <c r="E82" s="99"/>
      <c r="F82" s="99"/>
      <c r="G82" s="99"/>
      <c r="H82" s="99">
        <v>1</v>
      </c>
      <c r="I82" s="99">
        <v>1</v>
      </c>
      <c r="J82" s="99">
        <v>2</v>
      </c>
      <c r="K82" s="99"/>
      <c r="L82" s="99"/>
      <c r="M82" s="100">
        <v>4</v>
      </c>
      <c r="N82"/>
      <c r="O82"/>
      <c r="P82" s="243"/>
      <c r="Q82" s="243"/>
      <c r="R82"/>
      <c r="S82" s="49"/>
      <c r="T82" s="54" t="s">
        <v>1116</v>
      </c>
      <c r="U82" s="55"/>
      <c r="V82" s="101"/>
      <c r="W82" s="102"/>
      <c r="X82" s="102"/>
      <c r="Y82" s="102"/>
      <c r="Z82" s="102">
        <v>2</v>
      </c>
      <c r="AA82" s="102"/>
      <c r="AB82" s="102">
        <v>9</v>
      </c>
      <c r="AC82" s="102"/>
      <c r="AD82" s="102"/>
      <c r="AE82" s="103">
        <v>11</v>
      </c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 s="243"/>
      <c r="BJ82" s="243"/>
      <c r="BK82" s="243"/>
      <c r="BL82" s="243"/>
      <c r="BM82" s="243"/>
      <c r="BN82" s="243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 s="346"/>
      <c r="DJ82" s="346"/>
      <c r="DK82" s="346"/>
      <c r="DL82" s="346"/>
      <c r="DM82" s="346"/>
      <c r="DN82" s="346"/>
      <c r="DO82" s="346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</row>
    <row r="83" spans="1:133" ht="16.5">
      <c r="A83" s="49"/>
      <c r="B83" s="38" t="s">
        <v>28</v>
      </c>
      <c r="C83" s="38" t="s">
        <v>1350</v>
      </c>
      <c r="D83" s="96"/>
      <c r="E83" s="88"/>
      <c r="F83" s="88"/>
      <c r="G83" s="88"/>
      <c r="H83" s="88">
        <v>5</v>
      </c>
      <c r="I83" s="88">
        <v>1</v>
      </c>
      <c r="J83" s="88"/>
      <c r="K83" s="88"/>
      <c r="L83" s="88"/>
      <c r="M83" s="97">
        <v>6</v>
      </c>
      <c r="N83"/>
      <c r="O83"/>
      <c r="P83" s="243"/>
      <c r="Q83" s="243"/>
      <c r="R83"/>
      <c r="S83" s="49"/>
      <c r="T83" s="38" t="s">
        <v>1677</v>
      </c>
      <c r="U83" s="38" t="s">
        <v>1350</v>
      </c>
      <c r="V83" s="96"/>
      <c r="W83" s="88"/>
      <c r="X83" s="88"/>
      <c r="Y83" s="88"/>
      <c r="Z83" s="88"/>
      <c r="AA83" s="88">
        <v>4</v>
      </c>
      <c r="AB83" s="88"/>
      <c r="AC83" s="88"/>
      <c r="AD83" s="88"/>
      <c r="AE83" s="97">
        <v>4</v>
      </c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 s="243"/>
      <c r="BJ83" s="243"/>
      <c r="BK83" s="243"/>
      <c r="BL83" s="243"/>
      <c r="BM83" s="243"/>
      <c r="BN83" s="24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 s="346"/>
      <c r="DJ83" s="346"/>
      <c r="DK83" s="346"/>
      <c r="DL83" s="346"/>
      <c r="DM83" s="346"/>
      <c r="DN83" s="346"/>
      <c r="DO83" s="346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</row>
    <row r="84" spans="1:133" ht="16.5">
      <c r="A84" s="49"/>
      <c r="B84" s="49"/>
      <c r="C84" s="65" t="s">
        <v>1352</v>
      </c>
      <c r="D84" s="250"/>
      <c r="E84" s="351"/>
      <c r="F84" s="351"/>
      <c r="G84" s="351"/>
      <c r="H84" s="351"/>
      <c r="I84" s="351">
        <v>4</v>
      </c>
      <c r="J84" s="351"/>
      <c r="K84" s="351"/>
      <c r="L84" s="351"/>
      <c r="M84" s="251">
        <v>4</v>
      </c>
      <c r="N84"/>
      <c r="O84"/>
      <c r="P84" s="243"/>
      <c r="Q84" s="243"/>
      <c r="R84"/>
      <c r="S84" s="49"/>
      <c r="T84" s="49"/>
      <c r="U84" s="65" t="s">
        <v>1743</v>
      </c>
      <c r="V84" s="250"/>
      <c r="W84" s="351"/>
      <c r="X84" s="351"/>
      <c r="Y84" s="351"/>
      <c r="Z84" s="351"/>
      <c r="AA84" s="351"/>
      <c r="AB84" s="351">
        <v>1.3333333333333333</v>
      </c>
      <c r="AC84" s="351"/>
      <c r="AD84" s="351"/>
      <c r="AE84" s="251">
        <v>1.3333333333333333</v>
      </c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 s="243"/>
      <c r="BJ84" s="243"/>
      <c r="BK84" s="243"/>
      <c r="BL84" s="243"/>
      <c r="BM84" s="243"/>
      <c r="BN84" s="243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 s="346"/>
      <c r="DJ84" s="346"/>
      <c r="DK84" s="346"/>
      <c r="DL84" s="346"/>
      <c r="DM84" s="346"/>
      <c r="DN84" s="346"/>
      <c r="DO84" s="346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</row>
    <row r="85" spans="1:133" ht="16.5">
      <c r="A85" s="49"/>
      <c r="B85" s="49"/>
      <c r="C85" s="65" t="s">
        <v>1743</v>
      </c>
      <c r="D85" s="250"/>
      <c r="E85" s="351"/>
      <c r="F85" s="351"/>
      <c r="G85" s="351"/>
      <c r="H85" s="351"/>
      <c r="I85" s="351"/>
      <c r="J85" s="351">
        <v>7</v>
      </c>
      <c r="K85" s="351"/>
      <c r="L85" s="351"/>
      <c r="M85" s="251">
        <v>7</v>
      </c>
      <c r="N85"/>
      <c r="O85"/>
      <c r="P85" s="243"/>
      <c r="Q85" s="243"/>
      <c r="R85"/>
      <c r="S85" s="49"/>
      <c r="T85" s="54" t="s">
        <v>1738</v>
      </c>
      <c r="U85" s="55"/>
      <c r="V85" s="101"/>
      <c r="W85" s="102"/>
      <c r="X85" s="102"/>
      <c r="Y85" s="102"/>
      <c r="Z85" s="102"/>
      <c r="AA85" s="102">
        <v>4</v>
      </c>
      <c r="AB85" s="102">
        <v>1.3333333333333333</v>
      </c>
      <c r="AC85" s="102"/>
      <c r="AD85" s="102"/>
      <c r="AE85" s="103">
        <v>5.333333333333333</v>
      </c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 s="243"/>
      <c r="BJ85" s="243"/>
      <c r="BK85" s="243"/>
      <c r="BL85" s="243"/>
      <c r="BM85" s="243"/>
      <c r="BN85" s="243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 s="346"/>
      <c r="DJ85" s="346"/>
      <c r="DK85" s="346"/>
      <c r="DL85" s="346"/>
      <c r="DM85" s="346"/>
      <c r="DN85" s="346"/>
      <c r="DO85" s="346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</row>
    <row r="86" spans="1:133" ht="16.5">
      <c r="A86" s="49"/>
      <c r="B86" s="50" t="s">
        <v>1348</v>
      </c>
      <c r="C86" s="51"/>
      <c r="D86" s="98"/>
      <c r="E86" s="99"/>
      <c r="F86" s="99"/>
      <c r="G86" s="99"/>
      <c r="H86" s="99">
        <v>5</v>
      </c>
      <c r="I86" s="99">
        <v>5</v>
      </c>
      <c r="J86" s="99">
        <v>7</v>
      </c>
      <c r="K86" s="99"/>
      <c r="L86" s="99"/>
      <c r="M86" s="100">
        <v>17</v>
      </c>
      <c r="N86"/>
      <c r="O86"/>
      <c r="P86" s="243"/>
      <c r="Q86" s="243"/>
      <c r="R86"/>
      <c r="S86" s="49"/>
      <c r="T86" s="38" t="s">
        <v>1772</v>
      </c>
      <c r="U86" s="38" t="s">
        <v>1352</v>
      </c>
      <c r="V86" s="96"/>
      <c r="W86" s="88"/>
      <c r="X86" s="88"/>
      <c r="Y86" s="88"/>
      <c r="Z86" s="88"/>
      <c r="AA86" s="88">
        <v>1</v>
      </c>
      <c r="AB86" s="88">
        <v>3</v>
      </c>
      <c r="AC86" s="88"/>
      <c r="AD86" s="88"/>
      <c r="AE86" s="97">
        <v>4</v>
      </c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 s="243"/>
      <c r="BJ86" s="243"/>
      <c r="BK86" s="243"/>
      <c r="BL86" s="243"/>
      <c r="BM86" s="243"/>
      <c r="BN86" s="243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 s="346"/>
      <c r="DJ86" s="346"/>
      <c r="DK86" s="346"/>
      <c r="DL86" s="346"/>
      <c r="DM86" s="346"/>
      <c r="DN86" s="346"/>
      <c r="DO86" s="34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</row>
    <row r="87" spans="1:133" ht="16.5">
      <c r="A87" s="49"/>
      <c r="B87" s="38" t="s">
        <v>56</v>
      </c>
      <c r="C87" s="38" t="s">
        <v>1350</v>
      </c>
      <c r="D87" s="96"/>
      <c r="E87" s="88"/>
      <c r="F87" s="88"/>
      <c r="G87" s="88"/>
      <c r="H87" s="88">
        <v>15.5</v>
      </c>
      <c r="I87" s="88">
        <v>25.5</v>
      </c>
      <c r="J87" s="88">
        <v>7.5</v>
      </c>
      <c r="K87" s="88"/>
      <c r="L87" s="88"/>
      <c r="M87" s="97">
        <v>48.5</v>
      </c>
      <c r="N87"/>
      <c r="O87"/>
      <c r="P87" s="243"/>
      <c r="Q87" s="243"/>
      <c r="R87"/>
      <c r="S87" s="49"/>
      <c r="T87" s="54" t="s">
        <v>1824</v>
      </c>
      <c r="U87" s="55"/>
      <c r="V87" s="101"/>
      <c r="W87" s="102"/>
      <c r="X87" s="102"/>
      <c r="Y87" s="102"/>
      <c r="Z87" s="102"/>
      <c r="AA87" s="102">
        <v>1</v>
      </c>
      <c r="AB87" s="102">
        <v>3</v>
      </c>
      <c r="AC87" s="102"/>
      <c r="AD87" s="102"/>
      <c r="AE87" s="103">
        <v>4</v>
      </c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 s="243"/>
      <c r="BJ87" s="243"/>
      <c r="BK87" s="243"/>
      <c r="BL87" s="243"/>
      <c r="BM87" s="243"/>
      <c r="BN87" s="243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 s="346"/>
      <c r="DJ87" s="346"/>
      <c r="DK87" s="346"/>
      <c r="DL87" s="346"/>
      <c r="DM87" s="346"/>
      <c r="DN87" s="346"/>
      <c r="DO87" s="346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</row>
    <row r="88" spans="1:133" ht="16.5">
      <c r="A88" s="49"/>
      <c r="B88" s="49"/>
      <c r="C88" s="65" t="s">
        <v>1352</v>
      </c>
      <c r="D88" s="250"/>
      <c r="E88" s="351"/>
      <c r="F88" s="351"/>
      <c r="G88" s="351"/>
      <c r="H88" s="351"/>
      <c r="I88" s="351">
        <v>2</v>
      </c>
      <c r="J88" s="351"/>
      <c r="K88" s="351"/>
      <c r="L88" s="351"/>
      <c r="M88" s="251">
        <v>2</v>
      </c>
      <c r="N88"/>
      <c r="O88"/>
      <c r="P88" s="243"/>
      <c r="Q88" s="243"/>
      <c r="R88"/>
      <c r="S88" s="50" t="s">
        <v>879</v>
      </c>
      <c r="T88" s="51"/>
      <c r="U88" s="51"/>
      <c r="V88" s="98">
        <v>0.5</v>
      </c>
      <c r="W88" s="99"/>
      <c r="X88" s="99"/>
      <c r="Y88" s="99"/>
      <c r="Z88" s="99">
        <v>72</v>
      </c>
      <c r="AA88" s="99">
        <v>102</v>
      </c>
      <c r="AB88" s="99">
        <v>39.000000000000007</v>
      </c>
      <c r="AC88" s="99"/>
      <c r="AD88" s="99">
        <v>10.5</v>
      </c>
      <c r="AE88" s="100">
        <v>224</v>
      </c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 s="243"/>
      <c r="BJ88" s="243"/>
      <c r="BK88" s="243"/>
      <c r="BL88" s="243"/>
      <c r="BM88" s="243"/>
      <c r="BN88" s="243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 s="346"/>
      <c r="DJ88" s="346"/>
      <c r="DK88" s="346"/>
      <c r="DL88" s="346"/>
      <c r="DM88" s="346"/>
      <c r="DN88" s="346"/>
      <c r="DO88" s="346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</row>
    <row r="89" spans="1:133" ht="16.5">
      <c r="A89" s="49"/>
      <c r="B89" s="49"/>
      <c r="C89" s="65" t="s">
        <v>1743</v>
      </c>
      <c r="D89" s="250">
        <v>0.5</v>
      </c>
      <c r="E89" s="351"/>
      <c r="F89" s="351"/>
      <c r="G89" s="351"/>
      <c r="H89" s="351"/>
      <c r="I89" s="351">
        <v>1.5</v>
      </c>
      <c r="J89" s="351">
        <v>0.5</v>
      </c>
      <c r="K89" s="351"/>
      <c r="L89" s="351"/>
      <c r="M89" s="251">
        <v>2.5</v>
      </c>
      <c r="N89"/>
      <c r="O89"/>
      <c r="P89" s="243"/>
      <c r="Q89" s="243"/>
      <c r="R89"/>
      <c r="S89" s="38" t="s">
        <v>792</v>
      </c>
      <c r="T89" s="38" t="s">
        <v>3</v>
      </c>
      <c r="U89" s="38" t="s">
        <v>1351</v>
      </c>
      <c r="V89" s="96"/>
      <c r="W89" s="88"/>
      <c r="X89" s="88"/>
      <c r="Y89" s="88"/>
      <c r="Z89" s="88">
        <v>4</v>
      </c>
      <c r="AA89" s="88"/>
      <c r="AB89" s="88"/>
      <c r="AC89" s="88"/>
      <c r="AD89" s="88"/>
      <c r="AE89" s="97">
        <v>4</v>
      </c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 s="243"/>
      <c r="BJ89" s="243"/>
      <c r="BK89" s="243"/>
      <c r="BL89" s="243"/>
      <c r="BM89" s="243"/>
      <c r="BN89" s="243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 s="346"/>
      <c r="DJ89" s="346"/>
      <c r="DK89" s="346"/>
      <c r="DL89" s="346"/>
      <c r="DM89" s="346"/>
      <c r="DN89" s="346"/>
      <c r="DO89" s="346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</row>
    <row r="90" spans="1:133" ht="16.5">
      <c r="A90" s="49"/>
      <c r="B90" s="50" t="s">
        <v>1080</v>
      </c>
      <c r="C90" s="51"/>
      <c r="D90" s="98">
        <v>0.5</v>
      </c>
      <c r="E90" s="99"/>
      <c r="F90" s="99"/>
      <c r="G90" s="99"/>
      <c r="H90" s="99">
        <v>15.5</v>
      </c>
      <c r="I90" s="99">
        <v>29</v>
      </c>
      <c r="J90" s="99">
        <v>8</v>
      </c>
      <c r="K90" s="99"/>
      <c r="L90" s="99"/>
      <c r="M90" s="100">
        <v>53</v>
      </c>
      <c r="N90"/>
      <c r="O90"/>
      <c r="P90" s="243"/>
      <c r="Q90" s="243"/>
      <c r="R90"/>
      <c r="S90" s="49"/>
      <c r="T90" s="49"/>
      <c r="U90" s="65" t="s">
        <v>1743</v>
      </c>
      <c r="V90" s="250"/>
      <c r="W90" s="351"/>
      <c r="X90" s="351"/>
      <c r="Y90" s="351"/>
      <c r="Z90" s="351"/>
      <c r="AA90" s="351"/>
      <c r="AB90" s="351">
        <v>4</v>
      </c>
      <c r="AC90" s="351"/>
      <c r="AD90" s="351"/>
      <c r="AE90" s="251">
        <v>4</v>
      </c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 s="243"/>
      <c r="BJ90" s="243"/>
      <c r="BK90" s="243"/>
      <c r="BL90" s="243"/>
      <c r="BM90" s="243"/>
      <c r="BN90" s="243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 s="346"/>
      <c r="DJ90" s="346"/>
      <c r="DK90" s="346"/>
      <c r="DL90" s="346"/>
      <c r="DM90" s="346"/>
      <c r="DN90" s="346"/>
      <c r="DO90" s="346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</row>
    <row r="91" spans="1:133" ht="16.5">
      <c r="A91" s="54" t="s">
        <v>1086</v>
      </c>
      <c r="B91" s="55"/>
      <c r="C91" s="55"/>
      <c r="D91" s="101">
        <v>0.5</v>
      </c>
      <c r="E91" s="102"/>
      <c r="F91" s="102"/>
      <c r="G91" s="102">
        <v>1</v>
      </c>
      <c r="H91" s="102">
        <v>49.5</v>
      </c>
      <c r="I91" s="102">
        <v>98</v>
      </c>
      <c r="J91" s="102">
        <v>25</v>
      </c>
      <c r="K91" s="102"/>
      <c r="L91" s="102"/>
      <c r="M91" s="103">
        <v>174</v>
      </c>
      <c r="N91"/>
      <c r="O91"/>
      <c r="P91" s="243"/>
      <c r="Q91" s="243"/>
      <c r="R91"/>
      <c r="S91" s="49"/>
      <c r="T91" s="54" t="s">
        <v>1087</v>
      </c>
      <c r="U91" s="55"/>
      <c r="V91" s="101"/>
      <c r="W91" s="102"/>
      <c r="X91" s="102"/>
      <c r="Y91" s="102"/>
      <c r="Z91" s="102">
        <v>4</v>
      </c>
      <c r="AA91" s="102"/>
      <c r="AB91" s="102">
        <v>4</v>
      </c>
      <c r="AC91" s="102"/>
      <c r="AD91" s="102"/>
      <c r="AE91" s="103">
        <v>8</v>
      </c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 s="243"/>
      <c r="BJ91" s="243"/>
      <c r="BK91" s="243"/>
      <c r="BL91" s="243"/>
      <c r="BM91" s="243"/>
      <c r="BN91" s="243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 s="346"/>
      <c r="DJ91" s="346"/>
      <c r="DK91" s="346"/>
      <c r="DL91" s="346"/>
      <c r="DM91" s="346"/>
      <c r="DN91" s="346"/>
      <c r="DO91" s="346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</row>
    <row r="92" spans="1:133" ht="16.5">
      <c r="A92" s="38" t="s">
        <v>51</v>
      </c>
      <c r="B92" s="38" t="s">
        <v>38</v>
      </c>
      <c r="C92" s="38" t="s">
        <v>1351</v>
      </c>
      <c r="D92" s="96"/>
      <c r="E92" s="88"/>
      <c r="F92" s="88"/>
      <c r="G92" s="88"/>
      <c r="H92" s="88">
        <v>1</v>
      </c>
      <c r="I92" s="88">
        <v>2</v>
      </c>
      <c r="J92" s="88"/>
      <c r="K92" s="88"/>
      <c r="L92" s="88"/>
      <c r="M92" s="97">
        <v>3</v>
      </c>
      <c r="N92"/>
      <c r="O92"/>
      <c r="P92" s="243"/>
      <c r="Q92" s="243"/>
      <c r="R92"/>
      <c r="S92" s="49"/>
      <c r="T92" s="38" t="s">
        <v>47</v>
      </c>
      <c r="U92" s="38" t="s">
        <v>1351</v>
      </c>
      <c r="V92" s="96"/>
      <c r="W92" s="88"/>
      <c r="X92" s="88"/>
      <c r="Y92" s="88"/>
      <c r="Z92" s="88">
        <v>8</v>
      </c>
      <c r="AA92" s="88"/>
      <c r="AB92" s="88"/>
      <c r="AC92" s="88"/>
      <c r="AD92" s="88"/>
      <c r="AE92" s="97">
        <v>8</v>
      </c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 s="243"/>
      <c r="BJ92" s="243"/>
      <c r="BK92" s="243"/>
      <c r="BL92" s="243"/>
      <c r="BM92" s="243"/>
      <c r="BN92" s="243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 s="346"/>
      <c r="DJ92" s="346"/>
      <c r="DK92" s="346"/>
      <c r="DL92" s="346"/>
      <c r="DM92" s="346"/>
      <c r="DN92" s="346"/>
      <c r="DO92" s="346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</row>
    <row r="93" spans="1:133" ht="16.5">
      <c r="A93" s="49"/>
      <c r="B93" s="49"/>
      <c r="C93" s="65" t="s">
        <v>1743</v>
      </c>
      <c r="D93" s="250"/>
      <c r="E93" s="351"/>
      <c r="F93" s="351"/>
      <c r="G93" s="351"/>
      <c r="H93" s="351"/>
      <c r="I93" s="351"/>
      <c r="J93" s="351">
        <v>4</v>
      </c>
      <c r="K93" s="351"/>
      <c r="L93" s="351"/>
      <c r="M93" s="251">
        <v>4</v>
      </c>
      <c r="N93"/>
      <c r="O93"/>
      <c r="P93" s="243"/>
      <c r="Q93" s="243"/>
      <c r="R93"/>
      <c r="S93" s="49"/>
      <c r="T93" s="49"/>
      <c r="U93" s="65" t="s">
        <v>1352</v>
      </c>
      <c r="V93" s="250"/>
      <c r="W93" s="351"/>
      <c r="X93" s="351"/>
      <c r="Y93" s="351"/>
      <c r="Z93" s="351"/>
      <c r="AA93" s="351">
        <v>14.5</v>
      </c>
      <c r="AB93" s="351">
        <v>6</v>
      </c>
      <c r="AC93" s="351"/>
      <c r="AD93" s="351"/>
      <c r="AE93" s="251">
        <v>20.5</v>
      </c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 s="243"/>
      <c r="BJ93" s="243"/>
      <c r="BK93" s="243"/>
      <c r="BL93" s="243"/>
      <c r="BM93" s="243"/>
      <c r="BN93" s="24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 s="346"/>
      <c r="DJ93" s="346"/>
      <c r="DK93" s="346"/>
      <c r="DL93" s="346"/>
      <c r="DM93" s="346"/>
      <c r="DN93" s="346"/>
      <c r="DO93" s="346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</row>
    <row r="94" spans="1:133" ht="16.5">
      <c r="A94" s="49"/>
      <c r="B94" s="50" t="s">
        <v>853</v>
      </c>
      <c r="C94" s="51"/>
      <c r="D94" s="98"/>
      <c r="E94" s="99"/>
      <c r="F94" s="99"/>
      <c r="G94" s="99"/>
      <c r="H94" s="99">
        <v>1</v>
      </c>
      <c r="I94" s="99">
        <v>2</v>
      </c>
      <c r="J94" s="99">
        <v>4</v>
      </c>
      <c r="K94" s="99"/>
      <c r="L94" s="99"/>
      <c r="M94" s="100">
        <v>7</v>
      </c>
      <c r="N94"/>
      <c r="O94"/>
      <c r="P94" s="243"/>
      <c r="Q94" s="243"/>
      <c r="R94"/>
      <c r="S94" s="49"/>
      <c r="T94" s="54" t="s">
        <v>1091</v>
      </c>
      <c r="U94" s="55"/>
      <c r="V94" s="101"/>
      <c r="W94" s="102"/>
      <c r="X94" s="102"/>
      <c r="Y94" s="102"/>
      <c r="Z94" s="102">
        <v>8</v>
      </c>
      <c r="AA94" s="102">
        <v>14.5</v>
      </c>
      <c r="AB94" s="102">
        <v>6</v>
      </c>
      <c r="AC94" s="102"/>
      <c r="AD94" s="102"/>
      <c r="AE94" s="103">
        <v>28.5</v>
      </c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 s="243"/>
      <c r="BJ94" s="243"/>
      <c r="BK94" s="243"/>
      <c r="BL94" s="243"/>
      <c r="BM94" s="243"/>
      <c r="BN94" s="243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 s="346"/>
      <c r="DJ94" s="346"/>
      <c r="DK94" s="346"/>
      <c r="DL94" s="346"/>
      <c r="DM94" s="346"/>
      <c r="DN94" s="346"/>
      <c r="DO94" s="346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</row>
    <row r="95" spans="1:133" ht="16.5">
      <c r="A95" s="49"/>
      <c r="B95" s="38" t="s">
        <v>60</v>
      </c>
      <c r="C95" s="38" t="s">
        <v>1351</v>
      </c>
      <c r="D95" s="96"/>
      <c r="E95" s="88"/>
      <c r="F95" s="88"/>
      <c r="G95" s="88"/>
      <c r="H95" s="88">
        <v>2</v>
      </c>
      <c r="I95" s="88"/>
      <c r="J95" s="88"/>
      <c r="K95" s="88"/>
      <c r="L95" s="88"/>
      <c r="M95" s="97">
        <v>2</v>
      </c>
      <c r="N95"/>
      <c r="O95"/>
      <c r="P95" s="243"/>
      <c r="Q95" s="243"/>
      <c r="R95"/>
      <c r="S95" s="49"/>
      <c r="T95" s="38" t="s">
        <v>1101</v>
      </c>
      <c r="U95" s="38" t="s">
        <v>1350</v>
      </c>
      <c r="V95" s="96"/>
      <c r="W95" s="88"/>
      <c r="X95" s="88"/>
      <c r="Y95" s="88"/>
      <c r="Z95" s="88">
        <v>4</v>
      </c>
      <c r="AA95" s="88">
        <v>4</v>
      </c>
      <c r="AB95" s="88"/>
      <c r="AC95" s="88"/>
      <c r="AD95" s="88"/>
      <c r="AE95" s="97">
        <v>8</v>
      </c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 s="243"/>
      <c r="BJ95" s="243"/>
      <c r="BK95" s="243"/>
      <c r="BL95" s="243"/>
      <c r="BM95" s="243"/>
      <c r="BN95" s="243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 s="346"/>
      <c r="DJ95" s="346"/>
      <c r="DK95" s="346"/>
      <c r="DL95" s="346"/>
      <c r="DM95" s="346"/>
      <c r="DN95" s="346"/>
      <c r="DO95" s="346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</row>
    <row r="96" spans="1:133" ht="16.5">
      <c r="A96" s="49"/>
      <c r="B96" s="50" t="s">
        <v>856</v>
      </c>
      <c r="C96" s="51"/>
      <c r="D96" s="98"/>
      <c r="E96" s="99"/>
      <c r="F96" s="99"/>
      <c r="G96" s="99"/>
      <c r="H96" s="99">
        <v>2</v>
      </c>
      <c r="I96" s="99"/>
      <c r="J96" s="99"/>
      <c r="K96" s="99"/>
      <c r="L96" s="99"/>
      <c r="M96" s="100">
        <v>2</v>
      </c>
      <c r="N96"/>
      <c r="O96"/>
      <c r="P96" s="243"/>
      <c r="Q96" s="243"/>
      <c r="R96"/>
      <c r="S96" s="49"/>
      <c r="T96" s="49"/>
      <c r="U96" s="65" t="s">
        <v>1743</v>
      </c>
      <c r="V96" s="250"/>
      <c r="W96" s="351"/>
      <c r="X96" s="351"/>
      <c r="Y96" s="351"/>
      <c r="Z96" s="351"/>
      <c r="AA96" s="351"/>
      <c r="AB96" s="351">
        <v>15</v>
      </c>
      <c r="AC96" s="351"/>
      <c r="AD96" s="351"/>
      <c r="AE96" s="251">
        <v>15</v>
      </c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 s="243"/>
      <c r="BJ96" s="243"/>
      <c r="BK96" s="243"/>
      <c r="BL96" s="243"/>
      <c r="BM96" s="243"/>
      <c r="BN96" s="243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 s="346"/>
      <c r="DJ96" s="346"/>
      <c r="DK96" s="346"/>
      <c r="DL96" s="346"/>
      <c r="DM96" s="346"/>
      <c r="DN96" s="346"/>
      <c r="DO96" s="34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</row>
    <row r="97" spans="1:133" ht="16.5">
      <c r="A97" s="49"/>
      <c r="B97" s="38" t="s">
        <v>28</v>
      </c>
      <c r="C97" s="38" t="s">
        <v>1351</v>
      </c>
      <c r="D97" s="96"/>
      <c r="E97" s="88"/>
      <c r="F97" s="88"/>
      <c r="G97" s="88"/>
      <c r="H97" s="88">
        <v>2</v>
      </c>
      <c r="I97" s="88"/>
      <c r="J97" s="88"/>
      <c r="K97" s="88"/>
      <c r="L97" s="88"/>
      <c r="M97" s="97">
        <v>2</v>
      </c>
      <c r="N97"/>
      <c r="O97"/>
      <c r="P97" s="243"/>
      <c r="Q97" s="243"/>
      <c r="R97"/>
      <c r="S97" s="49"/>
      <c r="T97" s="54" t="s">
        <v>1550</v>
      </c>
      <c r="U97" s="55"/>
      <c r="V97" s="101"/>
      <c r="W97" s="102"/>
      <c r="X97" s="102"/>
      <c r="Y97" s="102"/>
      <c r="Z97" s="102">
        <v>4</v>
      </c>
      <c r="AA97" s="102">
        <v>4</v>
      </c>
      <c r="AB97" s="102">
        <v>15</v>
      </c>
      <c r="AC97" s="102"/>
      <c r="AD97" s="102"/>
      <c r="AE97" s="103">
        <v>23</v>
      </c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 s="243"/>
      <c r="BJ97" s="243"/>
      <c r="BK97" s="243"/>
      <c r="BL97" s="243"/>
      <c r="BM97" s="243"/>
      <c r="BN97" s="243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 s="346"/>
      <c r="DJ97" s="346"/>
      <c r="DK97" s="346"/>
      <c r="DL97" s="346"/>
      <c r="DM97" s="346"/>
      <c r="DN97" s="346"/>
      <c r="DO97" s="346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</row>
    <row r="98" spans="1:133" ht="16.5">
      <c r="A98" s="49"/>
      <c r="B98" s="50" t="s">
        <v>1348</v>
      </c>
      <c r="C98" s="51"/>
      <c r="D98" s="98"/>
      <c r="E98" s="99"/>
      <c r="F98" s="99"/>
      <c r="G98" s="99"/>
      <c r="H98" s="99">
        <v>2</v>
      </c>
      <c r="I98" s="99"/>
      <c r="J98" s="99"/>
      <c r="K98" s="99"/>
      <c r="L98" s="99"/>
      <c r="M98" s="100">
        <v>2</v>
      </c>
      <c r="N98"/>
      <c r="O98"/>
      <c r="P98" s="243"/>
      <c r="Q98" s="243"/>
      <c r="R98"/>
      <c r="S98" s="49"/>
      <c r="T98" s="38" t="s">
        <v>1102</v>
      </c>
      <c r="U98" s="38" t="s">
        <v>1352</v>
      </c>
      <c r="V98" s="96"/>
      <c r="W98" s="88"/>
      <c r="X98" s="88"/>
      <c r="Y98" s="88"/>
      <c r="Z98" s="88"/>
      <c r="AA98" s="88">
        <v>9.5</v>
      </c>
      <c r="AB98" s="88"/>
      <c r="AC98" s="88"/>
      <c r="AD98" s="88"/>
      <c r="AE98" s="97">
        <v>9.5</v>
      </c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 s="243"/>
      <c r="BJ98" s="243"/>
      <c r="BK98" s="243"/>
      <c r="BL98" s="243"/>
      <c r="BM98" s="243"/>
      <c r="BN98" s="243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 s="346"/>
      <c r="DJ98" s="346"/>
      <c r="DK98" s="346"/>
      <c r="DL98" s="346"/>
      <c r="DM98" s="346"/>
      <c r="DN98" s="346"/>
      <c r="DO98" s="346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</row>
    <row r="99" spans="1:133" ht="16.5">
      <c r="A99" s="49"/>
      <c r="B99" s="38" t="s">
        <v>56</v>
      </c>
      <c r="C99" s="38" t="s">
        <v>1351</v>
      </c>
      <c r="D99" s="96"/>
      <c r="E99" s="88"/>
      <c r="F99" s="88"/>
      <c r="G99" s="88"/>
      <c r="H99" s="88">
        <v>4</v>
      </c>
      <c r="I99" s="88">
        <v>1.5</v>
      </c>
      <c r="J99" s="88">
        <v>0.5</v>
      </c>
      <c r="K99" s="88"/>
      <c r="L99" s="88"/>
      <c r="M99" s="97">
        <v>6</v>
      </c>
      <c r="N99"/>
      <c r="O99"/>
      <c r="P99" s="243"/>
      <c r="Q99" s="243"/>
      <c r="R99"/>
      <c r="S99" s="49"/>
      <c r="T99" s="54" t="s">
        <v>1737</v>
      </c>
      <c r="U99" s="55"/>
      <c r="V99" s="101"/>
      <c r="W99" s="102"/>
      <c r="X99" s="102"/>
      <c r="Y99" s="102"/>
      <c r="Z99" s="102"/>
      <c r="AA99" s="102">
        <v>9.5</v>
      </c>
      <c r="AB99" s="102"/>
      <c r="AC99" s="102"/>
      <c r="AD99" s="102"/>
      <c r="AE99" s="103">
        <v>9.5</v>
      </c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 s="243"/>
      <c r="BJ99" s="243"/>
      <c r="BK99" s="243"/>
      <c r="BL99" s="243"/>
      <c r="BM99" s="243"/>
      <c r="BN99" s="243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 s="346"/>
      <c r="DJ99" s="346"/>
      <c r="DK99" s="346"/>
      <c r="DL99" s="346"/>
      <c r="DM99" s="346"/>
      <c r="DN99" s="346"/>
      <c r="DO99" s="346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</row>
    <row r="100" spans="1:133" ht="16.5">
      <c r="A100" s="49"/>
      <c r="B100" s="49"/>
      <c r="C100" s="65" t="s">
        <v>1743</v>
      </c>
      <c r="D100" s="250"/>
      <c r="E100" s="351">
        <v>0.66666666666666663</v>
      </c>
      <c r="F100" s="351"/>
      <c r="G100" s="351"/>
      <c r="H100" s="351"/>
      <c r="I100" s="351"/>
      <c r="J100" s="351">
        <v>6.3333333333333321</v>
      </c>
      <c r="K100" s="351"/>
      <c r="L100" s="351"/>
      <c r="M100" s="251">
        <v>6.9999999999999991</v>
      </c>
      <c r="N100"/>
      <c r="O100"/>
      <c r="P100" s="243"/>
      <c r="Q100" s="243"/>
      <c r="R100"/>
      <c r="S100" s="49"/>
      <c r="T100" s="38" t="s">
        <v>1772</v>
      </c>
      <c r="U100" s="38" t="s">
        <v>1352</v>
      </c>
      <c r="V100" s="96"/>
      <c r="W100" s="88"/>
      <c r="X100" s="88"/>
      <c r="Y100" s="88"/>
      <c r="Z100" s="88"/>
      <c r="AA100" s="88">
        <v>6</v>
      </c>
      <c r="AB100" s="88"/>
      <c r="AC100" s="88"/>
      <c r="AD100" s="88"/>
      <c r="AE100" s="97">
        <v>6</v>
      </c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 s="243"/>
      <c r="BJ100" s="243"/>
      <c r="BK100" s="243"/>
      <c r="BL100" s="243"/>
      <c r="BM100" s="243"/>
      <c r="BN100" s="243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 s="346"/>
      <c r="DJ100" s="346"/>
      <c r="DK100" s="346"/>
      <c r="DL100" s="346"/>
      <c r="DM100" s="346"/>
      <c r="DN100" s="346"/>
      <c r="DO100" s="346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</row>
    <row r="101" spans="1:133" ht="16.5">
      <c r="A101" s="49"/>
      <c r="B101" s="50" t="s">
        <v>1080</v>
      </c>
      <c r="C101" s="51"/>
      <c r="D101" s="98"/>
      <c r="E101" s="99">
        <v>0.66666666666666663</v>
      </c>
      <c r="F101" s="99"/>
      <c r="G101" s="99"/>
      <c r="H101" s="99">
        <v>4</v>
      </c>
      <c r="I101" s="99">
        <v>1.5</v>
      </c>
      <c r="J101" s="99">
        <v>6.8333333333333321</v>
      </c>
      <c r="K101" s="99"/>
      <c r="L101" s="99"/>
      <c r="M101" s="100">
        <v>13</v>
      </c>
      <c r="N101"/>
      <c r="O101"/>
      <c r="P101" s="243"/>
      <c r="Q101" s="243"/>
      <c r="R101"/>
      <c r="S101" s="49"/>
      <c r="T101" s="54" t="s">
        <v>1824</v>
      </c>
      <c r="U101" s="55"/>
      <c r="V101" s="101"/>
      <c r="W101" s="102"/>
      <c r="X101" s="102"/>
      <c r="Y101" s="102"/>
      <c r="Z101" s="102"/>
      <c r="AA101" s="102">
        <v>6</v>
      </c>
      <c r="AB101" s="102"/>
      <c r="AC101" s="102"/>
      <c r="AD101" s="102"/>
      <c r="AE101" s="103">
        <v>6</v>
      </c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 s="243"/>
      <c r="BJ101" s="243"/>
      <c r="BK101" s="243"/>
      <c r="BL101" s="243"/>
      <c r="BM101" s="243"/>
      <c r="BN101" s="243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 s="346"/>
      <c r="DJ101" s="346"/>
      <c r="DK101" s="346"/>
      <c r="DL101" s="346"/>
      <c r="DM101" s="346"/>
      <c r="DN101" s="346"/>
      <c r="DO101" s="346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</row>
    <row r="102" spans="1:133" ht="16.5">
      <c r="A102" s="54" t="s">
        <v>1088</v>
      </c>
      <c r="B102" s="55"/>
      <c r="C102" s="55"/>
      <c r="D102" s="101"/>
      <c r="E102" s="102">
        <v>0.66666666666666663</v>
      </c>
      <c r="F102" s="102"/>
      <c r="G102" s="102"/>
      <c r="H102" s="102">
        <v>9</v>
      </c>
      <c r="I102" s="102">
        <v>3.5</v>
      </c>
      <c r="J102" s="102">
        <v>10.833333333333332</v>
      </c>
      <c r="K102" s="102"/>
      <c r="L102" s="102"/>
      <c r="M102" s="103">
        <v>24</v>
      </c>
      <c r="N102"/>
      <c r="O102"/>
      <c r="P102" s="243"/>
      <c r="Q102" s="243"/>
      <c r="R102"/>
      <c r="S102" s="49"/>
      <c r="T102" s="38" t="s">
        <v>2089</v>
      </c>
      <c r="U102" s="38" t="s">
        <v>1743</v>
      </c>
      <c r="V102" s="96"/>
      <c r="W102" s="88"/>
      <c r="X102" s="88"/>
      <c r="Y102" s="88"/>
      <c r="Z102" s="88"/>
      <c r="AA102" s="88"/>
      <c r="AB102" s="88">
        <v>8</v>
      </c>
      <c r="AC102" s="88"/>
      <c r="AD102" s="88"/>
      <c r="AE102" s="97">
        <v>8</v>
      </c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 s="243"/>
      <c r="BJ102" s="243"/>
      <c r="BK102" s="243"/>
      <c r="BL102" s="243"/>
      <c r="BM102" s="243"/>
      <c r="BN102" s="243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 s="346"/>
      <c r="DJ102" s="346"/>
      <c r="DK102" s="346"/>
      <c r="DL102" s="346"/>
      <c r="DM102" s="346"/>
      <c r="DN102" s="346"/>
      <c r="DO102" s="346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</row>
    <row r="103" spans="1:133" ht="16.5">
      <c r="A103" s="38" t="s">
        <v>3</v>
      </c>
      <c r="B103" s="38" t="s">
        <v>38</v>
      </c>
      <c r="C103" s="38" t="s">
        <v>1352</v>
      </c>
      <c r="D103" s="96"/>
      <c r="E103" s="88"/>
      <c r="F103" s="88"/>
      <c r="G103" s="88"/>
      <c r="H103" s="88"/>
      <c r="I103" s="88">
        <v>1</v>
      </c>
      <c r="J103" s="88"/>
      <c r="K103" s="88"/>
      <c r="L103" s="88"/>
      <c r="M103" s="97">
        <v>1</v>
      </c>
      <c r="N103"/>
      <c r="O103"/>
      <c r="P103" s="243"/>
      <c r="Q103" s="243"/>
      <c r="R103"/>
      <c r="S103" s="49"/>
      <c r="T103" s="49"/>
      <c r="U103" s="65" t="s">
        <v>2068</v>
      </c>
      <c r="V103" s="250"/>
      <c r="W103" s="351"/>
      <c r="X103" s="351"/>
      <c r="Y103" s="351"/>
      <c r="Z103" s="351"/>
      <c r="AA103" s="351"/>
      <c r="AB103" s="351"/>
      <c r="AC103" s="351"/>
      <c r="AD103" s="351">
        <v>6</v>
      </c>
      <c r="AE103" s="251">
        <v>6</v>
      </c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 s="243"/>
      <c r="BJ103" s="243"/>
      <c r="BK103" s="243"/>
      <c r="BL103" s="243"/>
      <c r="BM103" s="243"/>
      <c r="BN103" s="24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 s="346"/>
      <c r="DJ103" s="346"/>
      <c r="DK103" s="346"/>
      <c r="DL103" s="346"/>
      <c r="DM103" s="346"/>
      <c r="DN103" s="346"/>
      <c r="DO103" s="346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</row>
    <row r="104" spans="1:133" ht="16.5">
      <c r="A104" s="49"/>
      <c r="B104" s="50" t="s">
        <v>853</v>
      </c>
      <c r="C104" s="51"/>
      <c r="D104" s="98"/>
      <c r="E104" s="99"/>
      <c r="F104" s="99"/>
      <c r="G104" s="99"/>
      <c r="H104" s="99"/>
      <c r="I104" s="99">
        <v>1</v>
      </c>
      <c r="J104" s="99"/>
      <c r="K104" s="99"/>
      <c r="L104" s="99"/>
      <c r="M104" s="100">
        <v>1</v>
      </c>
      <c r="N104"/>
      <c r="O104"/>
      <c r="P104" s="243"/>
      <c r="Q104" s="243"/>
      <c r="R104"/>
      <c r="S104" s="49"/>
      <c r="T104" s="54" t="s">
        <v>2154</v>
      </c>
      <c r="U104" s="55"/>
      <c r="V104" s="101"/>
      <c r="W104" s="102"/>
      <c r="X104" s="102"/>
      <c r="Y104" s="102"/>
      <c r="Z104" s="102"/>
      <c r="AA104" s="102"/>
      <c r="AB104" s="102">
        <v>8</v>
      </c>
      <c r="AC104" s="102"/>
      <c r="AD104" s="102">
        <v>6</v>
      </c>
      <c r="AE104" s="103">
        <v>14</v>
      </c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 s="243"/>
      <c r="BJ104" s="243"/>
      <c r="BK104" s="243"/>
      <c r="BL104" s="243"/>
      <c r="BM104" s="243"/>
      <c r="BN104" s="243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 s="346"/>
      <c r="DJ104" s="346"/>
      <c r="DK104" s="346"/>
      <c r="DL104" s="346"/>
      <c r="DM104" s="346"/>
      <c r="DN104" s="346"/>
      <c r="DO104" s="346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</row>
    <row r="105" spans="1:133" ht="16.5">
      <c r="A105" s="49"/>
      <c r="B105" s="38" t="s">
        <v>50</v>
      </c>
      <c r="C105" s="38" t="s">
        <v>1351</v>
      </c>
      <c r="D105" s="96"/>
      <c r="E105" s="88"/>
      <c r="F105" s="88"/>
      <c r="G105" s="88"/>
      <c r="H105" s="88">
        <v>15</v>
      </c>
      <c r="I105" s="88"/>
      <c r="J105" s="88"/>
      <c r="K105" s="88"/>
      <c r="L105" s="88"/>
      <c r="M105" s="97">
        <v>15</v>
      </c>
      <c r="N105"/>
      <c r="O105"/>
      <c r="P105" s="243"/>
      <c r="Q105" s="243"/>
      <c r="R105"/>
      <c r="S105" s="50" t="s">
        <v>880</v>
      </c>
      <c r="T105" s="51"/>
      <c r="U105" s="51"/>
      <c r="V105" s="98"/>
      <c r="W105" s="99"/>
      <c r="X105" s="99"/>
      <c r="Y105" s="99"/>
      <c r="Z105" s="99">
        <v>16</v>
      </c>
      <c r="AA105" s="99">
        <v>34</v>
      </c>
      <c r="AB105" s="99">
        <v>33</v>
      </c>
      <c r="AC105" s="99"/>
      <c r="AD105" s="99">
        <v>6</v>
      </c>
      <c r="AE105" s="100">
        <v>89</v>
      </c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 s="243"/>
      <c r="BJ105" s="243"/>
      <c r="BK105" s="243"/>
      <c r="BL105" s="243"/>
      <c r="BM105" s="243"/>
      <c r="BN105" s="243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 s="346"/>
      <c r="DJ105" s="346"/>
      <c r="DK105" s="346"/>
      <c r="DL105" s="346"/>
      <c r="DM105" s="346"/>
      <c r="DN105" s="346"/>
      <c r="DO105" s="346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</row>
    <row r="106" spans="1:133" ht="16.5">
      <c r="A106" s="49"/>
      <c r="B106" s="49"/>
      <c r="C106" s="65" t="s">
        <v>1743</v>
      </c>
      <c r="D106" s="250"/>
      <c r="E106" s="351"/>
      <c r="F106" s="351"/>
      <c r="G106" s="351"/>
      <c r="H106" s="351"/>
      <c r="I106" s="351"/>
      <c r="J106" s="351">
        <v>3</v>
      </c>
      <c r="K106" s="351"/>
      <c r="L106" s="351"/>
      <c r="M106" s="251">
        <v>3</v>
      </c>
      <c r="N106"/>
      <c r="O106"/>
      <c r="P106" s="243"/>
      <c r="Q106" s="243"/>
      <c r="R106"/>
      <c r="S106" s="38" t="s">
        <v>1120</v>
      </c>
      <c r="T106" s="38" t="s">
        <v>52</v>
      </c>
      <c r="U106" s="38" t="s">
        <v>1351</v>
      </c>
      <c r="V106" s="96"/>
      <c r="W106" s="88"/>
      <c r="X106" s="88"/>
      <c r="Y106" s="88"/>
      <c r="Z106" s="88">
        <v>1</v>
      </c>
      <c r="AA106" s="88"/>
      <c r="AB106" s="88">
        <v>1.5</v>
      </c>
      <c r="AC106" s="88"/>
      <c r="AD106" s="88"/>
      <c r="AE106" s="97">
        <v>2.5</v>
      </c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 s="243"/>
      <c r="BJ106" s="243"/>
      <c r="BK106" s="243"/>
      <c r="BL106" s="243"/>
      <c r="BM106" s="243"/>
      <c r="BN106" s="243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 s="346"/>
      <c r="DJ106" s="346"/>
      <c r="DK106" s="346"/>
      <c r="DL106" s="346"/>
      <c r="DM106" s="346"/>
      <c r="DN106" s="346"/>
      <c r="DO106" s="34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</row>
    <row r="107" spans="1:133" ht="16.5">
      <c r="A107" s="49"/>
      <c r="B107" s="50" t="s">
        <v>855</v>
      </c>
      <c r="C107" s="51"/>
      <c r="D107" s="98"/>
      <c r="E107" s="99"/>
      <c r="F107" s="99"/>
      <c r="G107" s="99"/>
      <c r="H107" s="99">
        <v>15</v>
      </c>
      <c r="I107" s="99"/>
      <c r="J107" s="99">
        <v>3</v>
      </c>
      <c r="K107" s="99"/>
      <c r="L107" s="99"/>
      <c r="M107" s="100">
        <v>18</v>
      </c>
      <c r="N107"/>
      <c r="O107"/>
      <c r="P107" s="243"/>
      <c r="Q107" s="243"/>
      <c r="R107"/>
      <c r="S107" s="49"/>
      <c r="T107" s="49"/>
      <c r="U107" s="65" t="s">
        <v>1352</v>
      </c>
      <c r="V107" s="250"/>
      <c r="W107" s="351"/>
      <c r="X107" s="351"/>
      <c r="Y107" s="351"/>
      <c r="Z107" s="351"/>
      <c r="AA107" s="351"/>
      <c r="AB107" s="351">
        <v>10.5</v>
      </c>
      <c r="AC107" s="351"/>
      <c r="AD107" s="351"/>
      <c r="AE107" s="251">
        <v>10.5</v>
      </c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 s="243"/>
      <c r="BJ107" s="243"/>
      <c r="BK107" s="243"/>
      <c r="BL107" s="243"/>
      <c r="BM107" s="243"/>
      <c r="BN107" s="243"/>
      <c r="BO107"/>
      <c r="BP107" s="85"/>
      <c r="BQ107"/>
      <c r="BR107"/>
      <c r="BS107"/>
      <c r="BT107"/>
      <c r="BU107"/>
      <c r="BV107"/>
      <c r="CS107"/>
      <c r="CT107" s="85"/>
      <c r="CU107"/>
      <c r="CV107"/>
      <c r="CW107"/>
      <c r="CX107"/>
      <c r="CY107"/>
      <c r="CZ107"/>
      <c r="DP107"/>
      <c r="DQ107" s="85"/>
      <c r="DR107"/>
      <c r="DS107"/>
      <c r="DT107"/>
      <c r="DU107"/>
      <c r="DV107"/>
      <c r="DW107"/>
    </row>
    <row r="108" spans="1:133" ht="16.5">
      <c r="A108" s="49"/>
      <c r="B108" s="38" t="s">
        <v>60</v>
      </c>
      <c r="C108" s="38" t="s">
        <v>1743</v>
      </c>
      <c r="D108" s="96"/>
      <c r="E108" s="88"/>
      <c r="F108" s="88"/>
      <c r="G108" s="88"/>
      <c r="H108" s="88"/>
      <c r="I108" s="88"/>
      <c r="J108" s="88">
        <v>2</v>
      </c>
      <c r="K108" s="88"/>
      <c r="L108" s="88"/>
      <c r="M108" s="97">
        <v>2</v>
      </c>
      <c r="N108"/>
      <c r="O108"/>
      <c r="P108" s="243"/>
      <c r="Q108" s="243"/>
      <c r="R108"/>
      <c r="S108" s="49"/>
      <c r="T108" s="79" t="s">
        <v>1117</v>
      </c>
      <c r="U108" s="83"/>
      <c r="V108" s="101"/>
      <c r="W108" s="102"/>
      <c r="X108" s="102"/>
      <c r="Y108" s="102"/>
      <c r="Z108" s="102">
        <v>1</v>
      </c>
      <c r="AA108" s="102"/>
      <c r="AB108" s="102">
        <v>12</v>
      </c>
      <c r="AC108" s="102"/>
      <c r="AD108" s="102"/>
      <c r="AE108" s="103">
        <v>13</v>
      </c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 s="243"/>
      <c r="BJ108" s="243"/>
      <c r="BK108" s="243"/>
      <c r="BL108" s="243"/>
      <c r="BM108" s="243"/>
      <c r="BN108" s="243"/>
      <c r="BO108"/>
      <c r="BP108" s="85"/>
      <c r="BQ108"/>
      <c r="BR108"/>
      <c r="BS108"/>
      <c r="BT108"/>
      <c r="BU108"/>
      <c r="BV108"/>
      <c r="CS108"/>
      <c r="CT108" s="85"/>
      <c r="CU108"/>
      <c r="CV108"/>
      <c r="CW108"/>
      <c r="CX108"/>
      <c r="CY108"/>
      <c r="CZ108"/>
      <c r="DP108"/>
      <c r="DQ108" s="85"/>
      <c r="DR108"/>
      <c r="DS108"/>
      <c r="DT108"/>
      <c r="DU108"/>
      <c r="DV108"/>
      <c r="DW108"/>
    </row>
    <row r="109" spans="1:133" ht="16.5">
      <c r="A109" s="49"/>
      <c r="B109" s="50" t="s">
        <v>856</v>
      </c>
      <c r="C109" s="51"/>
      <c r="D109" s="98"/>
      <c r="E109" s="99"/>
      <c r="F109" s="99"/>
      <c r="G109" s="99"/>
      <c r="H109" s="99"/>
      <c r="I109" s="99"/>
      <c r="J109" s="99">
        <v>2</v>
      </c>
      <c r="K109" s="99"/>
      <c r="L109" s="99"/>
      <c r="M109" s="100">
        <v>2</v>
      </c>
      <c r="N109"/>
      <c r="O109"/>
      <c r="P109" s="243"/>
      <c r="Q109" s="243"/>
      <c r="R109"/>
      <c r="S109" s="49"/>
      <c r="T109" s="38" t="s">
        <v>32</v>
      </c>
      <c r="U109" s="38" t="s">
        <v>1352</v>
      </c>
      <c r="V109" s="96"/>
      <c r="W109" s="88"/>
      <c r="X109" s="88"/>
      <c r="Y109" s="88"/>
      <c r="Z109" s="88"/>
      <c r="AA109" s="88">
        <v>1</v>
      </c>
      <c r="AB109" s="88"/>
      <c r="AC109" s="88"/>
      <c r="AD109" s="88"/>
      <c r="AE109" s="97">
        <v>1</v>
      </c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 s="243"/>
      <c r="BJ109" s="243"/>
      <c r="BK109" s="243"/>
      <c r="BL109" s="243"/>
      <c r="BM109" s="243"/>
      <c r="BN109" s="243"/>
      <c r="BO109"/>
      <c r="BP109" s="85"/>
      <c r="BQ109"/>
      <c r="BR109"/>
      <c r="BS109"/>
      <c r="BT109"/>
      <c r="BU109"/>
      <c r="BV109"/>
      <c r="CS109"/>
      <c r="CT109" s="85"/>
      <c r="CU109"/>
      <c r="CV109"/>
      <c r="CW109"/>
      <c r="CX109"/>
      <c r="CY109"/>
      <c r="CZ109"/>
      <c r="DP109"/>
      <c r="DQ109" s="85"/>
      <c r="DR109"/>
      <c r="DS109"/>
      <c r="DT109"/>
      <c r="DU109"/>
      <c r="DV109"/>
      <c r="DW109"/>
    </row>
    <row r="110" spans="1:133" ht="16.5">
      <c r="A110" s="49"/>
      <c r="B110" s="38" t="s">
        <v>35</v>
      </c>
      <c r="C110" s="38" t="s">
        <v>1351</v>
      </c>
      <c r="D110" s="96"/>
      <c r="E110" s="88"/>
      <c r="F110" s="88"/>
      <c r="G110" s="88"/>
      <c r="H110" s="88">
        <v>8</v>
      </c>
      <c r="I110" s="88"/>
      <c r="J110" s="88"/>
      <c r="K110" s="88"/>
      <c r="L110" s="88"/>
      <c r="M110" s="97">
        <v>8</v>
      </c>
      <c r="N110"/>
      <c r="O110"/>
      <c r="P110" s="243"/>
      <c r="Q110" s="243"/>
      <c r="R110"/>
      <c r="S110" s="49"/>
      <c r="T110" s="54" t="s">
        <v>1086</v>
      </c>
      <c r="U110" s="55"/>
      <c r="V110" s="101"/>
      <c r="W110" s="102"/>
      <c r="X110" s="102"/>
      <c r="Y110" s="102"/>
      <c r="Z110" s="102"/>
      <c r="AA110" s="102">
        <v>1</v>
      </c>
      <c r="AB110" s="102"/>
      <c r="AC110" s="102"/>
      <c r="AD110" s="102"/>
      <c r="AE110" s="103">
        <v>1</v>
      </c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 s="243"/>
      <c r="BJ110" s="243"/>
      <c r="BK110" s="243"/>
      <c r="BL110" s="243"/>
      <c r="BM110" s="243"/>
      <c r="BN110" s="243"/>
      <c r="BO110"/>
      <c r="BP110" s="85"/>
      <c r="BQ110"/>
      <c r="BR110"/>
      <c r="BS110"/>
      <c r="BT110"/>
      <c r="BU110"/>
      <c r="BV110"/>
      <c r="CS110"/>
      <c r="CT110" s="85"/>
      <c r="CU110"/>
      <c r="CV110"/>
      <c r="CW110"/>
      <c r="CX110"/>
      <c r="CY110"/>
      <c r="CZ110"/>
      <c r="DP110"/>
      <c r="DQ110" s="85"/>
      <c r="DR110"/>
      <c r="DS110"/>
      <c r="DT110"/>
      <c r="DU110"/>
      <c r="DV110"/>
      <c r="DW110"/>
    </row>
    <row r="111" spans="1:133" ht="16.5">
      <c r="A111" s="49"/>
      <c r="B111" s="49"/>
      <c r="C111" s="65" t="s">
        <v>1352</v>
      </c>
      <c r="D111" s="250"/>
      <c r="E111" s="351"/>
      <c r="F111" s="351"/>
      <c r="G111" s="351"/>
      <c r="H111" s="351"/>
      <c r="I111" s="351">
        <v>8</v>
      </c>
      <c r="J111" s="351"/>
      <c r="K111" s="351"/>
      <c r="L111" s="351"/>
      <c r="M111" s="251">
        <v>8</v>
      </c>
      <c r="N111"/>
      <c r="O111"/>
      <c r="P111" s="243"/>
      <c r="Q111" s="243"/>
      <c r="R111"/>
      <c r="S111" s="49"/>
      <c r="T111" s="38" t="s">
        <v>51</v>
      </c>
      <c r="U111" s="38" t="s">
        <v>1351</v>
      </c>
      <c r="V111" s="96"/>
      <c r="W111" s="88"/>
      <c r="X111" s="88"/>
      <c r="Y111" s="88"/>
      <c r="Z111" s="88">
        <v>3.5</v>
      </c>
      <c r="AA111" s="88"/>
      <c r="AB111" s="88">
        <v>0.5</v>
      </c>
      <c r="AC111" s="88"/>
      <c r="AD111" s="88"/>
      <c r="AE111" s="97">
        <v>4</v>
      </c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 s="243"/>
      <c r="BJ111" s="243"/>
      <c r="BK111" s="243"/>
      <c r="BL111" s="243"/>
      <c r="BM111" s="243"/>
      <c r="BN111" s="243"/>
      <c r="BO111"/>
      <c r="BP111" s="85"/>
      <c r="BQ111"/>
      <c r="BR111"/>
      <c r="BS111"/>
      <c r="BT111"/>
      <c r="BU111"/>
      <c r="BV111"/>
      <c r="CS111"/>
      <c r="CT111" s="85"/>
      <c r="CU111"/>
      <c r="CV111"/>
      <c r="CW111"/>
      <c r="CX111"/>
      <c r="CY111"/>
      <c r="CZ111"/>
      <c r="DP111"/>
      <c r="DQ111" s="85"/>
      <c r="DR111"/>
      <c r="DS111"/>
      <c r="DT111"/>
      <c r="DU111"/>
      <c r="DV111"/>
      <c r="DW111"/>
    </row>
    <row r="112" spans="1:133" ht="16.5">
      <c r="A112" s="49"/>
      <c r="B112" s="49"/>
      <c r="C112" s="65" t="s">
        <v>1743</v>
      </c>
      <c r="D112" s="250"/>
      <c r="E112" s="351"/>
      <c r="F112" s="351"/>
      <c r="G112" s="351"/>
      <c r="H112" s="351"/>
      <c r="I112" s="351">
        <v>1</v>
      </c>
      <c r="J112" s="351"/>
      <c r="K112" s="351"/>
      <c r="L112" s="351"/>
      <c r="M112" s="251">
        <v>1</v>
      </c>
      <c r="N112"/>
      <c r="O112"/>
      <c r="P112" s="243"/>
      <c r="Q112" s="243"/>
      <c r="R112"/>
      <c r="S112" s="49"/>
      <c r="T112" s="49"/>
      <c r="U112" s="65" t="s">
        <v>1743</v>
      </c>
      <c r="V112" s="250"/>
      <c r="W112" s="351"/>
      <c r="X112" s="351"/>
      <c r="Y112" s="351"/>
      <c r="Z112" s="351"/>
      <c r="AA112" s="351"/>
      <c r="AB112" s="351">
        <v>1.5</v>
      </c>
      <c r="AC112" s="351"/>
      <c r="AD112" s="351"/>
      <c r="AE112" s="251">
        <v>1.5</v>
      </c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 s="243"/>
      <c r="BJ112" s="243"/>
      <c r="BK112" s="243"/>
      <c r="BL112" s="243"/>
      <c r="BM112" s="243"/>
      <c r="BN112" s="243"/>
      <c r="BO112"/>
      <c r="BP112" s="85"/>
      <c r="BQ112"/>
      <c r="BR112"/>
      <c r="BS112"/>
      <c r="BT112"/>
      <c r="BU112"/>
      <c r="BV112"/>
      <c r="CS112"/>
      <c r="CT112" s="85"/>
      <c r="CU112"/>
      <c r="CV112"/>
      <c r="CW112"/>
      <c r="CX112"/>
      <c r="CY112"/>
      <c r="CZ112"/>
      <c r="DP112"/>
      <c r="DQ112" s="85"/>
      <c r="DR112"/>
      <c r="DS112"/>
      <c r="DT112"/>
      <c r="DU112"/>
      <c r="DV112"/>
      <c r="DW112"/>
    </row>
    <row r="113" spans="1:127" ht="16.5">
      <c r="A113" s="49"/>
      <c r="B113" s="50" t="s">
        <v>1347</v>
      </c>
      <c r="C113" s="51"/>
      <c r="D113" s="98"/>
      <c r="E113" s="99"/>
      <c r="F113" s="99"/>
      <c r="G113" s="99"/>
      <c r="H113" s="99">
        <v>8</v>
      </c>
      <c r="I113" s="99">
        <v>9</v>
      </c>
      <c r="J113" s="99"/>
      <c r="K113" s="99"/>
      <c r="L113" s="99"/>
      <c r="M113" s="100">
        <v>17</v>
      </c>
      <c r="N113"/>
      <c r="O113"/>
      <c r="P113" s="243"/>
      <c r="Q113" s="243"/>
      <c r="R113"/>
      <c r="S113" s="49"/>
      <c r="T113" s="54" t="s">
        <v>1088</v>
      </c>
      <c r="U113" s="55"/>
      <c r="V113" s="101"/>
      <c r="W113" s="102"/>
      <c r="X113" s="102"/>
      <c r="Y113" s="102"/>
      <c r="Z113" s="102">
        <v>3.5</v>
      </c>
      <c r="AA113" s="102"/>
      <c r="AB113" s="102">
        <v>2</v>
      </c>
      <c r="AC113" s="102"/>
      <c r="AD113" s="102"/>
      <c r="AE113" s="103">
        <v>5.5</v>
      </c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O113"/>
      <c r="BP113" s="85"/>
      <c r="BQ113"/>
      <c r="BR113"/>
      <c r="BS113"/>
      <c r="BT113"/>
      <c r="BU113"/>
      <c r="BV113"/>
      <c r="CS113"/>
      <c r="CT113" s="85"/>
      <c r="CU113"/>
      <c r="CV113"/>
      <c r="CW113"/>
      <c r="CX113"/>
      <c r="CY113"/>
      <c r="CZ113"/>
      <c r="DP113"/>
      <c r="DQ113" s="85"/>
      <c r="DR113"/>
      <c r="DS113"/>
      <c r="DT113"/>
      <c r="DU113"/>
      <c r="DV113"/>
      <c r="DW113"/>
    </row>
    <row r="114" spans="1:127" ht="16.5">
      <c r="A114" s="49"/>
      <c r="B114" s="38" t="s">
        <v>28</v>
      </c>
      <c r="C114" s="38" t="s">
        <v>1351</v>
      </c>
      <c r="D114" s="96"/>
      <c r="E114" s="88"/>
      <c r="F114" s="88"/>
      <c r="G114" s="88"/>
      <c r="H114" s="88">
        <v>1</v>
      </c>
      <c r="I114" s="88"/>
      <c r="J114" s="88"/>
      <c r="K114" s="88"/>
      <c r="L114" s="88"/>
      <c r="M114" s="97">
        <v>1</v>
      </c>
      <c r="N114"/>
      <c r="O114"/>
      <c r="P114" s="243"/>
      <c r="Q114" s="243"/>
      <c r="R114"/>
      <c r="S114" s="49"/>
      <c r="T114" s="38" t="s">
        <v>47</v>
      </c>
      <c r="U114" s="38" t="s">
        <v>1352</v>
      </c>
      <c r="V114" s="96"/>
      <c r="W114" s="88"/>
      <c r="X114" s="88"/>
      <c r="Y114" s="88"/>
      <c r="Z114" s="88"/>
      <c r="AA114" s="88">
        <v>2</v>
      </c>
      <c r="AB114" s="88"/>
      <c r="AC114" s="88"/>
      <c r="AD114" s="88"/>
      <c r="AE114" s="97">
        <v>2</v>
      </c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O114"/>
      <c r="BP114" s="85"/>
      <c r="BQ114"/>
      <c r="BR114"/>
      <c r="BS114"/>
      <c r="BT114"/>
      <c r="BU114"/>
      <c r="BV114"/>
      <c r="CS114"/>
      <c r="CT114" s="85"/>
      <c r="CU114"/>
      <c r="CV114"/>
      <c r="CW114"/>
      <c r="CX114"/>
      <c r="CY114"/>
      <c r="CZ114"/>
      <c r="DP114"/>
      <c r="DQ114" s="85"/>
      <c r="DR114"/>
      <c r="DS114"/>
      <c r="DT114"/>
      <c r="DU114"/>
      <c r="DV114"/>
      <c r="DW114"/>
    </row>
    <row r="115" spans="1:127" ht="16.5">
      <c r="A115" s="49"/>
      <c r="B115" s="49"/>
      <c r="C115" s="65" t="s">
        <v>1352</v>
      </c>
      <c r="D115" s="250"/>
      <c r="E115" s="351"/>
      <c r="F115" s="351"/>
      <c r="G115" s="351"/>
      <c r="H115" s="351"/>
      <c r="I115" s="351">
        <v>9</v>
      </c>
      <c r="J115" s="351"/>
      <c r="K115" s="351"/>
      <c r="L115" s="351"/>
      <c r="M115" s="251">
        <v>9</v>
      </c>
      <c r="N115"/>
      <c r="O115"/>
      <c r="P115" s="243"/>
      <c r="Q115" s="243"/>
      <c r="R115"/>
      <c r="S115" s="49"/>
      <c r="T115" s="54" t="s">
        <v>1091</v>
      </c>
      <c r="U115" s="55"/>
      <c r="V115" s="101"/>
      <c r="W115" s="102"/>
      <c r="X115" s="102"/>
      <c r="Y115" s="102"/>
      <c r="Z115" s="102"/>
      <c r="AA115" s="102">
        <v>2</v>
      </c>
      <c r="AB115" s="102"/>
      <c r="AC115" s="102"/>
      <c r="AD115" s="102"/>
      <c r="AE115" s="103">
        <v>2</v>
      </c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O115"/>
      <c r="BP115" s="85"/>
      <c r="BQ115"/>
      <c r="BR115"/>
      <c r="BS115"/>
      <c r="BT115"/>
      <c r="BU115"/>
      <c r="BV115"/>
      <c r="CS115"/>
      <c r="CT115" s="85"/>
      <c r="CU115"/>
      <c r="CV115"/>
      <c r="CW115"/>
      <c r="CX115"/>
      <c r="CY115"/>
      <c r="CZ115"/>
      <c r="DP115"/>
      <c r="DQ115" s="85"/>
      <c r="DR115"/>
      <c r="DS115"/>
      <c r="DT115"/>
      <c r="DU115"/>
      <c r="DV115"/>
      <c r="DW115"/>
    </row>
    <row r="116" spans="1:127" ht="16.5">
      <c r="A116" s="49"/>
      <c r="B116" s="49"/>
      <c r="C116" s="65" t="s">
        <v>2068</v>
      </c>
      <c r="D116" s="250"/>
      <c r="E116" s="351"/>
      <c r="F116" s="351"/>
      <c r="G116" s="351"/>
      <c r="H116" s="351"/>
      <c r="I116" s="351"/>
      <c r="J116" s="351"/>
      <c r="K116" s="351"/>
      <c r="L116" s="351">
        <v>6</v>
      </c>
      <c r="M116" s="251">
        <v>6</v>
      </c>
      <c r="N116"/>
      <c r="O116"/>
      <c r="P116" s="243"/>
      <c r="Q116" s="243"/>
      <c r="R116"/>
      <c r="S116" s="49"/>
      <c r="T116" s="38" t="s">
        <v>1095</v>
      </c>
      <c r="U116" s="38" t="s">
        <v>1352</v>
      </c>
      <c r="V116" s="96"/>
      <c r="W116" s="88"/>
      <c r="X116" s="88"/>
      <c r="Y116" s="88"/>
      <c r="Z116" s="88"/>
      <c r="AA116" s="88"/>
      <c r="AB116" s="88">
        <v>3</v>
      </c>
      <c r="AC116" s="88"/>
      <c r="AD116" s="88"/>
      <c r="AE116" s="97">
        <v>3</v>
      </c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O116"/>
      <c r="BP116" s="85"/>
      <c r="BQ116"/>
      <c r="BR116"/>
      <c r="BS116"/>
      <c r="BT116"/>
      <c r="BU116"/>
      <c r="BV116"/>
      <c r="CS116"/>
      <c r="CT116" s="85"/>
      <c r="CU116"/>
      <c r="CV116"/>
      <c r="CW116"/>
      <c r="CX116"/>
      <c r="CY116"/>
      <c r="CZ116"/>
      <c r="DP116"/>
      <c r="DQ116" s="85"/>
      <c r="DR116"/>
      <c r="DS116"/>
      <c r="DT116"/>
      <c r="DU116"/>
      <c r="DV116"/>
      <c r="DW116"/>
    </row>
    <row r="117" spans="1:127" ht="16.5">
      <c r="A117" s="49"/>
      <c r="B117" s="50" t="s">
        <v>1348</v>
      </c>
      <c r="C117" s="51"/>
      <c r="D117" s="98"/>
      <c r="E117" s="99"/>
      <c r="F117" s="99"/>
      <c r="G117" s="99"/>
      <c r="H117" s="99">
        <v>1</v>
      </c>
      <c r="I117" s="99">
        <v>9</v>
      </c>
      <c r="J117" s="99"/>
      <c r="K117" s="99"/>
      <c r="L117" s="99">
        <v>6</v>
      </c>
      <c r="M117" s="100">
        <v>16</v>
      </c>
      <c r="N117"/>
      <c r="O117"/>
      <c r="P117" s="243"/>
      <c r="Q117" s="243"/>
      <c r="R117"/>
      <c r="S117" s="49"/>
      <c r="T117" s="54" t="s">
        <v>2028</v>
      </c>
      <c r="U117" s="55"/>
      <c r="V117" s="101"/>
      <c r="W117" s="102"/>
      <c r="X117" s="102"/>
      <c r="Y117" s="102"/>
      <c r="Z117" s="102"/>
      <c r="AA117" s="102"/>
      <c r="AB117" s="102">
        <v>3</v>
      </c>
      <c r="AC117" s="102"/>
      <c r="AD117" s="102"/>
      <c r="AE117" s="103">
        <v>3</v>
      </c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O117"/>
      <c r="BP117" s="85"/>
      <c r="BQ117"/>
      <c r="BR117"/>
      <c r="BS117"/>
      <c r="BT117"/>
      <c r="BU117"/>
      <c r="BV117"/>
      <c r="CS117"/>
      <c r="CT117" s="85"/>
      <c r="CU117"/>
      <c r="CV117"/>
      <c r="CW117"/>
      <c r="CX117"/>
      <c r="CY117"/>
      <c r="CZ117"/>
      <c r="DP117"/>
      <c r="DQ117" s="85"/>
      <c r="DR117"/>
      <c r="DS117"/>
      <c r="DT117"/>
      <c r="DU117"/>
      <c r="DV117"/>
      <c r="DW117"/>
    </row>
    <row r="118" spans="1:127" ht="16.5">
      <c r="A118" s="49"/>
      <c r="B118" s="38" t="s">
        <v>56</v>
      </c>
      <c r="C118" s="38" t="s">
        <v>1351</v>
      </c>
      <c r="D118" s="96"/>
      <c r="E118" s="88"/>
      <c r="F118" s="88"/>
      <c r="G118" s="88"/>
      <c r="H118" s="88">
        <v>5</v>
      </c>
      <c r="I118" s="88"/>
      <c r="J118" s="88"/>
      <c r="K118" s="88"/>
      <c r="L118" s="88"/>
      <c r="M118" s="97">
        <v>5</v>
      </c>
      <c r="N118"/>
      <c r="O118"/>
      <c r="P118" s="243"/>
      <c r="Q118" s="243"/>
      <c r="R118"/>
      <c r="S118" s="49"/>
      <c r="T118" s="38" t="s">
        <v>1677</v>
      </c>
      <c r="U118" s="38" t="s">
        <v>1743</v>
      </c>
      <c r="V118" s="96"/>
      <c r="W118" s="88"/>
      <c r="X118" s="88"/>
      <c r="Y118" s="88"/>
      <c r="Z118" s="88"/>
      <c r="AA118" s="88"/>
      <c r="AB118" s="88"/>
      <c r="AC118" s="88">
        <v>1.3333333333333333</v>
      </c>
      <c r="AD118" s="88"/>
      <c r="AE118" s="97">
        <v>1.3333333333333333</v>
      </c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O118"/>
      <c r="BP118" s="85"/>
      <c r="BQ118"/>
      <c r="BR118"/>
      <c r="BS118"/>
      <c r="BT118"/>
      <c r="BU118"/>
      <c r="BV118"/>
      <c r="CS118"/>
      <c r="CT118" s="85"/>
      <c r="CU118"/>
      <c r="CV118"/>
      <c r="CW118"/>
      <c r="CX118"/>
      <c r="CY118"/>
      <c r="CZ118"/>
      <c r="DP118"/>
      <c r="DQ118" s="85"/>
      <c r="DR118"/>
      <c r="DS118"/>
      <c r="DT118"/>
      <c r="DU118"/>
      <c r="DV118"/>
      <c r="DW118"/>
    </row>
    <row r="119" spans="1:127" ht="16.5">
      <c r="A119" s="49"/>
      <c r="B119" s="49"/>
      <c r="C119" s="65" t="s">
        <v>1352</v>
      </c>
      <c r="D119" s="250"/>
      <c r="E119" s="351"/>
      <c r="F119" s="351"/>
      <c r="G119" s="351"/>
      <c r="H119" s="351"/>
      <c r="I119" s="351">
        <v>4</v>
      </c>
      <c r="J119" s="351"/>
      <c r="K119" s="351"/>
      <c r="L119" s="351"/>
      <c r="M119" s="251">
        <v>4</v>
      </c>
      <c r="N119"/>
      <c r="O119"/>
      <c r="P119" s="243"/>
      <c r="Q119" s="243"/>
      <c r="R119"/>
      <c r="S119" s="49"/>
      <c r="T119" s="54" t="s">
        <v>1738</v>
      </c>
      <c r="U119" s="55"/>
      <c r="V119" s="101"/>
      <c r="W119" s="102"/>
      <c r="X119" s="102"/>
      <c r="Y119" s="102"/>
      <c r="Z119" s="102"/>
      <c r="AA119" s="102"/>
      <c r="AB119" s="102"/>
      <c r="AC119" s="102">
        <v>1.3333333333333333</v>
      </c>
      <c r="AD119" s="102"/>
      <c r="AE119" s="103">
        <v>1.3333333333333333</v>
      </c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O119"/>
      <c r="BP119" s="85"/>
      <c r="BQ119"/>
      <c r="BR119"/>
      <c r="BS119"/>
      <c r="BT119"/>
      <c r="BU119"/>
      <c r="BV119"/>
      <c r="CS119"/>
      <c r="CT119" s="85"/>
      <c r="CU119"/>
      <c r="CV119"/>
      <c r="CW119"/>
      <c r="CX119"/>
      <c r="CY119"/>
      <c r="CZ119"/>
      <c r="DP119"/>
      <c r="DQ119" s="85"/>
      <c r="DR119"/>
      <c r="DS119"/>
      <c r="DT119"/>
      <c r="DU119"/>
      <c r="DV119"/>
      <c r="DW119"/>
    </row>
    <row r="120" spans="1:127" ht="16.5">
      <c r="A120" s="49"/>
      <c r="B120" s="49"/>
      <c r="C120" s="65" t="s">
        <v>2068</v>
      </c>
      <c r="D120" s="250"/>
      <c r="E120" s="351"/>
      <c r="F120" s="351"/>
      <c r="G120" s="351"/>
      <c r="H120" s="351"/>
      <c r="I120" s="351"/>
      <c r="J120" s="351"/>
      <c r="K120" s="351"/>
      <c r="L120" s="351">
        <v>5</v>
      </c>
      <c r="M120" s="251">
        <v>5</v>
      </c>
      <c r="N120"/>
      <c r="O120"/>
      <c r="P120" s="243"/>
      <c r="Q120" s="243"/>
      <c r="R120"/>
      <c r="S120" s="50" t="s">
        <v>1121</v>
      </c>
      <c r="T120" s="51"/>
      <c r="U120" s="51"/>
      <c r="V120" s="98"/>
      <c r="W120" s="99"/>
      <c r="X120" s="99"/>
      <c r="Y120" s="99"/>
      <c r="Z120" s="99">
        <v>4.5</v>
      </c>
      <c r="AA120" s="99">
        <v>3</v>
      </c>
      <c r="AB120" s="99">
        <v>17</v>
      </c>
      <c r="AC120" s="99">
        <v>1.3333333333333333</v>
      </c>
      <c r="AD120" s="99"/>
      <c r="AE120" s="100">
        <v>25.833333333333332</v>
      </c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O120"/>
      <c r="BP120" s="85"/>
      <c r="BQ120"/>
      <c r="BR120"/>
      <c r="BS120"/>
      <c r="BT120"/>
      <c r="BU120"/>
      <c r="BV120"/>
      <c r="CS120"/>
      <c r="CT120" s="85"/>
      <c r="CU120"/>
      <c r="CV120"/>
      <c r="CW120"/>
      <c r="CX120"/>
      <c r="CY120"/>
      <c r="CZ120"/>
      <c r="DP120"/>
      <c r="DQ120" s="85"/>
      <c r="DR120"/>
      <c r="DS120"/>
      <c r="DT120"/>
      <c r="DU120"/>
      <c r="DV120"/>
      <c r="DW120"/>
    </row>
    <row r="121" spans="1:127" ht="16.5">
      <c r="A121" s="49"/>
      <c r="B121" s="50" t="s">
        <v>1080</v>
      </c>
      <c r="C121" s="51"/>
      <c r="D121" s="98"/>
      <c r="E121" s="99"/>
      <c r="F121" s="99"/>
      <c r="G121" s="99"/>
      <c r="H121" s="99">
        <v>5</v>
      </c>
      <c r="I121" s="99">
        <v>4</v>
      </c>
      <c r="J121" s="99"/>
      <c r="K121" s="99"/>
      <c r="L121" s="99">
        <v>5</v>
      </c>
      <c r="M121" s="100">
        <v>14</v>
      </c>
      <c r="N121"/>
      <c r="O121"/>
      <c r="P121" s="243"/>
      <c r="Q121" s="243"/>
      <c r="R121"/>
      <c r="S121" s="38" t="s">
        <v>1305</v>
      </c>
      <c r="T121" s="38" t="s">
        <v>47</v>
      </c>
      <c r="U121" s="38" t="s">
        <v>1351</v>
      </c>
      <c r="V121" s="96"/>
      <c r="W121" s="88">
        <v>1</v>
      </c>
      <c r="X121" s="88"/>
      <c r="Y121" s="88"/>
      <c r="Z121" s="88">
        <v>3</v>
      </c>
      <c r="AA121" s="88"/>
      <c r="AB121" s="88"/>
      <c r="AC121" s="88"/>
      <c r="AD121" s="88"/>
      <c r="AE121" s="97">
        <v>4</v>
      </c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O121"/>
      <c r="BP121" s="85"/>
      <c r="BQ121"/>
      <c r="BR121"/>
      <c r="BS121"/>
      <c r="BT121"/>
      <c r="BU121"/>
      <c r="BV121"/>
      <c r="CS121"/>
      <c r="CT121" s="85"/>
      <c r="CU121"/>
      <c r="CV121"/>
      <c r="CW121"/>
      <c r="CX121"/>
      <c r="CY121"/>
      <c r="CZ121"/>
      <c r="DP121"/>
      <c r="DQ121" s="85"/>
      <c r="DR121"/>
      <c r="DS121"/>
      <c r="DT121"/>
      <c r="DU121"/>
      <c r="DV121"/>
      <c r="DW121"/>
    </row>
    <row r="122" spans="1:127" ht="16.5">
      <c r="A122" s="49"/>
      <c r="B122" s="38" t="s">
        <v>2116</v>
      </c>
      <c r="C122" s="38" t="s">
        <v>1743</v>
      </c>
      <c r="D122" s="96"/>
      <c r="E122" s="88"/>
      <c r="F122" s="88"/>
      <c r="G122" s="88"/>
      <c r="H122" s="88"/>
      <c r="I122" s="88">
        <v>8</v>
      </c>
      <c r="J122" s="88">
        <v>4</v>
      </c>
      <c r="K122" s="88"/>
      <c r="L122" s="88"/>
      <c r="M122" s="97">
        <v>12</v>
      </c>
      <c r="N122"/>
      <c r="O122"/>
      <c r="P122" s="243"/>
      <c r="Q122" s="243"/>
      <c r="R122"/>
      <c r="S122" s="49"/>
      <c r="T122" s="49"/>
      <c r="U122" s="65" t="s">
        <v>1352</v>
      </c>
      <c r="V122" s="250"/>
      <c r="W122" s="351"/>
      <c r="X122" s="351"/>
      <c r="Y122" s="351"/>
      <c r="Z122" s="351"/>
      <c r="AA122" s="351">
        <v>1</v>
      </c>
      <c r="AB122" s="351"/>
      <c r="AC122" s="351"/>
      <c r="AD122" s="351"/>
      <c r="AE122" s="251">
        <v>1</v>
      </c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O122"/>
      <c r="BP122" s="85"/>
      <c r="BQ122"/>
      <c r="BR122"/>
      <c r="BS122"/>
      <c r="BT122"/>
      <c r="BU122"/>
      <c r="BV122"/>
      <c r="CS122"/>
      <c r="CT122" s="85"/>
      <c r="CU122"/>
      <c r="CV122"/>
      <c r="CW122"/>
      <c r="CX122"/>
      <c r="CY122"/>
      <c r="CZ122"/>
      <c r="DP122"/>
      <c r="DQ122" s="85"/>
      <c r="DR122"/>
      <c r="DS122"/>
      <c r="DT122"/>
      <c r="DU122"/>
      <c r="DV122"/>
      <c r="DW122"/>
    </row>
    <row r="123" spans="1:127" ht="16.5">
      <c r="A123" s="49"/>
      <c r="B123" s="50" t="s">
        <v>2158</v>
      </c>
      <c r="C123" s="51"/>
      <c r="D123" s="98"/>
      <c r="E123" s="99"/>
      <c r="F123" s="99"/>
      <c r="G123" s="99"/>
      <c r="H123" s="99"/>
      <c r="I123" s="99">
        <v>8</v>
      </c>
      <c r="J123" s="99">
        <v>4</v>
      </c>
      <c r="K123" s="99"/>
      <c r="L123" s="99"/>
      <c r="M123" s="100">
        <v>12</v>
      </c>
      <c r="N123"/>
      <c r="O123"/>
      <c r="P123" s="243"/>
      <c r="Q123" s="243"/>
      <c r="R123"/>
      <c r="S123" s="49"/>
      <c r="T123" s="54" t="s">
        <v>1091</v>
      </c>
      <c r="U123" s="55"/>
      <c r="V123" s="101"/>
      <c r="W123" s="102">
        <v>1</v>
      </c>
      <c r="X123" s="102"/>
      <c r="Y123" s="102"/>
      <c r="Z123" s="102">
        <v>3</v>
      </c>
      <c r="AA123" s="102">
        <v>1</v>
      </c>
      <c r="AB123" s="102"/>
      <c r="AC123" s="102"/>
      <c r="AD123" s="102"/>
      <c r="AE123" s="103">
        <v>5</v>
      </c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O123"/>
      <c r="BP123" s="85"/>
      <c r="BQ123"/>
      <c r="BR123"/>
      <c r="BS123"/>
      <c r="BT123"/>
      <c r="BU123"/>
      <c r="BV123"/>
      <c r="CS123"/>
      <c r="CT123" s="85"/>
      <c r="CU123"/>
      <c r="CV123"/>
      <c r="CW123"/>
      <c r="CX123"/>
      <c r="CY123"/>
      <c r="CZ123"/>
      <c r="DP123"/>
      <c r="DQ123" s="85"/>
      <c r="DR123"/>
      <c r="DS123"/>
      <c r="DT123"/>
      <c r="DU123"/>
      <c r="DV123"/>
      <c r="DW123"/>
    </row>
    <row r="124" spans="1:127" ht="16.5">
      <c r="A124" s="54" t="s">
        <v>1087</v>
      </c>
      <c r="B124" s="55"/>
      <c r="C124" s="55"/>
      <c r="D124" s="101"/>
      <c r="E124" s="102"/>
      <c r="F124" s="102"/>
      <c r="G124" s="102"/>
      <c r="H124" s="102">
        <v>29</v>
      </c>
      <c r="I124" s="102">
        <v>31</v>
      </c>
      <c r="J124" s="102">
        <v>9</v>
      </c>
      <c r="K124" s="102"/>
      <c r="L124" s="102">
        <v>11</v>
      </c>
      <c r="M124" s="103">
        <v>80</v>
      </c>
      <c r="N124"/>
      <c r="O124"/>
      <c r="P124" s="243"/>
      <c r="Q124" s="243"/>
      <c r="R124"/>
      <c r="S124" s="50" t="s">
        <v>1346</v>
      </c>
      <c r="T124" s="51"/>
      <c r="U124" s="51"/>
      <c r="V124" s="98"/>
      <c r="W124" s="99">
        <v>1</v>
      </c>
      <c r="X124" s="99"/>
      <c r="Y124" s="99"/>
      <c r="Z124" s="99">
        <v>3</v>
      </c>
      <c r="AA124" s="99">
        <v>1</v>
      </c>
      <c r="AB124" s="99"/>
      <c r="AC124" s="99"/>
      <c r="AD124" s="99"/>
      <c r="AE124" s="100">
        <v>5</v>
      </c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O124"/>
      <c r="BP124" s="85"/>
      <c r="BQ124"/>
      <c r="BR124"/>
      <c r="BS124"/>
      <c r="BT124"/>
      <c r="BU124"/>
      <c r="BV124"/>
      <c r="CS124"/>
      <c r="CT124" s="85"/>
      <c r="CU124"/>
      <c r="CV124"/>
      <c r="CW124"/>
      <c r="CX124"/>
      <c r="CY124"/>
      <c r="CZ124"/>
      <c r="DP124"/>
      <c r="DQ124" s="85"/>
      <c r="DR124"/>
      <c r="DS124"/>
      <c r="DT124"/>
      <c r="DU124"/>
      <c r="DV124"/>
      <c r="DW124"/>
    </row>
    <row r="125" spans="1:127" ht="16.5">
      <c r="A125" s="38" t="s">
        <v>47</v>
      </c>
      <c r="B125" s="38" t="s">
        <v>38</v>
      </c>
      <c r="C125" s="38" t="s">
        <v>2155</v>
      </c>
      <c r="D125" s="96">
        <v>1</v>
      </c>
      <c r="E125" s="88"/>
      <c r="F125" s="88"/>
      <c r="G125" s="88"/>
      <c r="H125" s="88"/>
      <c r="I125" s="88"/>
      <c r="J125" s="88"/>
      <c r="K125" s="88"/>
      <c r="L125" s="88"/>
      <c r="M125" s="97">
        <v>1</v>
      </c>
      <c r="N125"/>
      <c r="O125"/>
      <c r="P125" s="243"/>
      <c r="Q125" s="243"/>
      <c r="R125"/>
      <c r="S125" s="38" t="s">
        <v>49</v>
      </c>
      <c r="T125" s="38" t="s">
        <v>1096</v>
      </c>
      <c r="U125" s="38" t="s">
        <v>1352</v>
      </c>
      <c r="V125" s="96"/>
      <c r="W125" s="88"/>
      <c r="X125" s="88"/>
      <c r="Y125" s="88"/>
      <c r="Z125" s="88"/>
      <c r="AA125" s="88"/>
      <c r="AB125" s="88">
        <v>5</v>
      </c>
      <c r="AC125" s="88"/>
      <c r="AD125" s="88"/>
      <c r="AE125" s="97">
        <v>5</v>
      </c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O125"/>
      <c r="BP125" s="85"/>
      <c r="BQ125"/>
      <c r="BR125"/>
      <c r="BS125"/>
      <c r="BT125"/>
      <c r="BU125"/>
      <c r="BV125"/>
      <c r="CS125"/>
      <c r="CT125" s="85"/>
      <c r="CU125"/>
      <c r="CV125"/>
      <c r="CW125"/>
      <c r="CX125"/>
      <c r="CY125"/>
      <c r="CZ125"/>
      <c r="DP125"/>
      <c r="DQ125" s="85"/>
      <c r="DR125"/>
      <c r="DS125"/>
      <c r="DT125"/>
      <c r="DU125"/>
      <c r="DV125"/>
      <c r="DW125"/>
    </row>
    <row r="126" spans="1:127" ht="16.5">
      <c r="A126" s="49"/>
      <c r="B126" s="49"/>
      <c r="C126" s="65" t="s">
        <v>1351</v>
      </c>
      <c r="D126" s="250"/>
      <c r="E126" s="351">
        <v>0.5</v>
      </c>
      <c r="F126" s="351">
        <v>1</v>
      </c>
      <c r="G126" s="351"/>
      <c r="H126" s="351">
        <v>11.5</v>
      </c>
      <c r="I126" s="351"/>
      <c r="J126" s="351"/>
      <c r="K126" s="351"/>
      <c r="L126" s="351"/>
      <c r="M126" s="251">
        <v>13</v>
      </c>
      <c r="N126"/>
      <c r="O126"/>
      <c r="P126" s="243"/>
      <c r="Q126" s="243"/>
      <c r="R126"/>
      <c r="S126" s="49"/>
      <c r="T126" s="54" t="s">
        <v>2153</v>
      </c>
      <c r="U126" s="55"/>
      <c r="V126" s="101"/>
      <c r="W126" s="102"/>
      <c r="X126" s="102"/>
      <c r="Y126" s="102"/>
      <c r="Z126" s="102"/>
      <c r="AA126" s="102"/>
      <c r="AB126" s="102">
        <v>5</v>
      </c>
      <c r="AC126" s="102"/>
      <c r="AD126" s="102"/>
      <c r="AE126" s="103">
        <v>5</v>
      </c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O126"/>
      <c r="BP126" s="85"/>
      <c r="BQ126"/>
      <c r="BR126"/>
      <c r="BS126"/>
      <c r="BT126"/>
      <c r="BU126"/>
      <c r="BV126"/>
      <c r="CS126"/>
      <c r="CT126" s="85"/>
      <c r="CU126"/>
      <c r="CV126"/>
      <c r="CW126"/>
      <c r="CX126"/>
      <c r="CY126"/>
      <c r="CZ126"/>
      <c r="DP126"/>
      <c r="DQ126" s="85"/>
      <c r="DR126"/>
      <c r="DS126"/>
      <c r="DT126"/>
      <c r="DU126"/>
      <c r="DV126"/>
      <c r="DW126"/>
    </row>
    <row r="127" spans="1:127" ht="16.5">
      <c r="A127" s="49"/>
      <c r="B127" s="49"/>
      <c r="C127" s="65" t="s">
        <v>1352</v>
      </c>
      <c r="D127" s="250"/>
      <c r="E127" s="351"/>
      <c r="F127" s="351"/>
      <c r="G127" s="351"/>
      <c r="H127" s="351"/>
      <c r="I127" s="351">
        <v>7</v>
      </c>
      <c r="J127" s="351">
        <v>2</v>
      </c>
      <c r="K127" s="351"/>
      <c r="L127" s="351"/>
      <c r="M127" s="251">
        <v>9</v>
      </c>
      <c r="N127"/>
      <c r="O127"/>
      <c r="P127" s="243"/>
      <c r="Q127" s="243"/>
      <c r="R127"/>
      <c r="S127" s="49"/>
      <c r="T127" s="38" t="s">
        <v>1101</v>
      </c>
      <c r="U127" s="38" t="s">
        <v>1350</v>
      </c>
      <c r="V127" s="96"/>
      <c r="W127" s="88"/>
      <c r="X127" s="88"/>
      <c r="Y127" s="88"/>
      <c r="Z127" s="88">
        <v>6</v>
      </c>
      <c r="AA127" s="88"/>
      <c r="AB127" s="88"/>
      <c r="AC127" s="88"/>
      <c r="AD127" s="88"/>
      <c r="AE127" s="97">
        <v>6</v>
      </c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O127"/>
      <c r="BP127" s="85"/>
      <c r="BQ127"/>
      <c r="BR127"/>
      <c r="BS127"/>
      <c r="BT127"/>
      <c r="BU127"/>
      <c r="BV127"/>
      <c r="CS127"/>
      <c r="CT127" s="85"/>
      <c r="CU127"/>
      <c r="CV127"/>
      <c r="CW127"/>
      <c r="CX127"/>
      <c r="CY127"/>
      <c r="CZ127"/>
      <c r="DP127"/>
      <c r="DQ127" s="85"/>
      <c r="DR127"/>
      <c r="DS127"/>
      <c r="DT127"/>
      <c r="DU127"/>
      <c r="DV127"/>
      <c r="DW127"/>
    </row>
    <row r="128" spans="1:127" ht="16.5">
      <c r="A128" s="49"/>
      <c r="B128" s="50" t="s">
        <v>853</v>
      </c>
      <c r="C128" s="51"/>
      <c r="D128" s="98">
        <v>1</v>
      </c>
      <c r="E128" s="99">
        <v>0.5</v>
      </c>
      <c r="F128" s="99">
        <v>1</v>
      </c>
      <c r="G128" s="99"/>
      <c r="H128" s="99">
        <v>11.5</v>
      </c>
      <c r="I128" s="99">
        <v>7</v>
      </c>
      <c r="J128" s="99">
        <v>2</v>
      </c>
      <c r="K128" s="99"/>
      <c r="L128" s="99"/>
      <c r="M128" s="100">
        <v>23</v>
      </c>
      <c r="N128"/>
      <c r="O128"/>
      <c r="P128" s="243"/>
      <c r="Q128" s="243"/>
      <c r="R128"/>
      <c r="S128" s="49"/>
      <c r="T128" s="49"/>
      <c r="U128" s="65" t="s">
        <v>1743</v>
      </c>
      <c r="V128" s="250"/>
      <c r="W128" s="351"/>
      <c r="X128" s="351"/>
      <c r="Y128" s="351"/>
      <c r="Z128" s="351"/>
      <c r="AA128" s="351">
        <v>2</v>
      </c>
      <c r="AB128" s="351">
        <v>1</v>
      </c>
      <c r="AC128" s="351"/>
      <c r="AD128" s="351"/>
      <c r="AE128" s="251">
        <v>3</v>
      </c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O128"/>
      <c r="BP128" s="85"/>
      <c r="BQ128"/>
      <c r="BR128"/>
      <c r="BS128"/>
      <c r="BT128"/>
      <c r="BU128"/>
      <c r="BV128"/>
      <c r="CS128"/>
      <c r="CT128" s="85"/>
      <c r="CU128"/>
      <c r="CV128"/>
      <c r="CW128"/>
      <c r="CX128"/>
      <c r="CY128"/>
      <c r="CZ128"/>
      <c r="DP128"/>
      <c r="DQ128" s="85"/>
      <c r="DR128"/>
      <c r="DS128"/>
      <c r="DT128"/>
      <c r="DU128"/>
      <c r="DV128"/>
      <c r="DW128"/>
    </row>
    <row r="129" spans="1:127" ht="16.5">
      <c r="A129" s="49"/>
      <c r="B129" s="38" t="s">
        <v>50</v>
      </c>
      <c r="C129" s="38" t="s">
        <v>1351</v>
      </c>
      <c r="D129" s="96"/>
      <c r="E129" s="88"/>
      <c r="F129" s="88"/>
      <c r="G129" s="88"/>
      <c r="H129" s="88">
        <v>8</v>
      </c>
      <c r="I129" s="88"/>
      <c r="J129" s="88"/>
      <c r="K129" s="88"/>
      <c r="L129" s="88"/>
      <c r="M129" s="97">
        <v>8</v>
      </c>
      <c r="N129"/>
      <c r="O129"/>
      <c r="P129" s="243"/>
      <c r="Q129" s="243"/>
      <c r="R129"/>
      <c r="S129" s="49"/>
      <c r="T129" s="54" t="s">
        <v>1550</v>
      </c>
      <c r="U129" s="55"/>
      <c r="V129" s="101"/>
      <c r="W129" s="102"/>
      <c r="X129" s="102"/>
      <c r="Y129" s="102"/>
      <c r="Z129" s="102">
        <v>6</v>
      </c>
      <c r="AA129" s="102">
        <v>2</v>
      </c>
      <c r="AB129" s="102">
        <v>1</v>
      </c>
      <c r="AC129" s="102"/>
      <c r="AD129" s="102"/>
      <c r="AE129" s="103">
        <v>9</v>
      </c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O129"/>
      <c r="BP129" s="85"/>
      <c r="BQ129"/>
      <c r="BR129"/>
      <c r="BS129"/>
      <c r="BT129"/>
      <c r="BU129"/>
      <c r="BV129"/>
      <c r="CS129"/>
      <c r="CT129" s="85"/>
      <c r="CU129"/>
      <c r="CV129"/>
      <c r="CW129"/>
      <c r="CX129"/>
      <c r="CY129"/>
      <c r="CZ129"/>
      <c r="DP129"/>
      <c r="DQ129" s="85"/>
      <c r="DR129"/>
      <c r="DS129"/>
      <c r="DT129"/>
      <c r="DU129"/>
      <c r="DV129"/>
      <c r="DW129"/>
    </row>
    <row r="130" spans="1:127" ht="16.5">
      <c r="A130" s="49"/>
      <c r="B130" s="49"/>
      <c r="C130" s="65" t="s">
        <v>1352</v>
      </c>
      <c r="D130" s="250">
        <v>2</v>
      </c>
      <c r="E130" s="351"/>
      <c r="F130" s="351"/>
      <c r="G130" s="351"/>
      <c r="H130" s="351"/>
      <c r="I130" s="351">
        <v>14</v>
      </c>
      <c r="J130" s="351"/>
      <c r="K130" s="351"/>
      <c r="L130" s="351"/>
      <c r="M130" s="251">
        <v>16</v>
      </c>
      <c r="N130"/>
      <c r="O130"/>
      <c r="P130" s="243"/>
      <c r="Q130" s="243"/>
      <c r="R130"/>
      <c r="S130" s="49"/>
      <c r="T130" s="38" t="s">
        <v>2006</v>
      </c>
      <c r="U130" s="38" t="s">
        <v>1351</v>
      </c>
      <c r="V130" s="96"/>
      <c r="W130" s="88"/>
      <c r="X130" s="88">
        <v>6.5</v>
      </c>
      <c r="Y130" s="88"/>
      <c r="Z130" s="88"/>
      <c r="AA130" s="88"/>
      <c r="AB130" s="88"/>
      <c r="AC130" s="88"/>
      <c r="AD130" s="88"/>
      <c r="AE130" s="97">
        <v>6.5</v>
      </c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O130"/>
      <c r="BP130" s="85"/>
      <c r="BQ130"/>
      <c r="BR130"/>
      <c r="BS130"/>
      <c r="BT130"/>
      <c r="BU130"/>
      <c r="BV130"/>
      <c r="CS130"/>
      <c r="CT130" s="85"/>
      <c r="CU130"/>
      <c r="CV130"/>
      <c r="CW130"/>
      <c r="CX130"/>
      <c r="CY130"/>
      <c r="CZ130"/>
      <c r="DP130"/>
      <c r="DQ130" s="85"/>
      <c r="DR130"/>
      <c r="DS130"/>
      <c r="DT130"/>
      <c r="DU130"/>
      <c r="DV130"/>
      <c r="DW130"/>
    </row>
    <row r="131" spans="1:127" ht="16.5">
      <c r="A131" s="49"/>
      <c r="B131" s="50" t="s">
        <v>855</v>
      </c>
      <c r="C131" s="51"/>
      <c r="D131" s="98">
        <v>2</v>
      </c>
      <c r="E131" s="99"/>
      <c r="F131" s="99"/>
      <c r="G131" s="99"/>
      <c r="H131" s="99">
        <v>8</v>
      </c>
      <c r="I131" s="99">
        <v>14</v>
      </c>
      <c r="J131" s="99"/>
      <c r="K131" s="99"/>
      <c r="L131" s="99"/>
      <c r="M131" s="100">
        <v>24</v>
      </c>
      <c r="N131"/>
      <c r="O131"/>
      <c r="P131" s="243"/>
      <c r="Q131" s="243"/>
      <c r="R131"/>
      <c r="S131" s="49"/>
      <c r="T131" s="49"/>
      <c r="U131" s="65" t="s">
        <v>1352</v>
      </c>
      <c r="V131" s="250"/>
      <c r="W131" s="351"/>
      <c r="X131" s="351"/>
      <c r="Y131" s="351"/>
      <c r="Z131" s="351">
        <v>1.5</v>
      </c>
      <c r="AA131" s="351"/>
      <c r="AB131" s="351"/>
      <c r="AC131" s="351"/>
      <c r="AD131" s="351"/>
      <c r="AE131" s="251">
        <v>1.5</v>
      </c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O131"/>
      <c r="BP131" s="85"/>
      <c r="BQ131"/>
      <c r="BR131"/>
      <c r="BS131"/>
      <c r="BT131"/>
      <c r="BU131"/>
      <c r="BV131"/>
      <c r="CS131"/>
      <c r="CT131" s="85"/>
      <c r="CU131"/>
      <c r="CV131"/>
      <c r="CW131"/>
      <c r="CX131"/>
      <c r="CY131"/>
      <c r="CZ131"/>
      <c r="DP131"/>
      <c r="DQ131" s="85"/>
      <c r="DR131"/>
      <c r="DS131"/>
      <c r="DT131"/>
      <c r="DU131"/>
      <c r="DV131"/>
      <c r="DW131"/>
    </row>
    <row r="132" spans="1:127" ht="16.5">
      <c r="A132" s="49"/>
      <c r="B132" s="38" t="s">
        <v>35</v>
      </c>
      <c r="C132" s="38" t="s">
        <v>1351</v>
      </c>
      <c r="D132" s="96"/>
      <c r="E132" s="88">
        <v>0.5</v>
      </c>
      <c r="F132" s="88"/>
      <c r="G132" s="88"/>
      <c r="H132" s="88">
        <v>2</v>
      </c>
      <c r="I132" s="88"/>
      <c r="J132" s="88"/>
      <c r="K132" s="88"/>
      <c r="L132" s="88"/>
      <c r="M132" s="97">
        <v>2.5</v>
      </c>
      <c r="N132"/>
      <c r="O132"/>
      <c r="P132" s="243"/>
      <c r="Q132" s="243"/>
      <c r="R132"/>
      <c r="S132" s="49"/>
      <c r="T132" s="54" t="s">
        <v>2027</v>
      </c>
      <c r="U132" s="55"/>
      <c r="V132" s="101"/>
      <c r="W132" s="102"/>
      <c r="X132" s="102">
        <v>6.5</v>
      </c>
      <c r="Y132" s="102"/>
      <c r="Z132" s="102">
        <v>1.5</v>
      </c>
      <c r="AA132" s="102"/>
      <c r="AB132" s="102"/>
      <c r="AC132" s="102"/>
      <c r="AD132" s="102"/>
      <c r="AE132" s="103">
        <v>8</v>
      </c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O132"/>
      <c r="BP132" s="85"/>
      <c r="BQ132"/>
      <c r="BR132"/>
      <c r="BS132"/>
      <c r="BT132"/>
      <c r="BU132"/>
      <c r="BV132"/>
      <c r="CS132"/>
      <c r="CT132" s="85"/>
      <c r="CU132"/>
      <c r="CV132"/>
      <c r="CW132"/>
      <c r="CX132"/>
      <c r="CY132"/>
      <c r="CZ132"/>
      <c r="DP132"/>
      <c r="DQ132" s="85"/>
      <c r="DR132"/>
      <c r="DS132"/>
      <c r="DT132"/>
      <c r="DU132"/>
      <c r="DV132"/>
      <c r="DW132"/>
    </row>
    <row r="133" spans="1:127" ht="16.5">
      <c r="A133" s="49"/>
      <c r="B133" s="49"/>
      <c r="C133" s="65" t="s">
        <v>1352</v>
      </c>
      <c r="D133" s="250">
        <v>1</v>
      </c>
      <c r="E133" s="351"/>
      <c r="F133" s="351"/>
      <c r="G133" s="351"/>
      <c r="H133" s="351"/>
      <c r="I133" s="351">
        <v>23</v>
      </c>
      <c r="J133" s="351">
        <v>5</v>
      </c>
      <c r="K133" s="351"/>
      <c r="L133" s="351"/>
      <c r="M133" s="251">
        <v>29</v>
      </c>
      <c r="N133"/>
      <c r="O133"/>
      <c r="P133" s="243"/>
      <c r="Q133" s="243"/>
      <c r="R133"/>
      <c r="S133" s="49"/>
      <c r="T133" s="38" t="s">
        <v>1477</v>
      </c>
      <c r="U133" s="38" t="s">
        <v>1350</v>
      </c>
      <c r="V133" s="96"/>
      <c r="W133" s="88"/>
      <c r="X133" s="88">
        <v>5</v>
      </c>
      <c r="Y133" s="88"/>
      <c r="Z133" s="88"/>
      <c r="AA133" s="88"/>
      <c r="AB133" s="88"/>
      <c r="AC133" s="88"/>
      <c r="AD133" s="88"/>
      <c r="AE133" s="97">
        <v>5</v>
      </c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O133"/>
      <c r="BP133" s="85"/>
      <c r="BQ133"/>
      <c r="BR133"/>
      <c r="BS133"/>
      <c r="BT133"/>
      <c r="BU133"/>
      <c r="BV133"/>
      <c r="CS133"/>
      <c r="CT133" s="85"/>
      <c r="CU133"/>
      <c r="CV133"/>
      <c r="CW133"/>
      <c r="CX133"/>
      <c r="CY133"/>
      <c r="CZ133"/>
      <c r="DP133"/>
      <c r="DQ133" s="85"/>
      <c r="DR133"/>
      <c r="DS133"/>
      <c r="DT133"/>
      <c r="DU133"/>
      <c r="DV133"/>
      <c r="DW133"/>
    </row>
    <row r="134" spans="1:127" ht="16.5">
      <c r="A134" s="49"/>
      <c r="B134" s="50" t="s">
        <v>1347</v>
      </c>
      <c r="C134" s="51"/>
      <c r="D134" s="98">
        <v>1</v>
      </c>
      <c r="E134" s="99">
        <v>0.5</v>
      </c>
      <c r="F134" s="99"/>
      <c r="G134" s="99"/>
      <c r="H134" s="99">
        <v>2</v>
      </c>
      <c r="I134" s="99">
        <v>23</v>
      </c>
      <c r="J134" s="99">
        <v>5</v>
      </c>
      <c r="K134" s="99"/>
      <c r="L134" s="99"/>
      <c r="M134" s="100">
        <v>31.5</v>
      </c>
      <c r="N134"/>
      <c r="O134"/>
      <c r="P134" s="243"/>
      <c r="Q134" s="243"/>
      <c r="R134"/>
      <c r="S134" s="49"/>
      <c r="T134" s="54" t="s">
        <v>1542</v>
      </c>
      <c r="U134" s="55"/>
      <c r="V134" s="101"/>
      <c r="W134" s="102"/>
      <c r="X134" s="102">
        <v>5</v>
      </c>
      <c r="Y134" s="102"/>
      <c r="Z134" s="102"/>
      <c r="AA134" s="102"/>
      <c r="AB134" s="102"/>
      <c r="AC134" s="102"/>
      <c r="AD134" s="102"/>
      <c r="AE134" s="103">
        <v>5</v>
      </c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O134"/>
      <c r="BP134" s="85"/>
      <c r="BQ134"/>
      <c r="BR134"/>
      <c r="BS134"/>
      <c r="BT134"/>
      <c r="BU134"/>
      <c r="BV134"/>
      <c r="CS134"/>
      <c r="CT134" s="85"/>
      <c r="CU134"/>
      <c r="CV134"/>
      <c r="CW134"/>
      <c r="CX134"/>
      <c r="CY134"/>
      <c r="CZ134"/>
      <c r="DP134"/>
      <c r="DQ134" s="85"/>
      <c r="DR134"/>
      <c r="DS134"/>
      <c r="DT134"/>
      <c r="DU134"/>
      <c r="DV134"/>
      <c r="DW134"/>
    </row>
    <row r="135" spans="1:127" ht="16.5">
      <c r="A135" s="49"/>
      <c r="B135" s="38" t="s">
        <v>56</v>
      </c>
      <c r="C135" s="38" t="s">
        <v>1352</v>
      </c>
      <c r="D135" s="96"/>
      <c r="E135" s="88"/>
      <c r="F135" s="88"/>
      <c r="G135" s="88"/>
      <c r="H135" s="88"/>
      <c r="I135" s="88">
        <v>14</v>
      </c>
      <c r="J135" s="88">
        <v>2</v>
      </c>
      <c r="K135" s="88"/>
      <c r="L135" s="88"/>
      <c r="M135" s="97">
        <v>16</v>
      </c>
      <c r="N135"/>
      <c r="O135"/>
      <c r="P135" s="243"/>
      <c r="Q135" s="243"/>
      <c r="R135"/>
      <c r="S135" s="49"/>
      <c r="T135" s="38" t="s">
        <v>1557</v>
      </c>
      <c r="U135" s="38" t="s">
        <v>1350</v>
      </c>
      <c r="V135" s="96"/>
      <c r="W135" s="88"/>
      <c r="X135" s="88"/>
      <c r="Y135" s="88"/>
      <c r="Z135" s="88">
        <v>6</v>
      </c>
      <c r="AA135" s="88"/>
      <c r="AB135" s="88"/>
      <c r="AC135" s="88"/>
      <c r="AD135" s="88"/>
      <c r="AE135" s="97">
        <v>6</v>
      </c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O135"/>
      <c r="BP135" s="85"/>
      <c r="BQ135"/>
      <c r="BR135"/>
      <c r="BS135"/>
      <c r="BT135"/>
      <c r="BU135"/>
      <c r="BV135"/>
      <c r="CS135"/>
      <c r="CT135" s="85"/>
      <c r="CU135"/>
      <c r="CV135"/>
      <c r="CW135"/>
      <c r="CX135"/>
      <c r="CY135"/>
      <c r="CZ135"/>
      <c r="DP135"/>
      <c r="DQ135" s="85"/>
      <c r="DR135"/>
      <c r="DS135"/>
      <c r="DT135"/>
      <c r="DU135"/>
      <c r="DV135"/>
      <c r="DW135"/>
    </row>
    <row r="136" spans="1:127" ht="16.5">
      <c r="A136" s="49"/>
      <c r="B136" s="50" t="s">
        <v>1080</v>
      </c>
      <c r="C136" s="51"/>
      <c r="D136" s="98"/>
      <c r="E136" s="99"/>
      <c r="F136" s="99"/>
      <c r="G136" s="99"/>
      <c r="H136" s="99"/>
      <c r="I136" s="99">
        <v>14</v>
      </c>
      <c r="J136" s="99">
        <v>2</v>
      </c>
      <c r="K136" s="99"/>
      <c r="L136" s="99"/>
      <c r="M136" s="100">
        <v>16</v>
      </c>
      <c r="N136"/>
      <c r="O136"/>
      <c r="P136" s="243"/>
      <c r="Q136" s="243"/>
      <c r="R136"/>
      <c r="S136" s="49"/>
      <c r="T136" s="54" t="s">
        <v>1739</v>
      </c>
      <c r="U136" s="55"/>
      <c r="V136" s="101"/>
      <c r="W136" s="102"/>
      <c r="X136" s="102"/>
      <c r="Y136" s="102"/>
      <c r="Z136" s="102">
        <v>6</v>
      </c>
      <c r="AA136" s="102"/>
      <c r="AB136" s="102"/>
      <c r="AC136" s="102"/>
      <c r="AD136" s="102"/>
      <c r="AE136" s="103">
        <v>6</v>
      </c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O136"/>
      <c r="BP136" s="85"/>
      <c r="BQ136"/>
      <c r="BR136"/>
      <c r="BS136"/>
      <c r="BT136"/>
      <c r="BU136"/>
      <c r="BV136"/>
      <c r="CS136"/>
      <c r="CT136" s="85"/>
      <c r="CU136"/>
      <c r="CV136"/>
      <c r="CW136"/>
      <c r="CX136"/>
      <c r="CY136"/>
      <c r="CZ136"/>
      <c r="DP136"/>
      <c r="DQ136" s="85"/>
      <c r="DR136"/>
      <c r="DS136"/>
      <c r="DT136"/>
      <c r="DU136"/>
      <c r="DV136"/>
      <c r="DW136"/>
    </row>
    <row r="137" spans="1:127" ht="16.5">
      <c r="A137" s="54" t="s">
        <v>1091</v>
      </c>
      <c r="B137" s="55"/>
      <c r="C137" s="55"/>
      <c r="D137" s="101">
        <v>4</v>
      </c>
      <c r="E137" s="102">
        <v>1</v>
      </c>
      <c r="F137" s="102">
        <v>1</v>
      </c>
      <c r="G137" s="102"/>
      <c r="H137" s="102">
        <v>21.5</v>
      </c>
      <c r="I137" s="102">
        <v>58</v>
      </c>
      <c r="J137" s="102">
        <v>9</v>
      </c>
      <c r="K137" s="102"/>
      <c r="L137" s="102"/>
      <c r="M137" s="103">
        <v>94.5</v>
      </c>
      <c r="N137"/>
      <c r="O137"/>
      <c r="P137" s="243"/>
      <c r="Q137" s="243"/>
      <c r="R137"/>
      <c r="S137" s="49"/>
      <c r="T137" s="38" t="s">
        <v>1102</v>
      </c>
      <c r="U137" s="38" t="s">
        <v>1352</v>
      </c>
      <c r="V137" s="96"/>
      <c r="W137" s="88"/>
      <c r="X137" s="88"/>
      <c r="Y137" s="88"/>
      <c r="Z137" s="88">
        <v>3</v>
      </c>
      <c r="AA137" s="88"/>
      <c r="AB137" s="88"/>
      <c r="AC137" s="88"/>
      <c r="AD137" s="88"/>
      <c r="AE137" s="97">
        <v>3</v>
      </c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O137"/>
      <c r="BP137" s="85"/>
      <c r="BQ137"/>
      <c r="BR137"/>
      <c r="BS137"/>
      <c r="BT137"/>
      <c r="BU137"/>
      <c r="BV137"/>
      <c r="CS137"/>
      <c r="CT137" s="85"/>
      <c r="CU137"/>
      <c r="CV137"/>
      <c r="CW137"/>
      <c r="CX137"/>
      <c r="CY137"/>
      <c r="CZ137"/>
      <c r="DP137"/>
      <c r="DQ137" s="85"/>
      <c r="DR137"/>
      <c r="DS137"/>
      <c r="DT137"/>
      <c r="DU137"/>
      <c r="DV137"/>
      <c r="DW137"/>
    </row>
    <row r="138" spans="1:127" ht="16.5">
      <c r="A138" s="38" t="s">
        <v>779</v>
      </c>
      <c r="B138" s="38" t="s">
        <v>38</v>
      </c>
      <c r="C138" s="38" t="s">
        <v>1351</v>
      </c>
      <c r="D138" s="96"/>
      <c r="E138" s="88"/>
      <c r="F138" s="88"/>
      <c r="G138" s="88"/>
      <c r="H138" s="88">
        <v>1</v>
      </c>
      <c r="I138" s="88"/>
      <c r="J138" s="88"/>
      <c r="K138" s="88"/>
      <c r="L138" s="88"/>
      <c r="M138" s="97">
        <v>1</v>
      </c>
      <c r="N138"/>
      <c r="O138"/>
      <c r="P138" s="243"/>
      <c r="Q138" s="243"/>
      <c r="R138"/>
      <c r="S138" s="49"/>
      <c r="T138" s="49"/>
      <c r="U138" s="65" t="s">
        <v>1743</v>
      </c>
      <c r="V138" s="250"/>
      <c r="W138" s="351"/>
      <c r="X138" s="351"/>
      <c r="Y138" s="351"/>
      <c r="Z138" s="351"/>
      <c r="AA138" s="351"/>
      <c r="AB138" s="351">
        <v>2.5</v>
      </c>
      <c r="AC138" s="351"/>
      <c r="AD138" s="351"/>
      <c r="AE138" s="251">
        <v>2.5</v>
      </c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O138"/>
      <c r="BP138" s="85"/>
      <c r="BQ138"/>
      <c r="BR138"/>
      <c r="BS138"/>
      <c r="BT138"/>
      <c r="BU138"/>
      <c r="BV138"/>
      <c r="CS138"/>
      <c r="CT138" s="85"/>
      <c r="CU138"/>
      <c r="CV138"/>
      <c r="CW138"/>
      <c r="CX138"/>
      <c r="CY138"/>
      <c r="CZ138"/>
      <c r="DP138"/>
      <c r="DQ138" s="85"/>
      <c r="DR138"/>
      <c r="DS138"/>
      <c r="DT138"/>
      <c r="DU138"/>
      <c r="DV138"/>
      <c r="DW138"/>
    </row>
    <row r="139" spans="1:127" ht="16.5">
      <c r="A139" s="49"/>
      <c r="B139" s="50" t="s">
        <v>853</v>
      </c>
      <c r="C139" s="51"/>
      <c r="D139" s="98"/>
      <c r="E139" s="99"/>
      <c r="F139" s="99"/>
      <c r="G139" s="99"/>
      <c r="H139" s="99">
        <v>1</v>
      </c>
      <c r="I139" s="99"/>
      <c r="J139" s="99"/>
      <c r="K139" s="99"/>
      <c r="L139" s="99"/>
      <c r="M139" s="100">
        <v>1</v>
      </c>
      <c r="N139"/>
      <c r="O139"/>
      <c r="P139" s="243"/>
      <c r="Q139" s="243"/>
      <c r="R139"/>
      <c r="S139" s="49"/>
      <c r="T139" s="54" t="s">
        <v>1737</v>
      </c>
      <c r="U139" s="55"/>
      <c r="V139" s="101"/>
      <c r="W139" s="102"/>
      <c r="X139" s="102"/>
      <c r="Y139" s="102"/>
      <c r="Z139" s="102">
        <v>3</v>
      </c>
      <c r="AA139" s="102"/>
      <c r="AB139" s="102">
        <v>2.5</v>
      </c>
      <c r="AC139" s="102"/>
      <c r="AD139" s="102"/>
      <c r="AE139" s="103">
        <v>5.5</v>
      </c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O139"/>
      <c r="BP139" s="85"/>
      <c r="BQ139"/>
      <c r="BR139"/>
      <c r="BS139"/>
      <c r="BT139"/>
      <c r="BU139"/>
      <c r="BV139"/>
      <c r="CS139"/>
      <c r="CT139" s="85"/>
      <c r="CU139"/>
      <c r="CV139"/>
      <c r="CW139"/>
      <c r="CX139"/>
      <c r="CY139"/>
      <c r="CZ139"/>
      <c r="DP139"/>
      <c r="DQ139" s="85"/>
      <c r="DR139"/>
      <c r="DS139"/>
      <c r="DT139"/>
      <c r="DU139"/>
      <c r="DV139"/>
      <c r="DW139"/>
    </row>
    <row r="140" spans="1:127" ht="16.5">
      <c r="A140" s="49"/>
      <c r="B140" s="38" t="s">
        <v>33</v>
      </c>
      <c r="C140" s="38" t="s">
        <v>1351</v>
      </c>
      <c r="D140" s="96"/>
      <c r="E140" s="88"/>
      <c r="F140" s="88"/>
      <c r="G140" s="88"/>
      <c r="H140" s="88">
        <v>1</v>
      </c>
      <c r="I140" s="88"/>
      <c r="J140" s="88"/>
      <c r="K140" s="88"/>
      <c r="L140" s="88"/>
      <c r="M140" s="97">
        <v>1</v>
      </c>
      <c r="N140"/>
      <c r="O140"/>
      <c r="P140" s="243"/>
      <c r="Q140" s="243"/>
      <c r="R140"/>
      <c r="S140" s="49"/>
      <c r="T140" s="38" t="s">
        <v>1772</v>
      </c>
      <c r="U140" s="38" t="s">
        <v>1352</v>
      </c>
      <c r="V140" s="96"/>
      <c r="W140" s="88"/>
      <c r="X140" s="88"/>
      <c r="Y140" s="88"/>
      <c r="Z140" s="88"/>
      <c r="AA140" s="88">
        <v>2</v>
      </c>
      <c r="AB140" s="88"/>
      <c r="AC140" s="88"/>
      <c r="AD140" s="88"/>
      <c r="AE140" s="97">
        <v>2</v>
      </c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O140"/>
      <c r="BP140" s="85"/>
      <c r="BQ140"/>
      <c r="BR140"/>
      <c r="BS140"/>
      <c r="BT140"/>
      <c r="BU140"/>
      <c r="BV140"/>
      <c r="CS140"/>
      <c r="CT140" s="85"/>
      <c r="CU140"/>
      <c r="CV140"/>
      <c r="CW140"/>
      <c r="CX140"/>
      <c r="CY140"/>
      <c r="CZ140"/>
      <c r="DP140"/>
      <c r="DQ140" s="85"/>
      <c r="DR140"/>
      <c r="DS140"/>
      <c r="DT140"/>
      <c r="DU140"/>
      <c r="DV140"/>
      <c r="DW140"/>
    </row>
    <row r="141" spans="1:127" ht="16.5">
      <c r="A141" s="49"/>
      <c r="B141" s="50" t="s">
        <v>854</v>
      </c>
      <c r="C141" s="51"/>
      <c r="D141" s="98"/>
      <c r="E141" s="99"/>
      <c r="F141" s="99"/>
      <c r="G141" s="99"/>
      <c r="H141" s="99">
        <v>1</v>
      </c>
      <c r="I141" s="99"/>
      <c r="J141" s="99"/>
      <c r="K141" s="99"/>
      <c r="L141" s="99"/>
      <c r="M141" s="100">
        <v>1</v>
      </c>
      <c r="N141"/>
      <c r="O141"/>
      <c r="P141" s="243"/>
      <c r="Q141" s="243"/>
      <c r="R141"/>
      <c r="S141" s="49"/>
      <c r="T141" s="54" t="s">
        <v>1824</v>
      </c>
      <c r="U141" s="55"/>
      <c r="V141" s="101"/>
      <c r="W141" s="102"/>
      <c r="X141" s="102"/>
      <c r="Y141" s="102"/>
      <c r="Z141" s="102"/>
      <c r="AA141" s="102">
        <v>2</v>
      </c>
      <c r="AB141" s="102"/>
      <c r="AC141" s="102"/>
      <c r="AD141" s="102"/>
      <c r="AE141" s="103">
        <v>2</v>
      </c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O141"/>
      <c r="BP141" s="85"/>
      <c r="BQ141"/>
      <c r="BR141"/>
      <c r="BS141"/>
      <c r="BT141"/>
      <c r="BU141"/>
      <c r="BV141"/>
      <c r="CS141"/>
      <c r="CT141" s="85"/>
      <c r="CU141"/>
      <c r="CV141"/>
      <c r="CW141"/>
      <c r="CX141"/>
      <c r="CY141"/>
      <c r="CZ141"/>
      <c r="DP141"/>
      <c r="DQ141" s="85"/>
      <c r="DR141"/>
      <c r="DS141"/>
      <c r="DT141"/>
      <c r="DU141"/>
      <c r="DV141"/>
      <c r="DW141"/>
    </row>
    <row r="142" spans="1:127" ht="16.5">
      <c r="A142" s="49"/>
      <c r="B142" s="38" t="s">
        <v>35</v>
      </c>
      <c r="C142" s="38" t="s">
        <v>1351</v>
      </c>
      <c r="D142" s="96"/>
      <c r="E142" s="88"/>
      <c r="F142" s="88"/>
      <c r="G142" s="88"/>
      <c r="H142" s="88">
        <v>6</v>
      </c>
      <c r="I142" s="88"/>
      <c r="J142" s="88"/>
      <c r="K142" s="88"/>
      <c r="L142" s="88"/>
      <c r="M142" s="97">
        <v>6</v>
      </c>
      <c r="N142"/>
      <c r="O142"/>
      <c r="P142" s="243"/>
      <c r="Q142" s="243"/>
      <c r="R142"/>
      <c r="S142" s="50" t="s">
        <v>1371</v>
      </c>
      <c r="T142" s="51"/>
      <c r="U142" s="51"/>
      <c r="V142" s="98"/>
      <c r="W142" s="99"/>
      <c r="X142" s="99">
        <v>11.5</v>
      </c>
      <c r="Y142" s="99"/>
      <c r="Z142" s="99">
        <v>16.5</v>
      </c>
      <c r="AA142" s="99">
        <v>4</v>
      </c>
      <c r="AB142" s="99">
        <v>8.5</v>
      </c>
      <c r="AC142" s="99"/>
      <c r="AD142" s="99"/>
      <c r="AE142" s="100">
        <v>40.5</v>
      </c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O142"/>
      <c r="BP142" s="85"/>
      <c r="BQ142"/>
      <c r="BR142"/>
      <c r="BS142"/>
      <c r="BT142"/>
      <c r="BU142"/>
      <c r="BV142"/>
      <c r="CS142"/>
      <c r="CT142" s="85"/>
      <c r="CU142"/>
      <c r="CV142"/>
      <c r="CW142"/>
      <c r="CX142"/>
      <c r="CY142"/>
      <c r="CZ142"/>
      <c r="DP142"/>
      <c r="DQ142" s="85"/>
      <c r="DR142"/>
      <c r="DS142"/>
      <c r="DT142"/>
      <c r="DU142"/>
      <c r="DV142"/>
      <c r="DW142"/>
    </row>
    <row r="143" spans="1:127" ht="16.5">
      <c r="A143" s="49"/>
      <c r="B143" s="49"/>
      <c r="C143" s="65" t="s">
        <v>1350</v>
      </c>
      <c r="D143" s="250"/>
      <c r="E143" s="351"/>
      <c r="F143" s="351"/>
      <c r="G143" s="351"/>
      <c r="H143" s="351">
        <v>3</v>
      </c>
      <c r="I143" s="351"/>
      <c r="J143" s="351"/>
      <c r="K143" s="351"/>
      <c r="L143" s="351"/>
      <c r="M143" s="251">
        <v>3</v>
      </c>
      <c r="N143"/>
      <c r="O143"/>
      <c r="P143" s="243"/>
      <c r="Q143" s="243"/>
      <c r="R143"/>
      <c r="S143" s="38" t="s">
        <v>1365</v>
      </c>
      <c r="T143" s="38" t="s">
        <v>1101</v>
      </c>
      <c r="U143" s="38" t="s">
        <v>1350</v>
      </c>
      <c r="V143" s="96"/>
      <c r="W143" s="88"/>
      <c r="X143" s="88"/>
      <c r="Y143" s="88"/>
      <c r="Z143" s="88">
        <v>8</v>
      </c>
      <c r="AA143" s="88"/>
      <c r="AB143" s="88"/>
      <c r="AC143" s="88"/>
      <c r="AD143" s="88"/>
      <c r="AE143" s="97">
        <v>8</v>
      </c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O143"/>
      <c r="BP143" s="85"/>
      <c r="BQ143"/>
      <c r="BR143"/>
      <c r="BS143"/>
      <c r="BT143"/>
      <c r="BU143"/>
      <c r="BV143"/>
      <c r="CS143"/>
      <c r="CT143" s="85"/>
      <c r="CU143"/>
      <c r="CV143"/>
      <c r="CW143"/>
      <c r="CX143"/>
      <c r="CY143"/>
      <c r="CZ143"/>
      <c r="DP143"/>
      <c r="DQ143" s="85"/>
      <c r="DR143"/>
      <c r="DS143"/>
      <c r="DT143"/>
      <c r="DU143"/>
      <c r="DV143"/>
      <c r="DW143"/>
    </row>
    <row r="144" spans="1:127" ht="16.5">
      <c r="A144" s="49"/>
      <c r="B144" s="50" t="s">
        <v>1347</v>
      </c>
      <c r="C144" s="51"/>
      <c r="D144" s="98"/>
      <c r="E144" s="99"/>
      <c r="F144" s="99"/>
      <c r="G144" s="99"/>
      <c r="H144" s="99">
        <v>9</v>
      </c>
      <c r="I144" s="99"/>
      <c r="J144" s="99"/>
      <c r="K144" s="99"/>
      <c r="L144" s="99"/>
      <c r="M144" s="100">
        <v>9</v>
      </c>
      <c r="N144"/>
      <c r="O144"/>
      <c r="P144" s="243"/>
      <c r="Q144" s="243"/>
      <c r="R144"/>
      <c r="S144" s="49"/>
      <c r="T144" s="54" t="s">
        <v>1550</v>
      </c>
      <c r="U144" s="55"/>
      <c r="V144" s="101"/>
      <c r="W144" s="102"/>
      <c r="X144" s="102"/>
      <c r="Y144" s="102"/>
      <c r="Z144" s="102">
        <v>8</v>
      </c>
      <c r="AA144" s="102"/>
      <c r="AB144" s="102"/>
      <c r="AC144" s="102"/>
      <c r="AD144" s="102"/>
      <c r="AE144" s="103">
        <v>8</v>
      </c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O144"/>
      <c r="BP144" s="85"/>
      <c r="BQ144"/>
      <c r="BR144"/>
      <c r="BS144"/>
      <c r="BT144"/>
      <c r="BU144"/>
      <c r="BV144"/>
      <c r="CS144"/>
      <c r="CT144" s="85"/>
      <c r="CU144"/>
      <c r="CV144"/>
      <c r="CW144"/>
      <c r="CX144"/>
      <c r="CY144"/>
      <c r="CZ144"/>
      <c r="DP144"/>
      <c r="DQ144" s="85"/>
      <c r="DR144"/>
      <c r="DS144"/>
      <c r="DT144"/>
      <c r="DU144"/>
      <c r="DV144"/>
      <c r="DW144"/>
    </row>
    <row r="145" spans="1:127" ht="16.5">
      <c r="A145" s="54" t="s">
        <v>1092</v>
      </c>
      <c r="B145" s="55"/>
      <c r="C145" s="55"/>
      <c r="D145" s="101"/>
      <c r="E145" s="102"/>
      <c r="F145" s="102"/>
      <c r="G145" s="102"/>
      <c r="H145" s="102">
        <v>11</v>
      </c>
      <c r="I145" s="102"/>
      <c r="J145" s="102"/>
      <c r="K145" s="102"/>
      <c r="L145" s="102"/>
      <c r="M145" s="103">
        <v>11</v>
      </c>
      <c r="N145"/>
      <c r="O145"/>
      <c r="P145" s="243"/>
      <c r="Q145" s="243"/>
      <c r="R145"/>
      <c r="S145" s="49"/>
      <c r="T145" s="38" t="s">
        <v>2006</v>
      </c>
      <c r="U145" s="38" t="s">
        <v>1350</v>
      </c>
      <c r="V145" s="96"/>
      <c r="W145" s="88"/>
      <c r="X145" s="88">
        <v>3</v>
      </c>
      <c r="Y145" s="88"/>
      <c r="Z145" s="88"/>
      <c r="AA145" s="88"/>
      <c r="AB145" s="88"/>
      <c r="AC145" s="88"/>
      <c r="AD145" s="88"/>
      <c r="AE145" s="97">
        <v>3</v>
      </c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O145"/>
      <c r="BP145" s="85"/>
      <c r="BQ145"/>
      <c r="BR145"/>
      <c r="BS145"/>
      <c r="BT145"/>
      <c r="BU145"/>
      <c r="BV145"/>
      <c r="CS145"/>
      <c r="CT145" s="85"/>
      <c r="CU145"/>
      <c r="CV145"/>
      <c r="CW145"/>
      <c r="CX145"/>
      <c r="CY145"/>
      <c r="CZ145"/>
      <c r="DP145"/>
      <c r="DQ145" s="85"/>
      <c r="DR145"/>
      <c r="DS145"/>
      <c r="DT145"/>
      <c r="DU145"/>
      <c r="DV145"/>
      <c r="DW145"/>
    </row>
    <row r="146" spans="1:127" ht="16.5">
      <c r="A146" s="38" t="s">
        <v>61</v>
      </c>
      <c r="B146" s="38" t="s">
        <v>50</v>
      </c>
      <c r="C146" s="38" t="s">
        <v>1351</v>
      </c>
      <c r="D146" s="96"/>
      <c r="E146" s="88"/>
      <c r="F146" s="88"/>
      <c r="G146" s="88"/>
      <c r="H146" s="88">
        <v>10</v>
      </c>
      <c r="I146" s="88"/>
      <c r="J146" s="88"/>
      <c r="K146" s="88"/>
      <c r="L146" s="88"/>
      <c r="M146" s="97">
        <v>10</v>
      </c>
      <c r="N146"/>
      <c r="O146"/>
      <c r="P146" s="243"/>
      <c r="Q146" s="243"/>
      <c r="R146"/>
      <c r="S146" s="49"/>
      <c r="T146" s="54" t="s">
        <v>2027</v>
      </c>
      <c r="U146" s="55"/>
      <c r="V146" s="101"/>
      <c r="W146" s="102"/>
      <c r="X146" s="102">
        <v>3</v>
      </c>
      <c r="Y146" s="102"/>
      <c r="Z146" s="102"/>
      <c r="AA146" s="102"/>
      <c r="AB146" s="102"/>
      <c r="AC146" s="102"/>
      <c r="AD146" s="102"/>
      <c r="AE146" s="103">
        <v>3</v>
      </c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O146"/>
      <c r="BP146" s="85"/>
      <c r="BQ146"/>
      <c r="BR146"/>
      <c r="BS146"/>
      <c r="BT146"/>
      <c r="BU146"/>
      <c r="BV146"/>
      <c r="CS146"/>
      <c r="CT146" s="85"/>
      <c r="CU146"/>
      <c r="CV146"/>
      <c r="CW146"/>
      <c r="CX146"/>
      <c r="CY146"/>
      <c r="CZ146"/>
      <c r="DP146"/>
      <c r="DQ146" s="85"/>
      <c r="DR146"/>
      <c r="DS146"/>
      <c r="DT146"/>
      <c r="DU146"/>
      <c r="DV146"/>
      <c r="DW146"/>
    </row>
    <row r="147" spans="1:127" ht="16.5">
      <c r="A147" s="49"/>
      <c r="B147" s="49"/>
      <c r="C147" s="65" t="s">
        <v>1352</v>
      </c>
      <c r="D147" s="250"/>
      <c r="E147" s="351"/>
      <c r="F147" s="351"/>
      <c r="G147" s="351"/>
      <c r="H147" s="351"/>
      <c r="I147" s="351">
        <v>1</v>
      </c>
      <c r="J147" s="351">
        <v>1</v>
      </c>
      <c r="K147" s="351"/>
      <c r="L147" s="351"/>
      <c r="M147" s="251">
        <v>2</v>
      </c>
      <c r="N147"/>
      <c r="O147"/>
      <c r="P147" s="243"/>
      <c r="Q147" s="243"/>
      <c r="R147"/>
      <c r="S147" s="49"/>
      <c r="T147" s="38" t="s">
        <v>1102</v>
      </c>
      <c r="U147" s="38" t="s">
        <v>1352</v>
      </c>
      <c r="V147" s="96"/>
      <c r="W147" s="88"/>
      <c r="X147" s="88"/>
      <c r="Y147" s="88"/>
      <c r="Z147" s="88"/>
      <c r="AA147" s="88">
        <v>4</v>
      </c>
      <c r="AB147" s="88"/>
      <c r="AC147" s="88"/>
      <c r="AD147" s="88"/>
      <c r="AE147" s="97">
        <v>4</v>
      </c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O147"/>
      <c r="BP147" s="85"/>
      <c r="BQ147"/>
      <c r="BR147"/>
      <c r="BS147"/>
      <c r="BT147"/>
      <c r="BU147"/>
      <c r="BV147"/>
      <c r="CS147"/>
      <c r="CT147" s="85"/>
      <c r="CU147"/>
      <c r="CV147"/>
      <c r="CW147"/>
      <c r="CX147"/>
      <c r="CY147"/>
      <c r="CZ147"/>
      <c r="DP147"/>
      <c r="DQ147" s="85"/>
      <c r="DR147"/>
      <c r="DS147"/>
      <c r="DT147"/>
      <c r="DU147"/>
      <c r="DV147"/>
      <c r="DW147"/>
    </row>
    <row r="148" spans="1:127" ht="16.5">
      <c r="A148" s="49"/>
      <c r="B148" s="49"/>
      <c r="C148" s="65" t="s">
        <v>2068</v>
      </c>
      <c r="D148" s="250"/>
      <c r="E148" s="351"/>
      <c r="F148" s="351"/>
      <c r="G148" s="351"/>
      <c r="H148" s="351"/>
      <c r="I148" s="351"/>
      <c r="J148" s="351"/>
      <c r="K148" s="351"/>
      <c r="L148" s="351">
        <v>4</v>
      </c>
      <c r="M148" s="251">
        <v>4</v>
      </c>
      <c r="N148"/>
      <c r="O148"/>
      <c r="P148" s="243"/>
      <c r="Q148" s="243"/>
      <c r="R148"/>
      <c r="S148" s="49"/>
      <c r="T148" s="54" t="s">
        <v>1737</v>
      </c>
      <c r="U148" s="55"/>
      <c r="V148" s="101"/>
      <c r="W148" s="102"/>
      <c r="X148" s="102"/>
      <c r="Y148" s="102"/>
      <c r="Z148" s="102"/>
      <c r="AA148" s="102">
        <v>4</v>
      </c>
      <c r="AB148" s="102"/>
      <c r="AC148" s="102"/>
      <c r="AD148" s="102"/>
      <c r="AE148" s="103">
        <v>4</v>
      </c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O148"/>
      <c r="BP148" s="85"/>
      <c r="BQ148"/>
      <c r="BR148"/>
      <c r="BS148"/>
      <c r="BT148"/>
      <c r="BU148"/>
      <c r="BV148"/>
      <c r="CS148"/>
      <c r="CT148" s="85"/>
      <c r="CU148"/>
      <c r="CV148"/>
      <c r="CW148"/>
      <c r="CX148"/>
      <c r="CY148"/>
      <c r="CZ148"/>
      <c r="DP148"/>
      <c r="DQ148" s="85"/>
      <c r="DR148"/>
      <c r="DS148"/>
      <c r="DT148"/>
      <c r="DU148"/>
      <c r="DV148"/>
      <c r="DW148"/>
    </row>
    <row r="149" spans="1:127" ht="16.5">
      <c r="A149" s="49"/>
      <c r="B149" s="50" t="s">
        <v>855</v>
      </c>
      <c r="C149" s="51"/>
      <c r="D149" s="98"/>
      <c r="E149" s="99"/>
      <c r="F149" s="99"/>
      <c r="G149" s="99"/>
      <c r="H149" s="99">
        <v>10</v>
      </c>
      <c r="I149" s="99">
        <v>1</v>
      </c>
      <c r="J149" s="99">
        <v>1</v>
      </c>
      <c r="K149" s="99"/>
      <c r="L149" s="99">
        <v>4</v>
      </c>
      <c r="M149" s="100">
        <v>16</v>
      </c>
      <c r="N149"/>
      <c r="O149"/>
      <c r="P149" s="243"/>
      <c r="Q149" s="243"/>
      <c r="R149"/>
      <c r="S149" s="50" t="s">
        <v>1372</v>
      </c>
      <c r="T149" s="51"/>
      <c r="U149" s="51"/>
      <c r="V149" s="98"/>
      <c r="W149" s="99"/>
      <c r="X149" s="99">
        <v>3</v>
      </c>
      <c r="Y149" s="99"/>
      <c r="Z149" s="99">
        <v>8</v>
      </c>
      <c r="AA149" s="99">
        <v>4</v>
      </c>
      <c r="AB149" s="99"/>
      <c r="AC149" s="99"/>
      <c r="AD149" s="99"/>
      <c r="AE149" s="100">
        <v>15</v>
      </c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O149"/>
      <c r="BP149" s="85"/>
      <c r="BQ149"/>
      <c r="BR149"/>
      <c r="BS149"/>
      <c r="BT149"/>
      <c r="BU149"/>
      <c r="BV149"/>
      <c r="CS149"/>
      <c r="CT149" s="85"/>
      <c r="CU149"/>
      <c r="CV149"/>
      <c r="CW149"/>
      <c r="CX149"/>
      <c r="CY149"/>
      <c r="CZ149"/>
      <c r="DP149"/>
      <c r="DQ149" s="85"/>
      <c r="DR149"/>
      <c r="DS149"/>
      <c r="DT149"/>
      <c r="DU149"/>
      <c r="DV149"/>
      <c r="DW149"/>
    </row>
    <row r="150" spans="1:127" ht="16.5">
      <c r="A150" s="54" t="s">
        <v>2152</v>
      </c>
      <c r="B150" s="55"/>
      <c r="C150" s="55"/>
      <c r="D150" s="101"/>
      <c r="E150" s="102"/>
      <c r="F150" s="102"/>
      <c r="G150" s="102"/>
      <c r="H150" s="102">
        <v>10</v>
      </c>
      <c r="I150" s="102">
        <v>1</v>
      </c>
      <c r="J150" s="102">
        <v>1</v>
      </c>
      <c r="K150" s="102"/>
      <c r="L150" s="102">
        <v>4</v>
      </c>
      <c r="M150" s="103">
        <v>16</v>
      </c>
      <c r="N150"/>
      <c r="O150"/>
      <c r="P150" s="243"/>
      <c r="Q150" s="243"/>
      <c r="R150"/>
      <c r="S150" s="38" t="s">
        <v>1401</v>
      </c>
      <c r="T150" s="38" t="s">
        <v>41</v>
      </c>
      <c r="U150" s="38" t="s">
        <v>1351</v>
      </c>
      <c r="V150" s="96"/>
      <c r="W150" s="88"/>
      <c r="X150" s="88">
        <v>5</v>
      </c>
      <c r="Y150" s="88"/>
      <c r="Z150" s="88"/>
      <c r="AA150" s="88"/>
      <c r="AB150" s="88"/>
      <c r="AC150" s="88"/>
      <c r="AD150" s="88"/>
      <c r="AE150" s="97">
        <v>5</v>
      </c>
      <c r="AF150"/>
      <c r="AG150"/>
      <c r="AH150"/>
      <c r="AI150"/>
      <c r="AJ150"/>
      <c r="AK150"/>
      <c r="AL150" s="85"/>
      <c r="AM150"/>
      <c r="AN150"/>
      <c r="AO150"/>
      <c r="AP150"/>
      <c r="AQ150"/>
      <c r="AR150"/>
      <c r="BO150"/>
      <c r="BP150" s="85"/>
      <c r="BQ150"/>
      <c r="BR150"/>
      <c r="BS150"/>
      <c r="BT150"/>
      <c r="BU150"/>
      <c r="BV150"/>
      <c r="CS150"/>
      <c r="CT150" s="85"/>
      <c r="CU150"/>
      <c r="CV150"/>
      <c r="CW150"/>
      <c r="CX150"/>
      <c r="CY150"/>
      <c r="CZ150"/>
      <c r="DP150"/>
      <c r="DQ150" s="85"/>
      <c r="DR150"/>
      <c r="DS150"/>
      <c r="DT150"/>
      <c r="DU150"/>
      <c r="DV150"/>
      <c r="DW150"/>
    </row>
    <row r="151" spans="1:127" ht="16.5">
      <c r="A151" s="38" t="s">
        <v>39</v>
      </c>
      <c r="B151" s="38" t="s">
        <v>38</v>
      </c>
      <c r="C151" s="38" t="s">
        <v>1351</v>
      </c>
      <c r="D151" s="96"/>
      <c r="E151" s="88"/>
      <c r="F151" s="88"/>
      <c r="G151" s="88"/>
      <c r="H151" s="88">
        <v>6</v>
      </c>
      <c r="I151" s="88"/>
      <c r="J151" s="88"/>
      <c r="K151" s="88"/>
      <c r="L151" s="88"/>
      <c r="M151" s="97">
        <v>6</v>
      </c>
      <c r="N151"/>
      <c r="O151"/>
      <c r="P151" s="243"/>
      <c r="Q151" s="243"/>
      <c r="R151"/>
      <c r="S151" s="49"/>
      <c r="T151" s="49"/>
      <c r="U151" s="65" t="s">
        <v>1350</v>
      </c>
      <c r="V151" s="250"/>
      <c r="W151" s="351"/>
      <c r="X151" s="351"/>
      <c r="Y151" s="351"/>
      <c r="Z151" s="351">
        <v>10</v>
      </c>
      <c r="AA151" s="351"/>
      <c r="AB151" s="351"/>
      <c r="AC151" s="351"/>
      <c r="AD151" s="351"/>
      <c r="AE151" s="251">
        <v>10</v>
      </c>
      <c r="AF151"/>
      <c r="AG151"/>
      <c r="AH151"/>
      <c r="AI151"/>
      <c r="AJ151"/>
      <c r="AK151"/>
      <c r="AL151" s="85"/>
      <c r="AM151"/>
      <c r="AN151"/>
      <c r="AO151"/>
      <c r="AP151"/>
      <c r="AQ151"/>
      <c r="AR151"/>
      <c r="BO151"/>
      <c r="BP151" s="85"/>
      <c r="BQ151"/>
      <c r="BR151"/>
      <c r="BS151"/>
      <c r="BT151"/>
      <c r="BU151"/>
      <c r="BV151"/>
      <c r="CS151"/>
      <c r="CT151" s="85"/>
      <c r="CU151"/>
      <c r="CV151"/>
      <c r="CW151"/>
      <c r="CX151"/>
      <c r="CY151"/>
      <c r="CZ151"/>
      <c r="DP151"/>
      <c r="DQ151" s="85"/>
      <c r="DR151"/>
      <c r="DS151"/>
      <c r="DT151"/>
      <c r="DU151"/>
      <c r="DV151"/>
      <c r="DW151"/>
    </row>
    <row r="152" spans="1:127" ht="16.5">
      <c r="A152" s="49"/>
      <c r="B152" s="50" t="s">
        <v>853</v>
      </c>
      <c r="C152" s="51"/>
      <c r="D152" s="98"/>
      <c r="E152" s="99"/>
      <c r="F152" s="99"/>
      <c r="G152" s="99"/>
      <c r="H152" s="99">
        <v>6</v>
      </c>
      <c r="I152" s="99"/>
      <c r="J152" s="99"/>
      <c r="K152" s="99"/>
      <c r="L152" s="99"/>
      <c r="M152" s="100">
        <v>6</v>
      </c>
      <c r="N152"/>
      <c r="O152"/>
      <c r="P152" s="243"/>
      <c r="Q152" s="243"/>
      <c r="R152"/>
      <c r="S152" s="49"/>
      <c r="T152" s="49"/>
      <c r="U152" s="65" t="s">
        <v>1352</v>
      </c>
      <c r="V152" s="250"/>
      <c r="W152" s="351"/>
      <c r="X152" s="351"/>
      <c r="Y152" s="351"/>
      <c r="Z152" s="351">
        <v>2</v>
      </c>
      <c r="AA152" s="351">
        <v>2</v>
      </c>
      <c r="AB152" s="351"/>
      <c r="AC152" s="351"/>
      <c r="AD152" s="351"/>
      <c r="AE152" s="251">
        <v>4</v>
      </c>
      <c r="AF152"/>
      <c r="AG152"/>
      <c r="AH152"/>
      <c r="AI152"/>
      <c r="AJ152"/>
      <c r="AK152"/>
      <c r="AL152" s="85"/>
      <c r="AM152"/>
      <c r="AN152"/>
      <c r="AO152"/>
      <c r="AP152"/>
      <c r="AQ152"/>
      <c r="AR152"/>
      <c r="BO152"/>
      <c r="BP152" s="85"/>
      <c r="BQ152"/>
      <c r="BR152"/>
      <c r="BS152"/>
      <c r="BT152"/>
      <c r="BU152"/>
      <c r="BV152"/>
      <c r="CS152"/>
      <c r="CT152" s="85"/>
      <c r="CU152"/>
      <c r="CV152"/>
      <c r="CW152"/>
      <c r="CX152"/>
      <c r="CY152"/>
      <c r="CZ152"/>
      <c r="DP152"/>
      <c r="DQ152" s="85"/>
      <c r="DR152"/>
      <c r="DS152"/>
      <c r="DT152"/>
      <c r="DU152"/>
      <c r="DV152"/>
      <c r="DW152"/>
    </row>
    <row r="153" spans="1:127" ht="16.5">
      <c r="A153" s="49"/>
      <c r="B153" s="38" t="s">
        <v>28</v>
      </c>
      <c r="C153" s="38" t="s">
        <v>1351</v>
      </c>
      <c r="D153" s="96"/>
      <c r="E153" s="88"/>
      <c r="F153" s="88"/>
      <c r="G153" s="88"/>
      <c r="H153" s="88">
        <v>6</v>
      </c>
      <c r="I153" s="88">
        <v>1</v>
      </c>
      <c r="J153" s="88"/>
      <c r="K153" s="88"/>
      <c r="L153" s="88"/>
      <c r="M153" s="97">
        <v>7</v>
      </c>
      <c r="N153"/>
      <c r="O153"/>
      <c r="P153" s="243"/>
      <c r="Q153" s="243"/>
      <c r="R153"/>
      <c r="S153" s="49"/>
      <c r="T153" s="79" t="s">
        <v>1454</v>
      </c>
      <c r="U153" s="83"/>
      <c r="V153" s="101"/>
      <c r="W153" s="102"/>
      <c r="X153" s="102">
        <v>5</v>
      </c>
      <c r="Y153" s="102"/>
      <c r="Z153" s="102">
        <v>12</v>
      </c>
      <c r="AA153" s="102">
        <v>2</v>
      </c>
      <c r="AB153" s="102"/>
      <c r="AC153" s="102"/>
      <c r="AD153" s="102"/>
      <c r="AE153" s="103">
        <v>19</v>
      </c>
      <c r="AF153"/>
      <c r="AG153"/>
      <c r="AH153"/>
      <c r="AI153"/>
      <c r="AJ153"/>
      <c r="AK153"/>
      <c r="AL153" s="85"/>
      <c r="AM153"/>
      <c r="AN153"/>
      <c r="AO153"/>
      <c r="AP153"/>
      <c r="AQ153"/>
      <c r="AR153"/>
      <c r="BO153"/>
      <c r="BP153" s="85"/>
      <c r="BQ153"/>
      <c r="BR153"/>
      <c r="BS153"/>
      <c r="BT153"/>
      <c r="BU153"/>
      <c r="BV153"/>
      <c r="CS153"/>
      <c r="CT153" s="85"/>
      <c r="CU153"/>
      <c r="CV153"/>
      <c r="CW153"/>
      <c r="CX153"/>
      <c r="CY153"/>
      <c r="CZ153"/>
      <c r="DP153"/>
      <c r="DQ153" s="85"/>
      <c r="DR153"/>
      <c r="DS153"/>
      <c r="DT153"/>
      <c r="DU153"/>
      <c r="DV153"/>
      <c r="DW153"/>
    </row>
    <row r="154" spans="1:127" ht="16.5">
      <c r="A154" s="49"/>
      <c r="B154" s="50" t="s">
        <v>1348</v>
      </c>
      <c r="C154" s="51"/>
      <c r="D154" s="98"/>
      <c r="E154" s="99"/>
      <c r="F154" s="99"/>
      <c r="G154" s="99"/>
      <c r="H154" s="99">
        <v>6</v>
      </c>
      <c r="I154" s="99">
        <v>1</v>
      </c>
      <c r="J154" s="99"/>
      <c r="K154" s="99"/>
      <c r="L154" s="99"/>
      <c r="M154" s="100">
        <v>7</v>
      </c>
      <c r="N154"/>
      <c r="O154"/>
      <c r="P154" s="243"/>
      <c r="Q154" s="243"/>
      <c r="R154"/>
      <c r="S154" s="49"/>
      <c r="T154" s="38" t="s">
        <v>786</v>
      </c>
      <c r="U154" s="38" t="s">
        <v>1352</v>
      </c>
      <c r="V154" s="96"/>
      <c r="W154" s="88"/>
      <c r="X154" s="88"/>
      <c r="Y154" s="88"/>
      <c r="Z154" s="88"/>
      <c r="AA154" s="88">
        <v>5</v>
      </c>
      <c r="AB154" s="88"/>
      <c r="AC154" s="88"/>
      <c r="AD154" s="88"/>
      <c r="AE154" s="97">
        <v>5</v>
      </c>
      <c r="AF154"/>
      <c r="AG154"/>
      <c r="AH154"/>
      <c r="AI154"/>
      <c r="AJ154"/>
      <c r="AK154"/>
      <c r="AL154" s="85"/>
      <c r="AM154"/>
      <c r="AN154"/>
      <c r="AO154"/>
      <c r="AP154"/>
      <c r="AQ154"/>
      <c r="AR154"/>
      <c r="BO154"/>
      <c r="BP154" s="85"/>
      <c r="BQ154"/>
      <c r="BR154"/>
      <c r="BS154"/>
      <c r="BT154"/>
      <c r="BU154"/>
      <c r="BV154"/>
      <c r="CS154"/>
      <c r="CT154" s="85"/>
      <c r="CU154"/>
      <c r="CV154"/>
      <c r="CW154"/>
      <c r="CX154"/>
      <c r="CY154"/>
      <c r="CZ154"/>
      <c r="DP154"/>
      <c r="DQ154" s="85"/>
      <c r="DR154"/>
      <c r="DS154"/>
      <c r="DT154"/>
      <c r="DU154"/>
      <c r="DV154"/>
      <c r="DW154"/>
    </row>
    <row r="155" spans="1:127" ht="16.5">
      <c r="A155" s="54" t="s">
        <v>1457</v>
      </c>
      <c r="B155" s="55"/>
      <c r="C155" s="55"/>
      <c r="D155" s="101"/>
      <c r="E155" s="102"/>
      <c r="F155" s="102"/>
      <c r="G155" s="102"/>
      <c r="H155" s="102">
        <v>12</v>
      </c>
      <c r="I155" s="102">
        <v>1</v>
      </c>
      <c r="J155" s="102"/>
      <c r="K155" s="102"/>
      <c r="L155" s="102"/>
      <c r="M155" s="103">
        <v>13</v>
      </c>
      <c r="N155"/>
      <c r="O155"/>
      <c r="P155" s="243"/>
      <c r="Q155" s="243"/>
      <c r="R155"/>
      <c r="S155" s="49"/>
      <c r="T155" s="49"/>
      <c r="U155" s="65" t="s">
        <v>1743</v>
      </c>
      <c r="V155" s="250"/>
      <c r="W155" s="351"/>
      <c r="X155" s="351"/>
      <c r="Y155" s="351"/>
      <c r="Z155" s="351"/>
      <c r="AA155" s="351">
        <v>2</v>
      </c>
      <c r="AB155" s="351"/>
      <c r="AC155" s="351"/>
      <c r="AD155" s="351"/>
      <c r="AE155" s="251">
        <v>2</v>
      </c>
      <c r="AF155"/>
      <c r="AG155"/>
      <c r="AH155"/>
      <c r="AI155"/>
      <c r="AJ155"/>
      <c r="AK155"/>
      <c r="AL155" s="85"/>
      <c r="AM155"/>
      <c r="AN155"/>
      <c r="AO155"/>
      <c r="AP155"/>
      <c r="AQ155"/>
      <c r="AR155"/>
      <c r="BO155"/>
      <c r="BP155" s="85"/>
      <c r="BQ155"/>
      <c r="BR155"/>
      <c r="BS155"/>
      <c r="BT155"/>
      <c r="BU155"/>
      <c r="BV155"/>
      <c r="CS155"/>
      <c r="CT155" s="85"/>
      <c r="CU155"/>
      <c r="CV155"/>
      <c r="CW155"/>
      <c r="CX155"/>
      <c r="CY155"/>
      <c r="CZ155"/>
      <c r="DP155"/>
      <c r="DQ155" s="85"/>
      <c r="DR155"/>
      <c r="DS155"/>
      <c r="DT155"/>
      <c r="DU155"/>
      <c r="DV155"/>
      <c r="DW155"/>
    </row>
    <row r="156" spans="1:127" ht="16.5">
      <c r="A156" s="38" t="s">
        <v>1095</v>
      </c>
      <c r="B156" s="38" t="s">
        <v>31</v>
      </c>
      <c r="C156" s="38" t="s">
        <v>1352</v>
      </c>
      <c r="D156" s="96"/>
      <c r="E156" s="88"/>
      <c r="F156" s="88"/>
      <c r="G156" s="88"/>
      <c r="H156" s="88"/>
      <c r="I156" s="88"/>
      <c r="J156" s="88">
        <v>3</v>
      </c>
      <c r="K156" s="88"/>
      <c r="L156" s="88"/>
      <c r="M156" s="97">
        <v>3</v>
      </c>
      <c r="N156"/>
      <c r="O156"/>
      <c r="P156" s="243"/>
      <c r="Q156" s="243"/>
      <c r="R156"/>
      <c r="S156" s="49"/>
      <c r="T156" s="79" t="s">
        <v>1908</v>
      </c>
      <c r="U156" s="83"/>
      <c r="V156" s="101"/>
      <c r="W156" s="102"/>
      <c r="X156" s="102"/>
      <c r="Y156" s="102"/>
      <c r="Z156" s="102"/>
      <c r="AA156" s="102">
        <v>7</v>
      </c>
      <c r="AB156" s="102"/>
      <c r="AC156" s="102"/>
      <c r="AD156" s="102"/>
      <c r="AE156" s="103">
        <v>7</v>
      </c>
      <c r="AF156"/>
      <c r="AG156"/>
      <c r="AH156"/>
      <c r="AI156"/>
      <c r="AJ156"/>
      <c r="AK156"/>
      <c r="AL156" s="85"/>
      <c r="AM156"/>
      <c r="AN156"/>
      <c r="AO156"/>
      <c r="AP156"/>
      <c r="AQ156"/>
      <c r="AR156"/>
      <c r="BO156"/>
      <c r="BP156" s="85"/>
      <c r="BQ156"/>
      <c r="BR156"/>
      <c r="BS156"/>
      <c r="BT156"/>
      <c r="BU156"/>
      <c r="BV156"/>
      <c r="CS156"/>
      <c r="CT156" s="85"/>
      <c r="CU156"/>
      <c r="CV156"/>
      <c r="CW156"/>
      <c r="CX156"/>
      <c r="CY156"/>
      <c r="CZ156"/>
      <c r="DP156"/>
      <c r="DQ156" s="85"/>
      <c r="DR156"/>
      <c r="DS156"/>
      <c r="DT156"/>
      <c r="DU156"/>
      <c r="DV156"/>
      <c r="DW156"/>
    </row>
    <row r="157" spans="1:127" ht="16.5">
      <c r="A157" s="49"/>
      <c r="B157" s="50" t="s">
        <v>1915</v>
      </c>
      <c r="C157" s="51"/>
      <c r="D157" s="98"/>
      <c r="E157" s="99"/>
      <c r="F157" s="99"/>
      <c r="G157" s="99"/>
      <c r="H157" s="99"/>
      <c r="I157" s="99"/>
      <c r="J157" s="99">
        <v>3</v>
      </c>
      <c r="K157" s="99"/>
      <c r="L157" s="99"/>
      <c r="M157" s="100">
        <v>3</v>
      </c>
      <c r="N157"/>
      <c r="O157"/>
      <c r="P157" s="243"/>
      <c r="Q157" s="243"/>
      <c r="R157"/>
      <c r="S157" s="49"/>
      <c r="T157" s="38" t="s">
        <v>1407</v>
      </c>
      <c r="U157" s="38" t="s">
        <v>1350</v>
      </c>
      <c r="V157" s="96"/>
      <c r="W157" s="88"/>
      <c r="X157" s="88"/>
      <c r="Y157" s="88"/>
      <c r="Z157" s="88">
        <v>1</v>
      </c>
      <c r="AA157" s="88"/>
      <c r="AB157" s="88"/>
      <c r="AC157" s="88"/>
      <c r="AD157" s="88"/>
      <c r="AE157" s="97">
        <v>1</v>
      </c>
      <c r="AF157"/>
      <c r="AG157"/>
      <c r="AH157"/>
      <c r="AI157"/>
      <c r="AJ157"/>
      <c r="AK157"/>
      <c r="AL157" s="85"/>
      <c r="AM157"/>
      <c r="AN157"/>
      <c r="AO157"/>
      <c r="AP157"/>
      <c r="AQ157"/>
      <c r="AR157"/>
      <c r="BO157"/>
      <c r="BP157" s="85"/>
      <c r="BQ157"/>
      <c r="BR157"/>
      <c r="BS157"/>
      <c r="BT157"/>
      <c r="BU157"/>
      <c r="BV157"/>
      <c r="CS157"/>
      <c r="CT157" s="85"/>
      <c r="CU157"/>
      <c r="CV157"/>
      <c r="CW157"/>
      <c r="CX157"/>
      <c r="CY157"/>
      <c r="CZ157"/>
      <c r="DP157"/>
      <c r="DQ157" s="85"/>
      <c r="DR157"/>
      <c r="DS157"/>
      <c r="DT157"/>
      <c r="DU157"/>
      <c r="DV157"/>
      <c r="DW157"/>
    </row>
    <row r="158" spans="1:127" ht="16.5">
      <c r="A158" s="54" t="s">
        <v>2028</v>
      </c>
      <c r="B158" s="55"/>
      <c r="C158" s="55"/>
      <c r="D158" s="101"/>
      <c r="E158" s="102"/>
      <c r="F158" s="102"/>
      <c r="G158" s="102"/>
      <c r="H158" s="102"/>
      <c r="I158" s="102"/>
      <c r="J158" s="102">
        <v>3</v>
      </c>
      <c r="K158" s="102"/>
      <c r="L158" s="102"/>
      <c r="M158" s="103">
        <v>3</v>
      </c>
      <c r="N158"/>
      <c r="O158"/>
      <c r="P158" s="243"/>
      <c r="Q158" s="243"/>
      <c r="R158"/>
      <c r="S158" s="49"/>
      <c r="T158" s="54" t="s">
        <v>1455</v>
      </c>
      <c r="U158" s="55"/>
      <c r="V158" s="101"/>
      <c r="W158" s="102"/>
      <c r="X158" s="102"/>
      <c r="Y158" s="102"/>
      <c r="Z158" s="102">
        <v>1</v>
      </c>
      <c r="AA158" s="102"/>
      <c r="AB158" s="102"/>
      <c r="AC158" s="102"/>
      <c r="AD158" s="102"/>
      <c r="AE158" s="103">
        <v>1</v>
      </c>
      <c r="AF158"/>
      <c r="AG158"/>
      <c r="AH158"/>
      <c r="AI158"/>
      <c r="AJ158"/>
      <c r="AK158"/>
      <c r="AL158" s="85"/>
      <c r="AM158"/>
      <c r="AN158"/>
      <c r="AO158"/>
      <c r="AP158"/>
      <c r="AQ158"/>
      <c r="AR158"/>
      <c r="BO158"/>
      <c r="BP158" s="85"/>
      <c r="BQ158"/>
      <c r="BR158"/>
      <c r="BS158"/>
      <c r="BT158"/>
      <c r="BU158"/>
      <c r="BV158"/>
      <c r="CS158"/>
      <c r="CT158" s="85"/>
      <c r="CU158"/>
      <c r="CV158"/>
      <c r="CW158"/>
      <c r="CX158"/>
      <c r="CY158"/>
      <c r="CZ158"/>
      <c r="DP158"/>
      <c r="DQ158" s="85"/>
      <c r="DR158"/>
      <c r="DS158"/>
      <c r="DT158"/>
      <c r="DU158"/>
      <c r="DV158"/>
      <c r="DW158"/>
    </row>
    <row r="159" spans="1:127" ht="16.5">
      <c r="A159" s="38" t="s">
        <v>53</v>
      </c>
      <c r="B159" s="38" t="s">
        <v>38</v>
      </c>
      <c r="C159" s="38" t="s">
        <v>1352</v>
      </c>
      <c r="D159" s="96"/>
      <c r="E159" s="88"/>
      <c r="F159" s="88"/>
      <c r="G159" s="88"/>
      <c r="H159" s="88"/>
      <c r="I159" s="88">
        <v>1.5</v>
      </c>
      <c r="J159" s="88"/>
      <c r="K159" s="88"/>
      <c r="L159" s="88"/>
      <c r="M159" s="97">
        <v>1.5</v>
      </c>
      <c r="N159"/>
      <c r="O159"/>
      <c r="P159" s="243"/>
      <c r="Q159" s="243"/>
      <c r="R159"/>
      <c r="S159" s="49"/>
      <c r="T159" s="38" t="s">
        <v>1893</v>
      </c>
      <c r="U159" s="38" t="s">
        <v>1352</v>
      </c>
      <c r="V159" s="96"/>
      <c r="W159" s="88"/>
      <c r="X159" s="88"/>
      <c r="Y159" s="88"/>
      <c r="Z159" s="88"/>
      <c r="AA159" s="88">
        <v>5</v>
      </c>
      <c r="AB159" s="88"/>
      <c r="AC159" s="88"/>
      <c r="AD159" s="88"/>
      <c r="AE159" s="97">
        <v>5</v>
      </c>
      <c r="AF159"/>
      <c r="AG159"/>
      <c r="AH159"/>
      <c r="AI159"/>
      <c r="AJ159"/>
      <c r="AK159"/>
      <c r="AL159" s="85"/>
      <c r="AM159"/>
      <c r="AN159"/>
      <c r="AO159"/>
      <c r="AP159"/>
      <c r="AQ159"/>
      <c r="AR159"/>
      <c r="BO159"/>
      <c r="BP159" s="85"/>
      <c r="BQ159"/>
      <c r="BR159"/>
      <c r="BS159"/>
      <c r="BT159"/>
      <c r="BU159"/>
      <c r="BV159"/>
      <c r="CS159"/>
      <c r="CT159" s="85"/>
      <c r="CU159"/>
      <c r="CV159"/>
      <c r="CW159"/>
      <c r="CX159"/>
      <c r="CY159"/>
      <c r="CZ159"/>
      <c r="DP159"/>
      <c r="DQ159" s="85"/>
      <c r="DR159"/>
      <c r="DS159"/>
      <c r="DT159"/>
      <c r="DU159"/>
      <c r="DV159"/>
      <c r="DW159"/>
    </row>
    <row r="160" spans="1:127" ht="16.5">
      <c r="A160" s="49"/>
      <c r="B160" s="49"/>
      <c r="C160" s="65" t="s">
        <v>2068</v>
      </c>
      <c r="D160" s="250"/>
      <c r="E160" s="351"/>
      <c r="F160" s="351"/>
      <c r="G160" s="351"/>
      <c r="H160" s="351"/>
      <c r="I160" s="351"/>
      <c r="J160" s="351"/>
      <c r="K160" s="351"/>
      <c r="L160" s="351">
        <v>3</v>
      </c>
      <c r="M160" s="251">
        <v>3</v>
      </c>
      <c r="N160"/>
      <c r="O160"/>
      <c r="P160" s="243"/>
      <c r="Q160" s="243"/>
      <c r="R160"/>
      <c r="S160" s="49"/>
      <c r="T160" s="54" t="s">
        <v>1910</v>
      </c>
      <c r="U160" s="55"/>
      <c r="V160" s="101"/>
      <c r="W160" s="102"/>
      <c r="X160" s="102"/>
      <c r="Y160" s="102"/>
      <c r="Z160" s="102"/>
      <c r="AA160" s="102">
        <v>5</v>
      </c>
      <c r="AB160" s="102"/>
      <c r="AC160" s="102"/>
      <c r="AD160" s="102"/>
      <c r="AE160" s="103">
        <v>5</v>
      </c>
      <c r="AF160"/>
      <c r="AG160"/>
      <c r="AH160"/>
      <c r="AI160"/>
      <c r="AJ160"/>
      <c r="AK160"/>
      <c r="AL160" s="85"/>
      <c r="AM160"/>
      <c r="AN160"/>
      <c r="AO160"/>
      <c r="AP160"/>
      <c r="AQ160"/>
      <c r="AR160"/>
      <c r="BO160"/>
      <c r="BP160" s="85"/>
      <c r="BQ160"/>
      <c r="BR160"/>
      <c r="BS160"/>
      <c r="BT160"/>
      <c r="BU160"/>
      <c r="BV160"/>
      <c r="CS160"/>
      <c r="CT160" s="85"/>
      <c r="CU160"/>
      <c r="CV160"/>
      <c r="CW160"/>
      <c r="CX160"/>
      <c r="CY160"/>
      <c r="CZ160"/>
      <c r="DP160"/>
      <c r="DQ160" s="85"/>
      <c r="DR160"/>
      <c r="DS160"/>
      <c r="DT160"/>
      <c r="DU160"/>
      <c r="DV160"/>
      <c r="DW160"/>
    </row>
    <row r="161" spans="1:127" ht="16.5">
      <c r="A161" s="49"/>
      <c r="B161" s="50" t="s">
        <v>853</v>
      </c>
      <c r="C161" s="51"/>
      <c r="D161" s="98"/>
      <c r="E161" s="99"/>
      <c r="F161" s="99"/>
      <c r="G161" s="99"/>
      <c r="H161" s="99"/>
      <c r="I161" s="99">
        <v>1.5</v>
      </c>
      <c r="J161" s="99"/>
      <c r="K161" s="99"/>
      <c r="L161" s="99">
        <v>3</v>
      </c>
      <c r="M161" s="100">
        <v>4.5</v>
      </c>
      <c r="N161"/>
      <c r="O161"/>
      <c r="P161" s="243"/>
      <c r="Q161" s="243"/>
      <c r="R161"/>
      <c r="S161" s="50" t="s">
        <v>1458</v>
      </c>
      <c r="T161" s="51"/>
      <c r="U161" s="51"/>
      <c r="V161" s="98"/>
      <c r="W161" s="99"/>
      <c r="X161" s="99">
        <v>5</v>
      </c>
      <c r="Y161" s="99"/>
      <c r="Z161" s="99">
        <v>13</v>
      </c>
      <c r="AA161" s="99">
        <v>14</v>
      </c>
      <c r="AB161" s="99"/>
      <c r="AC161" s="99"/>
      <c r="AD161" s="99"/>
      <c r="AE161" s="100">
        <v>32</v>
      </c>
      <c r="AF161"/>
      <c r="AG161"/>
      <c r="AH161"/>
      <c r="AI161"/>
      <c r="AJ161"/>
      <c r="AK161"/>
      <c r="AL161" s="85"/>
      <c r="AM161"/>
      <c r="AN161"/>
      <c r="AO161"/>
      <c r="AP161"/>
      <c r="AQ161"/>
      <c r="AR161"/>
      <c r="BO161"/>
      <c r="BP161" s="85"/>
      <c r="BQ161"/>
      <c r="BR161"/>
      <c r="BS161"/>
      <c r="BT161"/>
      <c r="BU161"/>
      <c r="BV161"/>
      <c r="CS161"/>
      <c r="CT161" s="85"/>
      <c r="CU161"/>
      <c r="CV161"/>
      <c r="CW161"/>
      <c r="CX161"/>
      <c r="CY161"/>
      <c r="CZ161"/>
      <c r="DP161"/>
      <c r="DQ161" s="85"/>
      <c r="DR161"/>
      <c r="DS161"/>
      <c r="DT161"/>
      <c r="DU161"/>
      <c r="DV161"/>
      <c r="DW161"/>
    </row>
    <row r="162" spans="1:127" ht="16.5">
      <c r="A162" s="49"/>
      <c r="B162" s="38" t="s">
        <v>50</v>
      </c>
      <c r="C162" s="38" t="s">
        <v>1351</v>
      </c>
      <c r="D162" s="96"/>
      <c r="E162" s="88"/>
      <c r="F162" s="88">
        <v>1</v>
      </c>
      <c r="G162" s="88"/>
      <c r="H162" s="88"/>
      <c r="I162" s="88"/>
      <c r="J162" s="88"/>
      <c r="K162" s="88"/>
      <c r="L162" s="88"/>
      <c r="M162" s="97">
        <v>1</v>
      </c>
      <c r="N162"/>
      <c r="O162"/>
      <c r="P162" s="243"/>
      <c r="Q162" s="243"/>
      <c r="R162"/>
      <c r="S162" s="38" t="s">
        <v>1409</v>
      </c>
      <c r="T162" s="38" t="s">
        <v>41</v>
      </c>
      <c r="U162" s="38" t="s">
        <v>1350</v>
      </c>
      <c r="V162" s="96"/>
      <c r="W162" s="88"/>
      <c r="X162" s="88"/>
      <c r="Y162" s="88"/>
      <c r="Z162" s="88">
        <v>8</v>
      </c>
      <c r="AA162" s="88"/>
      <c r="AB162" s="88"/>
      <c r="AC162" s="88"/>
      <c r="AD162" s="88"/>
      <c r="AE162" s="97">
        <v>8</v>
      </c>
      <c r="AF162"/>
      <c r="AG162"/>
      <c r="AH162"/>
      <c r="AI162"/>
      <c r="AJ162"/>
      <c r="AK162"/>
      <c r="AL162" s="85"/>
      <c r="AM162"/>
      <c r="AN162"/>
      <c r="AO162"/>
      <c r="AP162"/>
      <c r="AQ162"/>
      <c r="AR162"/>
      <c r="BO162"/>
      <c r="BP162" s="85"/>
      <c r="BQ162"/>
      <c r="BR162"/>
      <c r="BS162"/>
      <c r="BT162"/>
      <c r="BU162"/>
      <c r="BV162"/>
      <c r="CS162"/>
      <c r="CT162" s="85"/>
      <c r="CU162"/>
      <c r="CV162"/>
      <c r="CW162"/>
      <c r="CX162"/>
      <c r="CY162"/>
      <c r="CZ162"/>
      <c r="DP162"/>
      <c r="DQ162" s="85"/>
      <c r="DR162"/>
      <c r="DS162"/>
      <c r="DT162"/>
      <c r="DU162"/>
      <c r="DV162"/>
      <c r="DW162"/>
    </row>
    <row r="163" spans="1:127" ht="16.5">
      <c r="A163" s="49"/>
      <c r="B163" s="49"/>
      <c r="C163" s="65" t="s">
        <v>1350</v>
      </c>
      <c r="D163" s="250"/>
      <c r="E163" s="351"/>
      <c r="F163" s="351"/>
      <c r="G163" s="351"/>
      <c r="H163" s="351"/>
      <c r="I163" s="351"/>
      <c r="J163" s="351">
        <v>1</v>
      </c>
      <c r="K163" s="351"/>
      <c r="L163" s="351"/>
      <c r="M163" s="251">
        <v>1</v>
      </c>
      <c r="N163"/>
      <c r="O163"/>
      <c r="P163" s="243"/>
      <c r="Q163" s="243"/>
      <c r="R163"/>
      <c r="S163" s="49"/>
      <c r="T163" s="49"/>
      <c r="U163" s="65" t="s">
        <v>1352</v>
      </c>
      <c r="V163" s="250"/>
      <c r="W163" s="351"/>
      <c r="X163" s="351"/>
      <c r="Y163" s="351"/>
      <c r="Z163" s="351">
        <v>9</v>
      </c>
      <c r="AA163" s="351">
        <v>11</v>
      </c>
      <c r="AB163" s="351"/>
      <c r="AC163" s="351"/>
      <c r="AD163" s="351"/>
      <c r="AE163" s="251">
        <v>20</v>
      </c>
      <c r="AF163"/>
      <c r="AG163"/>
      <c r="AH163"/>
      <c r="AI163"/>
      <c r="AJ163"/>
      <c r="AK163"/>
      <c r="AL163" s="85"/>
      <c r="AM163"/>
      <c r="AN163"/>
      <c r="AO163"/>
      <c r="AP163"/>
      <c r="AQ163"/>
      <c r="AR163"/>
      <c r="BO163"/>
      <c r="BP163" s="85"/>
      <c r="BQ163"/>
      <c r="BR163"/>
      <c r="BS163"/>
      <c r="BT163"/>
      <c r="BU163"/>
      <c r="BV163"/>
      <c r="CS163"/>
      <c r="CT163" s="85"/>
      <c r="CU163"/>
      <c r="CV163"/>
      <c r="CW163"/>
      <c r="CX163"/>
      <c r="CY163"/>
      <c r="CZ163"/>
      <c r="DP163"/>
      <c r="DQ163" s="85"/>
      <c r="DR163"/>
      <c r="DS163"/>
      <c r="DT163"/>
      <c r="DU163"/>
      <c r="DV163"/>
      <c r="DW163"/>
    </row>
    <row r="164" spans="1:127" ht="16.5">
      <c r="A164" s="49"/>
      <c r="B164" s="50" t="s">
        <v>855</v>
      </c>
      <c r="C164" s="51"/>
      <c r="D164" s="98"/>
      <c r="E164" s="99"/>
      <c r="F164" s="99">
        <v>1</v>
      </c>
      <c r="G164" s="99"/>
      <c r="H164" s="99"/>
      <c r="I164" s="99"/>
      <c r="J164" s="99">
        <v>1</v>
      </c>
      <c r="K164" s="99"/>
      <c r="L164" s="99"/>
      <c r="M164" s="100">
        <v>2</v>
      </c>
      <c r="N164"/>
      <c r="O164"/>
      <c r="P164" s="243"/>
      <c r="Q164" s="243"/>
      <c r="R164"/>
      <c r="S164" s="49"/>
      <c r="T164" s="79" t="s">
        <v>1454</v>
      </c>
      <c r="U164" s="83"/>
      <c r="V164" s="101"/>
      <c r="W164" s="102"/>
      <c r="X164" s="102"/>
      <c r="Y164" s="102"/>
      <c r="Z164" s="102">
        <v>17</v>
      </c>
      <c r="AA164" s="102">
        <v>11</v>
      </c>
      <c r="AB164" s="102"/>
      <c r="AC164" s="102"/>
      <c r="AD164" s="102"/>
      <c r="AE164" s="103">
        <v>28</v>
      </c>
      <c r="AF164"/>
      <c r="AG164"/>
      <c r="AH164"/>
      <c r="AI164"/>
      <c r="AJ164"/>
      <c r="AK164"/>
      <c r="AL164" s="85"/>
      <c r="AM164"/>
      <c r="AN164"/>
      <c r="AO164"/>
      <c r="AP164"/>
      <c r="AQ164"/>
      <c r="AR164"/>
      <c r="BO164"/>
      <c r="BP164" s="85"/>
      <c r="BQ164"/>
      <c r="BR164"/>
      <c r="BS164"/>
      <c r="BT164"/>
      <c r="BU164"/>
      <c r="BV164"/>
      <c r="CS164"/>
      <c r="CT164" s="85"/>
      <c r="CU164"/>
      <c r="CV164"/>
      <c r="CW164"/>
      <c r="CX164"/>
      <c r="CY164"/>
      <c r="CZ164"/>
      <c r="DP164"/>
      <c r="DQ164" s="85"/>
      <c r="DR164"/>
      <c r="DS164"/>
      <c r="DT164"/>
      <c r="DU164"/>
      <c r="DV164"/>
      <c r="DW164"/>
    </row>
    <row r="165" spans="1:127" ht="16.5">
      <c r="A165" s="49"/>
      <c r="B165" s="38" t="s">
        <v>33</v>
      </c>
      <c r="C165" s="38" t="s">
        <v>2068</v>
      </c>
      <c r="D165" s="96"/>
      <c r="E165" s="88"/>
      <c r="F165" s="88"/>
      <c r="G165" s="88"/>
      <c r="H165" s="88"/>
      <c r="I165" s="88"/>
      <c r="J165" s="88"/>
      <c r="K165" s="88"/>
      <c r="L165" s="88">
        <v>1.5</v>
      </c>
      <c r="M165" s="97">
        <v>1.5</v>
      </c>
      <c r="N165"/>
      <c r="O165"/>
      <c r="P165" s="243"/>
      <c r="Q165" s="243"/>
      <c r="R165"/>
      <c r="S165" s="49"/>
      <c r="T165" s="38" t="s">
        <v>786</v>
      </c>
      <c r="U165" s="38" t="s">
        <v>1352</v>
      </c>
      <c r="V165" s="96"/>
      <c r="W165" s="88"/>
      <c r="X165" s="88"/>
      <c r="Y165" s="88"/>
      <c r="Z165" s="88">
        <v>3</v>
      </c>
      <c r="AA165" s="88"/>
      <c r="AB165" s="88"/>
      <c r="AC165" s="88"/>
      <c r="AD165" s="88"/>
      <c r="AE165" s="97">
        <v>3</v>
      </c>
      <c r="AF165"/>
      <c r="AG165"/>
      <c r="AH165"/>
      <c r="AI165"/>
      <c r="AJ165"/>
      <c r="AK165"/>
      <c r="AL165" s="85"/>
      <c r="AM165"/>
      <c r="AN165"/>
      <c r="AO165"/>
      <c r="AP165"/>
      <c r="AQ165"/>
      <c r="AR165"/>
      <c r="BO165"/>
      <c r="BP165" s="85"/>
      <c r="BQ165"/>
      <c r="BR165"/>
      <c r="BS165"/>
      <c r="BT165"/>
      <c r="BU165"/>
      <c r="BV165"/>
      <c r="CS165"/>
      <c r="CT165" s="85"/>
      <c r="CU165"/>
      <c r="CV165"/>
      <c r="CW165"/>
      <c r="CX165"/>
      <c r="CY165"/>
      <c r="CZ165"/>
      <c r="DP165"/>
      <c r="DQ165" s="85"/>
      <c r="DR165"/>
      <c r="DS165"/>
      <c r="DT165"/>
      <c r="DU165"/>
      <c r="DV165"/>
      <c r="DW165"/>
    </row>
    <row r="166" spans="1:127" ht="16.5">
      <c r="A166" s="49"/>
      <c r="B166" s="50" t="s">
        <v>854</v>
      </c>
      <c r="C166" s="51"/>
      <c r="D166" s="98"/>
      <c r="E166" s="99"/>
      <c r="F166" s="99"/>
      <c r="G166" s="99"/>
      <c r="H166" s="99"/>
      <c r="I166" s="99"/>
      <c r="J166" s="99"/>
      <c r="K166" s="99"/>
      <c r="L166" s="99">
        <v>1.5</v>
      </c>
      <c r="M166" s="100">
        <v>1.5</v>
      </c>
      <c r="N166"/>
      <c r="O166"/>
      <c r="P166" s="243"/>
      <c r="Q166" s="243"/>
      <c r="R166"/>
      <c r="S166" s="49"/>
      <c r="T166" s="79" t="s">
        <v>1908</v>
      </c>
      <c r="U166" s="83"/>
      <c r="V166" s="101"/>
      <c r="W166" s="102"/>
      <c r="X166" s="102"/>
      <c r="Y166" s="102"/>
      <c r="Z166" s="102">
        <v>3</v>
      </c>
      <c r="AA166" s="102"/>
      <c r="AB166" s="102"/>
      <c r="AC166" s="102"/>
      <c r="AD166" s="102"/>
      <c r="AE166" s="103">
        <v>3</v>
      </c>
      <c r="AF166"/>
      <c r="AG166"/>
      <c r="AH166"/>
      <c r="AI166"/>
      <c r="AJ166"/>
      <c r="AK166"/>
      <c r="AL166" s="85"/>
      <c r="AM166"/>
      <c r="AN166"/>
      <c r="AO166"/>
      <c r="AP166"/>
      <c r="AQ166"/>
      <c r="AR166"/>
      <c r="BO166"/>
      <c r="BP166" s="85"/>
      <c r="BQ166"/>
      <c r="BR166"/>
      <c r="BS166"/>
      <c r="BT166"/>
      <c r="BU166"/>
      <c r="BV166"/>
      <c r="CS166"/>
      <c r="CT166" s="85"/>
      <c r="CU166"/>
      <c r="CV166"/>
      <c r="CW166"/>
      <c r="CX166"/>
      <c r="CY166"/>
      <c r="CZ166"/>
      <c r="DP166"/>
      <c r="DQ166" s="85"/>
      <c r="DR166"/>
      <c r="DS166"/>
      <c r="DT166"/>
      <c r="DU166"/>
      <c r="DV166"/>
      <c r="DW166"/>
    </row>
    <row r="167" spans="1:127" ht="16.5">
      <c r="A167" s="49"/>
      <c r="B167" s="38" t="s">
        <v>35</v>
      </c>
      <c r="C167" s="38" t="s">
        <v>1351</v>
      </c>
      <c r="D167" s="96"/>
      <c r="E167" s="88"/>
      <c r="F167" s="88">
        <v>2</v>
      </c>
      <c r="G167" s="88"/>
      <c r="H167" s="88"/>
      <c r="I167" s="88"/>
      <c r="J167" s="88"/>
      <c r="K167" s="88"/>
      <c r="L167" s="88"/>
      <c r="M167" s="97">
        <v>2</v>
      </c>
      <c r="N167"/>
      <c r="O167"/>
      <c r="P167" s="243"/>
      <c r="Q167" s="243"/>
      <c r="R167"/>
      <c r="S167" s="49"/>
      <c r="T167" s="38" t="s">
        <v>1407</v>
      </c>
      <c r="U167" s="38" t="s">
        <v>1350</v>
      </c>
      <c r="V167" s="96"/>
      <c r="W167" s="88"/>
      <c r="X167" s="88"/>
      <c r="Y167" s="88"/>
      <c r="Z167" s="88">
        <v>3</v>
      </c>
      <c r="AA167" s="88"/>
      <c r="AB167" s="88"/>
      <c r="AC167" s="88"/>
      <c r="AD167" s="88"/>
      <c r="AE167" s="97">
        <v>3</v>
      </c>
      <c r="AF167"/>
      <c r="AG167"/>
      <c r="AH167"/>
      <c r="AI167"/>
      <c r="AJ167"/>
      <c r="AK167"/>
      <c r="AL167" s="85"/>
      <c r="AM167"/>
      <c r="AN167"/>
      <c r="AO167"/>
      <c r="AP167"/>
      <c r="AQ167"/>
      <c r="AR167"/>
      <c r="BO167"/>
      <c r="BP167" s="85"/>
      <c r="BQ167"/>
      <c r="BR167"/>
      <c r="BS167"/>
      <c r="BT167"/>
      <c r="BU167"/>
      <c r="BV167"/>
      <c r="CS167"/>
      <c r="CT167" s="85"/>
      <c r="CU167"/>
      <c r="CV167"/>
      <c r="CW167"/>
      <c r="CX167"/>
      <c r="CY167"/>
      <c r="CZ167"/>
      <c r="DP167"/>
      <c r="DQ167" s="85"/>
      <c r="DR167"/>
      <c r="DS167"/>
      <c r="DT167"/>
      <c r="DU167"/>
      <c r="DV167"/>
      <c r="DW167"/>
    </row>
    <row r="168" spans="1:127" ht="16.5">
      <c r="A168" s="49"/>
      <c r="B168" s="50" t="s">
        <v>1347</v>
      </c>
      <c r="C168" s="51"/>
      <c r="D168" s="98"/>
      <c r="E168" s="99"/>
      <c r="F168" s="99">
        <v>2</v>
      </c>
      <c r="G168" s="99"/>
      <c r="H168" s="99"/>
      <c r="I168" s="99"/>
      <c r="J168" s="99"/>
      <c r="K168" s="99"/>
      <c r="L168" s="99"/>
      <c r="M168" s="100">
        <v>2</v>
      </c>
      <c r="N168"/>
      <c r="O168"/>
      <c r="P168" s="243"/>
      <c r="Q168" s="243"/>
      <c r="R168"/>
      <c r="S168" s="49"/>
      <c r="T168" s="54" t="s">
        <v>1455</v>
      </c>
      <c r="U168" s="55"/>
      <c r="V168" s="101"/>
      <c r="W168" s="102"/>
      <c r="X168" s="102"/>
      <c r="Y168" s="102"/>
      <c r="Z168" s="102">
        <v>3</v>
      </c>
      <c r="AA168" s="102"/>
      <c r="AB168" s="102"/>
      <c r="AC168" s="102"/>
      <c r="AD168" s="102"/>
      <c r="AE168" s="103">
        <v>3</v>
      </c>
      <c r="AF168"/>
      <c r="AG168"/>
      <c r="AH168"/>
      <c r="AI168"/>
      <c r="AJ168"/>
      <c r="AK168"/>
      <c r="AL168" s="85"/>
      <c r="AM168"/>
      <c r="AN168"/>
      <c r="AO168"/>
      <c r="AP168"/>
      <c r="AQ168"/>
      <c r="AR168"/>
      <c r="BO168"/>
      <c r="BP168" s="85"/>
      <c r="BQ168"/>
      <c r="BR168"/>
      <c r="BS168"/>
      <c r="BT168"/>
      <c r="BU168"/>
      <c r="BV168"/>
      <c r="CS168"/>
      <c r="CT168" s="85"/>
      <c r="CU168"/>
      <c r="CV168"/>
      <c r="CW168"/>
      <c r="CX168"/>
      <c r="CY168"/>
      <c r="CZ168"/>
      <c r="DP168"/>
      <c r="DQ168" s="85"/>
      <c r="DR168"/>
      <c r="DS168"/>
      <c r="DT168"/>
      <c r="DU168"/>
      <c r="DV168"/>
      <c r="DW168"/>
    </row>
    <row r="169" spans="1:127" ht="16.5">
      <c r="A169" s="54" t="s">
        <v>1097</v>
      </c>
      <c r="B169" s="55"/>
      <c r="C169" s="55"/>
      <c r="D169" s="101"/>
      <c r="E169" s="102"/>
      <c r="F169" s="102">
        <v>3</v>
      </c>
      <c r="G169" s="102"/>
      <c r="H169" s="102"/>
      <c r="I169" s="102">
        <v>1.5</v>
      </c>
      <c r="J169" s="102">
        <v>1</v>
      </c>
      <c r="K169" s="102"/>
      <c r="L169" s="102">
        <v>4.5</v>
      </c>
      <c r="M169" s="103">
        <v>10</v>
      </c>
      <c r="N169"/>
      <c r="O169"/>
      <c r="P169" s="243"/>
      <c r="Q169" s="243"/>
      <c r="R169"/>
      <c r="S169" s="49"/>
      <c r="T169" s="38" t="s">
        <v>1893</v>
      </c>
      <c r="U169" s="38" t="s">
        <v>1352</v>
      </c>
      <c r="V169" s="96"/>
      <c r="W169" s="88"/>
      <c r="X169" s="88"/>
      <c r="Y169" s="88"/>
      <c r="Z169" s="88">
        <v>3</v>
      </c>
      <c r="AA169" s="88"/>
      <c r="AB169" s="88"/>
      <c r="AC169" s="88"/>
      <c r="AD169" s="88"/>
      <c r="AE169" s="97">
        <v>3</v>
      </c>
      <c r="AF169"/>
      <c r="AG169"/>
      <c r="AH169"/>
      <c r="AI169"/>
      <c r="AJ169"/>
      <c r="AK169"/>
      <c r="AL169" s="85"/>
      <c r="AM169"/>
      <c r="AN169"/>
      <c r="AO169"/>
      <c r="AP169"/>
      <c r="AQ169"/>
      <c r="AR169"/>
      <c r="BO169"/>
      <c r="BP169" s="85"/>
      <c r="BQ169"/>
      <c r="BR169"/>
      <c r="BS169"/>
      <c r="BT169"/>
      <c r="BU169"/>
      <c r="BV169"/>
      <c r="CS169"/>
      <c r="CT169" s="85"/>
      <c r="CU169"/>
      <c r="CV169"/>
      <c r="CW169"/>
      <c r="CX169"/>
      <c r="CY169"/>
      <c r="CZ169"/>
      <c r="DP169"/>
      <c r="DQ169" s="85"/>
      <c r="DR169"/>
      <c r="DS169"/>
      <c r="DT169"/>
      <c r="DU169"/>
      <c r="DV169"/>
      <c r="DW169"/>
    </row>
    <row r="170" spans="1:127" ht="16.5">
      <c r="A170" s="38" t="s">
        <v>1096</v>
      </c>
      <c r="B170" s="38" t="s">
        <v>50</v>
      </c>
      <c r="C170" s="38" t="s">
        <v>1352</v>
      </c>
      <c r="D170" s="96"/>
      <c r="E170" s="88"/>
      <c r="F170" s="88"/>
      <c r="G170" s="88"/>
      <c r="H170" s="88"/>
      <c r="I170" s="88">
        <v>9</v>
      </c>
      <c r="J170" s="88">
        <v>6</v>
      </c>
      <c r="K170" s="88"/>
      <c r="L170" s="88"/>
      <c r="M170" s="97">
        <v>15</v>
      </c>
      <c r="N170"/>
      <c r="O170"/>
      <c r="P170" s="243"/>
      <c r="Q170" s="243"/>
      <c r="R170"/>
      <c r="S170" s="49"/>
      <c r="T170" s="54" t="s">
        <v>1910</v>
      </c>
      <c r="U170" s="55"/>
      <c r="V170" s="101"/>
      <c r="W170" s="102"/>
      <c r="X170" s="102"/>
      <c r="Y170" s="102"/>
      <c r="Z170" s="102">
        <v>3</v>
      </c>
      <c r="AA170" s="102"/>
      <c r="AB170" s="102"/>
      <c r="AC170" s="102"/>
      <c r="AD170" s="102"/>
      <c r="AE170" s="103">
        <v>3</v>
      </c>
      <c r="AF170"/>
      <c r="AG170"/>
      <c r="AH170"/>
      <c r="AI170"/>
      <c r="AJ170"/>
      <c r="AK170"/>
      <c r="AL170" s="85"/>
      <c r="AM170"/>
      <c r="AN170"/>
      <c r="AO170"/>
      <c r="AP170"/>
      <c r="AQ170"/>
      <c r="AR170"/>
      <c r="BO170"/>
      <c r="BP170" s="85"/>
      <c r="BQ170"/>
      <c r="BR170"/>
      <c r="BS170"/>
      <c r="BT170"/>
      <c r="BU170"/>
      <c r="BV170"/>
      <c r="CS170"/>
      <c r="CT170" s="85"/>
      <c r="CU170"/>
      <c r="CV170"/>
      <c r="CW170"/>
      <c r="CX170"/>
      <c r="CY170"/>
      <c r="CZ170"/>
      <c r="DP170"/>
      <c r="DQ170" s="85"/>
      <c r="DR170"/>
      <c r="DS170"/>
      <c r="DT170"/>
      <c r="DU170"/>
      <c r="DV170"/>
      <c r="DW170"/>
    </row>
    <row r="171" spans="1:127" ht="16.5">
      <c r="A171" s="49"/>
      <c r="B171" s="50" t="s">
        <v>855</v>
      </c>
      <c r="C171" s="51"/>
      <c r="D171" s="98"/>
      <c r="E171" s="99"/>
      <c r="F171" s="99"/>
      <c r="G171" s="99"/>
      <c r="H171" s="99"/>
      <c r="I171" s="99">
        <v>9</v>
      </c>
      <c r="J171" s="99">
        <v>6</v>
      </c>
      <c r="K171" s="99"/>
      <c r="L171" s="99"/>
      <c r="M171" s="100">
        <v>15</v>
      </c>
      <c r="N171"/>
      <c r="O171"/>
      <c r="P171" s="243"/>
      <c r="Q171" s="243"/>
      <c r="R171"/>
      <c r="S171" s="50" t="s">
        <v>1459</v>
      </c>
      <c r="T171" s="51"/>
      <c r="U171" s="51"/>
      <c r="V171" s="98"/>
      <c r="W171" s="99"/>
      <c r="X171" s="99"/>
      <c r="Y171" s="99"/>
      <c r="Z171" s="99">
        <v>26</v>
      </c>
      <c r="AA171" s="99">
        <v>11</v>
      </c>
      <c r="AB171" s="99"/>
      <c r="AC171" s="99"/>
      <c r="AD171" s="99"/>
      <c r="AE171" s="100">
        <v>37</v>
      </c>
      <c r="AF171"/>
      <c r="AG171"/>
      <c r="AH171"/>
      <c r="AI171"/>
      <c r="AJ171"/>
      <c r="AK171"/>
      <c r="AL171" s="85"/>
      <c r="AM171"/>
      <c r="AN171"/>
      <c r="AO171"/>
      <c r="AP171"/>
      <c r="AQ171"/>
      <c r="AR171"/>
      <c r="BO171"/>
      <c r="BP171" s="85"/>
      <c r="BQ171"/>
      <c r="BR171"/>
      <c r="BS171"/>
      <c r="BT171"/>
      <c r="BU171"/>
      <c r="BV171"/>
      <c r="CS171"/>
      <c r="CT171" s="85"/>
      <c r="CU171"/>
      <c r="CV171"/>
      <c r="CW171"/>
      <c r="CX171"/>
      <c r="CY171"/>
      <c r="CZ171"/>
      <c r="DP171"/>
      <c r="DQ171" s="85"/>
      <c r="DR171"/>
      <c r="DS171"/>
      <c r="DT171"/>
      <c r="DU171"/>
      <c r="DV171"/>
      <c r="DW171"/>
    </row>
    <row r="172" spans="1:127" ht="16.5">
      <c r="A172" s="54" t="s">
        <v>2153</v>
      </c>
      <c r="B172" s="55"/>
      <c r="C172" s="55"/>
      <c r="D172" s="101"/>
      <c r="E172" s="102"/>
      <c r="F172" s="102"/>
      <c r="G172" s="102"/>
      <c r="H172" s="102"/>
      <c r="I172" s="102">
        <v>9</v>
      </c>
      <c r="J172" s="102">
        <v>6</v>
      </c>
      <c r="K172" s="102"/>
      <c r="L172" s="102"/>
      <c r="M172" s="103">
        <v>15</v>
      </c>
      <c r="N172"/>
      <c r="O172"/>
      <c r="P172" s="243"/>
      <c r="Q172" s="243"/>
      <c r="R172"/>
      <c r="S172" s="38" t="s">
        <v>1415</v>
      </c>
      <c r="T172" s="38" t="s">
        <v>787</v>
      </c>
      <c r="U172" s="38" t="s">
        <v>1743</v>
      </c>
      <c r="V172" s="96"/>
      <c r="W172" s="88"/>
      <c r="X172" s="88"/>
      <c r="Y172" s="88"/>
      <c r="Z172" s="88"/>
      <c r="AA172" s="88"/>
      <c r="AB172" s="88">
        <v>1</v>
      </c>
      <c r="AC172" s="88"/>
      <c r="AD172" s="88"/>
      <c r="AE172" s="97">
        <v>1</v>
      </c>
      <c r="AF172"/>
      <c r="AG172"/>
      <c r="AH172"/>
      <c r="AI172"/>
      <c r="AJ172"/>
      <c r="AK172"/>
      <c r="AL172" s="85"/>
      <c r="AM172"/>
      <c r="AN172"/>
      <c r="AO172"/>
      <c r="AP172"/>
      <c r="AQ172"/>
      <c r="AR172"/>
      <c r="BO172"/>
      <c r="BP172" s="85"/>
      <c r="BQ172"/>
      <c r="BR172"/>
      <c r="BS172"/>
      <c r="BT172"/>
      <c r="BU172"/>
      <c r="BV172"/>
      <c r="CS172"/>
      <c r="CT172" s="85"/>
      <c r="CU172"/>
      <c r="CV172"/>
      <c r="CW172"/>
      <c r="CX172"/>
      <c r="CY172"/>
      <c r="CZ172"/>
      <c r="DP172"/>
      <c r="DQ172" s="85"/>
      <c r="DR172"/>
      <c r="DS172"/>
      <c r="DT172"/>
      <c r="DU172"/>
      <c r="DV172"/>
      <c r="DW172"/>
    </row>
    <row r="173" spans="1:127" ht="16.5">
      <c r="A173" s="38" t="s">
        <v>1101</v>
      </c>
      <c r="B173" s="38" t="s">
        <v>50</v>
      </c>
      <c r="C173" s="38" t="s">
        <v>1350</v>
      </c>
      <c r="D173" s="96"/>
      <c r="E173" s="88"/>
      <c r="F173" s="88"/>
      <c r="G173" s="88"/>
      <c r="H173" s="88">
        <v>15.5</v>
      </c>
      <c r="I173" s="88">
        <v>2.5</v>
      </c>
      <c r="J173" s="88"/>
      <c r="K173" s="88"/>
      <c r="L173" s="88"/>
      <c r="M173" s="97">
        <v>18</v>
      </c>
      <c r="N173"/>
      <c r="O173"/>
      <c r="P173" s="243"/>
      <c r="Q173" s="243"/>
      <c r="R173"/>
      <c r="S173" s="49"/>
      <c r="T173" s="79" t="s">
        <v>2026</v>
      </c>
      <c r="U173" s="83"/>
      <c r="V173" s="101"/>
      <c r="W173" s="102"/>
      <c r="X173" s="102"/>
      <c r="Y173" s="102"/>
      <c r="Z173" s="102"/>
      <c r="AA173" s="102"/>
      <c r="AB173" s="102">
        <v>1</v>
      </c>
      <c r="AC173" s="102"/>
      <c r="AD173" s="102"/>
      <c r="AE173" s="103">
        <v>1</v>
      </c>
      <c r="AF173"/>
      <c r="AG173"/>
      <c r="AH173"/>
      <c r="AI173"/>
      <c r="AJ173"/>
      <c r="AK173"/>
      <c r="AL173" s="85"/>
      <c r="AM173"/>
      <c r="AN173"/>
      <c r="AO173"/>
      <c r="AP173"/>
      <c r="AQ173"/>
      <c r="AR173"/>
      <c r="BO173"/>
      <c r="BP173" s="85"/>
      <c r="BQ173"/>
      <c r="BR173"/>
      <c r="BS173"/>
      <c r="BT173"/>
      <c r="BU173"/>
      <c r="BV173"/>
      <c r="CS173"/>
      <c r="CT173" s="85"/>
      <c r="CU173"/>
      <c r="CV173"/>
      <c r="CW173"/>
      <c r="CX173"/>
      <c r="CY173"/>
      <c r="CZ173"/>
      <c r="DP173"/>
      <c r="DQ173" s="85"/>
      <c r="DR173"/>
      <c r="DS173"/>
      <c r="DT173"/>
      <c r="DU173"/>
      <c r="DV173"/>
      <c r="DW173"/>
    </row>
    <row r="174" spans="1:127" ht="16.5">
      <c r="A174" s="49"/>
      <c r="B174" s="50" t="s">
        <v>855</v>
      </c>
      <c r="C174" s="51"/>
      <c r="D174" s="98"/>
      <c r="E174" s="99"/>
      <c r="F174" s="99"/>
      <c r="G174" s="99"/>
      <c r="H174" s="99">
        <v>15.5</v>
      </c>
      <c r="I174" s="99">
        <v>2.5</v>
      </c>
      <c r="J174" s="99"/>
      <c r="K174" s="99"/>
      <c r="L174" s="99"/>
      <c r="M174" s="100">
        <v>18</v>
      </c>
      <c r="N174"/>
      <c r="O174"/>
      <c r="P174" s="243"/>
      <c r="Q174" s="243"/>
      <c r="R174"/>
      <c r="S174" s="49"/>
      <c r="T174" s="38" t="s">
        <v>32</v>
      </c>
      <c r="U174" s="38" t="s">
        <v>1350</v>
      </c>
      <c r="V174" s="96"/>
      <c r="W174" s="88"/>
      <c r="X174" s="88"/>
      <c r="Y174" s="88"/>
      <c r="Z174" s="88">
        <v>11</v>
      </c>
      <c r="AA174" s="88">
        <v>18.5</v>
      </c>
      <c r="AB174" s="88">
        <v>8.5</v>
      </c>
      <c r="AC174" s="88"/>
      <c r="AD174" s="88"/>
      <c r="AE174" s="97">
        <v>38</v>
      </c>
      <c r="AF174"/>
      <c r="AG174"/>
      <c r="AH174"/>
      <c r="AI174"/>
      <c r="AJ174"/>
      <c r="AK174"/>
      <c r="AL174" s="85"/>
      <c r="AM174"/>
      <c r="AN174"/>
      <c r="AO174"/>
      <c r="AP174"/>
      <c r="AQ174"/>
      <c r="AR174"/>
      <c r="BO174"/>
      <c r="BP174" s="85"/>
      <c r="BQ174"/>
      <c r="BR174"/>
      <c r="BS174"/>
      <c r="BT174"/>
      <c r="BU174"/>
      <c r="BV174"/>
      <c r="CS174"/>
      <c r="CT174" s="85"/>
      <c r="CU174"/>
      <c r="CV174"/>
      <c r="CW174"/>
      <c r="CX174"/>
      <c r="CY174"/>
      <c r="CZ174"/>
      <c r="DP174"/>
      <c r="DQ174" s="85"/>
      <c r="DR174"/>
      <c r="DS174"/>
      <c r="DT174"/>
      <c r="DU174"/>
      <c r="DV174"/>
      <c r="DW174"/>
    </row>
    <row r="175" spans="1:127" ht="16.5">
      <c r="A175" s="49"/>
      <c r="B175" s="38" t="s">
        <v>28</v>
      </c>
      <c r="C175" s="38" t="s">
        <v>1350</v>
      </c>
      <c r="D175" s="96"/>
      <c r="E175" s="88"/>
      <c r="F175" s="88"/>
      <c r="G175" s="88"/>
      <c r="H175" s="88">
        <v>2.5</v>
      </c>
      <c r="I175" s="88">
        <v>1.5</v>
      </c>
      <c r="J175" s="88"/>
      <c r="K175" s="88"/>
      <c r="L175" s="88"/>
      <c r="M175" s="97">
        <v>4</v>
      </c>
      <c r="N175"/>
      <c r="O175"/>
      <c r="P175" s="243"/>
      <c r="Q175" s="243"/>
      <c r="R175"/>
      <c r="S175" s="49"/>
      <c r="T175" s="49"/>
      <c r="U175" s="65" t="s">
        <v>1352</v>
      </c>
      <c r="V175" s="250"/>
      <c r="W175" s="351"/>
      <c r="X175" s="351"/>
      <c r="Y175" s="351"/>
      <c r="Z175" s="351"/>
      <c r="AA175" s="351">
        <v>3</v>
      </c>
      <c r="AB175" s="351"/>
      <c r="AC175" s="351"/>
      <c r="AD175" s="351"/>
      <c r="AE175" s="251">
        <v>3</v>
      </c>
      <c r="AF175"/>
      <c r="AG175"/>
      <c r="AH175"/>
      <c r="AI175"/>
      <c r="AJ175"/>
      <c r="AK175"/>
      <c r="AL175" s="85"/>
      <c r="AM175"/>
      <c r="AN175"/>
      <c r="AO175"/>
      <c r="AP175"/>
      <c r="AQ175"/>
      <c r="AR175"/>
      <c r="BO175"/>
      <c r="BP175" s="85"/>
      <c r="BQ175"/>
      <c r="BR175"/>
      <c r="BS175"/>
      <c r="BT175"/>
      <c r="BU175"/>
      <c r="BV175"/>
      <c r="CS175"/>
      <c r="CT175" s="85"/>
      <c r="CU175"/>
      <c r="CV175"/>
      <c r="CW175"/>
      <c r="CX175"/>
      <c r="CY175"/>
      <c r="CZ175"/>
      <c r="DP175"/>
      <c r="DQ175" s="85"/>
      <c r="DR175"/>
      <c r="DS175"/>
      <c r="DT175"/>
      <c r="DU175"/>
      <c r="DV175"/>
      <c r="DW175"/>
    </row>
    <row r="176" spans="1:127" ht="16.5">
      <c r="A176" s="49"/>
      <c r="B176" s="50" t="s">
        <v>1348</v>
      </c>
      <c r="C176" s="51"/>
      <c r="D176" s="98"/>
      <c r="E176" s="99"/>
      <c r="F176" s="99"/>
      <c r="G176" s="99"/>
      <c r="H176" s="99">
        <v>2.5</v>
      </c>
      <c r="I176" s="99">
        <v>1.5</v>
      </c>
      <c r="J176" s="99"/>
      <c r="K176" s="99"/>
      <c r="L176" s="99"/>
      <c r="M176" s="100">
        <v>4</v>
      </c>
      <c r="N176"/>
      <c r="O176"/>
      <c r="P176" s="243"/>
      <c r="Q176" s="243"/>
      <c r="R176"/>
      <c r="S176" s="49"/>
      <c r="T176" s="49"/>
      <c r="U176" s="65" t="s">
        <v>1743</v>
      </c>
      <c r="V176" s="250"/>
      <c r="W176" s="351"/>
      <c r="X176" s="351"/>
      <c r="Y176" s="351"/>
      <c r="Z176" s="351"/>
      <c r="AA176" s="351">
        <v>1.5</v>
      </c>
      <c r="AB176" s="351">
        <v>0.5</v>
      </c>
      <c r="AC176" s="351"/>
      <c r="AD176" s="351"/>
      <c r="AE176" s="251">
        <v>2</v>
      </c>
      <c r="AF176"/>
      <c r="AG176"/>
      <c r="AH176"/>
      <c r="AI176"/>
      <c r="AJ176"/>
      <c r="AK176"/>
      <c r="AL176" s="85"/>
      <c r="AM176"/>
      <c r="AN176"/>
      <c r="AO176"/>
      <c r="AP176"/>
      <c r="AQ176"/>
      <c r="AR176"/>
      <c r="BO176"/>
      <c r="BP176" s="85"/>
      <c r="BQ176"/>
      <c r="BR176"/>
      <c r="BS176"/>
      <c r="BT176"/>
      <c r="BU176"/>
      <c r="BV176"/>
      <c r="CS176"/>
      <c r="CT176" s="85"/>
      <c r="CU176"/>
      <c r="CV176"/>
      <c r="CW176"/>
      <c r="CX176"/>
      <c r="CY176"/>
      <c r="CZ176"/>
      <c r="DP176"/>
      <c r="DQ176" s="85"/>
      <c r="DR176"/>
      <c r="DS176"/>
      <c r="DT176"/>
      <c r="DU176"/>
      <c r="DV176"/>
      <c r="DW176"/>
    </row>
    <row r="177" spans="1:127" ht="16.5">
      <c r="A177" s="49"/>
      <c r="B177" s="38" t="s">
        <v>56</v>
      </c>
      <c r="C177" s="38" t="s">
        <v>1743</v>
      </c>
      <c r="D177" s="96"/>
      <c r="E177" s="88"/>
      <c r="F177" s="88"/>
      <c r="G177" s="88"/>
      <c r="H177" s="88"/>
      <c r="I177" s="88"/>
      <c r="J177" s="88">
        <v>2</v>
      </c>
      <c r="K177" s="88"/>
      <c r="L177" s="88"/>
      <c r="M177" s="97">
        <v>2</v>
      </c>
      <c r="N177"/>
      <c r="O177"/>
      <c r="P177" s="339"/>
      <c r="Q177" s="339"/>
      <c r="R177"/>
      <c r="S177" s="49"/>
      <c r="T177" s="54" t="s">
        <v>1086</v>
      </c>
      <c r="U177" s="55"/>
      <c r="V177" s="101"/>
      <c r="W177" s="102"/>
      <c r="X177" s="102"/>
      <c r="Y177" s="102"/>
      <c r="Z177" s="102">
        <v>11</v>
      </c>
      <c r="AA177" s="102">
        <v>23</v>
      </c>
      <c r="AB177" s="102">
        <v>9</v>
      </c>
      <c r="AC177" s="102"/>
      <c r="AD177" s="102"/>
      <c r="AE177" s="103">
        <v>43</v>
      </c>
      <c r="AF177"/>
      <c r="AG177"/>
      <c r="AH177"/>
      <c r="AI177"/>
      <c r="AJ177"/>
      <c r="AK177"/>
      <c r="AL177" s="85"/>
      <c r="AM177"/>
      <c r="AN177"/>
      <c r="AO177"/>
      <c r="AP177"/>
      <c r="AQ177"/>
      <c r="AR177"/>
      <c r="BO177"/>
      <c r="BP177" s="85"/>
      <c r="BQ177"/>
      <c r="BR177"/>
      <c r="BS177"/>
      <c r="BT177"/>
      <c r="BU177"/>
      <c r="BV177"/>
      <c r="CS177"/>
      <c r="CT177" s="85"/>
      <c r="CU177"/>
      <c r="CV177"/>
      <c r="CW177"/>
      <c r="CX177"/>
      <c r="CY177"/>
      <c r="CZ177"/>
      <c r="DP177"/>
      <c r="DQ177" s="85"/>
      <c r="DR177"/>
      <c r="DS177"/>
      <c r="DT177"/>
      <c r="DU177"/>
      <c r="DV177"/>
      <c r="DW177"/>
    </row>
    <row r="178" spans="1:127" ht="16.5">
      <c r="A178" s="49"/>
      <c r="B178" s="50" t="s">
        <v>1080</v>
      </c>
      <c r="C178" s="51"/>
      <c r="D178" s="98"/>
      <c r="E178" s="99"/>
      <c r="F178" s="99"/>
      <c r="G178" s="99"/>
      <c r="H178" s="99"/>
      <c r="I178" s="99"/>
      <c r="J178" s="99">
        <v>2</v>
      </c>
      <c r="K178" s="99"/>
      <c r="L178" s="99"/>
      <c r="M178" s="100">
        <v>2</v>
      </c>
      <c r="N178"/>
      <c r="O178"/>
      <c r="P178" s="339"/>
      <c r="Q178" s="339"/>
      <c r="R178"/>
      <c r="S178" s="49"/>
      <c r="T178" s="38" t="s">
        <v>3</v>
      </c>
      <c r="U178" s="38" t="s">
        <v>2068</v>
      </c>
      <c r="V178" s="96"/>
      <c r="W178" s="88"/>
      <c r="X178" s="88"/>
      <c r="Y178" s="88"/>
      <c r="Z178" s="88"/>
      <c r="AA178" s="88"/>
      <c r="AB178" s="88"/>
      <c r="AC178" s="88"/>
      <c r="AD178" s="88">
        <v>5</v>
      </c>
      <c r="AE178" s="97">
        <v>5</v>
      </c>
      <c r="AF178"/>
      <c r="AG178"/>
      <c r="AH178"/>
      <c r="AI178"/>
      <c r="AJ178"/>
      <c r="AK178"/>
      <c r="AL178" s="85"/>
      <c r="AM178"/>
      <c r="AN178"/>
      <c r="AO178"/>
      <c r="AP178"/>
      <c r="AQ178"/>
      <c r="AR178"/>
      <c r="BO178"/>
      <c r="BP178" s="85"/>
      <c r="BQ178"/>
      <c r="BR178"/>
      <c r="BS178"/>
      <c r="BT178"/>
      <c r="BU178"/>
      <c r="BV178"/>
      <c r="CS178"/>
      <c r="CT178" s="85"/>
      <c r="CU178"/>
      <c r="CV178"/>
      <c r="CW178"/>
      <c r="CX178"/>
      <c r="CY178"/>
      <c r="CZ178"/>
      <c r="DP178"/>
      <c r="DQ178" s="85"/>
      <c r="DR178"/>
      <c r="DS178"/>
      <c r="DT178"/>
      <c r="DU178"/>
      <c r="DV178"/>
      <c r="DW178"/>
    </row>
    <row r="179" spans="1:127" ht="16.5">
      <c r="A179" s="49"/>
      <c r="B179" s="38" t="s">
        <v>2116</v>
      </c>
      <c r="C179" s="38" t="s">
        <v>1743</v>
      </c>
      <c r="D179" s="96"/>
      <c r="E179" s="88"/>
      <c r="F179" s="88"/>
      <c r="G179" s="88"/>
      <c r="H179" s="88"/>
      <c r="I179" s="88">
        <v>2</v>
      </c>
      <c r="J179" s="88">
        <v>16</v>
      </c>
      <c r="K179" s="88"/>
      <c r="L179" s="88"/>
      <c r="M179" s="97">
        <v>18</v>
      </c>
      <c r="N179"/>
      <c r="O179"/>
      <c r="P179" s="339"/>
      <c r="Q179" s="339"/>
      <c r="R179"/>
      <c r="S179" s="49"/>
      <c r="T179" s="54" t="s">
        <v>1087</v>
      </c>
      <c r="U179" s="55"/>
      <c r="V179" s="101"/>
      <c r="W179" s="102"/>
      <c r="X179" s="102"/>
      <c r="Y179" s="102"/>
      <c r="Z179" s="102"/>
      <c r="AA179" s="102"/>
      <c r="AB179" s="102"/>
      <c r="AC179" s="102"/>
      <c r="AD179" s="102">
        <v>5</v>
      </c>
      <c r="AE179" s="103">
        <v>5</v>
      </c>
      <c r="AK179"/>
      <c r="AL179" s="85"/>
      <c r="AM179"/>
      <c r="AN179"/>
      <c r="AO179"/>
      <c r="AP179"/>
      <c r="AQ179"/>
      <c r="AR179"/>
      <c r="BO179"/>
      <c r="BP179" s="85"/>
      <c r="BQ179"/>
      <c r="BR179"/>
      <c r="BS179"/>
      <c r="BT179"/>
      <c r="BU179"/>
      <c r="BV179"/>
      <c r="CS179"/>
      <c r="CT179" s="85"/>
      <c r="CU179"/>
      <c r="CV179"/>
      <c r="CW179"/>
      <c r="CX179"/>
      <c r="CY179"/>
      <c r="CZ179"/>
      <c r="DP179"/>
      <c r="DQ179" s="85"/>
      <c r="DR179"/>
      <c r="DS179"/>
      <c r="DT179"/>
      <c r="DU179"/>
      <c r="DV179"/>
      <c r="DW179"/>
    </row>
    <row r="180" spans="1:127" ht="16.5">
      <c r="A180" s="49"/>
      <c r="B180" s="50" t="s">
        <v>2158</v>
      </c>
      <c r="C180" s="51"/>
      <c r="D180" s="98"/>
      <c r="E180" s="99"/>
      <c r="F180" s="99"/>
      <c r="G180" s="99"/>
      <c r="H180" s="99"/>
      <c r="I180" s="99">
        <v>2</v>
      </c>
      <c r="J180" s="99">
        <v>16</v>
      </c>
      <c r="K180" s="99"/>
      <c r="L180" s="99"/>
      <c r="M180" s="100">
        <v>18</v>
      </c>
      <c r="N180"/>
      <c r="O180"/>
      <c r="P180" s="339"/>
      <c r="Q180" s="339"/>
      <c r="R180"/>
      <c r="S180" s="49"/>
      <c r="T180" s="38" t="s">
        <v>47</v>
      </c>
      <c r="U180" s="38" t="s">
        <v>1352</v>
      </c>
      <c r="V180" s="96"/>
      <c r="W180" s="88"/>
      <c r="X180" s="88"/>
      <c r="Y180" s="88"/>
      <c r="Z180" s="88"/>
      <c r="AA180" s="88">
        <v>7</v>
      </c>
      <c r="AB180" s="88">
        <v>2</v>
      </c>
      <c r="AC180" s="88"/>
      <c r="AD180" s="88"/>
      <c r="AE180" s="97">
        <v>9</v>
      </c>
      <c r="AK180"/>
      <c r="AL180" s="85"/>
      <c r="AM180"/>
      <c r="AN180"/>
      <c r="AO180"/>
      <c r="AP180"/>
      <c r="AQ180"/>
      <c r="AR180"/>
      <c r="BO180"/>
      <c r="BP180" s="85"/>
      <c r="BQ180"/>
      <c r="BR180"/>
      <c r="BS180"/>
      <c r="BT180"/>
      <c r="BU180"/>
      <c r="BV180"/>
      <c r="CS180"/>
      <c r="CT180" s="85"/>
      <c r="CU180"/>
      <c r="CV180"/>
      <c r="CW180"/>
      <c r="CX180"/>
      <c r="CY180"/>
      <c r="CZ180"/>
      <c r="DP180"/>
      <c r="DQ180" s="85"/>
      <c r="DR180"/>
      <c r="DS180"/>
      <c r="DT180"/>
      <c r="DU180"/>
      <c r="DV180"/>
      <c r="DW180"/>
    </row>
    <row r="181" spans="1:127" ht="16.5">
      <c r="A181" s="54" t="s">
        <v>1550</v>
      </c>
      <c r="B181" s="55"/>
      <c r="C181" s="55"/>
      <c r="D181" s="101"/>
      <c r="E181" s="102"/>
      <c r="F181" s="102"/>
      <c r="G181" s="102"/>
      <c r="H181" s="102">
        <v>18</v>
      </c>
      <c r="I181" s="102">
        <v>6</v>
      </c>
      <c r="J181" s="102">
        <v>18</v>
      </c>
      <c r="K181" s="102"/>
      <c r="L181" s="102"/>
      <c r="M181" s="103">
        <v>42</v>
      </c>
      <c r="N181"/>
      <c r="O181"/>
      <c r="P181" s="339"/>
      <c r="Q181" s="339"/>
      <c r="R181"/>
      <c r="S181" s="49"/>
      <c r="T181" s="54" t="s">
        <v>1091</v>
      </c>
      <c r="U181" s="55"/>
      <c r="V181" s="101"/>
      <c r="W181" s="102"/>
      <c r="X181" s="102"/>
      <c r="Y181" s="102"/>
      <c r="Z181" s="102"/>
      <c r="AA181" s="102">
        <v>7</v>
      </c>
      <c r="AB181" s="102">
        <v>2</v>
      </c>
      <c r="AC181" s="102"/>
      <c r="AD181" s="102"/>
      <c r="AE181" s="103">
        <v>9</v>
      </c>
      <c r="AK181"/>
      <c r="AL181" s="85"/>
      <c r="AM181" s="85"/>
      <c r="AN181" s="107"/>
      <c r="AO181" s="107"/>
      <c r="AP181" s="107"/>
      <c r="AQ181" s="107"/>
      <c r="AR181" s="107"/>
      <c r="BO181"/>
      <c r="BP181" s="85"/>
      <c r="BQ181" s="85"/>
      <c r="BR181" s="107"/>
      <c r="BS181" s="107"/>
      <c r="BT181" s="107"/>
      <c r="BU181" s="107"/>
      <c r="BV181" s="107"/>
      <c r="CS181"/>
      <c r="CT181" s="85"/>
      <c r="CU181" s="85"/>
      <c r="CV181" s="107"/>
      <c r="CW181" s="107"/>
      <c r="CX181" s="107"/>
      <c r="CY181" s="107"/>
      <c r="CZ181" s="107"/>
      <c r="DP181"/>
      <c r="DQ181" s="85"/>
      <c r="DR181" s="85"/>
      <c r="DS181" s="107"/>
      <c r="DT181" s="107"/>
      <c r="DU181" s="107"/>
      <c r="DV181" s="107"/>
      <c r="DW181" s="107"/>
    </row>
    <row r="182" spans="1:127" ht="16.5">
      <c r="A182" s="38" t="s">
        <v>46</v>
      </c>
      <c r="B182" s="38" t="s">
        <v>38</v>
      </c>
      <c r="C182" s="38" t="s">
        <v>1350</v>
      </c>
      <c r="D182" s="96"/>
      <c r="E182" s="88"/>
      <c r="F182" s="88"/>
      <c r="G182" s="88"/>
      <c r="H182" s="88">
        <v>4</v>
      </c>
      <c r="I182" s="88"/>
      <c r="J182" s="88"/>
      <c r="K182" s="88"/>
      <c r="L182" s="88"/>
      <c r="M182" s="97">
        <v>4</v>
      </c>
      <c r="N182"/>
      <c r="O182"/>
      <c r="P182" s="339"/>
      <c r="Q182" s="339"/>
      <c r="R182"/>
      <c r="S182" s="49"/>
      <c r="T182" s="38" t="s">
        <v>1101</v>
      </c>
      <c r="U182" s="38" t="s">
        <v>1743</v>
      </c>
      <c r="V182" s="96"/>
      <c r="W182" s="88"/>
      <c r="X182" s="88"/>
      <c r="Y182" s="88"/>
      <c r="Z182" s="88"/>
      <c r="AA182" s="88"/>
      <c r="AB182" s="88">
        <v>2</v>
      </c>
      <c r="AC182" s="88"/>
      <c r="AD182" s="88"/>
      <c r="AE182" s="97">
        <v>2</v>
      </c>
      <c r="AK182"/>
      <c r="AL182" s="85"/>
      <c r="AM182" s="85"/>
      <c r="AN182" s="107"/>
      <c r="AO182" s="107"/>
      <c r="AP182" s="107"/>
      <c r="AQ182" s="107"/>
      <c r="AR182" s="107"/>
      <c r="BO182"/>
      <c r="BP182" s="85"/>
      <c r="BQ182" s="85"/>
      <c r="BR182" s="107"/>
      <c r="BS182" s="107"/>
      <c r="BT182" s="107"/>
      <c r="BU182" s="107"/>
      <c r="BV182" s="107"/>
      <c r="CS182"/>
      <c r="CT182" s="85"/>
      <c r="CU182" s="85"/>
      <c r="CV182" s="107"/>
      <c r="CW182" s="107"/>
      <c r="CX182" s="107"/>
      <c r="CY182" s="107"/>
      <c r="CZ182" s="107"/>
      <c r="DP182"/>
      <c r="DQ182" s="85"/>
      <c r="DR182" s="85"/>
      <c r="DS182" s="107"/>
      <c r="DT182" s="107"/>
      <c r="DU182" s="107"/>
      <c r="DV182" s="107"/>
      <c r="DW182" s="107"/>
    </row>
    <row r="183" spans="1:127" ht="16.5">
      <c r="A183" s="49"/>
      <c r="B183" s="49"/>
      <c r="C183" s="65" t="s">
        <v>1352</v>
      </c>
      <c r="D183" s="250"/>
      <c r="E183" s="351"/>
      <c r="F183" s="351"/>
      <c r="G183" s="351"/>
      <c r="H183" s="351"/>
      <c r="I183" s="351">
        <v>1</v>
      </c>
      <c r="J183" s="351"/>
      <c r="K183" s="351"/>
      <c r="L183" s="351"/>
      <c r="M183" s="251">
        <v>1</v>
      </c>
      <c r="N183"/>
      <c r="O183"/>
      <c r="P183" s="339"/>
      <c r="Q183" s="339"/>
      <c r="R183"/>
      <c r="S183" s="49"/>
      <c r="T183" s="54" t="s">
        <v>1550</v>
      </c>
      <c r="U183" s="55"/>
      <c r="V183" s="101"/>
      <c r="W183" s="102"/>
      <c r="X183" s="102"/>
      <c r="Y183" s="102"/>
      <c r="Z183" s="102"/>
      <c r="AA183" s="102"/>
      <c r="AB183" s="102">
        <v>2</v>
      </c>
      <c r="AC183" s="102"/>
      <c r="AD183" s="102"/>
      <c r="AE183" s="103">
        <v>2</v>
      </c>
      <c r="AK183"/>
      <c r="AL183" s="85"/>
      <c r="AM183" s="85"/>
      <c r="AN183" s="107"/>
      <c r="AO183" s="107"/>
      <c r="AP183" s="107"/>
      <c r="AQ183" s="107"/>
      <c r="AR183" s="107"/>
      <c r="BO183"/>
      <c r="BP183" s="85"/>
      <c r="BQ183" s="85"/>
      <c r="BR183" s="107"/>
      <c r="BS183" s="107"/>
      <c r="BT183" s="107"/>
      <c r="BU183" s="107"/>
      <c r="BV183" s="107"/>
      <c r="CS183"/>
      <c r="CT183" s="85"/>
      <c r="CU183" s="85"/>
      <c r="CV183" s="107"/>
      <c r="CW183" s="107"/>
      <c r="CX183" s="107"/>
      <c r="CY183" s="107"/>
      <c r="CZ183" s="107"/>
      <c r="DP183"/>
      <c r="DQ183" s="85"/>
      <c r="DR183" s="85"/>
      <c r="DS183" s="107"/>
      <c r="DT183" s="107"/>
      <c r="DU183" s="107"/>
      <c r="DV183" s="107"/>
      <c r="DW183" s="107"/>
    </row>
    <row r="184" spans="1:127" ht="16.5">
      <c r="A184" s="49"/>
      <c r="B184" s="50" t="s">
        <v>853</v>
      </c>
      <c r="C184" s="51"/>
      <c r="D184" s="98"/>
      <c r="E184" s="99"/>
      <c r="F184" s="99"/>
      <c r="G184" s="99"/>
      <c r="H184" s="99">
        <v>4</v>
      </c>
      <c r="I184" s="99">
        <v>1</v>
      </c>
      <c r="J184" s="99"/>
      <c r="K184" s="99"/>
      <c r="L184" s="99"/>
      <c r="M184" s="100">
        <v>5</v>
      </c>
      <c r="N184"/>
      <c r="O184"/>
      <c r="P184" s="339"/>
      <c r="Q184" s="339"/>
      <c r="R184"/>
      <c r="S184" s="50" t="s">
        <v>1460</v>
      </c>
      <c r="T184" s="51"/>
      <c r="U184" s="51"/>
      <c r="V184" s="98"/>
      <c r="W184" s="99"/>
      <c r="X184" s="99"/>
      <c r="Y184" s="99"/>
      <c r="Z184" s="99">
        <v>11</v>
      </c>
      <c r="AA184" s="99">
        <v>30</v>
      </c>
      <c r="AB184" s="99">
        <v>14</v>
      </c>
      <c r="AC184" s="99"/>
      <c r="AD184" s="99">
        <v>5</v>
      </c>
      <c r="AE184" s="100">
        <v>60</v>
      </c>
      <c r="AK184"/>
      <c r="AL184" s="85"/>
      <c r="AM184" s="85"/>
      <c r="AN184" s="107"/>
      <c r="AO184" s="107"/>
      <c r="AP184" s="107"/>
      <c r="AQ184" s="107"/>
      <c r="AR184" s="107"/>
      <c r="BO184"/>
      <c r="BP184" s="85"/>
      <c r="BQ184" s="85"/>
      <c r="BR184" s="107"/>
      <c r="BS184" s="107"/>
      <c r="BT184" s="107"/>
      <c r="BU184" s="107"/>
      <c r="BV184" s="107"/>
      <c r="CS184"/>
      <c r="CT184" s="85"/>
      <c r="CU184" s="85"/>
      <c r="CV184" s="107"/>
      <c r="CW184" s="107"/>
      <c r="CX184" s="107"/>
      <c r="CY184" s="107"/>
      <c r="CZ184" s="107"/>
      <c r="DP184"/>
      <c r="DQ184" s="85"/>
      <c r="DR184" s="85"/>
      <c r="DS184" s="107"/>
      <c r="DT184" s="107"/>
      <c r="DU184" s="107"/>
      <c r="DV184" s="107"/>
      <c r="DW184" s="107"/>
    </row>
    <row r="185" spans="1:127" ht="16.5">
      <c r="A185" s="49"/>
      <c r="B185" s="38" t="s">
        <v>35</v>
      </c>
      <c r="C185" s="38" t="s">
        <v>1350</v>
      </c>
      <c r="D185" s="96"/>
      <c r="E185" s="88"/>
      <c r="F185" s="88"/>
      <c r="G185" s="88"/>
      <c r="H185" s="88">
        <v>6</v>
      </c>
      <c r="I185" s="88"/>
      <c r="J185" s="88"/>
      <c r="K185" s="88"/>
      <c r="L185" s="88"/>
      <c r="M185" s="97">
        <v>6</v>
      </c>
      <c r="N185"/>
      <c r="O185"/>
      <c r="P185" s="339"/>
      <c r="Q185" s="339"/>
      <c r="R185"/>
      <c r="S185" s="38" t="s">
        <v>1434</v>
      </c>
      <c r="T185" s="38" t="s">
        <v>32</v>
      </c>
      <c r="U185" s="38" t="s">
        <v>1350</v>
      </c>
      <c r="V185" s="96"/>
      <c r="W185" s="88"/>
      <c r="X185" s="88"/>
      <c r="Y185" s="88"/>
      <c r="Z185" s="88">
        <v>2</v>
      </c>
      <c r="AA185" s="88"/>
      <c r="AB185" s="88"/>
      <c r="AC185" s="88"/>
      <c r="AD185" s="88"/>
      <c r="AE185" s="97">
        <v>2</v>
      </c>
      <c r="AK185"/>
      <c r="AL185" s="85"/>
      <c r="AM185" s="85"/>
      <c r="AN185" s="107"/>
      <c r="AO185" s="107"/>
      <c r="AP185" s="107"/>
      <c r="AQ185" s="107"/>
      <c r="AR185" s="107"/>
      <c r="BO185"/>
      <c r="BP185" s="85"/>
      <c r="BQ185" s="85"/>
      <c r="BR185" s="107"/>
      <c r="BS185" s="107"/>
      <c r="BT185" s="107"/>
      <c r="BU185" s="107"/>
      <c r="BV185" s="107"/>
      <c r="CS185"/>
      <c r="CT185" s="85"/>
      <c r="CU185" s="85"/>
      <c r="CV185" s="107"/>
      <c r="CW185" s="107"/>
      <c r="CX185" s="107"/>
      <c r="CY185" s="107"/>
      <c r="CZ185" s="107"/>
      <c r="DP185"/>
      <c r="DQ185" s="85"/>
      <c r="DR185" s="85"/>
      <c r="DS185" s="107"/>
      <c r="DT185" s="107"/>
      <c r="DU185" s="107"/>
      <c r="DV185" s="107"/>
      <c r="DW185" s="107"/>
    </row>
    <row r="186" spans="1:127" ht="16.5">
      <c r="A186" s="49"/>
      <c r="B186" s="49"/>
      <c r="C186" s="65" t="s">
        <v>1352</v>
      </c>
      <c r="D186" s="250"/>
      <c r="E186" s="351"/>
      <c r="F186" s="351"/>
      <c r="G186" s="351"/>
      <c r="H186" s="351"/>
      <c r="I186" s="351">
        <v>2</v>
      </c>
      <c r="J186" s="351"/>
      <c r="K186" s="351"/>
      <c r="L186" s="351"/>
      <c r="M186" s="251">
        <v>2</v>
      </c>
      <c r="N186"/>
      <c r="O186"/>
      <c r="P186" s="339"/>
      <c r="Q186" s="339"/>
      <c r="R186"/>
      <c r="S186" s="49"/>
      <c r="T186" s="54" t="s">
        <v>1086</v>
      </c>
      <c r="U186" s="55"/>
      <c r="V186" s="101"/>
      <c r="W186" s="102"/>
      <c r="X186" s="102"/>
      <c r="Y186" s="102"/>
      <c r="Z186" s="102">
        <v>2</v>
      </c>
      <c r="AA186" s="102"/>
      <c r="AB186" s="102"/>
      <c r="AC186" s="102"/>
      <c r="AD186" s="102"/>
      <c r="AE186" s="103">
        <v>2</v>
      </c>
      <c r="AK186"/>
      <c r="AL186" s="85"/>
      <c r="AM186" s="85"/>
      <c r="AN186" s="107"/>
      <c r="AO186" s="107"/>
      <c r="AP186" s="107"/>
      <c r="AQ186" s="107"/>
      <c r="AR186" s="107"/>
      <c r="BO186"/>
      <c r="BP186" s="85"/>
      <c r="BQ186" s="85"/>
      <c r="BR186" s="107"/>
      <c r="BS186" s="107"/>
      <c r="BT186" s="107"/>
      <c r="BU186" s="107"/>
      <c r="BV186" s="107"/>
      <c r="CS186"/>
      <c r="CT186" s="85"/>
      <c r="CU186" s="85"/>
      <c r="CV186" s="107"/>
      <c r="CW186" s="107"/>
      <c r="CX186" s="107"/>
      <c r="CY186" s="107"/>
      <c r="CZ186" s="107"/>
      <c r="DP186"/>
      <c r="DQ186" s="85"/>
      <c r="DR186" s="85"/>
      <c r="DS186" s="107"/>
      <c r="DT186" s="107"/>
      <c r="DU186" s="107"/>
      <c r="DV186" s="107"/>
      <c r="DW186" s="107"/>
    </row>
    <row r="187" spans="1:127" ht="16.5">
      <c r="A187" s="49"/>
      <c r="B187" s="50" t="s">
        <v>1347</v>
      </c>
      <c r="C187" s="51"/>
      <c r="D187" s="98"/>
      <c r="E187" s="99"/>
      <c r="F187" s="99"/>
      <c r="G187" s="99"/>
      <c r="H187" s="99">
        <v>6</v>
      </c>
      <c r="I187" s="99">
        <v>2</v>
      </c>
      <c r="J187" s="99"/>
      <c r="K187" s="99"/>
      <c r="L187" s="99"/>
      <c r="M187" s="100">
        <v>8</v>
      </c>
      <c r="N187"/>
      <c r="O187"/>
      <c r="P187" s="339"/>
      <c r="Q187" s="339"/>
      <c r="R187"/>
      <c r="S187" s="49"/>
      <c r="T187" s="38" t="s">
        <v>51</v>
      </c>
      <c r="U187" s="38" t="s">
        <v>1743</v>
      </c>
      <c r="V187" s="96"/>
      <c r="W187" s="88">
        <v>0.66666666666666663</v>
      </c>
      <c r="X187" s="88"/>
      <c r="Y187" s="88"/>
      <c r="Z187" s="88"/>
      <c r="AA187" s="88"/>
      <c r="AB187" s="88"/>
      <c r="AC187" s="88"/>
      <c r="AD187" s="88"/>
      <c r="AE187" s="97">
        <v>0.66666666666666663</v>
      </c>
      <c r="AK187"/>
      <c r="AL187" s="85"/>
      <c r="AM187" s="85"/>
      <c r="AN187" s="107"/>
      <c r="AO187" s="107"/>
      <c r="AP187" s="107"/>
      <c r="AQ187" s="107"/>
      <c r="AR187" s="107"/>
      <c r="BO187"/>
      <c r="BP187" s="85"/>
      <c r="BQ187" s="85"/>
      <c r="BR187" s="107"/>
      <c r="BS187" s="107"/>
      <c r="BT187" s="107"/>
      <c r="BU187" s="107"/>
      <c r="BV187" s="107"/>
      <c r="CS187"/>
      <c r="CT187" s="85"/>
      <c r="CU187" s="85"/>
      <c r="CV187" s="107"/>
      <c r="CW187" s="107"/>
      <c r="CX187" s="107"/>
      <c r="CY187" s="107"/>
      <c r="CZ187" s="107"/>
      <c r="DP187"/>
      <c r="DQ187" s="85"/>
      <c r="DR187" s="85"/>
      <c r="DS187" s="107"/>
      <c r="DT187" s="107"/>
      <c r="DU187" s="107"/>
      <c r="DV187" s="107"/>
      <c r="DW187" s="107"/>
    </row>
    <row r="188" spans="1:127" ht="16.5">
      <c r="A188" s="49"/>
      <c r="B188" s="38" t="s">
        <v>28</v>
      </c>
      <c r="C188" s="38" t="s">
        <v>1350</v>
      </c>
      <c r="D188" s="96"/>
      <c r="E188" s="88"/>
      <c r="F188" s="88"/>
      <c r="G188" s="88"/>
      <c r="H188" s="88">
        <v>2</v>
      </c>
      <c r="I188" s="88"/>
      <c r="J188" s="88"/>
      <c r="K188" s="88"/>
      <c r="L188" s="88"/>
      <c r="M188" s="97">
        <v>2</v>
      </c>
      <c r="N188"/>
      <c r="O188"/>
      <c r="P188" s="339"/>
      <c r="Q188" s="339"/>
      <c r="R188"/>
      <c r="S188" s="49"/>
      <c r="T188" s="54" t="s">
        <v>1088</v>
      </c>
      <c r="U188" s="55"/>
      <c r="V188" s="101"/>
      <c r="W188" s="102">
        <v>0.66666666666666663</v>
      </c>
      <c r="X188" s="102"/>
      <c r="Y188" s="102"/>
      <c r="Z188" s="102"/>
      <c r="AA188" s="102"/>
      <c r="AB188" s="102"/>
      <c r="AC188" s="102"/>
      <c r="AD188" s="102"/>
      <c r="AE188" s="103">
        <v>0.66666666666666663</v>
      </c>
      <c r="AK188"/>
      <c r="AL188" s="85"/>
      <c r="AM188" s="85"/>
      <c r="AN188" s="107"/>
      <c r="AO188" s="107"/>
      <c r="AP188" s="107"/>
      <c r="AQ188" s="107"/>
      <c r="AR188" s="107"/>
      <c r="BO188"/>
      <c r="BP188" s="85"/>
      <c r="BQ188" s="85"/>
      <c r="BR188" s="107"/>
      <c r="BS188" s="107"/>
      <c r="BT188" s="107"/>
      <c r="BU188" s="107"/>
      <c r="BV188" s="107"/>
      <c r="CS188"/>
      <c r="CT188" s="85"/>
      <c r="CU188" s="85"/>
      <c r="CV188" s="107"/>
      <c r="CW188" s="107"/>
      <c r="CX188" s="107"/>
      <c r="CY188" s="107"/>
      <c r="CZ188" s="107"/>
      <c r="DP188"/>
      <c r="DQ188" s="85"/>
      <c r="DR188" s="85"/>
      <c r="DS188" s="107"/>
      <c r="DT188" s="107"/>
      <c r="DU188" s="107"/>
      <c r="DV188" s="107"/>
      <c r="DW188" s="107"/>
    </row>
    <row r="189" spans="1:127" ht="16.5">
      <c r="A189" s="49"/>
      <c r="B189" s="50" t="s">
        <v>1348</v>
      </c>
      <c r="C189" s="51"/>
      <c r="D189" s="98"/>
      <c r="E189" s="99"/>
      <c r="F189" s="99"/>
      <c r="G189" s="99"/>
      <c r="H189" s="99">
        <v>2</v>
      </c>
      <c r="I189" s="99"/>
      <c r="J189" s="99"/>
      <c r="K189" s="99"/>
      <c r="L189" s="99"/>
      <c r="M189" s="100">
        <v>2</v>
      </c>
      <c r="N189"/>
      <c r="O189"/>
      <c r="P189" s="339"/>
      <c r="Q189" s="339"/>
      <c r="R189"/>
      <c r="S189" s="49"/>
      <c r="T189" s="38" t="s">
        <v>1677</v>
      </c>
      <c r="U189" s="38" t="s">
        <v>1743</v>
      </c>
      <c r="V189" s="96"/>
      <c r="W189" s="88">
        <v>1.3333333333333333</v>
      </c>
      <c r="X189" s="88"/>
      <c r="Y189" s="88"/>
      <c r="Z189" s="88"/>
      <c r="AA189" s="88"/>
      <c r="AB189" s="88"/>
      <c r="AC189" s="88"/>
      <c r="AD189" s="88"/>
      <c r="AE189" s="97">
        <v>1.3333333333333333</v>
      </c>
      <c r="AK189"/>
      <c r="AL189" s="85"/>
      <c r="AM189" s="85"/>
      <c r="AN189" s="107"/>
      <c r="AO189" s="107"/>
      <c r="AP189" s="107"/>
      <c r="AQ189" s="107"/>
      <c r="AR189" s="107"/>
      <c r="BO189"/>
      <c r="BP189" s="85"/>
      <c r="BQ189" s="85"/>
      <c r="BR189" s="107"/>
      <c r="BS189" s="107"/>
      <c r="BT189" s="107"/>
      <c r="BU189" s="107"/>
      <c r="BV189" s="107"/>
      <c r="CS189"/>
      <c r="CT189" s="85"/>
      <c r="CU189" s="85"/>
      <c r="CV189" s="107"/>
      <c r="CW189" s="107"/>
      <c r="CX189" s="107"/>
      <c r="CY189" s="107"/>
      <c r="CZ189" s="107"/>
      <c r="DP189"/>
      <c r="DQ189" s="85"/>
      <c r="DR189" s="85"/>
      <c r="DS189" s="107"/>
      <c r="DT189" s="107"/>
      <c r="DU189" s="107"/>
      <c r="DV189" s="107"/>
      <c r="DW189" s="107"/>
    </row>
    <row r="190" spans="1:127" ht="16.5">
      <c r="A190" s="54" t="s">
        <v>1541</v>
      </c>
      <c r="B190" s="55"/>
      <c r="C190" s="55"/>
      <c r="D190" s="101"/>
      <c r="E190" s="102"/>
      <c r="F190" s="102"/>
      <c r="G190" s="102"/>
      <c r="H190" s="102">
        <v>12</v>
      </c>
      <c r="I190" s="102">
        <v>3</v>
      </c>
      <c r="J190" s="102"/>
      <c r="K190" s="102"/>
      <c r="L190" s="102"/>
      <c r="M190" s="103">
        <v>15</v>
      </c>
      <c r="N190"/>
      <c r="O190"/>
      <c r="P190" s="339"/>
      <c r="Q190" s="339"/>
      <c r="R190"/>
      <c r="S190" s="49"/>
      <c r="T190" s="54" t="s">
        <v>1738</v>
      </c>
      <c r="U190" s="55"/>
      <c r="V190" s="101"/>
      <c r="W190" s="102">
        <v>1.3333333333333333</v>
      </c>
      <c r="X190" s="102"/>
      <c r="Y190" s="102"/>
      <c r="Z190" s="102"/>
      <c r="AA190" s="102"/>
      <c r="AB190" s="102"/>
      <c r="AC190" s="102"/>
      <c r="AD190" s="102"/>
      <c r="AE190" s="103">
        <v>1.3333333333333333</v>
      </c>
      <c r="AK190"/>
      <c r="AL190" s="85"/>
      <c r="AM190" s="85"/>
      <c r="AN190" s="107"/>
      <c r="AO190" s="107"/>
      <c r="AP190" s="107"/>
      <c r="AQ190" s="107"/>
      <c r="AR190" s="107"/>
      <c r="BO190"/>
      <c r="BP190" s="85"/>
      <c r="BQ190" s="85"/>
      <c r="BR190" s="107"/>
      <c r="BS190" s="107"/>
      <c r="BT190" s="107"/>
      <c r="BU190" s="107"/>
      <c r="BV190" s="107"/>
      <c r="CS190"/>
      <c r="CT190" s="85"/>
      <c r="CU190" s="85"/>
      <c r="CV190" s="107"/>
      <c r="CW190" s="107"/>
      <c r="CX190" s="107"/>
      <c r="CY190" s="107"/>
      <c r="CZ190" s="107"/>
      <c r="DP190"/>
      <c r="DQ190" s="85"/>
      <c r="DR190" s="85"/>
      <c r="DS190" s="107"/>
      <c r="DT190" s="107"/>
      <c r="DU190" s="107"/>
      <c r="DV190" s="107"/>
      <c r="DW190" s="107"/>
    </row>
    <row r="191" spans="1:127" ht="16.5">
      <c r="A191" s="38" t="s">
        <v>40</v>
      </c>
      <c r="B191" s="38" t="s">
        <v>38</v>
      </c>
      <c r="C191" s="38" t="s">
        <v>1351</v>
      </c>
      <c r="D191" s="96"/>
      <c r="E191" s="88"/>
      <c r="F191" s="88"/>
      <c r="G191" s="88"/>
      <c r="H191" s="88"/>
      <c r="I191" s="88"/>
      <c r="J191" s="88">
        <v>4</v>
      </c>
      <c r="K191" s="88"/>
      <c r="L191" s="88"/>
      <c r="M191" s="97">
        <v>4</v>
      </c>
      <c r="N191"/>
      <c r="O191"/>
      <c r="P191" s="339"/>
      <c r="Q191" s="339"/>
      <c r="R191"/>
      <c r="S191" s="50" t="s">
        <v>1461</v>
      </c>
      <c r="T191" s="51"/>
      <c r="U191" s="51"/>
      <c r="V191" s="98"/>
      <c r="W191" s="99">
        <v>2</v>
      </c>
      <c r="X191" s="99"/>
      <c r="Y191" s="99"/>
      <c r="Z191" s="99">
        <v>2</v>
      </c>
      <c r="AA191" s="99"/>
      <c r="AB191" s="99"/>
      <c r="AC191" s="99"/>
      <c r="AD191" s="99"/>
      <c r="AE191" s="100">
        <v>4</v>
      </c>
      <c r="AK191"/>
      <c r="AL191" s="85"/>
      <c r="AM191" s="85"/>
      <c r="AN191" s="107"/>
      <c r="AO191" s="107"/>
      <c r="AP191" s="107"/>
      <c r="AQ191" s="107"/>
      <c r="AR191" s="107"/>
      <c r="BO191"/>
      <c r="BP191" s="85"/>
      <c r="BQ191" s="85"/>
      <c r="BR191" s="107"/>
      <c r="BS191" s="107"/>
      <c r="BT191" s="107"/>
      <c r="BU191" s="107"/>
      <c r="BV191" s="107"/>
      <c r="CS191"/>
      <c r="CT191" s="85"/>
      <c r="CU191" s="85"/>
      <c r="CV191" s="107"/>
      <c r="CW191" s="107"/>
      <c r="CX191" s="107"/>
      <c r="CY191" s="107"/>
      <c r="CZ191" s="107"/>
      <c r="DP191"/>
      <c r="DQ191" s="85"/>
      <c r="DR191" s="85"/>
      <c r="DS191" s="107"/>
      <c r="DT191" s="107"/>
      <c r="DU191" s="107"/>
      <c r="DV191" s="107"/>
      <c r="DW191" s="107"/>
    </row>
    <row r="192" spans="1:127" ht="16.5">
      <c r="A192" s="49"/>
      <c r="B192" s="49"/>
      <c r="C192" s="65" t="s">
        <v>1350</v>
      </c>
      <c r="D192" s="250"/>
      <c r="E192" s="351"/>
      <c r="F192" s="351"/>
      <c r="G192" s="351"/>
      <c r="H192" s="351"/>
      <c r="I192" s="351"/>
      <c r="J192" s="351">
        <v>1</v>
      </c>
      <c r="K192" s="351"/>
      <c r="L192" s="351"/>
      <c r="M192" s="251">
        <v>1</v>
      </c>
      <c r="N192"/>
      <c r="O192"/>
      <c r="P192" s="339"/>
      <c r="Q192" s="339"/>
      <c r="R192"/>
      <c r="S192" s="38" t="s">
        <v>1484</v>
      </c>
      <c r="T192" s="38" t="s">
        <v>32</v>
      </c>
      <c r="U192" s="38" t="s">
        <v>1350</v>
      </c>
      <c r="V192" s="96"/>
      <c r="W192" s="88"/>
      <c r="X192" s="88"/>
      <c r="Y192" s="88"/>
      <c r="Z192" s="88"/>
      <c r="AA192" s="88">
        <v>3</v>
      </c>
      <c r="AB192" s="88"/>
      <c r="AC192" s="88"/>
      <c r="AD192" s="88"/>
      <c r="AE192" s="97">
        <v>3</v>
      </c>
      <c r="AK192"/>
      <c r="AL192" s="85"/>
      <c r="AM192" s="85"/>
      <c r="AN192" s="107"/>
      <c r="AO192" s="107"/>
      <c r="AP192" s="107"/>
      <c r="AQ192" s="107"/>
      <c r="AR192" s="107"/>
      <c r="BO192"/>
      <c r="BP192" s="85"/>
      <c r="BQ192" s="85"/>
      <c r="BR192" s="107"/>
      <c r="BS192" s="107"/>
      <c r="BT192" s="107"/>
      <c r="BU192" s="107"/>
      <c r="BV192" s="107"/>
      <c r="CS192"/>
      <c r="CT192" s="85"/>
      <c r="CU192" s="85"/>
      <c r="CV192" s="107"/>
      <c r="CW192" s="107"/>
      <c r="CX192" s="107"/>
      <c r="CY192" s="107"/>
      <c r="CZ192" s="107"/>
      <c r="DP192"/>
      <c r="DQ192" s="85"/>
      <c r="DR192" s="85"/>
      <c r="DS192" s="107"/>
      <c r="DT192" s="107"/>
      <c r="DU192" s="107"/>
      <c r="DV192" s="107"/>
      <c r="DW192" s="107"/>
    </row>
    <row r="193" spans="1:127" ht="16.5">
      <c r="A193" s="49"/>
      <c r="B193" s="50" t="s">
        <v>853</v>
      </c>
      <c r="C193" s="51"/>
      <c r="D193" s="98"/>
      <c r="E193" s="99"/>
      <c r="F193" s="99"/>
      <c r="G193" s="99"/>
      <c r="H193" s="99"/>
      <c r="I193" s="99"/>
      <c r="J193" s="99">
        <v>5</v>
      </c>
      <c r="K193" s="99"/>
      <c r="L193" s="99"/>
      <c r="M193" s="100">
        <v>5</v>
      </c>
      <c r="N193"/>
      <c r="O193"/>
      <c r="P193" s="339"/>
      <c r="Q193" s="339"/>
      <c r="R193"/>
      <c r="S193" s="49"/>
      <c r="T193" s="54" t="s">
        <v>1086</v>
      </c>
      <c r="U193" s="55"/>
      <c r="V193" s="101"/>
      <c r="W193" s="102"/>
      <c r="X193" s="102"/>
      <c r="Y193" s="102"/>
      <c r="Z193" s="102"/>
      <c r="AA193" s="102">
        <v>3</v>
      </c>
      <c r="AB193" s="102"/>
      <c r="AC193" s="102"/>
      <c r="AD193" s="102"/>
      <c r="AE193" s="103">
        <v>3</v>
      </c>
      <c r="AK193"/>
      <c r="AL193" s="85"/>
      <c r="AM193" s="85"/>
      <c r="AN193" s="107"/>
      <c r="AO193" s="107"/>
      <c r="AP193" s="107"/>
      <c r="AQ193" s="107"/>
      <c r="AR193" s="107"/>
      <c r="BO193"/>
      <c r="BP193" s="85"/>
      <c r="BQ193" s="85"/>
      <c r="BR193" s="107"/>
      <c r="BS193" s="107"/>
      <c r="BT193" s="107"/>
      <c r="BU193" s="107"/>
      <c r="BV193" s="107"/>
      <c r="CS193"/>
      <c r="CT193" s="85"/>
      <c r="CU193" s="85"/>
      <c r="CV193" s="107"/>
      <c r="CW193" s="107"/>
      <c r="CX193" s="107"/>
      <c r="CY193" s="107"/>
      <c r="CZ193" s="107"/>
      <c r="DP193"/>
      <c r="DQ193" s="85"/>
      <c r="DR193" s="85"/>
      <c r="DS193" s="107"/>
      <c r="DT193" s="107"/>
      <c r="DU193" s="107"/>
      <c r="DV193" s="107"/>
      <c r="DW193" s="107"/>
    </row>
    <row r="194" spans="1:127" ht="16.5">
      <c r="A194" s="49"/>
      <c r="B194" s="38" t="s">
        <v>60</v>
      </c>
      <c r="C194" s="38" t="s">
        <v>1351</v>
      </c>
      <c r="D194" s="96"/>
      <c r="E194" s="88"/>
      <c r="F194" s="88"/>
      <c r="G194" s="88"/>
      <c r="H194" s="88"/>
      <c r="I194" s="88"/>
      <c r="J194" s="88">
        <v>1</v>
      </c>
      <c r="K194" s="88"/>
      <c r="L194" s="88"/>
      <c r="M194" s="97">
        <v>1</v>
      </c>
      <c r="N194"/>
      <c r="O194"/>
      <c r="P194" s="339"/>
      <c r="Q194" s="339"/>
      <c r="R194"/>
      <c r="S194" s="50" t="s">
        <v>1551</v>
      </c>
      <c r="T194" s="51"/>
      <c r="U194" s="51"/>
      <c r="V194" s="98"/>
      <c r="W194" s="99"/>
      <c r="X194" s="99"/>
      <c r="Y194" s="99"/>
      <c r="Z194" s="99"/>
      <c r="AA194" s="99">
        <v>3</v>
      </c>
      <c r="AB194" s="99"/>
      <c r="AC194" s="99"/>
      <c r="AD194" s="99"/>
      <c r="AE194" s="100">
        <v>3</v>
      </c>
      <c r="AK194"/>
      <c r="AL194" s="85"/>
      <c r="AM194" s="85"/>
      <c r="AN194" s="107"/>
      <c r="AO194" s="107"/>
      <c r="AP194" s="107"/>
      <c r="AQ194" s="107"/>
      <c r="AR194" s="107"/>
      <c r="BO194"/>
      <c r="BP194" s="85"/>
      <c r="BQ194" s="85"/>
      <c r="BR194" s="107"/>
      <c r="BS194" s="107"/>
      <c r="BT194" s="107"/>
      <c r="BU194" s="107"/>
      <c r="BV194" s="107"/>
      <c r="CS194"/>
      <c r="CT194" s="85"/>
      <c r="CU194" s="85"/>
      <c r="CV194" s="107"/>
      <c r="CW194" s="107"/>
      <c r="CX194" s="107"/>
      <c r="CY194" s="107"/>
      <c r="CZ194" s="107"/>
      <c r="DP194"/>
      <c r="DQ194" s="85"/>
      <c r="DR194" s="85"/>
      <c r="DS194" s="107"/>
      <c r="DT194" s="107"/>
      <c r="DU194" s="107"/>
      <c r="DV194" s="107"/>
      <c r="DW194" s="107"/>
    </row>
    <row r="195" spans="1:127" ht="16.5">
      <c r="A195" s="49"/>
      <c r="B195" s="50" t="s">
        <v>856</v>
      </c>
      <c r="C195" s="51"/>
      <c r="D195" s="98"/>
      <c r="E195" s="99"/>
      <c r="F195" s="99"/>
      <c r="G195" s="99"/>
      <c r="H195" s="99"/>
      <c r="I195" s="99"/>
      <c r="J195" s="99">
        <v>1</v>
      </c>
      <c r="K195" s="99"/>
      <c r="L195" s="99"/>
      <c r="M195" s="100">
        <v>1</v>
      </c>
      <c r="N195" s="339"/>
      <c r="O195" s="339"/>
      <c r="P195" s="339"/>
      <c r="Q195" s="339"/>
      <c r="R195"/>
      <c r="S195" s="38" t="s">
        <v>1497</v>
      </c>
      <c r="T195" s="38" t="s">
        <v>41</v>
      </c>
      <c r="U195" s="38" t="s">
        <v>1350</v>
      </c>
      <c r="V195" s="96"/>
      <c r="W195" s="88"/>
      <c r="X195" s="88"/>
      <c r="Y195" s="88"/>
      <c r="Z195" s="88">
        <v>5</v>
      </c>
      <c r="AA195" s="88"/>
      <c r="AB195" s="88"/>
      <c r="AC195" s="88"/>
      <c r="AD195" s="88"/>
      <c r="AE195" s="97">
        <v>5</v>
      </c>
      <c r="AK195"/>
      <c r="AL195" s="85"/>
      <c r="AM195" s="85"/>
      <c r="AN195" s="107"/>
      <c r="AO195" s="107"/>
      <c r="AP195" s="107"/>
      <c r="AQ195" s="107"/>
      <c r="AR195" s="107"/>
      <c r="BO195"/>
      <c r="BP195" s="85"/>
      <c r="BQ195" s="85"/>
      <c r="BR195" s="107"/>
      <c r="BS195" s="107"/>
      <c r="BT195" s="107"/>
      <c r="BU195" s="107"/>
      <c r="BV195" s="107"/>
      <c r="CS195"/>
      <c r="CT195" s="85"/>
      <c r="CU195" s="85"/>
      <c r="CV195" s="107"/>
      <c r="CW195" s="107"/>
      <c r="CX195" s="107"/>
      <c r="CY195" s="107"/>
      <c r="CZ195" s="107"/>
      <c r="DP195"/>
      <c r="DQ195" s="85"/>
      <c r="DR195" s="85"/>
      <c r="DS195" s="107"/>
      <c r="DT195" s="107"/>
      <c r="DU195" s="107"/>
      <c r="DV195" s="107"/>
      <c r="DW195" s="107"/>
    </row>
    <row r="196" spans="1:127" ht="16.5">
      <c r="A196" s="49"/>
      <c r="B196" s="38" t="s">
        <v>28</v>
      </c>
      <c r="C196" s="38" t="s">
        <v>1351</v>
      </c>
      <c r="D196" s="96"/>
      <c r="E196" s="88"/>
      <c r="F196" s="88"/>
      <c r="G196" s="88"/>
      <c r="H196" s="88"/>
      <c r="I196" s="88"/>
      <c r="J196" s="88">
        <v>1</v>
      </c>
      <c r="K196" s="88"/>
      <c r="L196" s="88"/>
      <c r="M196" s="97">
        <v>1</v>
      </c>
      <c r="N196" s="339"/>
      <c r="O196" s="339"/>
      <c r="P196" s="339"/>
      <c r="Q196" s="339"/>
      <c r="R196"/>
      <c r="S196" s="49"/>
      <c r="T196" s="49"/>
      <c r="U196" s="65" t="s">
        <v>1352</v>
      </c>
      <c r="V196" s="250"/>
      <c r="W196" s="351"/>
      <c r="X196" s="351"/>
      <c r="Y196" s="351"/>
      <c r="Z196" s="351">
        <v>3</v>
      </c>
      <c r="AA196" s="351"/>
      <c r="AB196" s="351"/>
      <c r="AC196" s="351"/>
      <c r="AD196" s="351"/>
      <c r="AE196" s="251">
        <v>3</v>
      </c>
      <c r="AK196"/>
      <c r="AL196" s="85"/>
      <c r="AM196" s="85"/>
      <c r="AN196" s="107"/>
      <c r="AO196" s="107"/>
      <c r="AP196" s="107"/>
      <c r="AQ196" s="107"/>
      <c r="AR196" s="107"/>
      <c r="BO196"/>
      <c r="BP196" s="85"/>
      <c r="BQ196" s="85"/>
      <c r="BR196" s="107"/>
      <c r="BS196" s="107"/>
      <c r="BT196" s="107"/>
      <c r="BU196" s="107"/>
      <c r="BV196" s="107"/>
      <c r="CS196"/>
      <c r="CT196" s="85"/>
      <c r="CU196" s="85"/>
      <c r="CV196" s="107"/>
      <c r="CW196" s="107"/>
      <c r="CX196" s="107"/>
      <c r="CY196" s="107"/>
      <c r="CZ196" s="107"/>
      <c r="DP196"/>
      <c r="DQ196" s="85"/>
      <c r="DR196" s="85"/>
      <c r="DS196" s="107"/>
      <c r="DT196" s="107"/>
      <c r="DU196" s="107"/>
      <c r="DV196" s="107"/>
      <c r="DW196" s="107"/>
    </row>
    <row r="197" spans="1:127" ht="16.5">
      <c r="A197" s="49"/>
      <c r="B197" s="49"/>
      <c r="C197" s="65" t="s">
        <v>1350</v>
      </c>
      <c r="D197" s="250"/>
      <c r="E197" s="351"/>
      <c r="F197" s="351"/>
      <c r="G197" s="351"/>
      <c r="H197" s="351">
        <v>2</v>
      </c>
      <c r="I197" s="351"/>
      <c r="J197" s="351">
        <v>2</v>
      </c>
      <c r="K197" s="351"/>
      <c r="L197" s="351"/>
      <c r="M197" s="251">
        <v>4</v>
      </c>
      <c r="N197" s="339"/>
      <c r="O197" s="339"/>
      <c r="P197" s="339"/>
      <c r="Q197" s="339"/>
      <c r="R197"/>
      <c r="S197" s="49"/>
      <c r="T197" s="49"/>
      <c r="U197" s="65" t="s">
        <v>1743</v>
      </c>
      <c r="V197" s="250"/>
      <c r="W197" s="351"/>
      <c r="X197" s="351"/>
      <c r="Y197" s="351"/>
      <c r="Z197" s="351"/>
      <c r="AA197" s="351">
        <v>2</v>
      </c>
      <c r="AB197" s="351"/>
      <c r="AC197" s="351"/>
      <c r="AD197" s="351"/>
      <c r="AE197" s="251">
        <v>2</v>
      </c>
      <c r="AK197"/>
      <c r="AL197" s="85"/>
      <c r="AM197" s="85"/>
      <c r="AN197" s="107"/>
      <c r="AO197" s="107"/>
      <c r="AP197" s="107"/>
      <c r="AQ197" s="107"/>
      <c r="AR197" s="107"/>
      <c r="BO197"/>
      <c r="BP197" s="85"/>
      <c r="BQ197" s="85"/>
      <c r="BR197" s="107"/>
      <c r="BS197" s="107"/>
      <c r="BT197" s="107"/>
      <c r="BU197" s="107"/>
      <c r="BV197" s="107"/>
      <c r="CS197"/>
      <c r="CT197" s="85"/>
      <c r="CU197" s="85"/>
      <c r="CV197" s="107"/>
      <c r="CW197" s="107"/>
      <c r="CX197" s="107"/>
      <c r="CY197" s="107"/>
      <c r="CZ197" s="107"/>
      <c r="DP197"/>
      <c r="DQ197" s="85"/>
      <c r="DR197" s="85"/>
      <c r="DS197" s="107"/>
      <c r="DT197" s="107"/>
      <c r="DU197" s="107"/>
      <c r="DV197" s="107"/>
      <c r="DW197" s="107"/>
    </row>
    <row r="198" spans="1:127" ht="16.5">
      <c r="A198" s="49"/>
      <c r="B198" s="50" t="s">
        <v>1348</v>
      </c>
      <c r="C198" s="51"/>
      <c r="D198" s="98"/>
      <c r="E198" s="99"/>
      <c r="F198" s="99"/>
      <c r="G198" s="99"/>
      <c r="H198" s="99">
        <v>2</v>
      </c>
      <c r="I198" s="99"/>
      <c r="J198" s="99">
        <v>3</v>
      </c>
      <c r="K198" s="99"/>
      <c r="L198" s="99"/>
      <c r="M198" s="100">
        <v>5</v>
      </c>
      <c r="N198" s="340"/>
      <c r="O198" s="340"/>
      <c r="P198" s="340"/>
      <c r="Q198" s="340"/>
      <c r="S198" s="49"/>
      <c r="T198" s="79" t="s">
        <v>1454</v>
      </c>
      <c r="U198" s="83"/>
      <c r="V198" s="101"/>
      <c r="W198" s="102"/>
      <c r="X198" s="102"/>
      <c r="Y198" s="102"/>
      <c r="Z198" s="102">
        <v>8</v>
      </c>
      <c r="AA198" s="102">
        <v>2</v>
      </c>
      <c r="AB198" s="102"/>
      <c r="AC198" s="102"/>
      <c r="AD198" s="102"/>
      <c r="AE198" s="103">
        <v>10</v>
      </c>
      <c r="AK198"/>
      <c r="AL198" s="85"/>
      <c r="AM198" s="85"/>
      <c r="AN198" s="107"/>
      <c r="AO198" s="107"/>
      <c r="AP198" s="107"/>
      <c r="AQ198" s="107"/>
      <c r="AR198" s="107"/>
      <c r="BO198"/>
      <c r="BP198" s="85"/>
      <c r="BQ198" s="85"/>
      <c r="BR198" s="107"/>
      <c r="BS198" s="107"/>
      <c r="BT198" s="107"/>
      <c r="BU198" s="107"/>
      <c r="BV198" s="107"/>
      <c r="CS198"/>
      <c r="CT198" s="85"/>
      <c r="CU198" s="85"/>
      <c r="CV198" s="107"/>
      <c r="CW198" s="107"/>
      <c r="CX198" s="107"/>
      <c r="CY198" s="107"/>
      <c r="CZ198" s="107"/>
      <c r="DP198"/>
      <c r="DQ198" s="85"/>
      <c r="DR198" s="85"/>
      <c r="DS198" s="107"/>
      <c r="DT198" s="107"/>
      <c r="DU198" s="107"/>
      <c r="DV198" s="107"/>
      <c r="DW198" s="107"/>
    </row>
    <row r="199" spans="1:127" ht="16.5">
      <c r="A199" s="54" t="s">
        <v>1116</v>
      </c>
      <c r="B199" s="55"/>
      <c r="C199" s="55"/>
      <c r="D199" s="101"/>
      <c r="E199" s="102"/>
      <c r="F199" s="102"/>
      <c r="G199" s="102"/>
      <c r="H199" s="102">
        <v>2</v>
      </c>
      <c r="I199" s="102"/>
      <c r="J199" s="102">
        <v>9</v>
      </c>
      <c r="K199" s="102"/>
      <c r="L199" s="102"/>
      <c r="M199" s="103">
        <v>11</v>
      </c>
      <c r="N199" s="340"/>
      <c r="O199" s="340"/>
      <c r="P199" s="340"/>
      <c r="Q199" s="340"/>
      <c r="S199" s="49"/>
      <c r="T199" s="38" t="s">
        <v>786</v>
      </c>
      <c r="U199" s="38" t="s">
        <v>1352</v>
      </c>
      <c r="V199" s="96"/>
      <c r="W199" s="88"/>
      <c r="X199" s="88"/>
      <c r="Y199" s="88"/>
      <c r="Z199" s="88">
        <v>4</v>
      </c>
      <c r="AA199" s="88">
        <v>4</v>
      </c>
      <c r="AB199" s="88"/>
      <c r="AC199" s="88"/>
      <c r="AD199" s="88"/>
      <c r="AE199" s="97">
        <v>8</v>
      </c>
      <c r="AK199"/>
      <c r="AL199" s="85"/>
      <c r="AM199" s="85"/>
      <c r="AN199" s="107"/>
      <c r="AO199" s="107"/>
      <c r="AP199" s="107"/>
      <c r="AQ199" s="107"/>
      <c r="AR199" s="107"/>
      <c r="BO199"/>
      <c r="BP199" s="85"/>
      <c r="BQ199" s="85"/>
      <c r="BR199" s="107"/>
      <c r="BS199" s="107"/>
      <c r="BT199" s="107"/>
      <c r="BU199" s="107"/>
      <c r="BV199" s="107"/>
      <c r="CS199"/>
      <c r="CT199" s="85"/>
      <c r="CU199" s="85"/>
      <c r="CV199" s="107"/>
      <c r="CW199" s="107"/>
      <c r="CX199" s="107"/>
      <c r="CY199" s="107"/>
      <c r="CZ199" s="107"/>
      <c r="DP199"/>
      <c r="DQ199" s="85"/>
      <c r="DR199" s="85"/>
      <c r="DS199" s="107"/>
      <c r="DT199" s="107"/>
      <c r="DU199" s="107"/>
      <c r="DV199" s="107"/>
      <c r="DW199" s="107"/>
    </row>
    <row r="200" spans="1:127" ht="16.5">
      <c r="A200" s="38" t="s">
        <v>57</v>
      </c>
      <c r="B200" s="38" t="s">
        <v>33</v>
      </c>
      <c r="C200" s="38" t="s">
        <v>1350</v>
      </c>
      <c r="D200" s="96"/>
      <c r="E200" s="88"/>
      <c r="F200" s="88"/>
      <c r="G200" s="88"/>
      <c r="H200" s="88">
        <v>7</v>
      </c>
      <c r="I200" s="88">
        <v>6</v>
      </c>
      <c r="J200" s="88"/>
      <c r="K200" s="88"/>
      <c r="L200" s="88"/>
      <c r="M200" s="97">
        <v>13</v>
      </c>
      <c r="N200" s="340"/>
      <c r="O200" s="340"/>
      <c r="P200" s="340"/>
      <c r="Q200" s="340"/>
      <c r="S200" s="49"/>
      <c r="T200" s="79" t="s">
        <v>1908</v>
      </c>
      <c r="U200" s="83"/>
      <c r="V200" s="101"/>
      <c r="W200" s="102"/>
      <c r="X200" s="102"/>
      <c r="Y200" s="102"/>
      <c r="Z200" s="102">
        <v>4</v>
      </c>
      <c r="AA200" s="102">
        <v>4</v>
      </c>
      <c r="AB200" s="102"/>
      <c r="AC200" s="102"/>
      <c r="AD200" s="102"/>
      <c r="AE200" s="103">
        <v>8</v>
      </c>
      <c r="AK200"/>
      <c r="AL200" s="85"/>
      <c r="AM200" s="85"/>
      <c r="AN200" s="107"/>
      <c r="AO200" s="107"/>
      <c r="AP200" s="107"/>
      <c r="AQ200" s="107"/>
      <c r="AR200" s="107"/>
      <c r="BO200"/>
      <c r="BP200" s="85"/>
      <c r="BQ200" s="85"/>
      <c r="BR200" s="107"/>
      <c r="BS200" s="107"/>
      <c r="BT200" s="107"/>
      <c r="BU200" s="107"/>
      <c r="BV200" s="107"/>
      <c r="CS200"/>
      <c r="CT200" s="85"/>
      <c r="CU200" s="85"/>
      <c r="CV200" s="107"/>
      <c r="CW200" s="107"/>
      <c r="CX200" s="107"/>
      <c r="CY200" s="107"/>
      <c r="CZ200" s="107"/>
      <c r="DP200"/>
      <c r="DQ200" s="85"/>
      <c r="DR200" s="85"/>
      <c r="DS200" s="107"/>
      <c r="DT200" s="107"/>
      <c r="DU200" s="107"/>
      <c r="DV200" s="107"/>
      <c r="DW200" s="107"/>
    </row>
    <row r="201" spans="1:127" ht="16.5">
      <c r="A201" s="49"/>
      <c r="B201" s="50" t="s">
        <v>854</v>
      </c>
      <c r="C201" s="51"/>
      <c r="D201" s="98"/>
      <c r="E201" s="99"/>
      <c r="F201" s="99"/>
      <c r="G201" s="99"/>
      <c r="H201" s="99">
        <v>7</v>
      </c>
      <c r="I201" s="99">
        <v>6</v>
      </c>
      <c r="J201" s="99"/>
      <c r="K201" s="99"/>
      <c r="L201" s="99"/>
      <c r="M201" s="100">
        <v>13</v>
      </c>
      <c r="N201" s="340"/>
      <c r="O201" s="340"/>
      <c r="P201" s="340"/>
      <c r="Q201" s="340"/>
      <c r="S201" s="50" t="s">
        <v>1552</v>
      </c>
      <c r="T201" s="51"/>
      <c r="U201" s="51"/>
      <c r="V201" s="98"/>
      <c r="W201" s="99"/>
      <c r="X201" s="99"/>
      <c r="Y201" s="99"/>
      <c r="Z201" s="99">
        <v>12</v>
      </c>
      <c r="AA201" s="99">
        <v>6</v>
      </c>
      <c r="AB201" s="99"/>
      <c r="AC201" s="99"/>
      <c r="AD201" s="99"/>
      <c r="AE201" s="100">
        <v>18</v>
      </c>
      <c r="AK201"/>
      <c r="AL201" s="85"/>
      <c r="AM201" s="85"/>
      <c r="AN201" s="107"/>
      <c r="AO201" s="107"/>
      <c r="AP201" s="107"/>
      <c r="AQ201" s="107"/>
      <c r="AR201" s="107"/>
      <c r="BO201"/>
      <c r="BP201" s="85"/>
      <c r="BQ201" s="85"/>
      <c r="BR201" s="107"/>
      <c r="BS201" s="107"/>
      <c r="BT201" s="107"/>
      <c r="BU201" s="107"/>
      <c r="BV201" s="107"/>
      <c r="CS201"/>
      <c r="CT201" s="85"/>
      <c r="CU201" s="85"/>
      <c r="CV201" s="107"/>
      <c r="CW201" s="107"/>
      <c r="CX201" s="107"/>
      <c r="CY201" s="107"/>
      <c r="CZ201" s="107"/>
      <c r="DP201"/>
      <c r="DQ201" s="85"/>
      <c r="DR201" s="85"/>
      <c r="DS201" s="107"/>
      <c r="DT201" s="107"/>
      <c r="DU201" s="107"/>
      <c r="DV201" s="107"/>
      <c r="DW201" s="107"/>
    </row>
    <row r="202" spans="1:127" ht="16.5">
      <c r="A202" s="54" t="s">
        <v>1369</v>
      </c>
      <c r="B202" s="55"/>
      <c r="C202" s="55"/>
      <c r="D202" s="101"/>
      <c r="E202" s="102"/>
      <c r="F202" s="102"/>
      <c r="G202" s="102"/>
      <c r="H202" s="102">
        <v>7</v>
      </c>
      <c r="I202" s="102">
        <v>6</v>
      </c>
      <c r="J202" s="102"/>
      <c r="K202" s="102"/>
      <c r="L202" s="102"/>
      <c r="M202" s="103">
        <v>13</v>
      </c>
      <c r="N202" s="340"/>
      <c r="O202" s="340"/>
      <c r="P202" s="340"/>
      <c r="Q202" s="340"/>
      <c r="S202" s="38" t="s">
        <v>897</v>
      </c>
      <c r="T202" s="38" t="s">
        <v>41</v>
      </c>
      <c r="U202" s="38" t="s">
        <v>1350</v>
      </c>
      <c r="V202" s="96"/>
      <c r="W202" s="88"/>
      <c r="X202" s="88"/>
      <c r="Y202" s="88"/>
      <c r="Z202" s="88">
        <v>4</v>
      </c>
      <c r="AA202" s="88"/>
      <c r="AB202" s="88"/>
      <c r="AC202" s="88"/>
      <c r="AD202" s="88"/>
      <c r="AE202" s="97">
        <v>4</v>
      </c>
      <c r="AK202"/>
      <c r="AL202" s="85"/>
      <c r="AM202" s="85"/>
      <c r="AN202" s="107"/>
      <c r="AO202" s="107"/>
      <c r="AP202" s="107"/>
      <c r="AQ202" s="107"/>
      <c r="AR202" s="107"/>
      <c r="BO202"/>
      <c r="BP202" s="85"/>
      <c r="BQ202" s="85"/>
      <c r="BR202" s="107"/>
      <c r="BS202" s="107"/>
      <c r="BT202" s="107"/>
      <c r="BU202" s="107"/>
      <c r="BV202" s="107"/>
      <c r="CS202"/>
      <c r="CT202" s="85"/>
      <c r="CU202" s="85"/>
      <c r="CV202" s="107"/>
      <c r="CW202" s="107"/>
      <c r="CX202" s="107"/>
      <c r="CY202" s="107"/>
      <c r="CZ202" s="107"/>
      <c r="DP202"/>
      <c r="DQ202" s="85"/>
      <c r="DR202" s="85"/>
      <c r="DS202" s="107"/>
      <c r="DT202" s="107"/>
      <c r="DU202" s="107"/>
      <c r="DV202" s="107"/>
      <c r="DW202" s="107"/>
    </row>
    <row r="203" spans="1:127" ht="16.5">
      <c r="A203" s="38" t="s">
        <v>2006</v>
      </c>
      <c r="B203" s="38" t="s">
        <v>50</v>
      </c>
      <c r="C203" s="38" t="s">
        <v>1351</v>
      </c>
      <c r="D203" s="96"/>
      <c r="E203" s="88"/>
      <c r="F203" s="88">
        <v>6.5</v>
      </c>
      <c r="G203" s="88"/>
      <c r="H203" s="88"/>
      <c r="I203" s="88"/>
      <c r="J203" s="88"/>
      <c r="K203" s="88"/>
      <c r="L203" s="88"/>
      <c r="M203" s="97">
        <v>6.5</v>
      </c>
      <c r="N203" s="340"/>
      <c r="O203" s="340"/>
      <c r="P203" s="340"/>
      <c r="Q203" s="340"/>
      <c r="S203" s="49"/>
      <c r="T203" s="49"/>
      <c r="U203" s="65" t="s">
        <v>1352</v>
      </c>
      <c r="V203" s="250"/>
      <c r="W203" s="351"/>
      <c r="X203" s="351"/>
      <c r="Y203" s="351"/>
      <c r="Z203" s="351">
        <v>12</v>
      </c>
      <c r="AA203" s="351"/>
      <c r="AB203" s="351"/>
      <c r="AC203" s="351"/>
      <c r="AD203" s="351"/>
      <c r="AE203" s="251">
        <v>12</v>
      </c>
      <c r="AK203"/>
      <c r="AL203" s="85"/>
      <c r="AM203" s="85"/>
      <c r="AN203" s="107"/>
      <c r="AO203" s="107"/>
      <c r="AP203" s="107"/>
      <c r="AQ203" s="107"/>
      <c r="AR203" s="107"/>
      <c r="BO203"/>
      <c r="BP203" s="85"/>
      <c r="BQ203" s="85"/>
      <c r="BR203" s="107"/>
      <c r="BS203" s="107"/>
      <c r="BT203" s="107"/>
      <c r="BU203" s="107"/>
      <c r="BV203" s="107"/>
      <c r="CS203"/>
      <c r="CT203" s="85"/>
      <c r="CU203" s="85"/>
      <c r="CV203" s="107"/>
      <c r="CW203" s="107"/>
      <c r="CX203" s="107"/>
      <c r="CY203" s="107"/>
      <c r="CZ203" s="107"/>
      <c r="DP203"/>
      <c r="DQ203" s="85"/>
      <c r="DR203" s="85"/>
      <c r="DS203" s="107"/>
      <c r="DT203" s="107"/>
      <c r="DU203" s="107"/>
      <c r="DV203" s="107"/>
      <c r="DW203" s="107"/>
    </row>
    <row r="204" spans="1:127" ht="16.5">
      <c r="A204" s="49"/>
      <c r="B204" s="49"/>
      <c r="C204" s="65" t="s">
        <v>1350</v>
      </c>
      <c r="D204" s="250"/>
      <c r="E204" s="351"/>
      <c r="F204" s="351">
        <v>8</v>
      </c>
      <c r="G204" s="351"/>
      <c r="H204" s="351">
        <v>2</v>
      </c>
      <c r="I204" s="351"/>
      <c r="J204" s="351"/>
      <c r="K204" s="351"/>
      <c r="L204" s="351"/>
      <c r="M204" s="251">
        <v>10</v>
      </c>
      <c r="N204" s="340"/>
      <c r="O204" s="340"/>
      <c r="P204" s="340"/>
      <c r="Q204" s="340"/>
      <c r="S204" s="49"/>
      <c r="T204" s="79" t="s">
        <v>1454</v>
      </c>
      <c r="U204" s="83"/>
      <c r="V204" s="101"/>
      <c r="W204" s="102"/>
      <c r="X204" s="102"/>
      <c r="Y204" s="102"/>
      <c r="Z204" s="102">
        <v>16</v>
      </c>
      <c r="AA204" s="102"/>
      <c r="AB204" s="102"/>
      <c r="AC204" s="102"/>
      <c r="AD204" s="102"/>
      <c r="AE204" s="103">
        <v>16</v>
      </c>
      <c r="AK204"/>
      <c r="AL204" s="85"/>
      <c r="AM204" s="85"/>
      <c r="AN204" s="107"/>
      <c r="AO204" s="107"/>
      <c r="AP204" s="107"/>
      <c r="AQ204" s="107"/>
      <c r="AR204" s="107"/>
      <c r="BO204"/>
      <c r="BP204" s="85"/>
      <c r="BQ204" s="85"/>
      <c r="BR204" s="107"/>
      <c r="BS204" s="107"/>
      <c r="BT204" s="107"/>
      <c r="BU204" s="107"/>
      <c r="BV204" s="107"/>
      <c r="CS204"/>
      <c r="CT204" s="85"/>
      <c r="CU204" s="85"/>
      <c r="CV204" s="107"/>
      <c r="CW204" s="107"/>
      <c r="CX204" s="107"/>
      <c r="CY204" s="107"/>
      <c r="CZ204" s="107"/>
      <c r="DP204"/>
      <c r="DQ204" s="85"/>
      <c r="DR204" s="85"/>
      <c r="DS204" s="107"/>
      <c r="DT204" s="107"/>
      <c r="DU204" s="107"/>
      <c r="DV204" s="107"/>
      <c r="DW204" s="107"/>
    </row>
    <row r="205" spans="1:127" ht="16.5">
      <c r="A205" s="49"/>
      <c r="B205" s="49"/>
      <c r="C205" s="65" t="s">
        <v>1352</v>
      </c>
      <c r="D205" s="250"/>
      <c r="E205" s="351"/>
      <c r="F205" s="351"/>
      <c r="G205" s="351"/>
      <c r="H205" s="351">
        <v>1.5</v>
      </c>
      <c r="I205" s="351"/>
      <c r="J205" s="351"/>
      <c r="K205" s="351"/>
      <c r="L205" s="351"/>
      <c r="M205" s="251">
        <v>1.5</v>
      </c>
      <c r="N205" s="340"/>
      <c r="O205" s="340"/>
      <c r="P205" s="340"/>
      <c r="Q205" s="340"/>
      <c r="S205" s="49"/>
      <c r="T205" s="38" t="s">
        <v>786</v>
      </c>
      <c r="U205" s="38" t="s">
        <v>1352</v>
      </c>
      <c r="V205" s="96"/>
      <c r="W205" s="88"/>
      <c r="X205" s="88"/>
      <c r="Y205" s="88"/>
      <c r="Z205" s="88">
        <v>1</v>
      </c>
      <c r="AA205" s="88">
        <v>5</v>
      </c>
      <c r="AB205" s="88"/>
      <c r="AC205" s="88"/>
      <c r="AD205" s="88"/>
      <c r="AE205" s="97">
        <v>6</v>
      </c>
      <c r="AK205"/>
      <c r="AL205" s="85"/>
      <c r="AM205" s="85"/>
      <c r="AN205" s="107"/>
      <c r="AO205" s="107"/>
      <c r="AP205" s="107"/>
      <c r="AQ205" s="107"/>
      <c r="AR205" s="107"/>
      <c r="BO205"/>
      <c r="BP205" s="85"/>
      <c r="BQ205" s="85"/>
      <c r="BR205" s="107"/>
      <c r="BS205" s="107"/>
      <c r="BT205" s="107"/>
      <c r="BU205" s="107"/>
      <c r="BV205" s="107"/>
      <c r="CS205"/>
      <c r="CT205" s="85"/>
      <c r="CU205" s="85"/>
      <c r="CV205" s="107"/>
      <c r="CW205" s="107"/>
      <c r="CX205" s="107"/>
      <c r="CY205" s="107"/>
      <c r="CZ205" s="107"/>
      <c r="DP205"/>
      <c r="DQ205" s="85"/>
      <c r="DR205" s="85"/>
      <c r="DS205" s="107"/>
      <c r="DT205" s="107"/>
      <c r="DU205" s="107"/>
      <c r="DV205" s="107"/>
      <c r="DW205" s="107"/>
    </row>
    <row r="206" spans="1:127" ht="16.5">
      <c r="A206" s="49"/>
      <c r="B206" s="50" t="s">
        <v>855</v>
      </c>
      <c r="C206" s="51"/>
      <c r="D206" s="98"/>
      <c r="E206" s="99"/>
      <c r="F206" s="99">
        <v>14.5</v>
      </c>
      <c r="G206" s="99"/>
      <c r="H206" s="99">
        <v>3.5</v>
      </c>
      <c r="I206" s="99"/>
      <c r="J206" s="99"/>
      <c r="K206" s="99"/>
      <c r="L206" s="99"/>
      <c r="M206" s="100">
        <v>18</v>
      </c>
      <c r="N206" s="340"/>
      <c r="O206" s="340"/>
      <c r="P206" s="340"/>
      <c r="Q206" s="340"/>
      <c r="S206" s="49"/>
      <c r="T206" s="79" t="s">
        <v>1908</v>
      </c>
      <c r="U206" s="83"/>
      <c r="V206" s="101"/>
      <c r="W206" s="102"/>
      <c r="X206" s="102"/>
      <c r="Y206" s="102"/>
      <c r="Z206" s="102">
        <v>1</v>
      </c>
      <c r="AA206" s="102">
        <v>5</v>
      </c>
      <c r="AB206" s="102"/>
      <c r="AC206" s="102"/>
      <c r="AD206" s="102"/>
      <c r="AE206" s="103">
        <v>6</v>
      </c>
      <c r="AK206"/>
      <c r="AL206" s="85"/>
      <c r="AM206" s="85"/>
      <c r="AN206" s="107"/>
      <c r="AO206" s="107"/>
      <c r="AP206" s="107"/>
      <c r="AQ206" s="107"/>
      <c r="AR206" s="107"/>
      <c r="BO206"/>
      <c r="BP206" s="85"/>
      <c r="BQ206" s="85"/>
      <c r="BR206" s="107"/>
      <c r="BS206" s="107"/>
      <c r="BT206" s="107"/>
      <c r="BU206" s="107"/>
      <c r="BV206" s="107"/>
      <c r="CS206"/>
      <c r="CT206" s="85"/>
      <c r="CU206" s="85"/>
      <c r="CV206" s="107"/>
      <c r="CW206" s="107"/>
      <c r="CX206" s="107"/>
      <c r="CY206" s="107"/>
      <c r="CZ206" s="107"/>
      <c r="DP206"/>
      <c r="DQ206" s="85"/>
      <c r="DR206" s="85"/>
      <c r="DS206" s="107"/>
      <c r="DT206" s="107"/>
      <c r="DU206" s="107"/>
      <c r="DV206" s="107"/>
      <c r="DW206" s="107"/>
    </row>
    <row r="207" spans="1:127" ht="16.5">
      <c r="A207" s="54" t="s">
        <v>2027</v>
      </c>
      <c r="B207" s="55"/>
      <c r="C207" s="55"/>
      <c r="D207" s="101"/>
      <c r="E207" s="102"/>
      <c r="F207" s="102">
        <v>14.5</v>
      </c>
      <c r="G207" s="102"/>
      <c r="H207" s="102">
        <v>3.5</v>
      </c>
      <c r="I207" s="102"/>
      <c r="J207" s="102"/>
      <c r="K207" s="102"/>
      <c r="L207" s="102"/>
      <c r="M207" s="103">
        <v>18</v>
      </c>
      <c r="N207" s="340"/>
      <c r="O207" s="340"/>
      <c r="P207" s="340"/>
      <c r="Q207" s="340"/>
      <c r="S207" s="50" t="s">
        <v>1744</v>
      </c>
      <c r="T207" s="51"/>
      <c r="U207" s="51"/>
      <c r="V207" s="98"/>
      <c r="W207" s="99"/>
      <c r="X207" s="99"/>
      <c r="Y207" s="99"/>
      <c r="Z207" s="99">
        <v>17</v>
      </c>
      <c r="AA207" s="99">
        <v>5</v>
      </c>
      <c r="AB207" s="99"/>
      <c r="AC207" s="99"/>
      <c r="AD207" s="99"/>
      <c r="AE207" s="100">
        <v>22</v>
      </c>
      <c r="AK207"/>
      <c r="AL207" s="85"/>
      <c r="AM207" s="85"/>
      <c r="AN207" s="107"/>
      <c r="AO207" s="107"/>
      <c r="AP207" s="107"/>
      <c r="AQ207" s="107"/>
      <c r="AR207" s="107"/>
      <c r="BO207"/>
      <c r="BP207" s="85"/>
      <c r="BQ207" s="85"/>
      <c r="BR207" s="107"/>
      <c r="BS207" s="107"/>
      <c r="BT207" s="107"/>
      <c r="BU207" s="107"/>
      <c r="BV207" s="107"/>
      <c r="CS207"/>
      <c r="CT207" s="85"/>
      <c r="CU207" s="85"/>
      <c r="CV207" s="107"/>
      <c r="CW207" s="107"/>
      <c r="CX207" s="107"/>
      <c r="CY207" s="107"/>
      <c r="CZ207" s="107"/>
      <c r="DP207"/>
      <c r="DQ207" s="85"/>
      <c r="DR207" s="85"/>
      <c r="DS207" s="107"/>
      <c r="DT207" s="107"/>
      <c r="DU207" s="107"/>
      <c r="DV207" s="107"/>
      <c r="DW207" s="107"/>
    </row>
    <row r="208" spans="1:127" ht="16.5">
      <c r="A208" s="38" t="s">
        <v>1407</v>
      </c>
      <c r="B208" s="38" t="s">
        <v>26</v>
      </c>
      <c r="C208" s="38" t="s">
        <v>1350</v>
      </c>
      <c r="D208" s="96"/>
      <c r="E208" s="88"/>
      <c r="F208" s="88"/>
      <c r="G208" s="88"/>
      <c r="H208" s="88">
        <v>1</v>
      </c>
      <c r="I208" s="88"/>
      <c r="J208" s="88"/>
      <c r="K208" s="88"/>
      <c r="L208" s="88"/>
      <c r="M208" s="97">
        <v>1</v>
      </c>
      <c r="N208" s="340"/>
      <c r="O208" s="340"/>
      <c r="P208" s="340"/>
      <c r="Q208" s="340"/>
      <c r="S208" s="38" t="s">
        <v>1830</v>
      </c>
      <c r="T208" s="38" t="s">
        <v>1828</v>
      </c>
      <c r="U208" s="38" t="s">
        <v>1352</v>
      </c>
      <c r="V208" s="96"/>
      <c r="W208" s="88"/>
      <c r="X208" s="88"/>
      <c r="Y208" s="88"/>
      <c r="Z208" s="88"/>
      <c r="AA208" s="88">
        <v>2</v>
      </c>
      <c r="AB208" s="88"/>
      <c r="AC208" s="88"/>
      <c r="AD208" s="88"/>
      <c r="AE208" s="97">
        <v>2</v>
      </c>
      <c r="AK208"/>
      <c r="AL208" s="85"/>
      <c r="AM208" s="85"/>
      <c r="AN208" s="107"/>
      <c r="AO208" s="107"/>
      <c r="AP208" s="107"/>
      <c r="AQ208" s="107"/>
      <c r="AR208" s="107"/>
      <c r="BO208"/>
      <c r="BP208" s="85"/>
      <c r="BQ208" s="85"/>
      <c r="BR208" s="107"/>
      <c r="BS208" s="107"/>
      <c r="BT208" s="107"/>
      <c r="BU208" s="107"/>
      <c r="BV208" s="107"/>
      <c r="CS208"/>
      <c r="CT208" s="85"/>
      <c r="CU208" s="85"/>
      <c r="CV208" s="107"/>
      <c r="CW208" s="107"/>
      <c r="CX208" s="107"/>
      <c r="CY208" s="107"/>
      <c r="CZ208" s="107"/>
      <c r="DP208"/>
      <c r="DQ208" s="85"/>
      <c r="DR208" s="85"/>
      <c r="DS208" s="107"/>
      <c r="DT208" s="107"/>
      <c r="DU208" s="107"/>
      <c r="DV208" s="107"/>
      <c r="DW208" s="107"/>
    </row>
    <row r="209" spans="1:127" ht="16.5">
      <c r="A209" s="49"/>
      <c r="B209" s="50" t="s">
        <v>1462</v>
      </c>
      <c r="C209" s="51"/>
      <c r="D209" s="98"/>
      <c r="E209" s="99"/>
      <c r="F209" s="99"/>
      <c r="G209" s="99"/>
      <c r="H209" s="99">
        <v>1</v>
      </c>
      <c r="I209" s="99"/>
      <c r="J209" s="99"/>
      <c r="K209" s="99"/>
      <c r="L209" s="99"/>
      <c r="M209" s="100">
        <v>1</v>
      </c>
      <c r="N209" s="340"/>
      <c r="O209" s="340"/>
      <c r="P209" s="340"/>
      <c r="Q209" s="340"/>
      <c r="S209" s="49"/>
      <c r="T209" s="54" t="s">
        <v>1909</v>
      </c>
      <c r="U209" s="55"/>
      <c r="V209" s="101"/>
      <c r="W209" s="102"/>
      <c r="X209" s="102"/>
      <c r="Y209" s="102"/>
      <c r="Z209" s="102"/>
      <c r="AA209" s="102">
        <v>2</v>
      </c>
      <c r="AB209" s="102"/>
      <c r="AC209" s="102"/>
      <c r="AD209" s="102"/>
      <c r="AE209" s="103">
        <v>2</v>
      </c>
      <c r="AK209"/>
      <c r="AL209" s="85"/>
      <c r="AM209" s="85"/>
      <c r="AN209" s="107"/>
      <c r="AO209" s="107"/>
      <c r="AP209" s="107"/>
      <c r="AQ209" s="107"/>
      <c r="AR209" s="107"/>
      <c r="BO209"/>
      <c r="BP209" s="85"/>
      <c r="BQ209" s="85"/>
      <c r="BR209" s="107"/>
      <c r="BS209" s="107"/>
      <c r="BT209" s="107"/>
      <c r="BU209" s="107"/>
      <c r="BV209" s="107"/>
      <c r="CS209"/>
      <c r="CT209" s="85"/>
      <c r="CU209" s="85"/>
      <c r="CV209" s="107"/>
      <c r="CW209" s="107"/>
      <c r="CX209" s="107"/>
      <c r="CY209" s="107"/>
      <c r="CZ209" s="107"/>
      <c r="DP209"/>
      <c r="DQ209" s="85"/>
      <c r="DR209" s="85"/>
      <c r="DS209" s="107"/>
      <c r="DT209" s="107"/>
      <c r="DU209" s="107"/>
      <c r="DV209" s="107"/>
      <c r="DW209" s="107"/>
    </row>
    <row r="210" spans="1:127" ht="16.5">
      <c r="A210" s="49"/>
      <c r="B210" s="38" t="s">
        <v>27</v>
      </c>
      <c r="C210" s="38" t="s">
        <v>1350</v>
      </c>
      <c r="D210" s="96"/>
      <c r="E210" s="88"/>
      <c r="F210" s="88"/>
      <c r="G210" s="88"/>
      <c r="H210" s="88">
        <v>3</v>
      </c>
      <c r="I210" s="88"/>
      <c r="J210" s="88"/>
      <c r="K210" s="88"/>
      <c r="L210" s="88"/>
      <c r="M210" s="97">
        <v>3</v>
      </c>
      <c r="N210" s="340"/>
      <c r="O210" s="340"/>
      <c r="P210" s="340"/>
      <c r="Q210" s="340"/>
      <c r="S210" s="50" t="s">
        <v>1912</v>
      </c>
      <c r="T210" s="51"/>
      <c r="U210" s="51"/>
      <c r="V210" s="98"/>
      <c r="W210" s="99"/>
      <c r="X210" s="99"/>
      <c r="Y210" s="99"/>
      <c r="Z210" s="99"/>
      <c r="AA210" s="99">
        <v>2</v>
      </c>
      <c r="AB210" s="99"/>
      <c r="AC210" s="99"/>
      <c r="AD210" s="99"/>
      <c r="AE210" s="100">
        <v>2</v>
      </c>
      <c r="AK210"/>
      <c r="AL210" s="85"/>
      <c r="AM210" s="85"/>
      <c r="AN210" s="107"/>
      <c r="AO210" s="107"/>
      <c r="AP210" s="107"/>
      <c r="AQ210" s="107"/>
      <c r="AR210" s="107"/>
      <c r="BO210"/>
      <c r="BP210" s="85"/>
      <c r="BQ210" s="85"/>
      <c r="BR210" s="107"/>
      <c r="BS210" s="107"/>
      <c r="BT210" s="107"/>
      <c r="BU210" s="107"/>
      <c r="BV210" s="107"/>
      <c r="CS210"/>
      <c r="CT210" s="85"/>
      <c r="CU210" s="85"/>
      <c r="CV210" s="107"/>
      <c r="CW210" s="107"/>
      <c r="CX210" s="107"/>
      <c r="CY210" s="107"/>
      <c r="CZ210" s="107"/>
      <c r="DP210"/>
      <c r="DQ210" s="85"/>
      <c r="DR210" s="85"/>
      <c r="DS210" s="107"/>
      <c r="DT210" s="107"/>
      <c r="DU210" s="107"/>
      <c r="DV210" s="107"/>
      <c r="DW210" s="107"/>
    </row>
    <row r="211" spans="1:127" ht="16.5">
      <c r="A211" s="49"/>
      <c r="B211" s="50" t="s">
        <v>1463</v>
      </c>
      <c r="C211" s="51"/>
      <c r="D211" s="98"/>
      <c r="E211" s="99"/>
      <c r="F211" s="99"/>
      <c r="G211" s="99"/>
      <c r="H211" s="99">
        <v>3</v>
      </c>
      <c r="I211" s="99"/>
      <c r="J211" s="99"/>
      <c r="K211" s="99"/>
      <c r="L211" s="99"/>
      <c r="M211" s="100">
        <v>3</v>
      </c>
      <c r="N211" s="340"/>
      <c r="O211" s="340"/>
      <c r="P211" s="340"/>
      <c r="Q211" s="340"/>
      <c r="S211" s="38" t="s">
        <v>1837</v>
      </c>
      <c r="T211" s="38" t="s">
        <v>30</v>
      </c>
      <c r="U211" s="38" t="s">
        <v>1352</v>
      </c>
      <c r="V211" s="96"/>
      <c r="W211" s="88"/>
      <c r="X211" s="88"/>
      <c r="Y211" s="88"/>
      <c r="Z211" s="88">
        <v>3</v>
      </c>
      <c r="AA211" s="88">
        <v>5</v>
      </c>
      <c r="AB211" s="88"/>
      <c r="AC211" s="88"/>
      <c r="AD211" s="88"/>
      <c r="AE211" s="97">
        <v>8</v>
      </c>
      <c r="AK211"/>
      <c r="AL211" s="85"/>
      <c r="AM211" s="85"/>
      <c r="AN211" s="107"/>
      <c r="AO211" s="107"/>
      <c r="AP211" s="107"/>
      <c r="AQ211" s="107"/>
      <c r="AR211" s="107"/>
      <c r="BO211"/>
      <c r="BP211" s="85"/>
      <c r="BQ211" s="85"/>
      <c r="BR211" s="107"/>
      <c r="BS211" s="107"/>
      <c r="BT211" s="107"/>
      <c r="BU211" s="107"/>
      <c r="BV211" s="107"/>
      <c r="CS211"/>
      <c r="CT211" s="85"/>
      <c r="CU211" s="85"/>
      <c r="CV211" s="107"/>
      <c r="CW211" s="107"/>
      <c r="CX211" s="107"/>
      <c r="CY211" s="107"/>
      <c r="CZ211" s="107"/>
      <c r="DP211"/>
      <c r="DQ211" s="85"/>
      <c r="DR211" s="85"/>
      <c r="DS211" s="107"/>
      <c r="DT211" s="107"/>
      <c r="DU211" s="107"/>
      <c r="DV211" s="107"/>
      <c r="DW211" s="107"/>
    </row>
    <row r="212" spans="1:127" ht="16.5">
      <c r="A212" s="54" t="s">
        <v>1455</v>
      </c>
      <c r="B212" s="55"/>
      <c r="C212" s="55"/>
      <c r="D212" s="101"/>
      <c r="E212" s="102"/>
      <c r="F212" s="102"/>
      <c r="G212" s="102"/>
      <c r="H212" s="102">
        <v>4</v>
      </c>
      <c r="I212" s="102"/>
      <c r="J212" s="102"/>
      <c r="K212" s="102"/>
      <c r="L212" s="102"/>
      <c r="M212" s="103">
        <v>4</v>
      </c>
      <c r="N212" s="340"/>
      <c r="O212" s="340"/>
      <c r="P212" s="340"/>
      <c r="Q212" s="340"/>
      <c r="S212" s="49"/>
      <c r="T212" s="49"/>
      <c r="U212" s="65" t="s">
        <v>2068</v>
      </c>
      <c r="V212" s="250"/>
      <c r="W212" s="351"/>
      <c r="X212" s="351"/>
      <c r="Y212" s="351"/>
      <c r="Z212" s="351"/>
      <c r="AA212" s="351"/>
      <c r="AB212" s="351">
        <v>2</v>
      </c>
      <c r="AC212" s="351"/>
      <c r="AD212" s="351"/>
      <c r="AE212" s="251">
        <v>2</v>
      </c>
      <c r="AK212"/>
      <c r="AL212" s="85"/>
      <c r="AM212" s="85"/>
      <c r="AN212" s="107"/>
      <c r="AO212" s="107"/>
      <c r="AP212" s="107"/>
      <c r="AQ212" s="107"/>
      <c r="AR212" s="107"/>
      <c r="BO212"/>
      <c r="BP212" s="85"/>
      <c r="BQ212" s="85"/>
      <c r="BR212" s="107"/>
      <c r="BS212" s="107"/>
      <c r="BT212" s="107"/>
      <c r="BU212" s="107"/>
      <c r="BV212" s="107"/>
      <c r="CS212"/>
      <c r="CT212" s="85"/>
      <c r="CU212" s="85"/>
      <c r="CV212" s="107"/>
      <c r="CW212" s="107"/>
      <c r="CX212" s="107"/>
      <c r="CY212" s="107"/>
      <c r="CZ212" s="107"/>
      <c r="DP212"/>
      <c r="DQ212" s="85"/>
      <c r="DR212" s="85"/>
      <c r="DS212" s="107"/>
      <c r="DT212" s="107"/>
      <c r="DU212" s="107"/>
      <c r="DV212" s="107"/>
      <c r="DW212" s="107"/>
    </row>
    <row r="213" spans="1:127" ht="16.5">
      <c r="A213" s="38" t="s">
        <v>1477</v>
      </c>
      <c r="B213" s="38" t="s">
        <v>50</v>
      </c>
      <c r="C213" s="38" t="s">
        <v>1350</v>
      </c>
      <c r="D213" s="96"/>
      <c r="E213" s="88"/>
      <c r="F213" s="88">
        <v>5</v>
      </c>
      <c r="G213" s="88"/>
      <c r="H213" s="88"/>
      <c r="I213" s="88"/>
      <c r="J213" s="88"/>
      <c r="K213" s="88"/>
      <c r="L213" s="88"/>
      <c r="M213" s="97">
        <v>5</v>
      </c>
      <c r="N213" s="340"/>
      <c r="O213" s="340"/>
      <c r="P213" s="340"/>
      <c r="Q213" s="340"/>
      <c r="S213" s="49"/>
      <c r="T213" s="79" t="s">
        <v>1907</v>
      </c>
      <c r="U213" s="83"/>
      <c r="V213" s="101"/>
      <c r="W213" s="102"/>
      <c r="X213" s="102"/>
      <c r="Y213" s="102"/>
      <c r="Z213" s="102">
        <v>3</v>
      </c>
      <c r="AA213" s="102">
        <v>5</v>
      </c>
      <c r="AB213" s="102">
        <v>2</v>
      </c>
      <c r="AC213" s="102"/>
      <c r="AD213" s="102"/>
      <c r="AE213" s="103">
        <v>10</v>
      </c>
      <c r="AK213"/>
      <c r="AL213" s="85"/>
      <c r="AM213" s="85"/>
      <c r="AN213" s="107"/>
      <c r="AO213" s="107"/>
      <c r="AP213" s="107"/>
      <c r="AQ213" s="107"/>
      <c r="AR213" s="107"/>
      <c r="BO213"/>
      <c r="BP213" s="85"/>
      <c r="BQ213" s="85"/>
      <c r="BR213" s="107"/>
      <c r="BS213" s="107"/>
      <c r="BT213" s="107"/>
      <c r="BU213" s="107"/>
      <c r="BV213" s="107"/>
      <c r="CS213"/>
      <c r="CT213" s="85"/>
      <c r="CU213" s="85"/>
      <c r="CV213" s="107"/>
      <c r="CW213" s="107"/>
      <c r="CX213" s="107"/>
      <c r="CY213" s="107"/>
      <c r="CZ213" s="107"/>
      <c r="DP213"/>
      <c r="DQ213" s="85"/>
      <c r="DR213" s="85"/>
      <c r="DS213" s="107"/>
      <c r="DT213" s="107"/>
      <c r="DU213" s="107"/>
      <c r="DV213" s="107"/>
      <c r="DW213" s="107"/>
    </row>
    <row r="214" spans="1:127" ht="16.5">
      <c r="A214" s="49"/>
      <c r="B214" s="50" t="s">
        <v>855</v>
      </c>
      <c r="C214" s="51"/>
      <c r="D214" s="98"/>
      <c r="E214" s="99"/>
      <c r="F214" s="99">
        <v>5</v>
      </c>
      <c r="G214" s="99"/>
      <c r="H214" s="99"/>
      <c r="I214" s="99"/>
      <c r="J214" s="99"/>
      <c r="K214" s="99"/>
      <c r="L214" s="99"/>
      <c r="M214" s="100">
        <v>5</v>
      </c>
      <c r="N214" s="340"/>
      <c r="O214" s="340"/>
      <c r="P214" s="340"/>
      <c r="Q214" s="340"/>
      <c r="S214" s="49"/>
      <c r="T214" s="38" t="s">
        <v>2196</v>
      </c>
      <c r="U214" s="38" t="s">
        <v>1743</v>
      </c>
      <c r="V214" s="96"/>
      <c r="W214" s="88"/>
      <c r="X214" s="88"/>
      <c r="Y214" s="88"/>
      <c r="Z214" s="88"/>
      <c r="AA214" s="88"/>
      <c r="AB214" s="88">
        <v>9</v>
      </c>
      <c r="AC214" s="88"/>
      <c r="AD214" s="88"/>
      <c r="AE214" s="97">
        <v>9</v>
      </c>
      <c r="AK214"/>
      <c r="AL214" s="85"/>
      <c r="AM214" s="85"/>
      <c r="AN214" s="107"/>
      <c r="AO214" s="107"/>
      <c r="AP214" s="107"/>
      <c r="AQ214" s="107"/>
      <c r="AR214" s="107"/>
      <c r="BO214"/>
      <c r="BP214" s="85"/>
      <c r="BQ214" s="85"/>
      <c r="BR214" s="107"/>
      <c r="BS214" s="107"/>
      <c r="BT214" s="107"/>
      <c r="BU214" s="107"/>
      <c r="BV214" s="107"/>
      <c r="CS214"/>
      <c r="CT214" s="85"/>
      <c r="CU214" s="85"/>
      <c r="CV214" s="107"/>
      <c r="CW214" s="107"/>
      <c r="CX214" s="107"/>
      <c r="CY214" s="107"/>
      <c r="CZ214" s="107"/>
      <c r="DP214"/>
      <c r="DQ214" s="85"/>
      <c r="DR214" s="85"/>
      <c r="DS214" s="107"/>
      <c r="DT214" s="107"/>
      <c r="DU214" s="107"/>
      <c r="DV214" s="107"/>
      <c r="DW214" s="107"/>
    </row>
    <row r="215" spans="1:127" ht="16.5">
      <c r="A215" s="54" t="s">
        <v>1542</v>
      </c>
      <c r="B215" s="55"/>
      <c r="C215" s="55"/>
      <c r="D215" s="101"/>
      <c r="E215" s="102"/>
      <c r="F215" s="102">
        <v>5</v>
      </c>
      <c r="G215" s="102"/>
      <c r="H215" s="102"/>
      <c r="I215" s="102"/>
      <c r="J215" s="102"/>
      <c r="K215" s="102"/>
      <c r="L215" s="102"/>
      <c r="M215" s="103">
        <v>5</v>
      </c>
      <c r="N215" s="340"/>
      <c r="O215" s="340"/>
      <c r="P215" s="340"/>
      <c r="Q215" s="340"/>
      <c r="S215" s="49"/>
      <c r="T215" s="54" t="s">
        <v>2265</v>
      </c>
      <c r="U215" s="55"/>
      <c r="V215" s="101"/>
      <c r="W215" s="102"/>
      <c r="X215" s="102"/>
      <c r="Y215" s="102"/>
      <c r="Z215" s="102"/>
      <c r="AA215" s="102"/>
      <c r="AB215" s="102">
        <v>9</v>
      </c>
      <c r="AC215" s="102"/>
      <c r="AD215" s="102"/>
      <c r="AE215" s="103">
        <v>9</v>
      </c>
      <c r="AK215"/>
      <c r="AL215" s="85"/>
      <c r="AM215" s="85"/>
      <c r="AN215" s="107"/>
      <c r="AO215" s="107"/>
      <c r="AP215" s="107"/>
      <c r="AQ215" s="107"/>
      <c r="AR215" s="107"/>
      <c r="BO215"/>
      <c r="BP215" s="85"/>
      <c r="BQ215" s="85"/>
      <c r="BR215" s="107"/>
      <c r="BS215" s="107"/>
      <c r="BT215" s="107"/>
      <c r="BU215" s="107"/>
      <c r="BV215" s="107"/>
      <c r="CS215"/>
      <c r="CT215" s="85"/>
      <c r="CU215" s="85"/>
      <c r="CV215" s="107"/>
      <c r="CW215" s="107"/>
      <c r="CX215" s="107"/>
      <c r="CY215" s="107"/>
      <c r="CZ215" s="107"/>
      <c r="DP215"/>
      <c r="DQ215" s="85"/>
      <c r="DR215" s="85"/>
      <c r="DS215" s="107"/>
      <c r="DT215" s="107"/>
      <c r="DU215" s="107"/>
      <c r="DV215" s="107"/>
      <c r="DW215" s="107"/>
    </row>
    <row r="216" spans="1:127" ht="16.5">
      <c r="A216" s="38" t="s">
        <v>1557</v>
      </c>
      <c r="B216" s="38" t="s">
        <v>50</v>
      </c>
      <c r="C216" s="38" t="s">
        <v>1350</v>
      </c>
      <c r="D216" s="96"/>
      <c r="E216" s="88"/>
      <c r="F216" s="88"/>
      <c r="G216" s="88"/>
      <c r="H216" s="88">
        <v>6</v>
      </c>
      <c r="I216" s="88"/>
      <c r="J216" s="88"/>
      <c r="K216" s="88"/>
      <c r="L216" s="88"/>
      <c r="M216" s="97">
        <v>6</v>
      </c>
      <c r="N216" s="340"/>
      <c r="O216" s="340"/>
      <c r="P216" s="340"/>
      <c r="Q216" s="340"/>
      <c r="S216" s="49"/>
      <c r="T216" s="38" t="s">
        <v>2232</v>
      </c>
      <c r="U216" s="38" t="s">
        <v>2068</v>
      </c>
      <c r="V216" s="96"/>
      <c r="W216" s="88"/>
      <c r="X216" s="88"/>
      <c r="Y216" s="88"/>
      <c r="Z216" s="88"/>
      <c r="AA216" s="88"/>
      <c r="AB216" s="88"/>
      <c r="AC216" s="88"/>
      <c r="AD216" s="88">
        <v>4</v>
      </c>
      <c r="AE216" s="97">
        <v>4</v>
      </c>
      <c r="AK216"/>
      <c r="AL216" s="85"/>
      <c r="AM216" s="85"/>
      <c r="AN216" s="107"/>
      <c r="AO216" s="107"/>
      <c r="AP216" s="107"/>
      <c r="AQ216" s="107"/>
      <c r="AR216" s="107"/>
      <c r="BO216"/>
      <c r="BP216" s="85"/>
      <c r="BQ216" s="85"/>
      <c r="BR216" s="107"/>
      <c r="BS216" s="107"/>
      <c r="BT216" s="107"/>
      <c r="BU216" s="107"/>
      <c r="BV216" s="107"/>
      <c r="CS216"/>
      <c r="CT216" s="85"/>
      <c r="CU216" s="85"/>
      <c r="CV216" s="107"/>
      <c r="CW216" s="107"/>
      <c r="CX216" s="107"/>
      <c r="CY216" s="107"/>
      <c r="CZ216" s="107"/>
      <c r="DP216"/>
      <c r="DQ216" s="85"/>
      <c r="DR216" s="85"/>
      <c r="DS216" s="107"/>
      <c r="DT216" s="107"/>
      <c r="DU216" s="107"/>
      <c r="DV216" s="107"/>
      <c r="DW216" s="107"/>
    </row>
    <row r="217" spans="1:127" ht="16.5">
      <c r="A217" s="49"/>
      <c r="B217" s="50" t="s">
        <v>855</v>
      </c>
      <c r="C217" s="51"/>
      <c r="D217" s="98"/>
      <c r="E217" s="99"/>
      <c r="F217" s="99"/>
      <c r="G217" s="99"/>
      <c r="H217" s="99">
        <v>6</v>
      </c>
      <c r="I217" s="99"/>
      <c r="J217" s="99"/>
      <c r="K217" s="99"/>
      <c r="L217" s="99"/>
      <c r="M217" s="100">
        <v>6</v>
      </c>
      <c r="N217" s="340"/>
      <c r="O217" s="340"/>
      <c r="P217" s="340"/>
      <c r="Q217" s="340"/>
      <c r="S217" s="49"/>
      <c r="T217" s="54" t="s">
        <v>2266</v>
      </c>
      <c r="U217" s="55"/>
      <c r="V217" s="101"/>
      <c r="W217" s="102"/>
      <c r="X217" s="102"/>
      <c r="Y217" s="102"/>
      <c r="Z217" s="102"/>
      <c r="AA217" s="102"/>
      <c r="AB217" s="102"/>
      <c r="AC217" s="102"/>
      <c r="AD217" s="102">
        <v>4</v>
      </c>
      <c r="AE217" s="103">
        <v>4</v>
      </c>
      <c r="AK217"/>
      <c r="AL217" s="85"/>
      <c r="AM217" s="85"/>
      <c r="AN217" s="107"/>
      <c r="AO217" s="107"/>
      <c r="AP217" s="107"/>
      <c r="AQ217" s="107"/>
      <c r="AR217" s="107"/>
      <c r="BO217"/>
      <c r="BP217" s="85"/>
      <c r="BQ217" s="85"/>
      <c r="BR217" s="107"/>
      <c r="BS217" s="107"/>
      <c r="BT217" s="107"/>
      <c r="BU217" s="107"/>
      <c r="BV217" s="107"/>
      <c r="CS217"/>
      <c r="CT217" s="85"/>
      <c r="CU217" s="85"/>
      <c r="CV217" s="107"/>
      <c r="CW217" s="107"/>
      <c r="CX217" s="107"/>
      <c r="CY217" s="107"/>
      <c r="CZ217" s="107"/>
      <c r="DP217"/>
      <c r="DQ217" s="85"/>
      <c r="DR217" s="85"/>
      <c r="DS217" s="107"/>
      <c r="DT217" s="107"/>
      <c r="DU217" s="107"/>
      <c r="DV217" s="107"/>
      <c r="DW217" s="107"/>
    </row>
    <row r="218" spans="1:127" ht="16.5">
      <c r="A218" s="54" t="s">
        <v>1739</v>
      </c>
      <c r="B218" s="55"/>
      <c r="C218" s="55"/>
      <c r="D218" s="101"/>
      <c r="E218" s="102"/>
      <c r="F218" s="102"/>
      <c r="G218" s="102"/>
      <c r="H218" s="102">
        <v>6</v>
      </c>
      <c r="I218" s="102"/>
      <c r="J218" s="102"/>
      <c r="K218" s="102"/>
      <c r="L218" s="102"/>
      <c r="M218" s="103">
        <v>6</v>
      </c>
      <c r="N218" s="340"/>
      <c r="O218" s="340"/>
      <c r="P218" s="340"/>
      <c r="Q218" s="340"/>
      <c r="S218" s="50" t="s">
        <v>1913</v>
      </c>
      <c r="T218" s="51"/>
      <c r="U218" s="51"/>
      <c r="V218" s="98"/>
      <c r="W218" s="99"/>
      <c r="X218" s="99"/>
      <c r="Y218" s="99"/>
      <c r="Z218" s="99">
        <v>3</v>
      </c>
      <c r="AA218" s="99">
        <v>5</v>
      </c>
      <c r="AB218" s="99">
        <v>11</v>
      </c>
      <c r="AC218" s="99"/>
      <c r="AD218" s="99">
        <v>4</v>
      </c>
      <c r="AE218" s="100">
        <v>23</v>
      </c>
      <c r="AK218"/>
      <c r="AL218" s="85"/>
      <c r="AM218" s="85"/>
      <c r="AN218" s="107"/>
      <c r="AO218" s="107"/>
      <c r="AP218" s="107"/>
      <c r="AQ218" s="107"/>
      <c r="AR218" s="107"/>
      <c r="BO218"/>
      <c r="BP218" s="85"/>
      <c r="BQ218" s="85"/>
      <c r="BR218" s="107"/>
      <c r="BS218" s="107"/>
      <c r="BT218" s="107"/>
      <c r="BU218" s="107"/>
      <c r="BV218" s="107"/>
      <c r="CS218"/>
      <c r="CT218" s="85"/>
      <c r="CU218" s="85"/>
      <c r="CV218" s="107"/>
      <c r="CW218" s="107"/>
      <c r="CX218" s="107"/>
      <c r="CY218" s="107"/>
      <c r="CZ218" s="107"/>
      <c r="DP218"/>
      <c r="DQ218" s="85"/>
      <c r="DR218" s="85"/>
      <c r="DS218" s="107"/>
      <c r="DT218" s="107"/>
      <c r="DU218" s="107"/>
      <c r="DV218" s="107"/>
      <c r="DW218" s="107"/>
    </row>
    <row r="219" spans="1:127" ht="16.5">
      <c r="A219" s="38" t="s">
        <v>1677</v>
      </c>
      <c r="B219" s="38" t="s">
        <v>38</v>
      </c>
      <c r="C219" s="38" t="s">
        <v>1352</v>
      </c>
      <c r="D219" s="96"/>
      <c r="E219" s="88"/>
      <c r="F219" s="88"/>
      <c r="G219" s="88"/>
      <c r="H219" s="88"/>
      <c r="I219" s="88">
        <v>6</v>
      </c>
      <c r="J219" s="88"/>
      <c r="K219" s="88"/>
      <c r="L219" s="88"/>
      <c r="M219" s="97">
        <v>6</v>
      </c>
      <c r="N219" s="340"/>
      <c r="O219" s="340"/>
      <c r="P219" s="340"/>
      <c r="Q219" s="340"/>
      <c r="S219" s="38" t="s">
        <v>1855</v>
      </c>
      <c r="T219" s="38" t="s">
        <v>786</v>
      </c>
      <c r="U219" s="38" t="s">
        <v>1352</v>
      </c>
      <c r="V219" s="96"/>
      <c r="W219" s="88"/>
      <c r="X219" s="88"/>
      <c r="Y219" s="88"/>
      <c r="Z219" s="88">
        <v>2</v>
      </c>
      <c r="AA219" s="88"/>
      <c r="AB219" s="88"/>
      <c r="AC219" s="88"/>
      <c r="AD219" s="88"/>
      <c r="AE219" s="97">
        <v>2</v>
      </c>
      <c r="AK219"/>
      <c r="AL219" s="85"/>
      <c r="AM219" s="85"/>
      <c r="AN219" s="107"/>
      <c r="AO219" s="107"/>
      <c r="AP219" s="107"/>
      <c r="AQ219" s="107"/>
      <c r="AR219" s="107"/>
      <c r="BO219"/>
      <c r="BP219" s="85"/>
      <c r="BQ219" s="85"/>
      <c r="BR219" s="107"/>
      <c r="BS219" s="107"/>
      <c r="BT219" s="107"/>
      <c r="BU219" s="107"/>
      <c r="BV219" s="107"/>
      <c r="CS219"/>
      <c r="CT219" s="85"/>
      <c r="CU219" s="85"/>
      <c r="CV219" s="107"/>
      <c r="CW219" s="107"/>
      <c r="CX219" s="107"/>
      <c r="CY219" s="107"/>
      <c r="CZ219" s="107"/>
      <c r="DP219"/>
      <c r="DQ219" s="85"/>
      <c r="DR219" s="85"/>
      <c r="DS219" s="107"/>
      <c r="DT219" s="107"/>
      <c r="DU219" s="107"/>
      <c r="DV219" s="107"/>
      <c r="DW219" s="107"/>
    </row>
    <row r="220" spans="1:127" ht="16.5">
      <c r="A220" s="49"/>
      <c r="B220" s="50" t="s">
        <v>853</v>
      </c>
      <c r="C220" s="51"/>
      <c r="D220" s="98"/>
      <c r="E220" s="99"/>
      <c r="F220" s="99"/>
      <c r="G220" s="99"/>
      <c r="H220" s="99"/>
      <c r="I220" s="99">
        <v>6</v>
      </c>
      <c r="J220" s="99"/>
      <c r="K220" s="99"/>
      <c r="L220" s="99"/>
      <c r="M220" s="100">
        <v>6</v>
      </c>
      <c r="N220" s="340"/>
      <c r="O220" s="340"/>
      <c r="P220" s="340"/>
      <c r="Q220" s="340"/>
      <c r="S220" s="49"/>
      <c r="T220" s="79" t="s">
        <v>1908</v>
      </c>
      <c r="U220" s="83"/>
      <c r="V220" s="101"/>
      <c r="W220" s="102"/>
      <c r="X220" s="102"/>
      <c r="Y220" s="102"/>
      <c r="Z220" s="102">
        <v>2</v>
      </c>
      <c r="AA220" s="102"/>
      <c r="AB220" s="102"/>
      <c r="AC220" s="102"/>
      <c r="AD220" s="102"/>
      <c r="AE220" s="103">
        <v>2</v>
      </c>
      <c r="AK220"/>
      <c r="AL220" s="85"/>
      <c r="AM220" s="85"/>
      <c r="AN220" s="107"/>
      <c r="AO220" s="107"/>
      <c r="AP220" s="107"/>
      <c r="AQ220" s="107"/>
      <c r="AR220" s="107"/>
      <c r="BO220"/>
      <c r="BP220" s="85"/>
      <c r="BQ220" s="85"/>
      <c r="BR220" s="107"/>
      <c r="BS220" s="107"/>
      <c r="BT220" s="107"/>
      <c r="BU220" s="107"/>
      <c r="BV220" s="107"/>
      <c r="CS220"/>
      <c r="CT220" s="85"/>
      <c r="CU220" s="85"/>
      <c r="CV220" s="107"/>
      <c r="CW220" s="107"/>
      <c r="CX220" s="107"/>
      <c r="CY220" s="107"/>
      <c r="CZ220" s="107"/>
      <c r="DP220"/>
      <c r="DQ220" s="85"/>
      <c r="DR220" s="85"/>
      <c r="DS220" s="107"/>
      <c r="DT220" s="107"/>
      <c r="DU220" s="107"/>
      <c r="DV220" s="107"/>
      <c r="DW220" s="107"/>
    </row>
    <row r="221" spans="1:127" ht="16.5">
      <c r="A221" s="49"/>
      <c r="B221" s="38" t="s">
        <v>35</v>
      </c>
      <c r="C221" s="38" t="s">
        <v>1743</v>
      </c>
      <c r="D221" s="96"/>
      <c r="E221" s="88"/>
      <c r="F221" s="88"/>
      <c r="G221" s="88"/>
      <c r="H221" s="88"/>
      <c r="I221" s="88">
        <v>2</v>
      </c>
      <c r="J221" s="88"/>
      <c r="K221" s="88"/>
      <c r="L221" s="88"/>
      <c r="M221" s="97">
        <v>2</v>
      </c>
      <c r="N221" s="340"/>
      <c r="O221" s="340"/>
      <c r="P221" s="340"/>
      <c r="Q221" s="340"/>
      <c r="S221" s="50" t="s">
        <v>1914</v>
      </c>
      <c r="T221" s="51"/>
      <c r="U221" s="51"/>
      <c r="V221" s="98"/>
      <c r="W221" s="99"/>
      <c r="X221" s="99"/>
      <c r="Y221" s="99"/>
      <c r="Z221" s="99">
        <v>2</v>
      </c>
      <c r="AA221" s="99"/>
      <c r="AB221" s="99"/>
      <c r="AC221" s="99"/>
      <c r="AD221" s="99"/>
      <c r="AE221" s="100">
        <v>2</v>
      </c>
      <c r="AK221"/>
      <c r="AL221" s="85"/>
      <c r="AM221" s="85"/>
      <c r="AN221" s="107"/>
      <c r="AO221" s="107"/>
      <c r="AP221" s="107"/>
      <c r="AQ221" s="107"/>
      <c r="AR221" s="107"/>
      <c r="BO221"/>
      <c r="BP221" s="85"/>
      <c r="BQ221" s="85"/>
      <c r="BR221" s="107"/>
      <c r="BS221" s="107"/>
      <c r="BT221" s="107"/>
      <c r="BU221" s="107"/>
      <c r="BV221" s="107"/>
      <c r="CS221"/>
      <c r="CT221" s="85"/>
      <c r="CU221" s="85"/>
      <c r="CV221" s="107"/>
      <c r="CW221" s="107"/>
      <c r="CX221" s="107"/>
      <c r="CY221" s="107"/>
      <c r="CZ221" s="107"/>
      <c r="DP221"/>
      <c r="DQ221" s="85"/>
      <c r="DR221" s="85"/>
      <c r="DS221" s="107"/>
      <c r="DT221" s="107"/>
      <c r="DU221" s="107"/>
      <c r="DV221" s="107"/>
      <c r="DW221" s="107"/>
    </row>
    <row r="222" spans="1:127" ht="16.5">
      <c r="A222" s="49"/>
      <c r="B222" s="50" t="s">
        <v>1347</v>
      </c>
      <c r="C222" s="51"/>
      <c r="D222" s="98"/>
      <c r="E222" s="99"/>
      <c r="F222" s="99"/>
      <c r="G222" s="99"/>
      <c r="H222" s="99"/>
      <c r="I222" s="99">
        <v>2</v>
      </c>
      <c r="J222" s="99"/>
      <c r="K222" s="99"/>
      <c r="L222" s="99"/>
      <c r="M222" s="100">
        <v>2</v>
      </c>
      <c r="N222" s="340"/>
      <c r="O222" s="340"/>
      <c r="P222" s="340"/>
      <c r="Q222" s="340"/>
      <c r="S222" s="38" t="s">
        <v>2113</v>
      </c>
      <c r="T222" s="38" t="s">
        <v>1828</v>
      </c>
      <c r="U222" s="38" t="s">
        <v>1352</v>
      </c>
      <c r="V222" s="96"/>
      <c r="W222" s="88"/>
      <c r="X222" s="88"/>
      <c r="Y222" s="88"/>
      <c r="Z222" s="88"/>
      <c r="AA222" s="88">
        <v>2</v>
      </c>
      <c r="AB222" s="88"/>
      <c r="AC222" s="88"/>
      <c r="AD222" s="88"/>
      <c r="AE222" s="97">
        <v>2</v>
      </c>
      <c r="AK222"/>
      <c r="AL222" s="85"/>
      <c r="AM222" s="85"/>
      <c r="AN222" s="107"/>
      <c r="AO222" s="107"/>
      <c r="AP222" s="107"/>
      <c r="AQ222" s="107"/>
      <c r="AR222" s="107"/>
      <c r="BO222"/>
      <c r="BP222" s="85"/>
      <c r="BQ222" s="85"/>
      <c r="BR222" s="107"/>
      <c r="BS222" s="107"/>
      <c r="BT222" s="107"/>
      <c r="BU222" s="107"/>
      <c r="BV222" s="107"/>
      <c r="CS222"/>
      <c r="CT222" s="85"/>
      <c r="CU222" s="85"/>
      <c r="CV222" s="107"/>
      <c r="CW222" s="107"/>
      <c r="CX222" s="107"/>
      <c r="CY222" s="107"/>
      <c r="CZ222" s="107"/>
      <c r="DP222"/>
      <c r="DQ222" s="85"/>
      <c r="DR222" s="85"/>
      <c r="DS222" s="107"/>
      <c r="DT222" s="107"/>
      <c r="DU222" s="107"/>
      <c r="DV222" s="107"/>
      <c r="DW222" s="107"/>
    </row>
    <row r="223" spans="1:127" ht="16.5">
      <c r="A223" s="49"/>
      <c r="B223" s="38" t="s">
        <v>56</v>
      </c>
      <c r="C223" s="38" t="s">
        <v>1743</v>
      </c>
      <c r="D223" s="96"/>
      <c r="E223" s="88">
        <v>1.3333333333333333</v>
      </c>
      <c r="F223" s="88"/>
      <c r="G223" s="88"/>
      <c r="H223" s="88"/>
      <c r="I223" s="88"/>
      <c r="J223" s="88">
        <v>1.3333333333333333</v>
      </c>
      <c r="K223" s="88">
        <v>1.3333333333333333</v>
      </c>
      <c r="L223" s="88"/>
      <c r="M223" s="97">
        <v>4</v>
      </c>
      <c r="N223" s="340"/>
      <c r="O223" s="340"/>
      <c r="P223" s="340"/>
      <c r="Q223" s="340"/>
      <c r="S223" s="49"/>
      <c r="T223" s="54" t="s">
        <v>1909</v>
      </c>
      <c r="U223" s="55"/>
      <c r="V223" s="101"/>
      <c r="W223" s="102"/>
      <c r="X223" s="102"/>
      <c r="Y223" s="102"/>
      <c r="Z223" s="102"/>
      <c r="AA223" s="102">
        <v>2</v>
      </c>
      <c r="AB223" s="102"/>
      <c r="AC223" s="102"/>
      <c r="AD223" s="102"/>
      <c r="AE223" s="103">
        <v>2</v>
      </c>
      <c r="AK223"/>
      <c r="AL223" s="85"/>
      <c r="AM223" s="85"/>
      <c r="AN223" s="107"/>
      <c r="AO223" s="107"/>
      <c r="AP223" s="107"/>
      <c r="AQ223" s="107"/>
      <c r="AR223" s="107"/>
      <c r="BO223"/>
      <c r="BP223" s="85"/>
      <c r="BQ223" s="85"/>
      <c r="BR223" s="107"/>
      <c r="BS223" s="107"/>
      <c r="BT223" s="107"/>
      <c r="BU223" s="107"/>
      <c r="BV223" s="107"/>
      <c r="CS223"/>
      <c r="CT223" s="85"/>
      <c r="CU223" s="85"/>
      <c r="CV223" s="107"/>
      <c r="CW223" s="107"/>
      <c r="CX223" s="107"/>
      <c r="CY223" s="107"/>
      <c r="CZ223" s="107"/>
      <c r="DP223"/>
      <c r="DQ223" s="85"/>
      <c r="DR223" s="85"/>
      <c r="DS223" s="107"/>
      <c r="DT223" s="107"/>
      <c r="DU223" s="107"/>
      <c r="DV223" s="107"/>
      <c r="DW223" s="107"/>
    </row>
    <row r="224" spans="1:127" ht="16.5">
      <c r="A224" s="49"/>
      <c r="B224" s="50" t="s">
        <v>1080</v>
      </c>
      <c r="C224" s="51"/>
      <c r="D224" s="98"/>
      <c r="E224" s="99">
        <v>1.3333333333333333</v>
      </c>
      <c r="F224" s="99"/>
      <c r="G224" s="99"/>
      <c r="H224" s="99"/>
      <c r="I224" s="99"/>
      <c r="J224" s="99">
        <v>1.3333333333333333</v>
      </c>
      <c r="K224" s="99">
        <v>1.3333333333333333</v>
      </c>
      <c r="L224" s="99"/>
      <c r="M224" s="100">
        <v>4</v>
      </c>
      <c r="N224" s="340"/>
      <c r="O224" s="340"/>
      <c r="P224" s="340"/>
      <c r="Q224" s="340"/>
      <c r="S224" s="50" t="s">
        <v>2157</v>
      </c>
      <c r="T224" s="51"/>
      <c r="U224" s="51"/>
      <c r="V224" s="98"/>
      <c r="W224" s="99"/>
      <c r="X224" s="99"/>
      <c r="Y224" s="99"/>
      <c r="Z224" s="99"/>
      <c r="AA224" s="99">
        <v>2</v>
      </c>
      <c r="AB224" s="99"/>
      <c r="AC224" s="99"/>
      <c r="AD224" s="99"/>
      <c r="AE224" s="100">
        <v>2</v>
      </c>
      <c r="AK224"/>
      <c r="AL224" s="85"/>
      <c r="AM224" s="85"/>
      <c r="AN224" s="107"/>
      <c r="AO224" s="107"/>
      <c r="AP224" s="107"/>
      <c r="AQ224" s="107"/>
      <c r="AR224" s="107"/>
      <c r="BO224"/>
      <c r="BP224" s="85"/>
      <c r="BQ224" s="85"/>
      <c r="BR224" s="107"/>
      <c r="BS224" s="107"/>
      <c r="BT224" s="107"/>
      <c r="BU224" s="107"/>
      <c r="BV224" s="107"/>
      <c r="CS224"/>
      <c r="CT224" s="85"/>
      <c r="CU224" s="85"/>
      <c r="CV224" s="107"/>
      <c r="CW224" s="107"/>
      <c r="CX224" s="107"/>
      <c r="CY224" s="107"/>
      <c r="CZ224" s="107"/>
      <c r="DP224"/>
      <c r="DQ224" s="85"/>
      <c r="DR224" s="85"/>
      <c r="DS224" s="107"/>
      <c r="DT224" s="107"/>
      <c r="DU224" s="107"/>
      <c r="DV224" s="107"/>
      <c r="DW224" s="107"/>
    </row>
    <row r="225" spans="1:127" ht="16.5">
      <c r="A225" s="49"/>
      <c r="B225" s="38" t="s">
        <v>228</v>
      </c>
      <c r="C225" s="38" t="s">
        <v>1350</v>
      </c>
      <c r="D225" s="96"/>
      <c r="E225" s="88"/>
      <c r="F225" s="88"/>
      <c r="G225" s="88"/>
      <c r="H225" s="88"/>
      <c r="I225" s="88">
        <v>4</v>
      </c>
      <c r="J225" s="88"/>
      <c r="K225" s="88"/>
      <c r="L225" s="88"/>
      <c r="M225" s="97">
        <v>4</v>
      </c>
      <c r="N225" s="340"/>
      <c r="O225" s="340"/>
      <c r="P225" s="340"/>
      <c r="Q225" s="340"/>
      <c r="S225" s="38" t="s">
        <v>2195</v>
      </c>
      <c r="T225" s="38" t="s">
        <v>51</v>
      </c>
      <c r="U225" s="38" t="s">
        <v>1743</v>
      </c>
      <c r="V225" s="96"/>
      <c r="W225" s="88"/>
      <c r="X225" s="88"/>
      <c r="Y225" s="88"/>
      <c r="Z225" s="88"/>
      <c r="AA225" s="88"/>
      <c r="AB225" s="88">
        <v>0.66666666666666663</v>
      </c>
      <c r="AC225" s="88"/>
      <c r="AD225" s="88"/>
      <c r="AE225" s="97">
        <v>0.66666666666666663</v>
      </c>
      <c r="AK225"/>
      <c r="AL225" s="85"/>
      <c r="AM225" s="85"/>
      <c r="AN225" s="107"/>
      <c r="AO225" s="107"/>
      <c r="AP225" s="107"/>
      <c r="AQ225" s="107"/>
      <c r="AR225" s="107"/>
      <c r="BO225"/>
      <c r="BP225" s="85"/>
      <c r="BQ225" s="85"/>
      <c r="BR225" s="107"/>
      <c r="BS225" s="107"/>
      <c r="BT225" s="107"/>
      <c r="BU225" s="107"/>
      <c r="BV225" s="107"/>
      <c r="CS225"/>
      <c r="CT225" s="85"/>
      <c r="CU225" s="85"/>
      <c r="CV225" s="107"/>
      <c r="CW225" s="107"/>
      <c r="CX225" s="107"/>
      <c r="CY225" s="107"/>
      <c r="CZ225" s="107"/>
      <c r="DP225"/>
      <c r="DQ225" s="85"/>
      <c r="DR225" s="85"/>
      <c r="DS225" s="107"/>
      <c r="DT225" s="107"/>
      <c r="DU225" s="107"/>
      <c r="DV225" s="107"/>
      <c r="DW225" s="107"/>
    </row>
    <row r="226" spans="1:127" ht="16.5">
      <c r="A226" s="49"/>
      <c r="B226" s="50" t="s">
        <v>1745</v>
      </c>
      <c r="C226" s="51"/>
      <c r="D226" s="98"/>
      <c r="E226" s="99"/>
      <c r="F226" s="99"/>
      <c r="G226" s="99"/>
      <c r="H226" s="99"/>
      <c r="I226" s="99">
        <v>4</v>
      </c>
      <c r="J226" s="99"/>
      <c r="K226" s="99"/>
      <c r="L226" s="99"/>
      <c r="M226" s="100">
        <v>4</v>
      </c>
      <c r="N226" s="340"/>
      <c r="O226" s="340"/>
      <c r="P226" s="340"/>
      <c r="Q226" s="340"/>
      <c r="S226" s="49"/>
      <c r="T226" s="54" t="s">
        <v>1088</v>
      </c>
      <c r="U226" s="55"/>
      <c r="V226" s="101"/>
      <c r="W226" s="102"/>
      <c r="X226" s="102"/>
      <c r="Y226" s="102"/>
      <c r="Z226" s="102"/>
      <c r="AA226" s="102"/>
      <c r="AB226" s="102">
        <v>0.66666666666666663</v>
      </c>
      <c r="AC226" s="102"/>
      <c r="AD226" s="102"/>
      <c r="AE226" s="103">
        <v>0.66666666666666663</v>
      </c>
      <c r="AK226"/>
      <c r="AL226" s="85"/>
      <c r="AM226" s="85"/>
      <c r="AN226" s="107"/>
      <c r="AO226" s="107"/>
      <c r="AP226" s="107"/>
      <c r="AQ226" s="107"/>
      <c r="AR226" s="107"/>
      <c r="BO226"/>
      <c r="BP226" s="85"/>
      <c r="BQ226" s="85"/>
      <c r="BR226" s="107"/>
      <c r="BS226" s="107"/>
      <c r="BT226" s="107"/>
      <c r="BU226" s="107"/>
      <c r="BV226" s="107"/>
      <c r="CS226"/>
      <c r="CT226" s="85"/>
      <c r="CU226" s="85"/>
      <c r="CV226" s="107"/>
      <c r="CW226" s="107"/>
      <c r="CX226" s="107"/>
      <c r="CY226" s="107"/>
      <c r="CZ226" s="107"/>
      <c r="DP226"/>
      <c r="DQ226" s="85"/>
      <c r="DR226" s="85"/>
      <c r="DS226" s="107"/>
      <c r="DT226" s="107"/>
      <c r="DU226" s="107"/>
      <c r="DV226" s="107"/>
      <c r="DW226" s="107"/>
    </row>
    <row r="227" spans="1:127" ht="16.5">
      <c r="A227" s="54" t="s">
        <v>1738</v>
      </c>
      <c r="B227" s="55"/>
      <c r="C227" s="55"/>
      <c r="D227" s="101"/>
      <c r="E227" s="102">
        <v>1.3333333333333333</v>
      </c>
      <c r="F227" s="102"/>
      <c r="G227" s="102"/>
      <c r="H227" s="102"/>
      <c r="I227" s="102">
        <v>12</v>
      </c>
      <c r="J227" s="102">
        <v>1.3333333333333333</v>
      </c>
      <c r="K227" s="102">
        <v>1.3333333333333333</v>
      </c>
      <c r="L227" s="102"/>
      <c r="M227" s="103">
        <v>16</v>
      </c>
      <c r="N227" s="340"/>
      <c r="O227" s="340"/>
      <c r="P227" s="340"/>
      <c r="Q227" s="340"/>
      <c r="S227" s="50" t="s">
        <v>2269</v>
      </c>
      <c r="T227" s="51"/>
      <c r="U227" s="51"/>
      <c r="V227" s="98"/>
      <c r="W227" s="99"/>
      <c r="X227" s="99"/>
      <c r="Y227" s="99"/>
      <c r="Z227" s="99"/>
      <c r="AA227" s="99"/>
      <c r="AB227" s="99">
        <v>0.66666666666666663</v>
      </c>
      <c r="AC227" s="99"/>
      <c r="AD227" s="99"/>
      <c r="AE227" s="100">
        <v>0.66666666666666663</v>
      </c>
      <c r="AK227"/>
      <c r="AL227" s="85"/>
      <c r="AM227" s="85"/>
      <c r="AN227" s="107"/>
      <c r="AO227" s="107"/>
      <c r="AP227" s="107"/>
      <c r="AQ227" s="107"/>
      <c r="AR227" s="107"/>
      <c r="BO227"/>
      <c r="BP227" s="85"/>
      <c r="BQ227" s="85"/>
      <c r="BR227" s="107"/>
      <c r="BS227" s="107"/>
      <c r="BT227" s="107"/>
      <c r="BU227" s="107"/>
      <c r="BV227" s="107"/>
      <c r="CS227"/>
      <c r="CT227" s="85"/>
      <c r="CU227" s="85"/>
      <c r="CV227" s="107"/>
      <c r="CW227" s="107"/>
      <c r="CX227" s="107"/>
      <c r="CY227" s="107"/>
      <c r="CZ227" s="107"/>
      <c r="DP227"/>
      <c r="DQ227" s="85"/>
      <c r="DR227" s="85"/>
      <c r="DS227" s="107"/>
      <c r="DT227" s="107"/>
      <c r="DU227" s="107"/>
      <c r="DV227" s="107"/>
      <c r="DW227" s="107"/>
    </row>
    <row r="228" spans="1:127" ht="16.5">
      <c r="A228" s="38" t="s">
        <v>1102</v>
      </c>
      <c r="B228" s="38" t="s">
        <v>50</v>
      </c>
      <c r="C228" s="38" t="s">
        <v>1352</v>
      </c>
      <c r="D228" s="96"/>
      <c r="E228" s="88"/>
      <c r="F228" s="88"/>
      <c r="G228" s="88"/>
      <c r="H228" s="88">
        <v>3</v>
      </c>
      <c r="I228" s="88">
        <v>13.5</v>
      </c>
      <c r="J228" s="88"/>
      <c r="K228" s="88"/>
      <c r="L228" s="88"/>
      <c r="M228" s="97">
        <v>16.5</v>
      </c>
      <c r="N228" s="340"/>
      <c r="O228" s="340"/>
      <c r="P228" s="340"/>
      <c r="Q228" s="340"/>
      <c r="S228" s="86" t="s">
        <v>4</v>
      </c>
      <c r="T228" s="84"/>
      <c r="U228" s="84"/>
      <c r="V228" s="104">
        <v>4.5</v>
      </c>
      <c r="W228" s="105">
        <v>3</v>
      </c>
      <c r="X228" s="105">
        <v>28.5</v>
      </c>
      <c r="Y228" s="105">
        <v>1</v>
      </c>
      <c r="Z228" s="105">
        <v>272.5</v>
      </c>
      <c r="AA228" s="105">
        <v>303</v>
      </c>
      <c r="AB228" s="105">
        <v>134.16666666666666</v>
      </c>
      <c r="AC228" s="105">
        <v>1.3333333333333333</v>
      </c>
      <c r="AD228" s="105">
        <v>29.5</v>
      </c>
      <c r="AE228" s="106">
        <v>777.49999999999989</v>
      </c>
      <c r="AK228"/>
      <c r="AL228" s="85"/>
      <c r="AM228" s="85"/>
      <c r="AN228" s="107"/>
      <c r="AO228" s="107"/>
      <c r="AP228" s="107"/>
      <c r="AQ228" s="107"/>
      <c r="AR228" s="107"/>
      <c r="BO228"/>
      <c r="BP228" s="85"/>
      <c r="BQ228" s="85"/>
      <c r="BR228" s="107"/>
      <c r="BS228" s="107"/>
      <c r="BT228" s="107"/>
      <c r="BU228" s="107"/>
      <c r="BV228" s="107"/>
      <c r="CS228"/>
      <c r="CT228" s="85"/>
      <c r="CU228" s="85"/>
      <c r="CV228" s="107"/>
      <c r="CW228" s="107"/>
      <c r="CX228" s="107"/>
      <c r="CY228" s="107"/>
      <c r="CZ228" s="107"/>
      <c r="DP228"/>
      <c r="DQ228" s="85"/>
      <c r="DR228" s="85"/>
      <c r="DS228" s="107"/>
      <c r="DT228" s="107"/>
      <c r="DU228" s="107"/>
      <c r="DV228" s="107"/>
      <c r="DW228" s="107"/>
    </row>
    <row r="229" spans="1:127" ht="16.5">
      <c r="A229" s="49"/>
      <c r="B229" s="50" t="s">
        <v>855</v>
      </c>
      <c r="C229" s="51"/>
      <c r="D229" s="98"/>
      <c r="E229" s="99"/>
      <c r="F229" s="99"/>
      <c r="G229" s="99"/>
      <c r="H229" s="99">
        <v>3</v>
      </c>
      <c r="I229" s="99">
        <v>13.5</v>
      </c>
      <c r="J229" s="99"/>
      <c r="K229" s="99"/>
      <c r="L229" s="99"/>
      <c r="M229" s="100">
        <v>16.5</v>
      </c>
      <c r="N229" s="340"/>
      <c r="O229" s="340"/>
      <c r="P229" s="340"/>
      <c r="Q229" s="340"/>
      <c r="S229"/>
      <c r="T229"/>
      <c r="U229" s="85"/>
      <c r="V229" s="107"/>
      <c r="W229" s="107"/>
      <c r="X229" s="107"/>
      <c r="Y229" s="107"/>
      <c r="Z229" s="107"/>
      <c r="AK229"/>
      <c r="AL229" s="85"/>
      <c r="AM229" s="85"/>
      <c r="AN229" s="107"/>
      <c r="AO229" s="107"/>
      <c r="AP229" s="107"/>
      <c r="AQ229" s="107"/>
      <c r="AR229" s="107"/>
      <c r="BO229"/>
      <c r="BP229" s="85"/>
      <c r="BQ229" s="85"/>
      <c r="BR229" s="107"/>
      <c r="BS229" s="107"/>
      <c r="BT229" s="107"/>
      <c r="BU229" s="107"/>
      <c r="BV229" s="107"/>
      <c r="CS229"/>
      <c r="CT229" s="85"/>
      <c r="CU229" s="85"/>
      <c r="CV229" s="107"/>
      <c r="CW229" s="107"/>
      <c r="CX229" s="107"/>
      <c r="CY229" s="107"/>
      <c r="CZ229" s="107"/>
      <c r="DP229"/>
      <c r="DQ229" s="85"/>
      <c r="DR229" s="85"/>
      <c r="DS229" s="107"/>
      <c r="DT229" s="107"/>
      <c r="DU229" s="107"/>
      <c r="DV229" s="107"/>
      <c r="DW229" s="107"/>
    </row>
    <row r="230" spans="1:127" ht="16.5">
      <c r="A230" s="49"/>
      <c r="B230" s="38" t="s">
        <v>2116</v>
      </c>
      <c r="C230" s="38" t="s">
        <v>1743</v>
      </c>
      <c r="D230" s="96"/>
      <c r="E230" s="88"/>
      <c r="F230" s="88"/>
      <c r="G230" s="88"/>
      <c r="H230" s="88"/>
      <c r="I230" s="88"/>
      <c r="J230" s="88">
        <v>2.5</v>
      </c>
      <c r="K230" s="88"/>
      <c r="L230" s="88"/>
      <c r="M230" s="97">
        <v>2.5</v>
      </c>
      <c r="N230" s="340"/>
      <c r="O230" s="340"/>
      <c r="P230" s="340"/>
      <c r="Q230" s="340"/>
      <c r="S230"/>
      <c r="T230"/>
      <c r="U230" s="85"/>
      <c r="V230" s="107"/>
      <c r="W230" s="107"/>
      <c r="X230" s="107"/>
      <c r="Y230" s="107"/>
      <c r="Z230" s="107"/>
      <c r="AK230"/>
      <c r="AL230" s="85"/>
      <c r="AM230" s="85"/>
      <c r="AN230" s="107"/>
      <c r="AO230" s="107"/>
      <c r="AP230" s="107"/>
      <c r="AQ230" s="107"/>
      <c r="AR230" s="107"/>
      <c r="BO230"/>
      <c r="BP230" s="85"/>
      <c r="BQ230" s="85"/>
      <c r="BR230" s="107"/>
      <c r="BS230" s="107"/>
      <c r="BT230" s="107"/>
      <c r="BU230" s="107"/>
      <c r="BV230" s="107"/>
      <c r="CS230"/>
      <c r="CT230" s="85"/>
      <c r="CU230" s="85"/>
      <c r="CV230" s="107"/>
      <c r="CW230" s="107"/>
      <c r="CX230" s="107"/>
      <c r="CY230" s="107"/>
      <c r="CZ230" s="107"/>
      <c r="DP230"/>
      <c r="DQ230" s="85"/>
      <c r="DR230" s="85"/>
      <c r="DS230" s="107"/>
      <c r="DT230" s="107"/>
      <c r="DU230" s="107"/>
      <c r="DV230" s="107"/>
      <c r="DW230" s="107"/>
    </row>
    <row r="231" spans="1:127" ht="16.5">
      <c r="A231" s="49"/>
      <c r="B231" s="50" t="s">
        <v>2158</v>
      </c>
      <c r="C231" s="51"/>
      <c r="D231" s="98"/>
      <c r="E231" s="99"/>
      <c r="F231" s="99"/>
      <c r="G231" s="99"/>
      <c r="H231" s="99"/>
      <c r="I231" s="99"/>
      <c r="J231" s="99">
        <v>2.5</v>
      </c>
      <c r="K231" s="99"/>
      <c r="L231" s="99"/>
      <c r="M231" s="100">
        <v>2.5</v>
      </c>
      <c r="N231" s="340"/>
      <c r="O231" s="340"/>
      <c r="P231" s="340"/>
      <c r="Q231" s="340"/>
      <c r="S231"/>
      <c r="T231"/>
      <c r="U231" s="85"/>
      <c r="V231" s="107"/>
      <c r="W231" s="107"/>
      <c r="X231" s="107"/>
      <c r="Y231" s="107"/>
      <c r="Z231" s="107"/>
      <c r="AK231"/>
      <c r="AL231" s="85"/>
      <c r="AM231" s="85"/>
      <c r="AN231" s="107"/>
      <c r="AO231" s="107"/>
      <c r="AP231" s="107"/>
      <c r="AQ231" s="107"/>
      <c r="AR231" s="107"/>
      <c r="BO231"/>
      <c r="BP231" s="85"/>
      <c r="BQ231" s="85"/>
      <c r="BR231" s="107"/>
      <c r="BS231" s="107"/>
      <c r="BT231" s="107"/>
      <c r="BU231" s="107"/>
      <c r="BV231" s="107"/>
      <c r="CS231"/>
      <c r="CT231" s="85"/>
      <c r="CU231" s="85"/>
      <c r="CV231" s="107"/>
      <c r="CW231" s="107"/>
      <c r="CX231" s="107"/>
      <c r="CY231" s="107"/>
      <c r="CZ231" s="107"/>
      <c r="DP231"/>
      <c r="DQ231" s="85"/>
      <c r="DR231" s="85"/>
      <c r="DS231" s="107"/>
      <c r="DT231" s="107"/>
      <c r="DU231" s="107"/>
      <c r="DV231" s="107"/>
      <c r="DW231" s="107"/>
    </row>
    <row r="232" spans="1:127" ht="16.5">
      <c r="A232" s="54" t="s">
        <v>1737</v>
      </c>
      <c r="B232" s="55"/>
      <c r="C232" s="55"/>
      <c r="D232" s="101"/>
      <c r="E232" s="102"/>
      <c r="F232" s="102"/>
      <c r="G232" s="102"/>
      <c r="H232" s="102">
        <v>3</v>
      </c>
      <c r="I232" s="102">
        <v>13.5</v>
      </c>
      <c r="J232" s="102">
        <v>2.5</v>
      </c>
      <c r="K232" s="102"/>
      <c r="L232" s="102"/>
      <c r="M232" s="103">
        <v>19</v>
      </c>
      <c r="N232" s="340"/>
      <c r="O232" s="340"/>
      <c r="P232" s="340"/>
      <c r="Q232" s="340"/>
      <c r="S232"/>
      <c r="T232"/>
      <c r="U232" s="85"/>
      <c r="V232" s="107"/>
      <c r="W232" s="107"/>
      <c r="X232" s="107"/>
      <c r="Y232" s="107"/>
      <c r="Z232" s="107"/>
      <c r="AK232"/>
      <c r="AL232" s="85"/>
      <c r="AM232" s="85"/>
      <c r="AN232" s="107"/>
      <c r="AO232" s="107"/>
      <c r="AP232" s="107"/>
      <c r="AQ232" s="107"/>
      <c r="AR232" s="107"/>
      <c r="BO232"/>
      <c r="BP232" s="85"/>
      <c r="BQ232" s="85"/>
      <c r="BR232" s="107"/>
      <c r="BS232" s="107"/>
      <c r="BT232" s="107"/>
      <c r="BU232" s="107"/>
      <c r="BV232" s="107"/>
      <c r="CS232"/>
      <c r="CT232" s="85"/>
      <c r="CU232" s="85"/>
      <c r="CV232" s="107"/>
      <c r="CW232" s="107"/>
      <c r="CX232" s="107"/>
      <c r="CY232" s="107"/>
      <c r="CZ232" s="107"/>
      <c r="DP232"/>
      <c r="DQ232" s="85"/>
      <c r="DR232" s="85"/>
      <c r="DS232" s="107"/>
      <c r="DT232" s="107"/>
      <c r="DU232" s="107"/>
      <c r="DV232" s="107"/>
      <c r="DW232" s="107"/>
    </row>
    <row r="233" spans="1:127" ht="16.5">
      <c r="A233" s="38" t="s">
        <v>1772</v>
      </c>
      <c r="B233" s="38" t="s">
        <v>50</v>
      </c>
      <c r="C233" s="38" t="s">
        <v>1352</v>
      </c>
      <c r="D233" s="96"/>
      <c r="E233" s="88"/>
      <c r="F233" s="88"/>
      <c r="G233" s="88"/>
      <c r="H233" s="88"/>
      <c r="I233" s="88">
        <v>1</v>
      </c>
      <c r="J233" s="88"/>
      <c r="K233" s="88"/>
      <c r="L233" s="88"/>
      <c r="M233" s="97">
        <v>1</v>
      </c>
      <c r="N233" s="340"/>
      <c r="O233" s="340"/>
      <c r="P233" s="340"/>
      <c r="Q233" s="340"/>
      <c r="S233"/>
      <c r="T233"/>
      <c r="U233" s="85"/>
      <c r="V233" s="107"/>
      <c r="W233" s="107"/>
      <c r="X233" s="107"/>
      <c r="Y233" s="107"/>
      <c r="Z233" s="107"/>
      <c r="AK233"/>
      <c r="AL233" s="85"/>
      <c r="AM233" s="85"/>
      <c r="AN233" s="107"/>
      <c r="AO233" s="107"/>
      <c r="AP233" s="107"/>
      <c r="AQ233" s="107"/>
      <c r="AR233" s="107"/>
      <c r="BO233"/>
      <c r="BP233" s="85"/>
      <c r="BQ233" s="85"/>
      <c r="BR233" s="107"/>
      <c r="BS233" s="107"/>
      <c r="BT233" s="107"/>
      <c r="BU233" s="107"/>
      <c r="BV233" s="107"/>
      <c r="CS233"/>
      <c r="CT233" s="85"/>
      <c r="CU233" s="85"/>
      <c r="CV233" s="107"/>
      <c r="CW233" s="107"/>
      <c r="CX233" s="107"/>
      <c r="CY233" s="107"/>
      <c r="CZ233" s="107"/>
      <c r="DP233"/>
      <c r="DQ233" s="85"/>
      <c r="DR233" s="85"/>
      <c r="DS233" s="107"/>
      <c r="DT233" s="107"/>
      <c r="DU233" s="107"/>
      <c r="DV233" s="107"/>
      <c r="DW233" s="107"/>
    </row>
    <row r="234" spans="1:127" ht="16.5">
      <c r="A234" s="49"/>
      <c r="B234" s="50" t="s">
        <v>855</v>
      </c>
      <c r="C234" s="51"/>
      <c r="D234" s="98"/>
      <c r="E234" s="99"/>
      <c r="F234" s="99"/>
      <c r="G234" s="99"/>
      <c r="H234" s="99"/>
      <c r="I234" s="99">
        <v>1</v>
      </c>
      <c r="J234" s="99"/>
      <c r="K234" s="99"/>
      <c r="L234" s="99"/>
      <c r="M234" s="100">
        <v>1</v>
      </c>
      <c r="N234" s="340"/>
      <c r="O234" s="340"/>
      <c r="P234" s="340"/>
      <c r="Q234" s="340"/>
      <c r="S234"/>
      <c r="T234"/>
      <c r="U234" s="85"/>
      <c r="V234" s="107"/>
      <c r="W234" s="107"/>
      <c r="X234" s="107"/>
      <c r="Y234" s="107"/>
      <c r="Z234" s="107"/>
      <c r="AK234"/>
      <c r="AL234" s="85"/>
      <c r="AM234" s="85"/>
      <c r="AN234" s="107"/>
      <c r="AO234" s="107"/>
      <c r="AP234" s="107"/>
      <c r="AQ234" s="107"/>
      <c r="AR234" s="107"/>
      <c r="BO234"/>
      <c r="BP234" s="85"/>
      <c r="BQ234" s="85"/>
      <c r="BR234" s="107"/>
      <c r="BS234" s="107"/>
      <c r="BT234" s="107"/>
      <c r="BU234" s="107"/>
      <c r="BV234" s="107"/>
      <c r="CS234"/>
      <c r="CT234" s="85"/>
      <c r="CU234" s="85"/>
      <c r="CV234" s="107"/>
      <c r="CW234" s="107"/>
      <c r="CX234" s="107"/>
      <c r="CY234" s="107"/>
      <c r="CZ234" s="107"/>
      <c r="DP234"/>
      <c r="DQ234" s="85"/>
      <c r="DR234" s="85"/>
      <c r="DS234" s="107"/>
      <c r="DT234" s="107"/>
      <c r="DU234" s="107"/>
      <c r="DV234" s="107"/>
      <c r="DW234" s="107"/>
    </row>
    <row r="235" spans="1:127" ht="16.5">
      <c r="A235" s="49"/>
      <c r="B235" s="38" t="s">
        <v>35</v>
      </c>
      <c r="C235" s="38" t="s">
        <v>1352</v>
      </c>
      <c r="D235" s="96"/>
      <c r="E235" s="88"/>
      <c r="F235" s="88"/>
      <c r="G235" s="88"/>
      <c r="H235" s="88"/>
      <c r="I235" s="88">
        <v>7</v>
      </c>
      <c r="J235" s="88"/>
      <c r="K235" s="88"/>
      <c r="L235" s="88"/>
      <c r="M235" s="97">
        <v>7</v>
      </c>
      <c r="N235" s="340"/>
      <c r="O235" s="340"/>
      <c r="P235" s="340"/>
      <c r="Q235" s="340"/>
      <c r="S235"/>
      <c r="T235"/>
      <c r="U235" s="85"/>
      <c r="V235" s="107"/>
      <c r="W235" s="107"/>
      <c r="X235" s="107"/>
      <c r="Y235" s="107"/>
      <c r="Z235" s="107"/>
      <c r="AK235"/>
      <c r="AL235" s="85"/>
      <c r="AM235" s="85"/>
      <c r="AN235" s="107"/>
      <c r="AO235" s="107"/>
      <c r="AP235" s="107"/>
      <c r="AQ235" s="107"/>
      <c r="AR235" s="107"/>
      <c r="BO235"/>
      <c r="BP235" s="85"/>
      <c r="BQ235" s="85"/>
      <c r="BR235" s="107"/>
      <c r="BS235" s="107"/>
      <c r="BT235" s="107"/>
      <c r="BU235" s="107"/>
      <c r="BV235" s="107"/>
      <c r="CS235"/>
      <c r="CT235" s="85"/>
      <c r="CU235" s="85"/>
      <c r="CV235" s="107"/>
      <c r="CW235" s="107"/>
      <c r="CX235" s="107"/>
      <c r="CY235" s="107"/>
      <c r="CZ235" s="107"/>
      <c r="DP235"/>
      <c r="DQ235" s="85"/>
      <c r="DR235" s="85"/>
      <c r="DS235" s="107"/>
      <c r="DT235" s="107"/>
      <c r="DU235" s="107"/>
      <c r="DV235" s="107"/>
      <c r="DW235" s="107"/>
    </row>
    <row r="236" spans="1:127" ht="16.5">
      <c r="A236" s="49"/>
      <c r="B236" s="50" t="s">
        <v>1347</v>
      </c>
      <c r="C236" s="51"/>
      <c r="D236" s="98"/>
      <c r="E236" s="99"/>
      <c r="F236" s="99"/>
      <c r="G236" s="99"/>
      <c r="H236" s="99"/>
      <c r="I236" s="99">
        <v>7</v>
      </c>
      <c r="J236" s="99"/>
      <c r="K236" s="99"/>
      <c r="L236" s="99"/>
      <c r="M236" s="100">
        <v>7</v>
      </c>
      <c r="N236" s="340"/>
      <c r="O236" s="340"/>
      <c r="P236" s="340"/>
      <c r="Q236" s="340"/>
      <c r="S236"/>
      <c r="T236"/>
      <c r="U236" s="85"/>
      <c r="V236" s="107"/>
      <c r="W236" s="107"/>
      <c r="X236" s="107"/>
      <c r="Y236" s="107"/>
      <c r="Z236" s="107"/>
      <c r="AK236"/>
      <c r="AL236" s="85"/>
      <c r="AM236" s="85"/>
      <c r="AN236" s="107"/>
      <c r="AO236" s="107"/>
      <c r="AP236" s="107"/>
      <c r="AQ236" s="107"/>
      <c r="AR236" s="107"/>
      <c r="BO236"/>
      <c r="BP236" s="85"/>
      <c r="BQ236" s="85"/>
      <c r="BR236" s="107"/>
      <c r="BS236" s="107"/>
      <c r="BT236" s="107"/>
      <c r="BU236" s="107"/>
      <c r="BV236" s="107"/>
      <c r="CS236"/>
      <c r="CT236" s="85"/>
      <c r="CU236" s="85"/>
      <c r="CV236" s="107"/>
      <c r="CW236" s="107"/>
      <c r="CX236" s="107"/>
      <c r="CY236" s="107"/>
      <c r="CZ236" s="107"/>
      <c r="DP236"/>
      <c r="DQ236" s="85"/>
      <c r="DR236" s="85"/>
      <c r="DS236" s="107"/>
      <c r="DT236" s="107"/>
      <c r="DU236" s="107"/>
      <c r="DV236" s="107"/>
      <c r="DW236" s="107"/>
    </row>
    <row r="237" spans="1:127" ht="16.5">
      <c r="A237" s="49"/>
      <c r="B237" s="38" t="s">
        <v>28</v>
      </c>
      <c r="C237" s="38" t="s">
        <v>1352</v>
      </c>
      <c r="D237" s="96"/>
      <c r="E237" s="88"/>
      <c r="F237" s="88"/>
      <c r="G237" s="88"/>
      <c r="H237" s="88"/>
      <c r="I237" s="88">
        <v>1</v>
      </c>
      <c r="J237" s="88">
        <v>3</v>
      </c>
      <c r="K237" s="88"/>
      <c r="L237" s="88"/>
      <c r="M237" s="97">
        <v>4</v>
      </c>
      <c r="N237" s="340"/>
      <c r="O237" s="340"/>
      <c r="P237" s="340"/>
      <c r="Q237" s="340"/>
      <c r="S237"/>
      <c r="T237"/>
      <c r="U237" s="85"/>
      <c r="V237" s="107"/>
      <c r="W237" s="107"/>
      <c r="X237" s="107"/>
      <c r="Y237" s="107"/>
      <c r="Z237" s="107"/>
      <c r="AK237"/>
      <c r="AL237" s="85"/>
      <c r="AM237" s="85"/>
      <c r="AN237" s="107"/>
      <c r="AO237" s="107"/>
      <c r="AP237" s="107"/>
      <c r="AQ237" s="107"/>
      <c r="AR237" s="107"/>
      <c r="BO237"/>
      <c r="BP237" s="85"/>
      <c r="BQ237" s="85"/>
      <c r="BR237" s="107"/>
      <c r="BS237" s="107"/>
      <c r="BT237" s="107"/>
      <c r="BU237" s="107"/>
      <c r="BV237" s="107"/>
      <c r="CS237"/>
      <c r="CT237" s="85"/>
      <c r="CU237" s="85"/>
      <c r="CV237" s="107"/>
      <c r="CW237" s="107"/>
      <c r="CX237" s="107"/>
      <c r="CY237" s="107"/>
      <c r="CZ237" s="107"/>
      <c r="DP237"/>
      <c r="DQ237" s="85"/>
      <c r="DR237" s="85"/>
      <c r="DS237" s="107"/>
      <c r="DT237" s="107"/>
      <c r="DU237" s="107"/>
      <c r="DV237" s="107"/>
      <c r="DW237" s="107"/>
    </row>
    <row r="238" spans="1:127" ht="16.5">
      <c r="A238" s="49"/>
      <c r="B238" s="50" t="s">
        <v>1348</v>
      </c>
      <c r="C238" s="51"/>
      <c r="D238" s="98"/>
      <c r="E238" s="99"/>
      <c r="F238" s="99"/>
      <c r="G238" s="99"/>
      <c r="H238" s="99"/>
      <c r="I238" s="99">
        <v>1</v>
      </c>
      <c r="J238" s="99">
        <v>3</v>
      </c>
      <c r="K238" s="99"/>
      <c r="L238" s="99"/>
      <c r="M238" s="100">
        <v>4</v>
      </c>
      <c r="N238" s="340"/>
      <c r="O238" s="340"/>
      <c r="P238" s="340"/>
      <c r="Q238" s="340"/>
      <c r="S238"/>
      <c r="T238"/>
      <c r="U238" s="85"/>
      <c r="V238" s="107"/>
      <c r="W238" s="107"/>
      <c r="X238" s="107"/>
      <c r="Y238" s="107"/>
      <c r="Z238" s="107"/>
      <c r="AK238"/>
      <c r="AL238" s="85"/>
      <c r="AM238" s="85"/>
      <c r="AN238" s="107"/>
      <c r="AO238" s="107"/>
      <c r="AP238" s="107"/>
      <c r="AQ238" s="107"/>
      <c r="AR238" s="107"/>
      <c r="BO238"/>
      <c r="BP238" s="85"/>
      <c r="BQ238" s="85"/>
      <c r="BR238" s="107"/>
      <c r="BS238" s="107"/>
      <c r="BT238" s="107"/>
      <c r="BU238" s="107"/>
      <c r="BV238" s="107"/>
      <c r="CS238"/>
      <c r="CT238" s="85"/>
      <c r="CU238" s="85"/>
      <c r="CV238" s="107"/>
      <c r="CW238" s="107"/>
      <c r="CX238" s="107"/>
      <c r="CY238" s="107"/>
      <c r="CZ238" s="107"/>
      <c r="DP238"/>
      <c r="DQ238" s="85"/>
      <c r="DR238" s="85"/>
      <c r="DS238" s="107"/>
      <c r="DT238" s="107"/>
      <c r="DU238" s="107"/>
      <c r="DV238" s="107"/>
      <c r="DW238" s="107"/>
    </row>
    <row r="239" spans="1:127" ht="16.5">
      <c r="A239" s="54" t="s">
        <v>1824</v>
      </c>
      <c r="B239" s="55"/>
      <c r="C239" s="55"/>
      <c r="D239" s="101"/>
      <c r="E239" s="102"/>
      <c r="F239" s="102"/>
      <c r="G239" s="102"/>
      <c r="H239" s="102"/>
      <c r="I239" s="102">
        <v>9</v>
      </c>
      <c r="J239" s="102">
        <v>3</v>
      </c>
      <c r="K239" s="102"/>
      <c r="L239" s="102"/>
      <c r="M239" s="103">
        <v>12</v>
      </c>
      <c r="N239" s="340"/>
      <c r="O239" s="340"/>
      <c r="P239" s="340"/>
      <c r="Q239" s="340"/>
      <c r="S239"/>
      <c r="T239"/>
      <c r="U239" s="85"/>
      <c r="V239" s="107"/>
      <c r="W239" s="107"/>
      <c r="X239" s="107"/>
      <c r="Y239" s="107"/>
      <c r="Z239" s="107"/>
      <c r="AK239"/>
      <c r="AL239" s="85"/>
      <c r="AM239" s="85"/>
      <c r="AN239" s="107"/>
      <c r="AO239" s="107"/>
      <c r="AP239" s="107"/>
      <c r="AQ239" s="107"/>
      <c r="AR239" s="107"/>
      <c r="BO239"/>
      <c r="BP239" s="85"/>
      <c r="BQ239" s="85"/>
      <c r="BR239" s="107"/>
      <c r="BS239" s="107"/>
      <c r="BT239" s="107"/>
      <c r="BU239" s="107"/>
      <c r="BV239" s="107"/>
      <c r="CS239"/>
      <c r="CT239" s="85"/>
      <c r="CU239" s="85"/>
      <c r="CV239" s="107"/>
      <c r="CW239" s="107"/>
      <c r="CX239" s="107"/>
      <c r="CY239" s="107"/>
      <c r="CZ239" s="107"/>
      <c r="DP239"/>
      <c r="DQ239" s="85"/>
      <c r="DR239" s="85"/>
      <c r="DS239" s="107"/>
      <c r="DT239" s="107"/>
      <c r="DU239" s="107"/>
      <c r="DV239" s="107"/>
      <c r="DW239" s="107"/>
    </row>
    <row r="240" spans="1:127" ht="16.5">
      <c r="A240" s="38" t="s">
        <v>1828</v>
      </c>
      <c r="B240" s="38" t="s">
        <v>249</v>
      </c>
      <c r="C240" s="38" t="s">
        <v>1352</v>
      </c>
      <c r="D240" s="96"/>
      <c r="E240" s="88"/>
      <c r="F240" s="88"/>
      <c r="G240" s="88"/>
      <c r="H240" s="88"/>
      <c r="I240" s="88">
        <v>4</v>
      </c>
      <c r="J240" s="88"/>
      <c r="K240" s="88"/>
      <c r="L240" s="88"/>
      <c r="M240" s="97">
        <v>4</v>
      </c>
      <c r="N240" s="340"/>
      <c r="O240" s="340"/>
      <c r="P240" s="340"/>
      <c r="Q240" s="340"/>
      <c r="S240"/>
      <c r="T240"/>
      <c r="U240" s="85"/>
      <c r="V240" s="107"/>
      <c r="W240" s="107"/>
      <c r="X240" s="107"/>
      <c r="Y240" s="107"/>
      <c r="Z240" s="107"/>
      <c r="AK240"/>
      <c r="AL240" s="85"/>
      <c r="AM240" s="85"/>
      <c r="AN240" s="107"/>
      <c r="AO240" s="107"/>
      <c r="AP240" s="107"/>
      <c r="AQ240" s="107"/>
      <c r="AR240" s="107"/>
      <c r="BO240"/>
      <c r="BP240" s="85"/>
      <c r="BQ240" s="85"/>
      <c r="BR240" s="107"/>
      <c r="BS240" s="107"/>
      <c r="BT240" s="107"/>
      <c r="BU240" s="107"/>
      <c r="BV240" s="107"/>
      <c r="CS240"/>
      <c r="CT240" s="85"/>
      <c r="CU240" s="85"/>
      <c r="CV240" s="107"/>
      <c r="CW240" s="107"/>
      <c r="CX240" s="107"/>
      <c r="CY240" s="107"/>
      <c r="CZ240" s="107"/>
      <c r="DP240"/>
      <c r="DQ240" s="85"/>
      <c r="DR240" s="85"/>
      <c r="DS240" s="107"/>
      <c r="DT240" s="107"/>
      <c r="DU240" s="107"/>
      <c r="DV240" s="107"/>
      <c r="DW240" s="107"/>
    </row>
    <row r="241" spans="1:127" ht="16.5">
      <c r="A241" s="49"/>
      <c r="B241" s="50" t="s">
        <v>1118</v>
      </c>
      <c r="C241" s="51"/>
      <c r="D241" s="98"/>
      <c r="E241" s="99"/>
      <c r="F241" s="99"/>
      <c r="G241" s="99"/>
      <c r="H241" s="99"/>
      <c r="I241" s="99">
        <v>4</v>
      </c>
      <c r="J241" s="99"/>
      <c r="K241" s="99"/>
      <c r="L241" s="99"/>
      <c r="M241" s="100">
        <v>4</v>
      </c>
      <c r="N241" s="340"/>
      <c r="O241" s="340"/>
      <c r="P241" s="340"/>
      <c r="Q241" s="340"/>
      <c r="S241"/>
      <c r="T241"/>
      <c r="U241" s="85"/>
      <c r="V241" s="107"/>
      <c r="W241" s="107"/>
      <c r="X241" s="107"/>
      <c r="Y241" s="107"/>
      <c r="Z241" s="107"/>
      <c r="AK241"/>
      <c r="AL241" s="85"/>
      <c r="AM241" s="85"/>
      <c r="AN241" s="107"/>
      <c r="AO241" s="107"/>
      <c r="AP241" s="107"/>
      <c r="AQ241" s="107"/>
      <c r="AR241" s="107"/>
      <c r="BO241"/>
      <c r="BP241" s="85"/>
      <c r="BQ241" s="85"/>
      <c r="BR241" s="107"/>
      <c r="BS241" s="107"/>
      <c r="BT241" s="107"/>
      <c r="BU241" s="107"/>
      <c r="BV241" s="107"/>
      <c r="CS241"/>
      <c r="CT241" s="85"/>
      <c r="CU241" s="85"/>
      <c r="CV241" s="107"/>
      <c r="CW241" s="107"/>
      <c r="CX241" s="107"/>
      <c r="CY241" s="107"/>
      <c r="CZ241" s="107"/>
      <c r="DP241"/>
      <c r="DQ241" s="85"/>
      <c r="DR241" s="85"/>
      <c r="DS241" s="107"/>
      <c r="DT241" s="107"/>
      <c r="DU241" s="107"/>
      <c r="DV241" s="107"/>
      <c r="DW241" s="107"/>
    </row>
    <row r="242" spans="1:127" ht="16.5">
      <c r="A242" s="54" t="s">
        <v>1909</v>
      </c>
      <c r="B242" s="55"/>
      <c r="C242" s="55"/>
      <c r="D242" s="101"/>
      <c r="E242" s="102"/>
      <c r="F242" s="102"/>
      <c r="G242" s="102"/>
      <c r="H242" s="102"/>
      <c r="I242" s="102">
        <v>4</v>
      </c>
      <c r="J242" s="102"/>
      <c r="K242" s="102"/>
      <c r="L242" s="102"/>
      <c r="M242" s="103">
        <v>4</v>
      </c>
      <c r="N242" s="340"/>
      <c r="O242" s="340"/>
      <c r="P242" s="340"/>
      <c r="Q242" s="340"/>
      <c r="S242"/>
      <c r="T242"/>
      <c r="U242" s="85"/>
      <c r="V242" s="107"/>
      <c r="W242" s="107"/>
      <c r="X242" s="107"/>
      <c r="Y242" s="107"/>
      <c r="Z242" s="107"/>
      <c r="AK242"/>
      <c r="AL242" s="85"/>
      <c r="AM242" s="85"/>
      <c r="AN242" s="107"/>
      <c r="AO242" s="107"/>
      <c r="AP242" s="107"/>
      <c r="AQ242" s="107"/>
      <c r="AR242" s="107"/>
      <c r="BO242"/>
      <c r="BP242" s="85"/>
      <c r="BQ242" s="85"/>
      <c r="BR242" s="107"/>
      <c r="BS242" s="107"/>
      <c r="BT242" s="107"/>
      <c r="BU242" s="107"/>
      <c r="BV242" s="107"/>
      <c r="CS242"/>
      <c r="CT242" s="85"/>
      <c r="CU242" s="85"/>
      <c r="CV242" s="107"/>
      <c r="CW242" s="107"/>
      <c r="CX242" s="107"/>
      <c r="CY242" s="107"/>
      <c r="CZ242" s="107"/>
      <c r="DP242"/>
      <c r="DQ242" s="85"/>
      <c r="DR242" s="85"/>
      <c r="DS242" s="107"/>
      <c r="DT242" s="107"/>
      <c r="DU242" s="107"/>
      <c r="DV242" s="107"/>
      <c r="DW242" s="107"/>
    </row>
    <row r="243" spans="1:127" ht="16.5">
      <c r="A243" s="38" t="s">
        <v>1893</v>
      </c>
      <c r="B243" s="38" t="s">
        <v>26</v>
      </c>
      <c r="C243" s="38" t="s">
        <v>1352</v>
      </c>
      <c r="D243" s="96"/>
      <c r="E243" s="88"/>
      <c r="F243" s="88"/>
      <c r="G243" s="88"/>
      <c r="H243" s="88"/>
      <c r="I243" s="88">
        <v>2</v>
      </c>
      <c r="J243" s="88"/>
      <c r="K243" s="88"/>
      <c r="L243" s="88"/>
      <c r="M243" s="97">
        <v>2</v>
      </c>
      <c r="N243" s="340"/>
      <c r="O243" s="340"/>
      <c r="P243" s="340"/>
      <c r="Q243" s="340"/>
      <c r="S243"/>
      <c r="T243"/>
      <c r="U243" s="85"/>
      <c r="V243" s="107"/>
      <c r="W243" s="107"/>
      <c r="X243" s="107"/>
      <c r="Y243" s="107"/>
      <c r="Z243" s="107"/>
      <c r="AK243"/>
      <c r="AL243" s="85"/>
      <c r="AM243" s="85"/>
      <c r="AN243" s="107"/>
      <c r="AO243" s="107"/>
      <c r="AP243" s="107"/>
      <c r="AQ243" s="107"/>
      <c r="AR243" s="107"/>
      <c r="BO243"/>
      <c r="BP243" s="85"/>
      <c r="BQ243" s="85"/>
      <c r="BR243" s="107"/>
      <c r="BS243" s="107"/>
      <c r="BT243" s="107"/>
      <c r="BU243" s="107"/>
      <c r="BV243" s="107"/>
      <c r="CS243"/>
      <c r="CT243" s="85"/>
      <c r="CU243" s="85"/>
      <c r="CV243" s="107"/>
      <c r="CW243" s="107"/>
      <c r="CX243" s="107"/>
      <c r="CY243" s="107"/>
      <c r="CZ243" s="107"/>
      <c r="DP243"/>
      <c r="DQ243" s="85"/>
      <c r="DR243" s="85"/>
      <c r="DS243" s="107"/>
      <c r="DT243" s="107"/>
      <c r="DU243" s="107"/>
      <c r="DV243" s="107"/>
      <c r="DW243" s="107"/>
    </row>
    <row r="244" spans="1:127" ht="16.5">
      <c r="A244" s="49"/>
      <c r="B244" s="50" t="s">
        <v>1462</v>
      </c>
      <c r="C244" s="51"/>
      <c r="D244" s="98"/>
      <c r="E244" s="99"/>
      <c r="F244" s="99"/>
      <c r="G244" s="99"/>
      <c r="H244" s="99"/>
      <c r="I244" s="99">
        <v>2</v>
      </c>
      <c r="J244" s="99"/>
      <c r="K244" s="99"/>
      <c r="L244" s="99"/>
      <c r="M244" s="100">
        <v>2</v>
      </c>
      <c r="N244" s="340"/>
      <c r="O244" s="340"/>
      <c r="P244" s="340"/>
      <c r="Q244" s="340"/>
      <c r="S244"/>
      <c r="T244"/>
      <c r="U244" s="85"/>
      <c r="V244" s="107"/>
      <c r="W244" s="107"/>
      <c r="X244" s="107"/>
      <c r="Y244" s="107"/>
      <c r="Z244" s="107"/>
      <c r="AK244"/>
      <c r="AL244" s="85"/>
      <c r="AM244" s="85"/>
      <c r="AN244" s="107"/>
      <c r="AO244" s="107"/>
      <c r="AP244" s="107"/>
      <c r="AQ244" s="107"/>
      <c r="AR244" s="107"/>
      <c r="BO244"/>
      <c r="BP244" s="85"/>
      <c r="BQ244" s="85"/>
      <c r="BR244" s="107"/>
      <c r="BS244" s="107"/>
      <c r="BT244" s="107"/>
      <c r="BU244" s="107"/>
      <c r="BV244" s="107"/>
      <c r="CS244"/>
      <c r="CT244" s="85"/>
      <c r="CU244" s="85"/>
      <c r="CV244" s="107"/>
      <c r="CW244" s="107"/>
      <c r="CX244" s="107"/>
      <c r="CY244" s="107"/>
      <c r="CZ244" s="107"/>
      <c r="DP244"/>
      <c r="DQ244" s="85"/>
      <c r="DR244" s="85"/>
      <c r="DS244" s="107"/>
      <c r="DT244" s="107"/>
      <c r="DU244" s="107"/>
      <c r="DV244" s="107"/>
      <c r="DW244" s="107"/>
    </row>
    <row r="245" spans="1:127" ht="16.5">
      <c r="A245" s="49"/>
      <c r="B245" s="38" t="s">
        <v>25</v>
      </c>
      <c r="C245" s="38" t="s">
        <v>1352</v>
      </c>
      <c r="D245" s="96"/>
      <c r="E245" s="88"/>
      <c r="F245" s="88"/>
      <c r="G245" s="88"/>
      <c r="H245" s="88">
        <v>1</v>
      </c>
      <c r="I245" s="88">
        <v>1</v>
      </c>
      <c r="J245" s="88"/>
      <c r="K245" s="88"/>
      <c r="L245" s="88"/>
      <c r="M245" s="97">
        <v>2</v>
      </c>
      <c r="N245" s="340"/>
      <c r="O245" s="340"/>
      <c r="P245" s="340"/>
      <c r="Q245" s="340"/>
      <c r="S245"/>
      <c r="T245"/>
      <c r="U245" s="85"/>
      <c r="V245" s="107"/>
      <c r="W245" s="107"/>
      <c r="X245" s="107"/>
      <c r="Y245" s="107"/>
      <c r="Z245" s="107"/>
      <c r="AK245"/>
      <c r="AL245" s="85"/>
      <c r="AM245" s="85"/>
      <c r="AN245" s="107"/>
      <c r="AO245" s="107"/>
      <c r="AP245" s="107"/>
      <c r="AQ245" s="107"/>
      <c r="AR245" s="107"/>
      <c r="BO245"/>
      <c r="BP245" s="85"/>
      <c r="BQ245" s="85"/>
      <c r="BR245" s="107"/>
      <c r="BS245" s="107"/>
      <c r="BT245" s="107"/>
      <c r="BU245" s="107"/>
      <c r="BV245" s="107"/>
      <c r="CS245"/>
      <c r="CT245" s="85"/>
      <c r="CU245" s="85"/>
      <c r="CV245" s="107"/>
      <c r="CW245" s="107"/>
      <c r="CX245" s="107"/>
      <c r="CY245" s="107"/>
      <c r="CZ245" s="107"/>
      <c r="DP245"/>
      <c r="DQ245" s="85"/>
      <c r="DR245" s="85"/>
      <c r="DS245" s="107"/>
      <c r="DT245" s="107"/>
      <c r="DU245" s="107"/>
      <c r="DV245" s="107"/>
      <c r="DW245" s="107"/>
    </row>
    <row r="246" spans="1:127" ht="16.5">
      <c r="A246" s="49"/>
      <c r="B246" s="50" t="s">
        <v>1553</v>
      </c>
      <c r="C246" s="51"/>
      <c r="D246" s="98"/>
      <c r="E246" s="99"/>
      <c r="F246" s="99"/>
      <c r="G246" s="99"/>
      <c r="H246" s="99">
        <v>1</v>
      </c>
      <c r="I246" s="99">
        <v>1</v>
      </c>
      <c r="J246" s="99"/>
      <c r="K246" s="99"/>
      <c r="L246" s="99"/>
      <c r="M246" s="100">
        <v>2</v>
      </c>
      <c r="N246" s="340"/>
      <c r="O246" s="340"/>
      <c r="P246" s="340"/>
      <c r="Q246" s="340"/>
      <c r="S246"/>
      <c r="T246"/>
      <c r="U246" s="85"/>
      <c r="V246" s="107"/>
      <c r="W246" s="107"/>
      <c r="X246" s="107"/>
      <c r="Y246" s="107"/>
      <c r="Z246" s="107"/>
      <c r="AK246"/>
      <c r="AL246" s="85"/>
      <c r="AM246" s="85"/>
      <c r="AN246" s="107"/>
      <c r="AO246" s="107"/>
      <c r="AP246" s="107"/>
      <c r="AQ246" s="107"/>
      <c r="AR246" s="107"/>
      <c r="BO246"/>
      <c r="BP246" s="85"/>
      <c r="BQ246" s="85"/>
      <c r="BR246" s="107"/>
      <c r="BS246" s="107"/>
      <c r="BT246" s="107"/>
      <c r="BU246" s="107"/>
      <c r="BV246" s="107"/>
      <c r="CS246"/>
      <c r="CT246" s="85"/>
      <c r="CU246" s="85"/>
      <c r="CV246" s="107"/>
      <c r="CW246" s="107"/>
      <c r="CX246" s="107"/>
      <c r="CY246" s="107"/>
      <c r="CZ246" s="107"/>
      <c r="DP246"/>
      <c r="DQ246" s="85"/>
      <c r="DR246" s="85"/>
      <c r="DS246" s="107"/>
      <c r="DT246" s="107"/>
      <c r="DU246" s="107"/>
      <c r="DV246" s="107"/>
      <c r="DW246" s="107"/>
    </row>
    <row r="247" spans="1:127" ht="16.5">
      <c r="A247" s="49"/>
      <c r="B247" s="38" t="s">
        <v>24</v>
      </c>
      <c r="C247" s="38" t="s">
        <v>1352</v>
      </c>
      <c r="D247" s="96"/>
      <c r="E247" s="88"/>
      <c r="F247" s="88"/>
      <c r="G247" s="88"/>
      <c r="H247" s="88">
        <v>1</v>
      </c>
      <c r="I247" s="88">
        <v>1</v>
      </c>
      <c r="J247" s="88"/>
      <c r="K247" s="88"/>
      <c r="L247" s="88"/>
      <c r="M247" s="97">
        <v>2</v>
      </c>
      <c r="N247" s="340"/>
      <c r="O247" s="340"/>
      <c r="P247" s="340"/>
      <c r="Q247" s="340"/>
      <c r="S247"/>
      <c r="T247"/>
      <c r="U247" s="85"/>
      <c r="V247" s="107"/>
      <c r="W247" s="107"/>
      <c r="X247" s="107"/>
      <c r="Y247" s="107"/>
      <c r="Z247" s="107"/>
      <c r="AK247"/>
      <c r="AL247" s="85"/>
      <c r="AM247" s="85"/>
      <c r="AN247" s="107"/>
      <c r="AO247" s="107"/>
      <c r="AP247" s="107"/>
      <c r="AQ247" s="107"/>
      <c r="AR247" s="107"/>
      <c r="BO247"/>
      <c r="BP247" s="85"/>
      <c r="BQ247" s="85"/>
      <c r="BR247" s="107"/>
      <c r="BS247" s="107"/>
      <c r="BT247" s="107"/>
      <c r="BU247" s="107"/>
      <c r="BV247" s="107"/>
      <c r="CS247"/>
      <c r="CT247" s="85"/>
      <c r="CU247" s="85"/>
      <c r="CV247" s="107"/>
      <c r="CW247" s="107"/>
      <c r="CX247" s="107"/>
      <c r="CY247" s="107"/>
      <c r="CZ247" s="107"/>
      <c r="DP247"/>
      <c r="DQ247" s="85"/>
      <c r="DR247" s="85"/>
      <c r="DS247" s="107"/>
      <c r="DT247" s="107"/>
      <c r="DU247" s="107"/>
      <c r="DV247" s="107"/>
      <c r="DW247" s="107"/>
    </row>
    <row r="248" spans="1:127" ht="16.5">
      <c r="A248" s="49"/>
      <c r="B248" s="50" t="s">
        <v>1554</v>
      </c>
      <c r="C248" s="51"/>
      <c r="D248" s="98"/>
      <c r="E248" s="99"/>
      <c r="F248" s="99"/>
      <c r="G248" s="99"/>
      <c r="H248" s="99">
        <v>1</v>
      </c>
      <c r="I248" s="99">
        <v>1</v>
      </c>
      <c r="J248" s="99"/>
      <c r="K248" s="99"/>
      <c r="L248" s="99"/>
      <c r="M248" s="100">
        <v>2</v>
      </c>
      <c r="N248" s="340"/>
      <c r="O248" s="340"/>
      <c r="P248" s="340"/>
      <c r="Q248" s="340"/>
      <c r="S248"/>
      <c r="T248"/>
      <c r="U248" s="85"/>
      <c r="V248" s="107"/>
      <c r="W248" s="107"/>
      <c r="X248" s="107"/>
      <c r="Y248" s="107"/>
      <c r="Z248" s="107"/>
      <c r="AK248"/>
      <c r="AL248" s="85"/>
      <c r="AM248" s="85"/>
      <c r="AN248" s="107"/>
      <c r="AO248" s="107"/>
      <c r="AP248" s="107"/>
      <c r="AQ248" s="107"/>
      <c r="AR248" s="107"/>
      <c r="BO248"/>
      <c r="BP248" s="85"/>
      <c r="BQ248" s="85"/>
      <c r="BR248" s="107"/>
      <c r="BS248" s="107"/>
      <c r="BT248" s="107"/>
      <c r="BU248" s="107"/>
      <c r="BV248" s="107"/>
      <c r="CS248"/>
      <c r="CT248" s="85"/>
      <c r="CU248" s="85"/>
      <c r="CV248" s="107"/>
      <c r="CW248" s="107"/>
      <c r="CX248" s="107"/>
      <c r="CY248" s="107"/>
      <c r="CZ248" s="107"/>
      <c r="DP248"/>
      <c r="DQ248" s="85"/>
      <c r="DR248" s="85"/>
      <c r="DS248" s="107"/>
      <c r="DT248" s="107"/>
      <c r="DU248" s="107"/>
      <c r="DV248" s="107"/>
      <c r="DW248" s="107"/>
    </row>
    <row r="249" spans="1:127" ht="16.5">
      <c r="A249" s="49"/>
      <c r="B249" s="38" t="s">
        <v>27</v>
      </c>
      <c r="C249" s="38" t="s">
        <v>1352</v>
      </c>
      <c r="D249" s="96"/>
      <c r="E249" s="88"/>
      <c r="F249" s="88"/>
      <c r="G249" s="88"/>
      <c r="H249" s="88">
        <v>1</v>
      </c>
      <c r="I249" s="88">
        <v>1</v>
      </c>
      <c r="J249" s="88"/>
      <c r="K249" s="88"/>
      <c r="L249" s="88"/>
      <c r="M249" s="97">
        <v>2</v>
      </c>
      <c r="N249" s="340"/>
      <c r="O249" s="340"/>
      <c r="P249" s="340"/>
      <c r="Q249" s="340"/>
      <c r="S249"/>
      <c r="T249"/>
      <c r="U249" s="85"/>
      <c r="V249" s="107"/>
      <c r="W249" s="107"/>
      <c r="X249" s="107"/>
      <c r="Y249" s="107"/>
      <c r="Z249" s="107"/>
      <c r="AK249"/>
      <c r="AL249" s="85"/>
      <c r="AM249" s="85"/>
      <c r="AN249" s="107"/>
      <c r="AO249" s="107"/>
      <c r="AP249" s="107"/>
      <c r="AQ249" s="107"/>
      <c r="AR249" s="107"/>
      <c r="BO249"/>
      <c r="BP249" s="85"/>
      <c r="BQ249" s="85"/>
      <c r="BR249" s="107"/>
      <c r="BS249" s="107"/>
      <c r="BT249" s="107"/>
      <c r="BU249" s="107"/>
      <c r="BV249" s="107"/>
      <c r="CS249"/>
      <c r="CT249" s="85"/>
      <c r="CU249" s="85"/>
      <c r="CV249" s="107"/>
      <c r="CW249" s="107"/>
      <c r="CX249" s="107"/>
      <c r="CY249" s="107"/>
      <c r="CZ249" s="107"/>
      <c r="DP249"/>
      <c r="DQ249" s="85"/>
      <c r="DR249" s="85"/>
      <c r="DS249" s="107"/>
      <c r="DT249" s="107"/>
      <c r="DU249" s="107"/>
      <c r="DV249" s="107"/>
      <c r="DW249" s="107"/>
    </row>
    <row r="250" spans="1:127" ht="16.5">
      <c r="A250" s="49"/>
      <c r="B250" s="50" t="s">
        <v>1463</v>
      </c>
      <c r="C250" s="51"/>
      <c r="D250" s="98"/>
      <c r="E250" s="99"/>
      <c r="F250" s="99"/>
      <c r="G250" s="99"/>
      <c r="H250" s="99">
        <v>1</v>
      </c>
      <c r="I250" s="99">
        <v>1</v>
      </c>
      <c r="J250" s="99"/>
      <c r="K250" s="99"/>
      <c r="L250" s="99"/>
      <c r="M250" s="100">
        <v>2</v>
      </c>
      <c r="N250" s="340"/>
      <c r="O250" s="340"/>
      <c r="P250" s="340"/>
      <c r="Q250" s="340"/>
      <c r="S250"/>
      <c r="T250"/>
      <c r="U250" s="85"/>
      <c r="V250" s="107"/>
      <c r="W250" s="107"/>
      <c r="X250" s="107"/>
      <c r="Y250" s="107"/>
      <c r="Z250" s="107"/>
      <c r="AK250"/>
      <c r="AL250" s="85"/>
      <c r="AM250" s="85"/>
      <c r="AN250" s="107"/>
      <c r="AO250" s="107"/>
      <c r="AP250" s="107"/>
      <c r="AQ250" s="107"/>
      <c r="AR250" s="107"/>
      <c r="BO250"/>
      <c r="BP250" s="85"/>
      <c r="BQ250" s="85"/>
      <c r="BR250" s="107"/>
      <c r="BS250" s="107"/>
      <c r="BT250" s="107"/>
      <c r="BU250" s="107"/>
      <c r="BV250" s="107"/>
      <c r="CS250"/>
      <c r="CT250" s="85"/>
      <c r="CU250" s="85"/>
      <c r="CV250" s="107"/>
      <c r="CW250" s="107"/>
      <c r="CX250" s="107"/>
      <c r="CY250" s="107"/>
      <c r="CZ250" s="107"/>
      <c r="DP250"/>
      <c r="DQ250" s="85"/>
      <c r="DR250" s="85"/>
      <c r="DS250" s="107"/>
      <c r="DT250" s="107"/>
      <c r="DU250" s="107"/>
      <c r="DV250" s="107"/>
      <c r="DW250" s="107"/>
    </row>
    <row r="251" spans="1:127" ht="16.5">
      <c r="A251" s="54" t="s">
        <v>1910</v>
      </c>
      <c r="B251" s="55"/>
      <c r="C251" s="55"/>
      <c r="D251" s="101"/>
      <c r="E251" s="102"/>
      <c r="F251" s="102"/>
      <c r="G251" s="102"/>
      <c r="H251" s="102">
        <v>3</v>
      </c>
      <c r="I251" s="102">
        <v>5</v>
      </c>
      <c r="J251" s="102"/>
      <c r="K251" s="102"/>
      <c r="L251" s="102"/>
      <c r="M251" s="103">
        <v>8</v>
      </c>
      <c r="N251" s="340"/>
      <c r="O251" s="340"/>
      <c r="P251" s="340"/>
      <c r="Q251" s="340"/>
      <c r="S251"/>
      <c r="T251"/>
      <c r="U251" s="85"/>
      <c r="V251" s="107"/>
      <c r="W251" s="107"/>
      <c r="X251" s="107"/>
      <c r="Y251" s="107"/>
      <c r="Z251" s="107"/>
      <c r="AK251"/>
      <c r="AL251" s="85"/>
      <c r="AM251" s="85"/>
      <c r="AN251" s="107"/>
      <c r="AO251" s="107"/>
      <c r="AP251" s="107"/>
      <c r="AQ251" s="107"/>
      <c r="AR251" s="107"/>
      <c r="BO251"/>
      <c r="BP251" s="85"/>
      <c r="BQ251" s="85"/>
      <c r="BR251" s="107"/>
      <c r="BS251" s="107"/>
      <c r="BT251" s="107"/>
      <c r="BU251" s="107"/>
      <c r="BV251" s="107"/>
      <c r="CS251"/>
      <c r="CT251" s="85"/>
      <c r="CU251" s="85"/>
      <c r="CV251" s="107"/>
      <c r="CW251" s="107"/>
      <c r="CX251" s="107"/>
      <c r="CY251" s="107"/>
      <c r="CZ251" s="107"/>
      <c r="DP251"/>
      <c r="DQ251" s="85"/>
      <c r="DR251" s="85"/>
      <c r="DS251" s="107"/>
      <c r="DT251" s="107"/>
      <c r="DU251" s="107"/>
      <c r="DV251" s="107"/>
      <c r="DW251" s="107"/>
    </row>
    <row r="252" spans="1:127" ht="16.5">
      <c r="A252" s="38" t="s">
        <v>2089</v>
      </c>
      <c r="B252" s="38" t="s">
        <v>1946</v>
      </c>
      <c r="C252" s="38" t="s">
        <v>1743</v>
      </c>
      <c r="D252" s="96"/>
      <c r="E252" s="88"/>
      <c r="F252" s="88"/>
      <c r="G252" s="88"/>
      <c r="H252" s="88"/>
      <c r="I252" s="88"/>
      <c r="J252" s="88">
        <v>8</v>
      </c>
      <c r="K252" s="88"/>
      <c r="L252" s="88"/>
      <c r="M252" s="97">
        <v>8</v>
      </c>
      <c r="N252" s="340"/>
      <c r="O252" s="340"/>
      <c r="P252" s="340"/>
      <c r="Q252" s="340"/>
      <c r="S252"/>
      <c r="T252"/>
      <c r="U252" s="85"/>
      <c r="V252" s="107"/>
      <c r="W252" s="107"/>
      <c r="X252" s="107"/>
      <c r="Y252" s="107"/>
      <c r="Z252" s="107"/>
      <c r="AK252"/>
      <c r="AL252" s="85"/>
      <c r="AM252" s="85"/>
      <c r="AN252" s="107"/>
      <c r="AO252" s="107"/>
      <c r="AP252" s="107"/>
      <c r="AQ252" s="107"/>
      <c r="AR252" s="107"/>
      <c r="BO252"/>
      <c r="BP252" s="85"/>
      <c r="BQ252" s="85"/>
      <c r="BR252" s="107"/>
      <c r="BS252" s="107"/>
      <c r="BT252" s="107"/>
      <c r="BU252" s="107"/>
      <c r="BV252" s="107"/>
      <c r="CS252"/>
      <c r="CT252" s="85"/>
      <c r="CU252" s="85"/>
      <c r="CV252" s="107"/>
      <c r="CW252" s="107"/>
      <c r="CX252" s="107"/>
      <c r="CY252" s="107"/>
      <c r="CZ252" s="107"/>
      <c r="DP252"/>
      <c r="DQ252" s="85"/>
      <c r="DR252" s="85"/>
      <c r="DS252" s="107"/>
      <c r="DT252" s="107"/>
      <c r="DU252" s="107"/>
      <c r="DV252" s="107"/>
      <c r="DW252" s="107"/>
    </row>
    <row r="253" spans="1:127" ht="16.5">
      <c r="A253" s="49"/>
      <c r="B253" s="49"/>
      <c r="C253" s="65" t="s">
        <v>2068</v>
      </c>
      <c r="D253" s="250"/>
      <c r="E253" s="351"/>
      <c r="F253" s="351"/>
      <c r="G253" s="351"/>
      <c r="H253" s="351"/>
      <c r="I253" s="351"/>
      <c r="J253" s="351"/>
      <c r="K253" s="351"/>
      <c r="L253" s="351">
        <v>6</v>
      </c>
      <c r="M253" s="251">
        <v>6</v>
      </c>
      <c r="N253" s="340"/>
      <c r="O253" s="340"/>
      <c r="P253" s="340"/>
      <c r="Q253" s="340"/>
      <c r="S253"/>
      <c r="T253"/>
      <c r="U253" s="85"/>
      <c r="V253" s="107"/>
      <c r="W253" s="107"/>
      <c r="X253" s="107"/>
      <c r="Y253" s="107"/>
      <c r="Z253" s="107"/>
      <c r="AK253"/>
      <c r="AL253" s="85"/>
      <c r="AM253" s="85"/>
      <c r="AN253" s="107"/>
      <c r="AO253" s="107"/>
      <c r="AP253" s="107"/>
      <c r="AQ253" s="107"/>
      <c r="AR253" s="107"/>
      <c r="BO253"/>
      <c r="BP253" s="85"/>
      <c r="BQ253" s="85"/>
      <c r="BR253" s="107"/>
      <c r="BS253" s="107"/>
      <c r="BT253" s="107"/>
      <c r="BU253" s="107"/>
      <c r="BV253" s="107"/>
      <c r="CS253"/>
      <c r="CT253" s="85"/>
      <c r="CU253" s="85"/>
      <c r="CV253" s="107"/>
      <c r="CW253" s="107"/>
      <c r="CX253" s="107"/>
      <c r="CY253" s="107"/>
      <c r="CZ253" s="107"/>
      <c r="DP253"/>
      <c r="DQ253" s="85"/>
      <c r="DR253" s="85"/>
      <c r="DS253" s="107"/>
      <c r="DT253" s="107"/>
      <c r="DU253" s="107"/>
      <c r="DV253" s="107"/>
      <c r="DW253" s="107"/>
    </row>
    <row r="254" spans="1:127" ht="16.5">
      <c r="A254" s="49"/>
      <c r="B254" s="50" t="s">
        <v>1957</v>
      </c>
      <c r="C254" s="51"/>
      <c r="D254" s="98"/>
      <c r="E254" s="99"/>
      <c r="F254" s="99"/>
      <c r="G254" s="99"/>
      <c r="H254" s="99"/>
      <c r="I254" s="99"/>
      <c r="J254" s="99">
        <v>8</v>
      </c>
      <c r="K254" s="99"/>
      <c r="L254" s="99">
        <v>6</v>
      </c>
      <c r="M254" s="100">
        <v>14</v>
      </c>
      <c r="N254" s="340"/>
      <c r="O254" s="340"/>
      <c r="P254" s="340"/>
      <c r="Q254" s="340"/>
      <c r="S254"/>
      <c r="T254"/>
      <c r="U254" s="85"/>
      <c r="V254" s="107"/>
      <c r="W254" s="107"/>
      <c r="X254" s="107"/>
      <c r="Y254" s="107"/>
      <c r="Z254" s="107"/>
      <c r="AK254"/>
      <c r="AL254" s="85"/>
      <c r="AM254" s="85"/>
      <c r="AN254" s="107"/>
      <c r="AO254" s="107"/>
      <c r="AP254" s="107"/>
      <c r="AQ254" s="107"/>
      <c r="AR254" s="107"/>
      <c r="BO254"/>
      <c r="BP254" s="85"/>
      <c r="BQ254" s="85"/>
      <c r="BR254" s="107"/>
      <c r="BS254" s="107"/>
      <c r="BT254" s="107"/>
      <c r="BU254" s="107"/>
      <c r="BV254" s="107"/>
      <c r="CS254"/>
      <c r="CT254" s="85"/>
      <c r="CU254" s="85"/>
      <c r="CV254" s="107"/>
      <c r="CW254" s="107"/>
      <c r="CX254" s="107"/>
      <c r="CY254" s="107"/>
      <c r="CZ254" s="107"/>
      <c r="DP254"/>
      <c r="DQ254" s="85"/>
      <c r="DR254" s="85"/>
      <c r="DS254" s="107"/>
      <c r="DT254" s="107"/>
      <c r="DU254" s="107"/>
      <c r="DV254" s="107"/>
      <c r="DW254" s="107"/>
    </row>
    <row r="255" spans="1:127" ht="16.5">
      <c r="A255" s="54" t="s">
        <v>2154</v>
      </c>
      <c r="B255" s="55"/>
      <c r="C255" s="55"/>
      <c r="D255" s="101"/>
      <c r="E255" s="102"/>
      <c r="F255" s="102"/>
      <c r="G255" s="102"/>
      <c r="H255" s="102"/>
      <c r="I255" s="102"/>
      <c r="J255" s="102">
        <v>8</v>
      </c>
      <c r="K255" s="102"/>
      <c r="L255" s="102">
        <v>6</v>
      </c>
      <c r="M255" s="103">
        <v>14</v>
      </c>
      <c r="N255" s="340"/>
      <c r="O255" s="340"/>
      <c r="P255" s="340"/>
      <c r="Q255" s="340"/>
      <c r="S255"/>
      <c r="T255"/>
      <c r="U255" s="85"/>
      <c r="V255" s="107"/>
      <c r="W255" s="107"/>
      <c r="X255" s="107"/>
      <c r="Y255" s="107"/>
      <c r="Z255" s="107"/>
      <c r="AK255"/>
      <c r="AL255" s="85"/>
      <c r="AM255" s="85"/>
      <c r="AN255" s="107"/>
      <c r="AO255" s="107"/>
      <c r="AP255" s="107"/>
      <c r="AQ255" s="107"/>
      <c r="AR255" s="107"/>
      <c r="BO255"/>
      <c r="BP255" s="85"/>
      <c r="BQ255" s="85"/>
      <c r="BR255" s="107"/>
      <c r="BS255" s="107"/>
      <c r="BT255" s="107"/>
      <c r="BU255" s="107"/>
      <c r="BV255" s="107"/>
      <c r="CS255"/>
      <c r="CT255" s="85"/>
      <c r="CU255" s="85"/>
      <c r="CV255" s="107"/>
      <c r="CW255" s="107"/>
      <c r="CX255" s="107"/>
      <c r="CY255" s="107"/>
      <c r="CZ255" s="107"/>
      <c r="DP255"/>
      <c r="DQ255" s="85"/>
      <c r="DR255" s="85"/>
      <c r="DS255" s="107"/>
      <c r="DT255" s="107"/>
      <c r="DU255" s="107"/>
      <c r="DV255" s="107"/>
      <c r="DW255" s="107"/>
    </row>
    <row r="256" spans="1:127" ht="16.5">
      <c r="A256" s="38" t="s">
        <v>2196</v>
      </c>
      <c r="B256" s="38" t="s">
        <v>31</v>
      </c>
      <c r="C256" s="38" t="s">
        <v>1743</v>
      </c>
      <c r="D256" s="96"/>
      <c r="E256" s="88"/>
      <c r="F256" s="88"/>
      <c r="G256" s="88"/>
      <c r="H256" s="88"/>
      <c r="I256" s="88"/>
      <c r="J256" s="88">
        <v>9</v>
      </c>
      <c r="K256" s="88"/>
      <c r="L256" s="88"/>
      <c r="M256" s="97">
        <v>9</v>
      </c>
      <c r="N256" s="340"/>
      <c r="O256" s="340"/>
      <c r="P256" s="340"/>
      <c r="Q256" s="340"/>
      <c r="S256"/>
      <c r="T256"/>
      <c r="U256" s="85"/>
      <c r="V256" s="107"/>
      <c r="W256" s="107"/>
      <c r="X256" s="107"/>
      <c r="Y256" s="107"/>
      <c r="Z256" s="107"/>
      <c r="AK256"/>
      <c r="AL256" s="85"/>
      <c r="AM256" s="85"/>
      <c r="AN256" s="107"/>
      <c r="AO256" s="107"/>
      <c r="AP256" s="107"/>
      <c r="AQ256" s="107"/>
      <c r="AR256" s="107"/>
      <c r="BO256"/>
      <c r="BP256" s="85"/>
      <c r="BQ256" s="85"/>
      <c r="BR256" s="107"/>
      <c r="BS256" s="107"/>
      <c r="BT256" s="107"/>
      <c r="BU256" s="107"/>
      <c r="BV256" s="107"/>
      <c r="CS256"/>
      <c r="CT256" s="85"/>
      <c r="CU256" s="85"/>
      <c r="CV256" s="107"/>
      <c r="CW256" s="107"/>
      <c r="CX256" s="107"/>
      <c r="CY256" s="107"/>
      <c r="CZ256" s="107"/>
      <c r="DP256"/>
      <c r="DQ256" s="85"/>
      <c r="DR256" s="85"/>
      <c r="DS256" s="107"/>
      <c r="DT256" s="107"/>
      <c r="DU256" s="107"/>
      <c r="DV256" s="107"/>
      <c r="DW256" s="107"/>
    </row>
    <row r="257" spans="1:127" ht="16.5">
      <c r="A257" s="49"/>
      <c r="B257" s="50" t="s">
        <v>1915</v>
      </c>
      <c r="C257" s="51"/>
      <c r="D257" s="98"/>
      <c r="E257" s="99"/>
      <c r="F257" s="99"/>
      <c r="G257" s="99"/>
      <c r="H257" s="99"/>
      <c r="I257" s="99"/>
      <c r="J257" s="99">
        <v>9</v>
      </c>
      <c r="K257" s="99"/>
      <c r="L257" s="99"/>
      <c r="M257" s="100">
        <v>9</v>
      </c>
      <c r="N257" s="340"/>
      <c r="O257" s="340"/>
      <c r="P257" s="340"/>
      <c r="Q257" s="340"/>
      <c r="S257"/>
      <c r="T257"/>
      <c r="U257" s="85"/>
      <c r="V257" s="107"/>
      <c r="W257" s="107"/>
      <c r="X257" s="107"/>
      <c r="Y257" s="107"/>
      <c r="Z257" s="107"/>
      <c r="AK257"/>
      <c r="AL257" s="85"/>
      <c r="AM257" s="85"/>
      <c r="AN257" s="107"/>
      <c r="AO257" s="107"/>
      <c r="AP257" s="107"/>
      <c r="AQ257" s="107"/>
      <c r="AR257" s="107"/>
      <c r="BO257"/>
      <c r="BP257" s="85"/>
      <c r="BQ257" s="85"/>
      <c r="BR257" s="107"/>
      <c r="BS257" s="107"/>
      <c r="BT257" s="107"/>
      <c r="BU257" s="107"/>
      <c r="BV257" s="107"/>
      <c r="CS257"/>
      <c r="CT257" s="85"/>
      <c r="CU257" s="85"/>
      <c r="CV257" s="107"/>
      <c r="CW257" s="107"/>
      <c r="CX257" s="107"/>
      <c r="CY257" s="107"/>
      <c r="CZ257" s="107"/>
      <c r="DP257"/>
      <c r="DQ257" s="85"/>
      <c r="DR257" s="85"/>
      <c r="DS257" s="107"/>
      <c r="DT257" s="107"/>
      <c r="DU257" s="107"/>
      <c r="DV257" s="107"/>
      <c r="DW257" s="107"/>
    </row>
    <row r="258" spans="1:127" ht="16.5">
      <c r="A258" s="54" t="s">
        <v>2265</v>
      </c>
      <c r="B258" s="55"/>
      <c r="C258" s="55"/>
      <c r="D258" s="101"/>
      <c r="E258" s="102"/>
      <c r="F258" s="102"/>
      <c r="G258" s="102"/>
      <c r="H258" s="102"/>
      <c r="I258" s="102"/>
      <c r="J258" s="102">
        <v>9</v>
      </c>
      <c r="K258" s="102"/>
      <c r="L258" s="102"/>
      <c r="M258" s="103">
        <v>9</v>
      </c>
      <c r="N258" s="340"/>
      <c r="O258" s="340"/>
      <c r="P258" s="340"/>
      <c r="Q258" s="340"/>
      <c r="S258"/>
      <c r="T258"/>
      <c r="U258" s="85"/>
      <c r="V258" s="107"/>
      <c r="W258" s="107"/>
      <c r="X258" s="107"/>
      <c r="Y258" s="107"/>
      <c r="Z258" s="107"/>
      <c r="AK258"/>
      <c r="AL258" s="85"/>
      <c r="AM258" s="85"/>
      <c r="AN258" s="107"/>
      <c r="AO258" s="107"/>
      <c r="AP258" s="107"/>
      <c r="AQ258" s="107"/>
      <c r="AR258" s="107"/>
      <c r="BO258"/>
      <c r="BP258" s="85"/>
      <c r="BQ258" s="85"/>
      <c r="BR258" s="107"/>
      <c r="BS258" s="107"/>
      <c r="BT258" s="107"/>
      <c r="BU258" s="107"/>
      <c r="BV258" s="107"/>
      <c r="CS258"/>
      <c r="CT258" s="85"/>
      <c r="CU258" s="85"/>
      <c r="CV258" s="107"/>
      <c r="CW258" s="107"/>
      <c r="CX258" s="107"/>
      <c r="CY258" s="107"/>
      <c r="CZ258" s="107"/>
      <c r="DP258"/>
      <c r="DQ258" s="85"/>
      <c r="DR258" s="85"/>
      <c r="DS258" s="107"/>
      <c r="DT258" s="107"/>
      <c r="DU258" s="107"/>
      <c r="DV258" s="107"/>
      <c r="DW258" s="107"/>
    </row>
    <row r="259" spans="1:127" ht="16.5">
      <c r="A259" s="38" t="s">
        <v>2232</v>
      </c>
      <c r="B259" s="38" t="s">
        <v>31</v>
      </c>
      <c r="C259" s="38" t="s">
        <v>2068</v>
      </c>
      <c r="D259" s="96"/>
      <c r="E259" s="88"/>
      <c r="F259" s="88"/>
      <c r="G259" s="88"/>
      <c r="H259" s="88"/>
      <c r="I259" s="88"/>
      <c r="J259" s="88"/>
      <c r="K259" s="88"/>
      <c r="L259" s="88">
        <v>4</v>
      </c>
      <c r="M259" s="97">
        <v>4</v>
      </c>
      <c r="N259" s="340"/>
      <c r="O259" s="340"/>
      <c r="P259" s="340"/>
      <c r="Q259" s="340"/>
      <c r="S259"/>
      <c r="T259"/>
      <c r="U259" s="85"/>
      <c r="V259" s="107"/>
      <c r="W259" s="107"/>
      <c r="X259" s="107"/>
      <c r="Y259" s="107"/>
      <c r="Z259" s="107"/>
      <c r="AK259"/>
      <c r="AL259" s="85"/>
      <c r="AM259" s="85"/>
      <c r="AN259" s="107"/>
      <c r="AO259" s="107"/>
      <c r="AP259" s="107"/>
      <c r="AQ259" s="107"/>
      <c r="AR259" s="107"/>
      <c r="BO259"/>
      <c r="BP259" s="85"/>
      <c r="BQ259" s="85"/>
      <c r="BR259" s="107"/>
      <c r="BS259" s="107"/>
      <c r="BT259" s="107"/>
      <c r="BU259" s="107"/>
      <c r="BV259" s="107"/>
      <c r="CS259"/>
      <c r="CT259" s="85"/>
      <c r="CU259" s="85"/>
      <c r="CV259" s="107"/>
      <c r="CW259" s="107"/>
      <c r="CX259" s="107"/>
      <c r="CY259" s="107"/>
      <c r="CZ259" s="107"/>
      <c r="DP259"/>
      <c r="DQ259" s="85"/>
      <c r="DR259" s="85"/>
      <c r="DS259" s="107"/>
      <c r="DT259" s="107"/>
      <c r="DU259" s="107"/>
      <c r="DV259" s="107"/>
      <c r="DW259" s="107"/>
    </row>
    <row r="260" spans="1:127" ht="16.5">
      <c r="A260" s="49"/>
      <c r="B260" s="50" t="s">
        <v>1915</v>
      </c>
      <c r="C260" s="51"/>
      <c r="D260" s="98"/>
      <c r="E260" s="99"/>
      <c r="F260" s="99"/>
      <c r="G260" s="99"/>
      <c r="H260" s="99"/>
      <c r="I260" s="99"/>
      <c r="J260" s="99"/>
      <c r="K260" s="99"/>
      <c r="L260" s="99">
        <v>4</v>
      </c>
      <c r="M260" s="100">
        <v>4</v>
      </c>
      <c r="N260" s="340"/>
      <c r="O260" s="340"/>
      <c r="P260" s="340"/>
      <c r="Q260" s="340"/>
      <c r="S260"/>
      <c r="T260"/>
      <c r="U260" s="85"/>
      <c r="V260" s="107"/>
      <c r="W260" s="107"/>
      <c r="X260" s="107"/>
      <c r="Y260" s="107"/>
      <c r="Z260" s="107"/>
      <c r="AK260"/>
      <c r="AL260" s="85"/>
      <c r="AM260" s="85"/>
      <c r="AN260" s="107"/>
      <c r="AO260" s="107"/>
      <c r="AP260" s="107"/>
      <c r="AQ260" s="107"/>
      <c r="AR260" s="107"/>
      <c r="BO260"/>
      <c r="BP260" s="85"/>
      <c r="BQ260" s="85"/>
      <c r="BR260" s="107"/>
      <c r="BS260" s="107"/>
      <c r="BT260" s="107"/>
      <c r="BU260" s="107"/>
      <c r="BV260" s="107"/>
      <c r="CS260"/>
      <c r="CT260" s="85"/>
      <c r="CU260" s="85"/>
      <c r="CV260" s="107"/>
      <c r="CW260" s="107"/>
      <c r="CX260" s="107"/>
      <c r="CY260" s="107"/>
      <c r="CZ260" s="107"/>
      <c r="DP260"/>
      <c r="DQ260" s="85"/>
      <c r="DR260" s="85"/>
      <c r="DS260" s="107"/>
      <c r="DT260" s="107"/>
      <c r="DU260" s="107"/>
      <c r="DV260" s="107"/>
      <c r="DW260" s="107"/>
    </row>
    <row r="261" spans="1:127" ht="16.5">
      <c r="A261" s="54" t="s">
        <v>2266</v>
      </c>
      <c r="B261" s="55"/>
      <c r="C261" s="55"/>
      <c r="D261" s="101"/>
      <c r="E261" s="102"/>
      <c r="F261" s="102"/>
      <c r="G261" s="102"/>
      <c r="H261" s="102"/>
      <c r="I261" s="102"/>
      <c r="J261" s="102"/>
      <c r="K261" s="102"/>
      <c r="L261" s="102">
        <v>4</v>
      </c>
      <c r="M261" s="103">
        <v>4</v>
      </c>
      <c r="N261" s="340"/>
      <c r="O261" s="340"/>
      <c r="P261" s="340"/>
      <c r="Q261" s="340"/>
      <c r="S261"/>
      <c r="T261"/>
      <c r="U261" s="85"/>
      <c r="V261" s="107"/>
      <c r="W261" s="107"/>
      <c r="X261" s="107"/>
      <c r="Y261" s="107"/>
      <c r="Z261" s="107"/>
      <c r="AK261"/>
      <c r="AL261" s="85"/>
      <c r="AM261" s="85"/>
      <c r="AN261" s="107"/>
      <c r="AO261" s="107"/>
      <c r="AP261" s="107"/>
      <c r="AQ261" s="107"/>
      <c r="AR261" s="107"/>
      <c r="BO261"/>
      <c r="BP261" s="85"/>
      <c r="BQ261" s="85"/>
      <c r="BR261" s="107"/>
      <c r="BS261" s="107"/>
      <c r="BT261" s="107"/>
      <c r="BU261" s="107"/>
      <c r="BV261" s="107"/>
      <c r="CS261"/>
      <c r="CT261" s="85"/>
      <c r="CU261" s="85"/>
      <c r="CV261" s="107"/>
      <c r="CW261" s="107"/>
      <c r="CX261" s="107"/>
      <c r="CY261" s="107"/>
      <c r="CZ261" s="107"/>
      <c r="DP261"/>
      <c r="DQ261" s="85"/>
      <c r="DR261" s="85"/>
      <c r="DS261" s="107"/>
      <c r="DT261" s="107"/>
      <c r="DU261" s="107"/>
      <c r="DV261" s="107"/>
      <c r="DW261" s="107"/>
    </row>
    <row r="262" spans="1:127" ht="16.5">
      <c r="A262" s="86" t="s">
        <v>4</v>
      </c>
      <c r="B262" s="84"/>
      <c r="C262" s="84"/>
      <c r="D262" s="104">
        <v>4.5</v>
      </c>
      <c r="E262" s="105">
        <v>3</v>
      </c>
      <c r="F262" s="105">
        <v>28.5</v>
      </c>
      <c r="G262" s="105">
        <v>1</v>
      </c>
      <c r="H262" s="105">
        <v>272.5</v>
      </c>
      <c r="I262" s="105">
        <v>303</v>
      </c>
      <c r="J262" s="105">
        <v>134.16666666666666</v>
      </c>
      <c r="K262" s="105">
        <v>1.3333333333333333</v>
      </c>
      <c r="L262" s="105">
        <v>29.5</v>
      </c>
      <c r="M262" s="106">
        <v>777.5</v>
      </c>
      <c r="N262" s="340"/>
      <c r="O262" s="340"/>
      <c r="P262" s="340"/>
      <c r="Q262" s="340"/>
      <c r="S262"/>
      <c r="T262"/>
      <c r="U262" s="85"/>
      <c r="V262" s="107"/>
      <c r="W262" s="107"/>
      <c r="X262" s="107"/>
      <c r="Y262" s="107"/>
      <c r="Z262" s="107"/>
      <c r="AK262"/>
      <c r="AL262" s="85"/>
      <c r="AM262" s="85"/>
      <c r="AN262" s="107"/>
      <c r="AO262" s="107"/>
      <c r="AP262" s="107"/>
      <c r="AQ262" s="107"/>
      <c r="AR262" s="107"/>
      <c r="BO262"/>
      <c r="BP262" s="85"/>
      <c r="BQ262" s="85"/>
      <c r="BR262" s="107"/>
      <c r="BS262" s="107"/>
      <c r="BT262" s="107"/>
      <c r="BU262" s="107"/>
      <c r="BV262" s="107"/>
      <c r="CS262"/>
      <c r="CT262" s="85"/>
      <c r="CU262" s="85"/>
      <c r="CV262" s="107"/>
      <c r="CW262" s="107"/>
      <c r="CX262" s="107"/>
      <c r="CY262" s="107"/>
      <c r="CZ262" s="107"/>
      <c r="DP262"/>
      <c r="DQ262" s="85"/>
      <c r="DR262" s="85"/>
      <c r="DS262" s="107"/>
      <c r="DT262" s="107"/>
      <c r="DU262" s="107"/>
      <c r="DV262" s="107"/>
      <c r="DW262" s="107"/>
    </row>
    <row r="263" spans="1:127" ht="16.5">
      <c r="A263"/>
      <c r="B263"/>
      <c r="C263" s="85"/>
      <c r="D263" s="107"/>
      <c r="E263" s="107"/>
      <c r="F263" s="107"/>
      <c r="G263" s="107"/>
      <c r="H263" s="107"/>
      <c r="I263" s="340"/>
      <c r="J263" s="340"/>
      <c r="K263" s="340"/>
      <c r="L263" s="340"/>
      <c r="M263" s="340"/>
      <c r="N263" s="340"/>
      <c r="O263" s="340"/>
      <c r="P263" s="340"/>
      <c r="Q263" s="340"/>
      <c r="S263"/>
      <c r="T263"/>
      <c r="U263" s="85"/>
      <c r="V263" s="107"/>
      <c r="W263" s="107"/>
      <c r="X263" s="107"/>
      <c r="Y263" s="107"/>
      <c r="Z263" s="107"/>
      <c r="AK263"/>
      <c r="AL263" s="85"/>
      <c r="AM263" s="85"/>
      <c r="AN263" s="107"/>
      <c r="AO263" s="107"/>
      <c r="AP263" s="107"/>
      <c r="AQ263" s="107"/>
      <c r="AR263" s="107"/>
      <c r="BO263"/>
      <c r="BP263" s="85"/>
      <c r="BQ263" s="85"/>
      <c r="BR263" s="107"/>
      <c r="BS263" s="107"/>
      <c r="BT263" s="107"/>
      <c r="BU263" s="107"/>
      <c r="BV263" s="107"/>
      <c r="CS263"/>
      <c r="CT263" s="85"/>
      <c r="CU263" s="85"/>
      <c r="CV263" s="107"/>
      <c r="CW263" s="107"/>
      <c r="CX263" s="107"/>
      <c r="CY263" s="107"/>
      <c r="CZ263" s="107"/>
      <c r="DP263"/>
      <c r="DQ263" s="85"/>
      <c r="DR263" s="85"/>
      <c r="DS263" s="107"/>
      <c r="DT263" s="107"/>
      <c r="DU263" s="107"/>
      <c r="DV263" s="107"/>
      <c r="DW263" s="107"/>
    </row>
    <row r="264" spans="1:127" ht="16.5">
      <c r="A264"/>
      <c r="B264"/>
      <c r="C264" s="85"/>
      <c r="D264" s="107"/>
      <c r="E264" s="107"/>
      <c r="F264" s="107"/>
      <c r="G264" s="107"/>
      <c r="H264" s="107"/>
      <c r="I264" s="340"/>
      <c r="J264" s="340"/>
      <c r="K264" s="340"/>
      <c r="L264" s="340"/>
      <c r="M264" s="340"/>
      <c r="N264" s="340"/>
      <c r="O264" s="340"/>
      <c r="P264" s="340"/>
      <c r="Q264" s="340"/>
      <c r="S264"/>
      <c r="T264"/>
      <c r="U264" s="85"/>
      <c r="V264" s="107"/>
      <c r="W264" s="107"/>
      <c r="X264" s="107"/>
      <c r="Y264" s="107"/>
      <c r="Z264" s="107"/>
      <c r="AK264"/>
      <c r="AL264" s="85"/>
      <c r="AM264" s="85"/>
      <c r="AN264" s="107"/>
      <c r="AO264" s="107"/>
      <c r="AP264" s="107"/>
      <c r="AQ264" s="107"/>
      <c r="AR264" s="107"/>
      <c r="BO264"/>
      <c r="BP264" s="85"/>
      <c r="BQ264" s="85"/>
      <c r="BR264" s="107"/>
      <c r="BS264" s="107"/>
      <c r="BT264" s="107"/>
      <c r="BU264" s="107"/>
      <c r="BV264" s="107"/>
      <c r="CS264"/>
      <c r="CT264" s="85"/>
      <c r="CU264" s="85"/>
      <c r="CV264" s="107"/>
      <c r="CW264" s="107"/>
      <c r="CX264" s="107"/>
      <c r="CY264" s="107"/>
      <c r="CZ264" s="107"/>
      <c r="DP264"/>
      <c r="DQ264" s="85"/>
      <c r="DR264" s="85"/>
      <c r="DS264" s="107"/>
      <c r="DT264" s="107"/>
      <c r="DU264" s="107"/>
      <c r="DV264" s="107"/>
      <c r="DW264" s="107"/>
    </row>
    <row r="265" spans="1:127" ht="16.5">
      <c r="A265"/>
      <c r="B265"/>
      <c r="C265" s="85"/>
      <c r="D265" s="107"/>
      <c r="E265" s="107"/>
      <c r="F265" s="107"/>
      <c r="G265" s="107"/>
      <c r="H265" s="107"/>
      <c r="I265" s="340"/>
      <c r="J265" s="340"/>
      <c r="K265" s="340"/>
      <c r="L265" s="340"/>
      <c r="M265" s="340"/>
      <c r="N265" s="340"/>
      <c r="O265" s="340"/>
      <c r="P265" s="340"/>
      <c r="Q265" s="340"/>
      <c r="S265"/>
      <c r="T265"/>
      <c r="U265" s="85"/>
      <c r="V265" s="107"/>
      <c r="W265" s="107"/>
      <c r="X265" s="107"/>
      <c r="Y265" s="107"/>
      <c r="Z265" s="107"/>
      <c r="AK265"/>
      <c r="AL265" s="85"/>
      <c r="AM265" s="85"/>
      <c r="AN265" s="107"/>
      <c r="AO265" s="107"/>
      <c r="AP265" s="107"/>
      <c r="AQ265" s="107"/>
      <c r="AR265" s="107"/>
      <c r="BO265"/>
      <c r="BP265" s="85"/>
      <c r="BQ265" s="85"/>
      <c r="BR265" s="107"/>
      <c r="BS265" s="107"/>
      <c r="BT265" s="107"/>
      <c r="BU265" s="107"/>
      <c r="BV265" s="107"/>
      <c r="CS265"/>
      <c r="CT265" s="85"/>
      <c r="CU265" s="85"/>
      <c r="CV265" s="107"/>
      <c r="CW265" s="107"/>
      <c r="CX265" s="107"/>
      <c r="CY265" s="107"/>
      <c r="CZ265" s="107"/>
      <c r="DP265"/>
      <c r="DQ265" s="85"/>
      <c r="DR265" s="85"/>
      <c r="DS265" s="107"/>
      <c r="DT265" s="107"/>
      <c r="DU265" s="107"/>
      <c r="DV265" s="107"/>
      <c r="DW265" s="107"/>
    </row>
    <row r="266" spans="1:127" ht="16.5">
      <c r="A266"/>
      <c r="B266"/>
      <c r="C266" s="85"/>
      <c r="D266" s="107"/>
      <c r="E266" s="107"/>
      <c r="F266" s="107"/>
      <c r="G266" s="107"/>
      <c r="H266" s="107"/>
      <c r="I266" s="340"/>
      <c r="J266" s="340"/>
      <c r="K266" s="340"/>
      <c r="L266" s="340"/>
      <c r="M266" s="340"/>
      <c r="N266" s="340"/>
      <c r="O266" s="340"/>
      <c r="P266" s="340"/>
      <c r="Q266" s="340"/>
      <c r="S266"/>
      <c r="T266"/>
      <c r="U266" s="85"/>
      <c r="V266" s="107"/>
      <c r="W266" s="107"/>
      <c r="X266" s="107"/>
      <c r="Y266" s="107"/>
      <c r="Z266" s="107"/>
      <c r="AK266"/>
      <c r="AL266" s="85"/>
      <c r="AM266" s="85"/>
      <c r="AN266" s="107"/>
      <c r="AO266" s="107"/>
      <c r="AP266" s="107"/>
      <c r="AQ266" s="107"/>
      <c r="AR266" s="107"/>
      <c r="BO266"/>
      <c r="BP266" s="85"/>
      <c r="BQ266" s="85"/>
      <c r="BR266" s="107"/>
      <c r="BS266" s="107"/>
      <c r="BT266" s="107"/>
      <c r="BU266" s="107"/>
      <c r="BV266" s="107"/>
      <c r="CS266"/>
      <c r="CT266" s="85"/>
      <c r="CU266" s="85"/>
      <c r="CV266" s="107"/>
      <c r="CW266" s="107"/>
      <c r="CX266" s="107"/>
      <c r="CY266" s="107"/>
      <c r="CZ266" s="107"/>
      <c r="DP266"/>
      <c r="DQ266" s="85"/>
      <c r="DR266" s="85"/>
      <c r="DS266" s="107"/>
      <c r="DT266" s="107"/>
      <c r="DU266" s="107"/>
      <c r="DV266" s="107"/>
      <c r="DW266" s="107"/>
    </row>
    <row r="267" spans="1:127" ht="16.5">
      <c r="A267"/>
      <c r="B267"/>
      <c r="C267" s="85"/>
      <c r="D267" s="107"/>
      <c r="E267" s="107"/>
      <c r="F267" s="107"/>
      <c r="G267" s="107"/>
      <c r="H267" s="107"/>
      <c r="I267" s="340"/>
      <c r="J267" s="340"/>
      <c r="K267" s="340"/>
      <c r="L267" s="340"/>
      <c r="M267" s="340"/>
      <c r="N267" s="340"/>
      <c r="O267" s="340"/>
      <c r="P267" s="340"/>
      <c r="Q267" s="340"/>
      <c r="S267"/>
      <c r="T267"/>
      <c r="U267" s="85"/>
      <c r="V267" s="107"/>
      <c r="W267" s="107"/>
      <c r="X267" s="107"/>
      <c r="Y267" s="107"/>
      <c r="Z267" s="107"/>
      <c r="AK267"/>
      <c r="AL267" s="85"/>
      <c r="AM267" s="85"/>
      <c r="AN267" s="107"/>
      <c r="AO267" s="107"/>
      <c r="AP267" s="107"/>
      <c r="AQ267" s="107"/>
      <c r="AR267" s="107"/>
      <c r="BO267"/>
      <c r="BP267" s="85"/>
      <c r="BQ267" s="85"/>
      <c r="BR267" s="107"/>
      <c r="BS267" s="107"/>
      <c r="BT267" s="107"/>
      <c r="BU267" s="107"/>
      <c r="BV267" s="107"/>
      <c r="CS267"/>
      <c r="CT267" s="85"/>
      <c r="CU267" s="85"/>
      <c r="CV267" s="107"/>
      <c r="CW267" s="107"/>
      <c r="CX267" s="107"/>
      <c r="CY267" s="107"/>
      <c r="CZ267" s="107"/>
      <c r="DP267"/>
      <c r="DQ267" s="85"/>
      <c r="DR267" s="85"/>
      <c r="DS267" s="107"/>
      <c r="DT267" s="107"/>
      <c r="DU267" s="107"/>
      <c r="DV267" s="107"/>
      <c r="DW267" s="107"/>
    </row>
    <row r="268" spans="1:127" ht="16.5">
      <c r="A268"/>
      <c r="B268"/>
      <c r="C268" s="85"/>
      <c r="D268" s="107"/>
      <c r="E268" s="107"/>
      <c r="F268" s="107"/>
      <c r="G268" s="107"/>
      <c r="H268" s="107"/>
      <c r="I268" s="340"/>
      <c r="J268" s="340"/>
      <c r="K268" s="340"/>
      <c r="L268" s="340"/>
      <c r="M268" s="340"/>
      <c r="N268" s="340"/>
      <c r="O268" s="340"/>
      <c r="P268" s="340"/>
      <c r="Q268" s="340"/>
      <c r="S268"/>
      <c r="T268"/>
      <c r="U268" s="85"/>
      <c r="V268" s="107"/>
      <c r="W268" s="107"/>
      <c r="X268" s="107"/>
      <c r="Y268" s="107"/>
      <c r="Z268" s="107"/>
      <c r="AK268"/>
      <c r="AL268" s="85"/>
      <c r="AM268" s="85"/>
      <c r="AN268" s="107"/>
      <c r="AO268" s="107"/>
      <c r="AP268" s="107"/>
      <c r="AQ268" s="107"/>
      <c r="AR268" s="107"/>
      <c r="BO268"/>
      <c r="BP268" s="85"/>
      <c r="BQ268" s="85"/>
      <c r="BR268" s="107"/>
      <c r="BS268" s="107"/>
      <c r="BT268" s="107"/>
      <c r="BU268" s="107"/>
      <c r="BV268" s="107"/>
      <c r="CS268"/>
      <c r="CT268" s="85"/>
      <c r="CU268" s="85"/>
      <c r="CV268" s="107"/>
      <c r="CW268" s="107"/>
      <c r="CX268" s="107"/>
      <c r="CY268" s="107"/>
      <c r="CZ268" s="107"/>
      <c r="DP268"/>
      <c r="DQ268" s="85"/>
      <c r="DR268" s="85"/>
      <c r="DS268" s="107"/>
      <c r="DT268" s="107"/>
      <c r="DU268" s="107"/>
      <c r="DV268" s="107"/>
      <c r="DW268" s="107"/>
    </row>
    <row r="269" spans="1:127" ht="16.5">
      <c r="A269"/>
      <c r="B269"/>
      <c r="C269" s="85"/>
      <c r="D269" s="107"/>
      <c r="E269" s="107"/>
      <c r="F269" s="107"/>
      <c r="G269" s="107"/>
      <c r="H269" s="107"/>
      <c r="I269" s="340"/>
      <c r="J269" s="340"/>
      <c r="K269" s="340"/>
      <c r="L269" s="340"/>
      <c r="M269" s="340"/>
      <c r="N269" s="340"/>
      <c r="O269" s="340"/>
      <c r="P269" s="340"/>
      <c r="Q269" s="340"/>
      <c r="S269"/>
      <c r="T269"/>
      <c r="U269" s="85"/>
      <c r="V269" s="107"/>
      <c r="W269" s="107"/>
      <c r="X269" s="107"/>
      <c r="Y269" s="107"/>
      <c r="Z269" s="107"/>
      <c r="AK269"/>
      <c r="AL269" s="85"/>
      <c r="AM269" s="85"/>
      <c r="AN269" s="107"/>
      <c r="AO269" s="107"/>
      <c r="AP269" s="107"/>
      <c r="AQ269" s="107"/>
      <c r="AR269" s="107"/>
      <c r="BO269"/>
      <c r="BP269" s="85"/>
      <c r="BQ269" s="85"/>
      <c r="BR269" s="107"/>
      <c r="BS269" s="107"/>
      <c r="BT269" s="107"/>
      <c r="BU269" s="107"/>
      <c r="BV269" s="107"/>
      <c r="CS269"/>
      <c r="CT269" s="85"/>
      <c r="CU269" s="85"/>
      <c r="CV269" s="107"/>
      <c r="CW269" s="107"/>
      <c r="CX269" s="107"/>
      <c r="CY269" s="107"/>
      <c r="CZ269" s="107"/>
      <c r="DP269"/>
      <c r="DQ269" s="85"/>
      <c r="DR269" s="85"/>
      <c r="DS269" s="107"/>
      <c r="DT269" s="107"/>
      <c r="DU269" s="107"/>
      <c r="DV269" s="107"/>
      <c r="DW269" s="107"/>
    </row>
    <row r="270" spans="1:127" ht="16.5">
      <c r="A270"/>
      <c r="B270"/>
      <c r="C270" s="85"/>
      <c r="D270" s="107"/>
      <c r="E270" s="107"/>
      <c r="F270" s="107"/>
      <c r="G270" s="107"/>
      <c r="H270" s="107"/>
      <c r="I270" s="340"/>
      <c r="J270" s="340"/>
      <c r="K270" s="340"/>
      <c r="L270" s="340"/>
      <c r="M270" s="340"/>
      <c r="N270" s="340"/>
      <c r="O270" s="340"/>
      <c r="P270" s="340"/>
      <c r="Q270" s="340"/>
      <c r="S270"/>
      <c r="T270"/>
      <c r="U270" s="85"/>
      <c r="V270" s="107"/>
      <c r="W270" s="107"/>
      <c r="X270" s="107"/>
      <c r="Y270" s="107"/>
      <c r="Z270" s="107"/>
      <c r="AK270"/>
      <c r="AL270" s="85"/>
      <c r="AM270" s="85"/>
      <c r="AN270" s="107"/>
      <c r="AO270" s="107"/>
      <c r="AP270" s="107"/>
      <c r="AQ270" s="107"/>
      <c r="AR270" s="107"/>
      <c r="BO270"/>
      <c r="BP270" s="85"/>
      <c r="BQ270" s="85"/>
      <c r="BR270" s="107"/>
      <c r="BS270" s="107"/>
      <c r="BT270" s="107"/>
      <c r="BU270" s="107"/>
      <c r="BV270" s="107"/>
      <c r="CS270"/>
      <c r="CT270" s="85"/>
      <c r="CU270" s="85"/>
      <c r="CV270" s="107"/>
      <c r="CW270" s="107"/>
      <c r="CX270" s="107"/>
      <c r="CY270" s="107"/>
      <c r="CZ270" s="107"/>
      <c r="DP270"/>
      <c r="DQ270" s="85"/>
      <c r="DR270" s="85"/>
      <c r="DS270" s="107"/>
      <c r="DT270" s="107"/>
      <c r="DU270" s="107"/>
      <c r="DV270" s="107"/>
      <c r="DW270" s="107"/>
    </row>
    <row r="271" spans="1:127" ht="16.5">
      <c r="A271"/>
      <c r="B271"/>
      <c r="C271" s="85"/>
      <c r="D271" s="107"/>
      <c r="E271" s="107"/>
      <c r="F271" s="107"/>
      <c r="G271" s="107"/>
      <c r="H271" s="107"/>
      <c r="I271" s="340"/>
      <c r="J271" s="340"/>
      <c r="K271" s="340"/>
      <c r="L271" s="340"/>
      <c r="M271" s="340"/>
      <c r="N271" s="340"/>
      <c r="O271" s="340"/>
      <c r="P271" s="340"/>
      <c r="Q271" s="340"/>
      <c r="S271"/>
      <c r="T271"/>
      <c r="U271" s="85"/>
      <c r="V271" s="107"/>
      <c r="W271" s="107"/>
      <c r="X271" s="107"/>
      <c r="Y271" s="107"/>
      <c r="Z271" s="107"/>
      <c r="AK271"/>
      <c r="AL271" s="85"/>
      <c r="AM271" s="85"/>
      <c r="AN271" s="107"/>
      <c r="AO271" s="107"/>
      <c r="AP271" s="107"/>
      <c r="AQ271" s="107"/>
      <c r="AR271" s="107"/>
      <c r="BO271"/>
      <c r="BP271" s="85"/>
      <c r="BQ271" s="85"/>
      <c r="BR271" s="107"/>
      <c r="BS271" s="107"/>
      <c r="BT271" s="107"/>
      <c r="BU271" s="107"/>
      <c r="BV271" s="107"/>
      <c r="CS271"/>
      <c r="CT271" s="85"/>
      <c r="CU271" s="85"/>
      <c r="CV271" s="107"/>
      <c r="CW271" s="107"/>
      <c r="CX271" s="107"/>
      <c r="CY271" s="107"/>
      <c r="CZ271" s="107"/>
      <c r="DP271"/>
      <c r="DQ271" s="85"/>
      <c r="DR271" s="85"/>
      <c r="DS271" s="107"/>
      <c r="DT271" s="107"/>
      <c r="DU271" s="107"/>
      <c r="DV271" s="107"/>
      <c r="DW271" s="107"/>
    </row>
    <row r="272" spans="1:127" ht="16.5">
      <c r="A272"/>
      <c r="B272"/>
      <c r="C272" s="85"/>
      <c r="D272" s="107"/>
      <c r="E272" s="107"/>
      <c r="F272" s="107"/>
      <c r="G272" s="107"/>
      <c r="H272" s="107"/>
      <c r="I272" s="340"/>
      <c r="J272" s="340"/>
      <c r="K272" s="340"/>
      <c r="L272" s="340"/>
      <c r="M272" s="340"/>
      <c r="N272" s="340"/>
      <c r="O272" s="340"/>
      <c r="P272" s="340"/>
      <c r="Q272" s="340"/>
      <c r="S272"/>
      <c r="T272"/>
      <c r="U272" s="85"/>
      <c r="V272" s="107"/>
      <c r="W272" s="107"/>
      <c r="X272" s="107"/>
      <c r="Y272" s="107"/>
      <c r="Z272" s="107"/>
      <c r="AK272"/>
      <c r="AL272" s="85"/>
      <c r="AM272" s="85"/>
      <c r="AN272" s="107"/>
      <c r="AO272" s="107"/>
      <c r="AP272" s="107"/>
      <c r="AQ272" s="107"/>
      <c r="AR272" s="107"/>
      <c r="BO272"/>
      <c r="BP272" s="85"/>
      <c r="BQ272" s="85"/>
      <c r="BR272" s="107"/>
      <c r="BS272" s="107"/>
      <c r="BT272" s="107"/>
      <c r="BU272" s="107"/>
      <c r="BV272" s="107"/>
      <c r="CS272"/>
      <c r="CT272" s="85"/>
      <c r="CU272" s="85"/>
      <c r="CV272" s="107"/>
      <c r="CW272" s="107"/>
      <c r="CX272" s="107"/>
      <c r="CY272" s="107"/>
      <c r="CZ272" s="107"/>
      <c r="DP272"/>
      <c r="DQ272" s="85"/>
      <c r="DR272" s="85"/>
      <c r="DS272" s="107"/>
      <c r="DT272" s="107"/>
      <c r="DU272" s="107"/>
      <c r="DV272" s="107"/>
      <c r="DW272" s="107"/>
    </row>
    <row r="273" spans="1:127" ht="16.5">
      <c r="A273"/>
      <c r="B273"/>
      <c r="C273" s="85"/>
      <c r="D273" s="107"/>
      <c r="E273" s="107"/>
      <c r="F273" s="107"/>
      <c r="G273" s="107"/>
      <c r="H273" s="107"/>
      <c r="I273" s="340"/>
      <c r="J273" s="340"/>
      <c r="K273" s="340"/>
      <c r="L273" s="340"/>
      <c r="M273" s="340"/>
      <c r="N273" s="340"/>
      <c r="O273" s="340"/>
      <c r="P273" s="340"/>
      <c r="Q273" s="340"/>
      <c r="S273"/>
      <c r="T273"/>
      <c r="U273" s="85"/>
      <c r="V273" s="107"/>
      <c r="W273" s="107"/>
      <c r="X273" s="107"/>
      <c r="Y273" s="107"/>
      <c r="Z273" s="107"/>
      <c r="AK273"/>
      <c r="AL273" s="85"/>
      <c r="AM273" s="85"/>
      <c r="AN273" s="107"/>
      <c r="AO273" s="107"/>
      <c r="AP273" s="107"/>
      <c r="AQ273" s="107"/>
      <c r="AR273" s="107"/>
      <c r="BO273"/>
      <c r="BP273" s="85"/>
      <c r="BQ273" s="85"/>
      <c r="BR273" s="107"/>
      <c r="BS273" s="107"/>
      <c r="BT273" s="107"/>
      <c r="BU273" s="107"/>
      <c r="BV273" s="107"/>
      <c r="CS273"/>
      <c r="CT273" s="85"/>
      <c r="CU273" s="85"/>
      <c r="CV273" s="107"/>
      <c r="CW273" s="107"/>
      <c r="CX273" s="107"/>
      <c r="CY273" s="107"/>
      <c r="CZ273" s="107"/>
      <c r="DP273"/>
      <c r="DQ273" s="85"/>
      <c r="DR273" s="85"/>
      <c r="DS273" s="107"/>
      <c r="DT273" s="107"/>
      <c r="DU273" s="107"/>
      <c r="DV273" s="107"/>
      <c r="DW273" s="107"/>
    </row>
    <row r="274" spans="1:127" ht="16.5">
      <c r="A274"/>
      <c r="B274"/>
      <c r="C274" s="85"/>
      <c r="D274" s="107"/>
      <c r="E274" s="107"/>
      <c r="F274" s="107"/>
      <c r="G274" s="107"/>
      <c r="H274" s="107"/>
      <c r="I274" s="340"/>
      <c r="J274" s="340"/>
      <c r="K274" s="340"/>
      <c r="L274" s="340"/>
      <c r="M274" s="340"/>
      <c r="N274" s="340"/>
      <c r="O274" s="340"/>
      <c r="P274" s="340"/>
      <c r="Q274" s="340"/>
      <c r="S274"/>
      <c r="T274"/>
      <c r="U274" s="85"/>
      <c r="V274" s="107"/>
      <c r="W274" s="107"/>
      <c r="X274" s="107"/>
      <c r="Y274" s="107"/>
      <c r="Z274" s="107"/>
      <c r="AK274"/>
      <c r="AL274" s="85"/>
      <c r="AM274" s="85"/>
      <c r="AN274" s="107"/>
      <c r="AO274" s="107"/>
      <c r="AP274" s="107"/>
      <c r="AQ274" s="107"/>
      <c r="AR274" s="107"/>
      <c r="BO274"/>
      <c r="BP274" s="85"/>
      <c r="BQ274" s="85"/>
      <c r="BR274" s="107"/>
      <c r="BS274" s="107"/>
      <c r="BT274" s="107"/>
      <c r="BU274" s="107"/>
      <c r="BV274" s="107"/>
      <c r="CS274"/>
      <c r="CT274" s="85"/>
      <c r="CU274" s="85"/>
      <c r="CV274" s="107"/>
      <c r="CW274" s="107"/>
      <c r="CX274" s="107"/>
      <c r="CY274" s="107"/>
      <c r="CZ274" s="107"/>
      <c r="DP274"/>
      <c r="DQ274" s="85"/>
      <c r="DR274" s="85"/>
      <c r="DS274" s="107"/>
      <c r="DT274" s="107"/>
      <c r="DU274" s="107"/>
      <c r="DV274" s="107"/>
      <c r="DW274" s="107"/>
    </row>
    <row r="275" spans="1:127" ht="16.5">
      <c r="A275"/>
      <c r="B275"/>
      <c r="C275" s="85"/>
      <c r="D275" s="107"/>
      <c r="E275" s="107"/>
      <c r="F275" s="107"/>
      <c r="G275" s="107"/>
      <c r="H275" s="107"/>
      <c r="I275" s="340"/>
      <c r="J275" s="340"/>
      <c r="K275" s="340"/>
      <c r="L275" s="340"/>
      <c r="M275" s="340"/>
      <c r="N275" s="340"/>
      <c r="O275" s="340"/>
      <c r="P275" s="340"/>
      <c r="Q275" s="340"/>
      <c r="S275"/>
      <c r="T275"/>
      <c r="U275" s="85"/>
      <c r="V275" s="107"/>
      <c r="W275" s="107"/>
      <c r="X275" s="107"/>
      <c r="Y275" s="107"/>
      <c r="Z275" s="107"/>
      <c r="AK275"/>
      <c r="AL275" s="85"/>
      <c r="AM275" s="85"/>
      <c r="AN275" s="107"/>
      <c r="AO275" s="107"/>
      <c r="AP275" s="107"/>
      <c r="AQ275" s="107"/>
      <c r="AR275" s="107"/>
      <c r="BO275"/>
      <c r="BP275" s="85"/>
      <c r="BQ275" s="85"/>
      <c r="BR275" s="107"/>
      <c r="BS275" s="107"/>
      <c r="BT275" s="107"/>
      <c r="BU275" s="107"/>
      <c r="BV275" s="107"/>
      <c r="CS275"/>
      <c r="CT275" s="85"/>
      <c r="CU275" s="85"/>
      <c r="CV275" s="107"/>
      <c r="CW275" s="107"/>
      <c r="CX275" s="107"/>
      <c r="CY275" s="107"/>
      <c r="CZ275" s="107"/>
      <c r="DP275"/>
      <c r="DQ275" s="85"/>
      <c r="DR275" s="85"/>
      <c r="DS275" s="107"/>
      <c r="DT275" s="107"/>
      <c r="DU275" s="107"/>
      <c r="DV275" s="107"/>
      <c r="DW275" s="107"/>
    </row>
    <row r="276" spans="1:127" ht="16.5">
      <c r="A276"/>
      <c r="B276"/>
      <c r="C276" s="85"/>
      <c r="D276" s="107"/>
      <c r="E276" s="107"/>
      <c r="F276" s="107"/>
      <c r="G276" s="107"/>
      <c r="H276" s="107"/>
      <c r="I276" s="340"/>
      <c r="J276" s="340"/>
      <c r="K276" s="340"/>
      <c r="L276" s="340"/>
      <c r="M276" s="340"/>
      <c r="N276" s="340"/>
      <c r="O276" s="340"/>
      <c r="P276" s="340"/>
      <c r="Q276" s="340"/>
      <c r="S276"/>
      <c r="T276"/>
      <c r="U276" s="85"/>
      <c r="V276" s="107"/>
      <c r="W276" s="107"/>
      <c r="X276" s="107"/>
      <c r="Y276" s="107"/>
      <c r="Z276" s="107"/>
      <c r="AK276"/>
      <c r="AL276" s="85"/>
      <c r="AM276" s="85"/>
      <c r="AN276" s="107"/>
      <c r="AO276" s="107"/>
      <c r="AP276" s="107"/>
      <c r="AQ276" s="107"/>
      <c r="AR276" s="107"/>
      <c r="BO276"/>
      <c r="BP276" s="85"/>
      <c r="BQ276" s="85"/>
      <c r="BR276" s="107"/>
      <c r="BS276" s="107"/>
      <c r="BT276" s="107"/>
      <c r="BU276" s="107"/>
      <c r="BV276" s="107"/>
      <c r="CS276"/>
      <c r="CT276" s="85"/>
      <c r="CU276" s="85"/>
      <c r="CV276" s="107"/>
      <c r="CW276" s="107"/>
      <c r="CX276" s="107"/>
      <c r="CY276" s="107"/>
      <c r="CZ276" s="107"/>
      <c r="DP276"/>
      <c r="DQ276" s="85"/>
      <c r="DR276" s="85"/>
      <c r="DS276" s="107"/>
      <c r="DT276" s="107"/>
      <c r="DU276" s="107"/>
      <c r="DV276" s="107"/>
      <c r="DW276" s="107"/>
    </row>
    <row r="277" spans="1:127" ht="16.5">
      <c r="A277"/>
      <c r="B277"/>
      <c r="C277" s="85"/>
      <c r="D277" s="107"/>
      <c r="E277" s="107"/>
      <c r="F277" s="107"/>
      <c r="G277" s="107"/>
      <c r="H277" s="107"/>
      <c r="I277" s="340"/>
      <c r="J277" s="340"/>
      <c r="K277" s="340"/>
      <c r="L277" s="340"/>
      <c r="M277" s="340"/>
      <c r="N277" s="340"/>
      <c r="O277" s="340"/>
      <c r="P277" s="340"/>
      <c r="Q277" s="340"/>
      <c r="S277"/>
      <c r="T277"/>
      <c r="U277" s="85"/>
      <c r="V277" s="107"/>
      <c r="W277" s="107"/>
      <c r="X277" s="107"/>
      <c r="Y277" s="107"/>
      <c r="Z277" s="107"/>
      <c r="AK277"/>
      <c r="AL277" s="85"/>
      <c r="AM277" s="85"/>
      <c r="AN277" s="107"/>
      <c r="AO277" s="107"/>
      <c r="AP277" s="107"/>
      <c r="AQ277" s="107"/>
      <c r="AR277" s="107"/>
      <c r="BO277"/>
      <c r="BP277" s="85"/>
      <c r="BQ277" s="85"/>
      <c r="BR277" s="107"/>
      <c r="BS277" s="107"/>
      <c r="BT277" s="107"/>
      <c r="BU277" s="107"/>
      <c r="BV277" s="107"/>
      <c r="CS277"/>
      <c r="CT277" s="85"/>
      <c r="CU277" s="85"/>
      <c r="CV277" s="107"/>
      <c r="CW277" s="107"/>
      <c r="CX277" s="107"/>
      <c r="CY277" s="107"/>
      <c r="CZ277" s="107"/>
      <c r="DP277"/>
      <c r="DQ277" s="85"/>
      <c r="DR277" s="85"/>
      <c r="DS277" s="107"/>
      <c r="DT277" s="107"/>
      <c r="DU277" s="107"/>
      <c r="DV277" s="107"/>
      <c r="DW277" s="107"/>
    </row>
    <row r="278" spans="1:127" ht="16.5">
      <c r="A278"/>
      <c r="B278"/>
      <c r="C278" s="85"/>
      <c r="D278" s="107"/>
      <c r="E278" s="107"/>
      <c r="F278" s="107"/>
      <c r="G278" s="107"/>
      <c r="H278" s="107"/>
      <c r="I278" s="340"/>
      <c r="J278" s="340"/>
      <c r="K278" s="340"/>
      <c r="L278" s="340"/>
      <c r="M278" s="340"/>
      <c r="N278" s="340"/>
      <c r="O278" s="340"/>
      <c r="P278" s="340"/>
      <c r="Q278" s="340"/>
      <c r="S278"/>
      <c r="T278"/>
      <c r="U278" s="85"/>
      <c r="V278" s="107"/>
      <c r="W278" s="107"/>
      <c r="X278" s="107"/>
      <c r="Y278" s="107"/>
      <c r="Z278" s="107"/>
      <c r="AK278"/>
      <c r="AL278" s="85"/>
      <c r="AM278" s="85"/>
      <c r="AN278" s="107"/>
      <c r="AO278" s="107"/>
      <c r="AP278" s="107"/>
      <c r="AQ278" s="107"/>
      <c r="AR278" s="107"/>
      <c r="BO278"/>
      <c r="BP278" s="85"/>
      <c r="BQ278" s="85"/>
      <c r="BR278" s="107"/>
      <c r="BS278" s="107"/>
      <c r="BT278" s="107"/>
      <c r="BU278" s="107"/>
      <c r="BV278" s="107"/>
      <c r="CS278"/>
      <c r="CT278" s="85"/>
      <c r="CU278" s="85"/>
      <c r="CV278" s="107"/>
      <c r="CW278" s="107"/>
      <c r="CX278" s="107"/>
      <c r="CY278" s="107"/>
      <c r="CZ278" s="107"/>
      <c r="DP278"/>
      <c r="DQ278" s="85"/>
      <c r="DR278" s="85"/>
      <c r="DS278" s="107"/>
      <c r="DT278" s="107"/>
      <c r="DU278" s="107"/>
      <c r="DV278" s="107"/>
      <c r="DW278" s="107"/>
    </row>
    <row r="279" spans="1:127" ht="16.5">
      <c r="A279"/>
      <c r="B279"/>
      <c r="C279" s="85"/>
      <c r="D279" s="107"/>
      <c r="E279" s="107"/>
      <c r="F279" s="107"/>
      <c r="G279" s="107"/>
      <c r="H279" s="107"/>
      <c r="I279" s="340"/>
      <c r="J279" s="340"/>
      <c r="K279" s="340"/>
      <c r="L279" s="340"/>
      <c r="M279" s="340"/>
      <c r="N279" s="340"/>
      <c r="O279" s="340"/>
      <c r="P279" s="340"/>
      <c r="Q279" s="340"/>
      <c r="S279"/>
      <c r="T279"/>
      <c r="U279" s="85"/>
      <c r="V279" s="107"/>
      <c r="W279" s="107"/>
      <c r="X279" s="107"/>
      <c r="Y279" s="107"/>
      <c r="Z279" s="107"/>
      <c r="AK279"/>
      <c r="AL279" s="85"/>
      <c r="AM279" s="85"/>
      <c r="AN279" s="107"/>
      <c r="AO279" s="107"/>
      <c r="AP279" s="107"/>
      <c r="AQ279" s="107"/>
      <c r="AR279" s="107"/>
      <c r="BO279"/>
      <c r="BP279" s="85"/>
      <c r="BQ279" s="85"/>
      <c r="BR279" s="107"/>
      <c r="BS279" s="107"/>
      <c r="BT279" s="107"/>
      <c r="BU279" s="107"/>
      <c r="BV279" s="107"/>
      <c r="CS279"/>
      <c r="CT279" s="85"/>
      <c r="CU279" s="85"/>
      <c r="CV279" s="107"/>
      <c r="CW279" s="107"/>
      <c r="CX279" s="107"/>
      <c r="CY279" s="107"/>
      <c r="CZ279" s="107"/>
      <c r="DP279"/>
      <c r="DQ279" s="85"/>
      <c r="DR279" s="85"/>
      <c r="DS279" s="107"/>
      <c r="DT279" s="107"/>
      <c r="DU279" s="107"/>
      <c r="DV279" s="107"/>
      <c r="DW279" s="107"/>
    </row>
    <row r="280" spans="1:127" ht="16.5">
      <c r="A280"/>
      <c r="B280"/>
      <c r="C280" s="85"/>
      <c r="D280" s="107"/>
      <c r="E280" s="107"/>
      <c r="F280" s="107"/>
      <c r="G280" s="107"/>
      <c r="H280" s="107"/>
      <c r="I280" s="340"/>
      <c r="J280" s="340"/>
      <c r="K280" s="340"/>
      <c r="L280" s="340"/>
      <c r="M280" s="340"/>
      <c r="N280" s="340"/>
      <c r="O280" s="340"/>
      <c r="P280" s="340"/>
      <c r="Q280" s="340"/>
      <c r="S280"/>
      <c r="T280"/>
      <c r="U280" s="85"/>
      <c r="V280" s="107"/>
      <c r="W280" s="107"/>
      <c r="X280" s="107"/>
      <c r="Y280" s="107"/>
      <c r="Z280" s="107"/>
      <c r="AK280"/>
      <c r="AL280" s="85"/>
      <c r="AM280" s="85"/>
      <c r="AN280" s="107"/>
      <c r="AO280" s="107"/>
      <c r="AP280" s="107"/>
      <c r="AQ280" s="107"/>
      <c r="AR280" s="107"/>
      <c r="BO280"/>
      <c r="BP280" s="85"/>
      <c r="BQ280" s="85"/>
      <c r="BR280" s="107"/>
      <c r="BS280" s="107"/>
      <c r="BT280" s="107"/>
      <c r="BU280" s="107"/>
      <c r="BV280" s="107"/>
      <c r="CS280"/>
      <c r="CT280" s="85"/>
      <c r="CU280" s="85"/>
      <c r="CV280" s="107"/>
      <c r="CW280" s="107"/>
      <c r="CX280" s="107"/>
      <c r="CY280" s="107"/>
      <c r="CZ280" s="107"/>
      <c r="DP280"/>
      <c r="DQ280" s="85"/>
      <c r="DR280" s="85"/>
      <c r="DS280" s="107"/>
      <c r="DT280" s="107"/>
      <c r="DU280" s="107"/>
      <c r="DV280" s="107"/>
      <c r="DW280" s="107"/>
    </row>
    <row r="281" spans="1:127" ht="16.5">
      <c r="A281"/>
      <c r="B281"/>
      <c r="C281" s="85"/>
      <c r="D281" s="107"/>
      <c r="E281" s="107"/>
      <c r="F281" s="107"/>
      <c r="G281" s="107"/>
      <c r="H281" s="107"/>
      <c r="I281" s="340"/>
      <c r="J281" s="340"/>
      <c r="K281" s="340"/>
      <c r="L281" s="340"/>
      <c r="M281" s="340"/>
      <c r="N281" s="340"/>
      <c r="O281" s="340"/>
      <c r="P281" s="340"/>
      <c r="Q281" s="340"/>
      <c r="S281"/>
      <c r="T281"/>
      <c r="U281" s="85"/>
      <c r="V281" s="107"/>
      <c r="W281" s="107"/>
      <c r="X281" s="107"/>
      <c r="Y281" s="107"/>
      <c r="Z281" s="107"/>
      <c r="AK281"/>
      <c r="AL281" s="85"/>
      <c r="AM281" s="85"/>
      <c r="AN281" s="107"/>
      <c r="AO281" s="107"/>
      <c r="AP281" s="107"/>
      <c r="AQ281" s="107"/>
      <c r="AR281" s="107"/>
      <c r="BO281"/>
      <c r="BP281" s="85"/>
      <c r="BQ281" s="85"/>
      <c r="BR281" s="107"/>
      <c r="BS281" s="107"/>
      <c r="BT281" s="107"/>
      <c r="BU281" s="107"/>
      <c r="BV281" s="107"/>
      <c r="CS281"/>
      <c r="CT281" s="85"/>
      <c r="CU281" s="85"/>
      <c r="CV281" s="107"/>
      <c r="CW281" s="107"/>
      <c r="CX281" s="107"/>
      <c r="CY281" s="107"/>
      <c r="CZ281" s="107"/>
      <c r="DP281"/>
      <c r="DQ281" s="85"/>
      <c r="DR281" s="85"/>
      <c r="DS281" s="107"/>
      <c r="DT281" s="107"/>
      <c r="DU281" s="107"/>
      <c r="DV281" s="107"/>
      <c r="DW281" s="107"/>
    </row>
    <row r="282" spans="1:127" ht="16.5">
      <c r="A282"/>
      <c r="B282"/>
      <c r="C282" s="85"/>
      <c r="D282" s="107"/>
      <c r="E282" s="107"/>
      <c r="F282" s="107"/>
      <c r="G282" s="107"/>
      <c r="H282" s="107"/>
      <c r="I282" s="340"/>
      <c r="J282" s="340"/>
      <c r="K282" s="340"/>
      <c r="L282" s="340"/>
      <c r="M282" s="340"/>
      <c r="N282" s="340"/>
      <c r="O282" s="340"/>
      <c r="P282" s="340"/>
      <c r="Q282" s="340"/>
      <c r="S282"/>
      <c r="T282"/>
      <c r="U282" s="85"/>
      <c r="V282" s="107"/>
      <c r="W282" s="107"/>
      <c r="X282" s="107"/>
      <c r="Y282" s="107"/>
      <c r="Z282" s="107"/>
      <c r="AK282"/>
      <c r="AL282" s="85"/>
      <c r="AM282" s="85"/>
      <c r="AN282" s="107"/>
      <c r="AO282" s="107"/>
      <c r="AP282" s="107"/>
      <c r="AQ282" s="107"/>
      <c r="AR282" s="107"/>
      <c r="BO282"/>
      <c r="BP282" s="85"/>
      <c r="BQ282" s="85"/>
      <c r="BR282" s="107"/>
      <c r="BS282" s="107"/>
      <c r="BT282" s="107"/>
      <c r="BU282" s="107"/>
      <c r="BV282" s="107"/>
      <c r="CS282"/>
      <c r="CT282" s="85"/>
      <c r="CU282" s="85"/>
      <c r="CV282" s="107"/>
      <c r="CW282" s="107"/>
      <c r="CX282" s="107"/>
      <c r="CY282" s="107"/>
      <c r="CZ282" s="107"/>
      <c r="DP282"/>
      <c r="DQ282" s="85"/>
      <c r="DR282" s="85"/>
      <c r="DS282" s="107"/>
      <c r="DT282" s="107"/>
      <c r="DU282" s="107"/>
      <c r="DV282" s="107"/>
      <c r="DW282" s="107"/>
    </row>
    <row r="283" spans="1:127" ht="16.5">
      <c r="A283"/>
      <c r="B283"/>
      <c r="C283" s="85"/>
      <c r="D283" s="107"/>
      <c r="E283" s="107"/>
      <c r="F283" s="107"/>
      <c r="G283" s="107"/>
      <c r="H283" s="107"/>
      <c r="I283" s="340"/>
      <c r="J283" s="340"/>
      <c r="K283" s="340"/>
      <c r="L283" s="340"/>
      <c r="M283" s="340"/>
      <c r="N283" s="340"/>
      <c r="O283" s="340"/>
      <c r="P283" s="340"/>
      <c r="Q283" s="340"/>
      <c r="S283"/>
      <c r="T283"/>
      <c r="U283" s="85"/>
      <c r="V283" s="107"/>
      <c r="W283" s="107"/>
      <c r="X283" s="107"/>
      <c r="Y283" s="107"/>
      <c r="Z283" s="107"/>
      <c r="AK283"/>
      <c r="AL283" s="85"/>
      <c r="AM283" s="85"/>
      <c r="AN283" s="107"/>
      <c r="AO283" s="107"/>
      <c r="AP283" s="107"/>
      <c r="AQ283" s="107"/>
      <c r="AR283" s="107"/>
      <c r="BO283"/>
      <c r="BP283" s="85"/>
      <c r="BQ283" s="85"/>
      <c r="BR283" s="107"/>
      <c r="BS283" s="107"/>
      <c r="BT283" s="107"/>
      <c r="BU283" s="107"/>
      <c r="BV283" s="107"/>
      <c r="CS283"/>
      <c r="CT283" s="85"/>
      <c r="CU283" s="85"/>
      <c r="CV283" s="107"/>
      <c r="CW283" s="107"/>
      <c r="CX283" s="107"/>
      <c r="CY283" s="107"/>
      <c r="CZ283" s="107"/>
      <c r="DP283"/>
      <c r="DQ283" s="85"/>
      <c r="DR283" s="85"/>
      <c r="DS283" s="107"/>
      <c r="DT283" s="107"/>
      <c r="DU283" s="107"/>
      <c r="DV283" s="107"/>
      <c r="DW283" s="107"/>
    </row>
    <row r="284" spans="1:127" ht="16.5">
      <c r="A284"/>
      <c r="B284"/>
      <c r="C284" s="85"/>
      <c r="D284" s="107"/>
      <c r="E284" s="107"/>
      <c r="F284" s="107"/>
      <c r="G284" s="107"/>
      <c r="H284" s="107"/>
      <c r="I284" s="340"/>
      <c r="J284" s="340"/>
      <c r="K284" s="340"/>
      <c r="L284" s="340"/>
      <c r="M284" s="340"/>
      <c r="N284" s="340"/>
      <c r="O284" s="340"/>
      <c r="P284" s="340"/>
      <c r="Q284" s="340"/>
      <c r="S284"/>
      <c r="T284"/>
      <c r="U284" s="85"/>
      <c r="V284" s="107"/>
      <c r="W284" s="107"/>
      <c r="X284" s="107"/>
      <c r="Y284" s="107"/>
      <c r="Z284" s="107"/>
      <c r="AK284"/>
      <c r="AL284" s="85"/>
      <c r="AM284" s="85"/>
      <c r="AN284" s="107"/>
      <c r="AO284" s="107"/>
      <c r="AP284" s="107"/>
      <c r="AQ284" s="107"/>
      <c r="AR284" s="107"/>
      <c r="BO284"/>
      <c r="BP284" s="85"/>
      <c r="BQ284" s="85"/>
      <c r="BR284" s="107"/>
      <c r="BS284" s="107"/>
      <c r="BT284" s="107"/>
      <c r="BU284" s="107"/>
      <c r="BV284" s="107"/>
      <c r="CS284"/>
      <c r="CT284" s="85"/>
      <c r="CU284" s="85"/>
      <c r="CV284" s="107"/>
      <c r="CW284" s="107"/>
      <c r="CX284" s="107"/>
      <c r="CY284" s="107"/>
      <c r="CZ284" s="107"/>
      <c r="DP284"/>
      <c r="DQ284" s="85"/>
      <c r="DR284" s="85"/>
      <c r="DS284" s="107"/>
      <c r="DT284" s="107"/>
      <c r="DU284" s="107"/>
      <c r="DV284" s="107"/>
      <c r="DW284" s="107"/>
    </row>
    <row r="285" spans="1:127" ht="16.5">
      <c r="A285"/>
      <c r="B285"/>
      <c r="C285" s="85"/>
      <c r="D285" s="107"/>
      <c r="E285" s="107"/>
      <c r="F285" s="107"/>
      <c r="G285" s="107"/>
      <c r="H285" s="107"/>
      <c r="I285" s="340"/>
      <c r="J285" s="340"/>
      <c r="K285" s="340"/>
      <c r="L285" s="340"/>
      <c r="M285" s="340"/>
      <c r="N285" s="340"/>
      <c r="O285" s="340"/>
      <c r="P285" s="340"/>
      <c r="Q285" s="340"/>
      <c r="S285"/>
      <c r="T285"/>
      <c r="U285" s="85"/>
      <c r="V285" s="107"/>
      <c r="W285" s="107"/>
      <c r="X285" s="107"/>
      <c r="Y285" s="107"/>
      <c r="Z285" s="107"/>
      <c r="AK285"/>
      <c r="AL285" s="85"/>
      <c r="AM285" s="85"/>
      <c r="AN285" s="107"/>
      <c r="AO285" s="107"/>
      <c r="AP285" s="107"/>
      <c r="AQ285" s="107"/>
      <c r="AR285" s="107"/>
      <c r="BO285"/>
      <c r="BP285" s="85"/>
      <c r="BQ285" s="85"/>
      <c r="BR285" s="107"/>
      <c r="BS285" s="107"/>
      <c r="BT285" s="107"/>
      <c r="BU285" s="107"/>
      <c r="BV285" s="107"/>
      <c r="CS285"/>
      <c r="CT285" s="85"/>
      <c r="CU285" s="85"/>
      <c r="CV285" s="107"/>
      <c r="CW285" s="107"/>
      <c r="CX285" s="107"/>
      <c r="CY285" s="107"/>
      <c r="CZ285" s="107"/>
      <c r="DP285"/>
      <c r="DQ285" s="85"/>
      <c r="DR285" s="85"/>
      <c r="DS285" s="107"/>
      <c r="DT285" s="107"/>
      <c r="DU285" s="107"/>
      <c r="DV285" s="107"/>
      <c r="DW285" s="107"/>
    </row>
    <row r="286" spans="1:127" ht="16.5">
      <c r="A286"/>
      <c r="B286"/>
      <c r="C286" s="85"/>
      <c r="D286" s="107"/>
      <c r="E286" s="107"/>
      <c r="F286" s="107"/>
      <c r="G286" s="107"/>
      <c r="H286" s="107"/>
      <c r="I286" s="340"/>
      <c r="J286" s="340"/>
      <c r="K286" s="340"/>
      <c r="L286" s="340"/>
      <c r="M286" s="340"/>
      <c r="N286" s="340"/>
      <c r="O286" s="340"/>
      <c r="P286" s="340"/>
      <c r="Q286" s="340"/>
      <c r="S286"/>
      <c r="T286"/>
      <c r="U286" s="85"/>
      <c r="V286" s="107"/>
      <c r="W286" s="107"/>
      <c r="X286" s="107"/>
      <c r="Y286" s="107"/>
      <c r="Z286" s="107"/>
      <c r="AK286"/>
      <c r="AL286" s="85"/>
      <c r="AM286" s="85"/>
      <c r="AN286" s="107"/>
      <c r="AO286" s="107"/>
      <c r="AP286" s="107"/>
      <c r="AQ286" s="107"/>
      <c r="AR286" s="107"/>
      <c r="BO286"/>
      <c r="BP286" s="85"/>
      <c r="BQ286" s="85"/>
      <c r="BR286" s="107"/>
      <c r="BS286" s="107"/>
      <c r="BT286" s="107"/>
      <c r="BU286" s="107"/>
      <c r="BV286" s="107"/>
      <c r="CS286"/>
      <c r="CT286" s="85"/>
      <c r="CU286" s="85"/>
      <c r="CV286" s="107"/>
      <c r="CW286" s="107"/>
      <c r="CX286" s="107"/>
      <c r="CY286" s="107"/>
      <c r="CZ286" s="107"/>
      <c r="DP286"/>
      <c r="DQ286" s="85"/>
      <c r="DR286" s="85"/>
      <c r="DS286" s="107"/>
      <c r="DT286" s="107"/>
      <c r="DU286" s="107"/>
      <c r="DV286" s="107"/>
      <c r="DW286" s="107"/>
    </row>
    <row r="287" spans="1:127" ht="16.5">
      <c r="A287"/>
      <c r="B287"/>
      <c r="C287" s="85"/>
      <c r="D287" s="107"/>
      <c r="E287" s="107"/>
      <c r="F287" s="107"/>
      <c r="G287" s="107"/>
      <c r="H287" s="107"/>
      <c r="I287" s="340"/>
      <c r="J287" s="340"/>
      <c r="K287" s="340"/>
      <c r="L287" s="340"/>
      <c r="M287" s="340"/>
      <c r="N287" s="340"/>
      <c r="O287" s="340"/>
      <c r="P287" s="340"/>
      <c r="Q287" s="340"/>
      <c r="S287"/>
      <c r="T287"/>
      <c r="U287" s="85"/>
      <c r="V287" s="107"/>
      <c r="W287" s="107"/>
      <c r="X287" s="107"/>
      <c r="Y287" s="107"/>
      <c r="Z287" s="107"/>
      <c r="AK287"/>
      <c r="AL287" s="85"/>
      <c r="AM287" s="85"/>
      <c r="AN287" s="107"/>
      <c r="AO287" s="107"/>
      <c r="AP287" s="107"/>
      <c r="AQ287" s="107"/>
      <c r="AR287" s="107"/>
      <c r="BO287"/>
      <c r="BP287" s="85"/>
      <c r="BQ287" s="85"/>
      <c r="BR287" s="107"/>
      <c r="BS287" s="107"/>
      <c r="BT287" s="107"/>
      <c r="BU287" s="107"/>
      <c r="BV287" s="107"/>
      <c r="CS287"/>
      <c r="CT287" s="85"/>
      <c r="CU287" s="85"/>
      <c r="CV287" s="107"/>
      <c r="CW287" s="107"/>
      <c r="CX287" s="107"/>
      <c r="CY287" s="107"/>
      <c r="CZ287" s="107"/>
      <c r="DP287"/>
      <c r="DQ287" s="85"/>
      <c r="DR287" s="85"/>
      <c r="DS287" s="107"/>
      <c r="DT287" s="107"/>
      <c r="DU287" s="107"/>
      <c r="DV287" s="107"/>
      <c r="DW287" s="107"/>
    </row>
    <row r="288" spans="1:127" ht="16.5">
      <c r="A288"/>
      <c r="B288"/>
      <c r="C288" s="85"/>
      <c r="D288" s="107"/>
      <c r="E288" s="107"/>
      <c r="F288" s="107"/>
      <c r="G288" s="107"/>
      <c r="H288" s="107"/>
      <c r="I288" s="340"/>
      <c r="J288" s="340"/>
      <c r="K288" s="340"/>
      <c r="L288" s="340"/>
      <c r="M288" s="340"/>
      <c r="N288" s="340"/>
      <c r="O288" s="340"/>
      <c r="P288" s="340"/>
      <c r="Q288" s="340"/>
      <c r="S288"/>
      <c r="T288"/>
      <c r="U288" s="85"/>
      <c r="V288" s="107"/>
      <c r="W288" s="107"/>
      <c r="X288" s="107"/>
      <c r="Y288" s="107"/>
      <c r="Z288" s="107"/>
      <c r="AK288"/>
      <c r="AL288" s="85"/>
      <c r="AM288" s="85"/>
      <c r="AN288" s="107"/>
      <c r="AO288" s="107"/>
      <c r="AP288" s="107"/>
      <c r="AQ288" s="107"/>
      <c r="AR288" s="107"/>
      <c r="BO288"/>
      <c r="BP288" s="85"/>
      <c r="BQ288" s="85"/>
      <c r="BR288" s="107"/>
      <c r="BS288" s="107"/>
      <c r="BT288" s="107"/>
      <c r="BU288" s="107"/>
      <c r="BV288" s="107"/>
      <c r="CS288"/>
      <c r="CT288" s="85"/>
      <c r="CU288" s="85"/>
      <c r="CV288" s="107"/>
      <c r="CW288" s="107"/>
      <c r="CX288" s="107"/>
      <c r="CY288" s="107"/>
      <c r="CZ288" s="107"/>
      <c r="DP288"/>
      <c r="DQ288" s="85"/>
      <c r="DR288" s="85"/>
      <c r="DS288" s="107"/>
      <c r="DT288" s="107"/>
      <c r="DU288" s="107"/>
      <c r="DV288" s="107"/>
      <c r="DW288" s="107"/>
    </row>
    <row r="289" spans="1:127" ht="16.5">
      <c r="A289"/>
      <c r="B289"/>
      <c r="C289" s="85"/>
      <c r="D289" s="107"/>
      <c r="E289" s="107"/>
      <c r="F289" s="107"/>
      <c r="G289" s="107"/>
      <c r="H289" s="107"/>
      <c r="I289" s="340"/>
      <c r="J289" s="340"/>
      <c r="K289" s="340"/>
      <c r="L289" s="340"/>
      <c r="M289" s="340"/>
      <c r="N289" s="340"/>
      <c r="O289" s="340"/>
      <c r="P289" s="340"/>
      <c r="Q289" s="340"/>
      <c r="S289"/>
      <c r="T289"/>
      <c r="U289" s="85"/>
      <c r="V289" s="107"/>
      <c r="W289" s="107"/>
      <c r="X289" s="107"/>
      <c r="Y289" s="107"/>
      <c r="Z289" s="107"/>
      <c r="AK289"/>
      <c r="AL289" s="85"/>
      <c r="AM289" s="85"/>
      <c r="AN289" s="107"/>
      <c r="AO289" s="107"/>
      <c r="AP289" s="107"/>
      <c r="AQ289" s="107"/>
      <c r="AR289" s="107"/>
      <c r="BO289"/>
      <c r="BP289" s="85"/>
      <c r="BQ289" s="85"/>
      <c r="BR289" s="107"/>
      <c r="BS289" s="107"/>
      <c r="BT289" s="107"/>
      <c r="BU289" s="107"/>
      <c r="BV289" s="107"/>
      <c r="CS289"/>
      <c r="CT289" s="85"/>
      <c r="CU289" s="85"/>
      <c r="CV289" s="107"/>
      <c r="CW289" s="107"/>
      <c r="CX289" s="107"/>
      <c r="CY289" s="107"/>
      <c r="CZ289" s="107"/>
      <c r="DP289"/>
      <c r="DQ289" s="85"/>
      <c r="DR289" s="85"/>
      <c r="DS289" s="107"/>
      <c r="DT289" s="107"/>
      <c r="DU289" s="107"/>
      <c r="DV289" s="107"/>
      <c r="DW289" s="107"/>
    </row>
    <row r="290" spans="1:127" ht="16.5">
      <c r="A290"/>
      <c r="B290"/>
      <c r="C290" s="85"/>
      <c r="D290" s="107"/>
      <c r="E290" s="107"/>
      <c r="F290" s="107"/>
      <c r="G290" s="107"/>
      <c r="H290" s="107"/>
      <c r="I290" s="340"/>
      <c r="J290" s="340"/>
      <c r="K290" s="340"/>
      <c r="L290" s="340"/>
      <c r="M290" s="340"/>
      <c r="N290" s="340"/>
      <c r="O290" s="340"/>
      <c r="P290" s="340"/>
      <c r="Q290" s="340"/>
      <c r="S290"/>
      <c r="T290"/>
      <c r="U290" s="85"/>
      <c r="V290" s="107"/>
      <c r="W290" s="107"/>
      <c r="X290" s="107"/>
      <c r="Y290" s="107"/>
      <c r="Z290" s="107"/>
      <c r="AK290"/>
      <c r="AL290" s="85"/>
      <c r="AM290" s="85"/>
      <c r="AN290" s="107"/>
      <c r="AO290" s="107"/>
      <c r="AP290" s="107"/>
      <c r="AQ290" s="107"/>
      <c r="AR290" s="107"/>
      <c r="BO290"/>
      <c r="BP290" s="85"/>
      <c r="BQ290" s="85"/>
      <c r="BR290" s="107"/>
      <c r="BS290" s="107"/>
      <c r="BT290" s="107"/>
      <c r="BU290" s="107"/>
      <c r="BV290" s="107"/>
      <c r="CS290"/>
      <c r="CT290" s="85"/>
      <c r="CU290" s="85"/>
      <c r="CV290" s="107"/>
      <c r="CW290" s="107"/>
      <c r="CX290" s="107"/>
      <c r="CY290" s="107"/>
      <c r="CZ290" s="107"/>
      <c r="DP290"/>
      <c r="DQ290" s="85"/>
      <c r="DR290" s="85"/>
      <c r="DS290" s="107"/>
      <c r="DT290" s="107"/>
      <c r="DU290" s="107"/>
      <c r="DV290" s="107"/>
      <c r="DW290" s="107"/>
    </row>
    <row r="291" spans="1:127" ht="16.5">
      <c r="A291"/>
      <c r="B291"/>
      <c r="C291" s="85"/>
      <c r="D291" s="107"/>
      <c r="E291" s="107"/>
      <c r="F291" s="107"/>
      <c r="G291" s="107"/>
      <c r="H291" s="107"/>
      <c r="I291" s="340"/>
      <c r="J291" s="340"/>
      <c r="K291" s="340"/>
      <c r="L291" s="340"/>
      <c r="M291" s="340"/>
      <c r="N291" s="340"/>
      <c r="O291" s="340"/>
      <c r="P291" s="340"/>
      <c r="Q291" s="340"/>
      <c r="S291"/>
      <c r="T291"/>
      <c r="U291" s="85"/>
      <c r="V291" s="107"/>
      <c r="W291" s="107"/>
      <c r="X291" s="107"/>
      <c r="Y291" s="107"/>
      <c r="Z291" s="107"/>
      <c r="AK291"/>
      <c r="AL291" s="85"/>
      <c r="AM291" s="85"/>
      <c r="AN291" s="107"/>
      <c r="AO291" s="107"/>
      <c r="AP291" s="107"/>
      <c r="AQ291" s="107"/>
      <c r="AR291" s="107"/>
      <c r="BO291"/>
      <c r="BP291" s="85"/>
      <c r="BQ291" s="85"/>
      <c r="BR291" s="107"/>
      <c r="BS291" s="107"/>
      <c r="BT291" s="107"/>
      <c r="BU291" s="107"/>
      <c r="BV291" s="107"/>
      <c r="CS291"/>
      <c r="CT291" s="85"/>
      <c r="CU291" s="85"/>
      <c r="CV291" s="107"/>
      <c r="CW291" s="107"/>
      <c r="CX291" s="107"/>
      <c r="CY291" s="107"/>
      <c r="CZ291" s="107"/>
      <c r="DP291"/>
      <c r="DQ291" s="85"/>
      <c r="DR291" s="85"/>
      <c r="DS291" s="107"/>
      <c r="DT291" s="107"/>
      <c r="DU291" s="107"/>
      <c r="DV291" s="107"/>
      <c r="DW291" s="107"/>
    </row>
    <row r="292" spans="1:127" ht="16.5">
      <c r="A292"/>
      <c r="B292"/>
      <c r="C292" s="85"/>
      <c r="D292" s="107"/>
      <c r="E292" s="107"/>
      <c r="F292" s="107"/>
      <c r="G292" s="107"/>
      <c r="H292" s="107"/>
      <c r="I292" s="340"/>
      <c r="J292" s="340"/>
      <c r="K292" s="340"/>
      <c r="L292" s="340"/>
      <c r="M292" s="340"/>
      <c r="N292" s="340"/>
      <c r="O292" s="340"/>
      <c r="P292" s="340"/>
      <c r="Q292" s="340"/>
      <c r="S292"/>
      <c r="T292"/>
      <c r="U292" s="85"/>
      <c r="V292" s="107"/>
      <c r="W292" s="107"/>
      <c r="X292" s="107"/>
      <c r="Y292" s="107"/>
      <c r="Z292" s="107"/>
      <c r="AK292"/>
      <c r="AL292" s="85"/>
      <c r="AM292" s="85"/>
      <c r="AN292" s="107"/>
      <c r="AO292" s="107"/>
      <c r="AP292" s="107"/>
      <c r="AQ292" s="107"/>
      <c r="AR292" s="107"/>
      <c r="BO292"/>
      <c r="BP292" s="85"/>
      <c r="BQ292" s="85"/>
      <c r="BR292" s="107"/>
      <c r="BS292" s="107"/>
      <c r="BT292" s="107"/>
      <c r="BU292" s="107"/>
      <c r="BV292" s="107"/>
      <c r="CS292"/>
      <c r="CT292" s="85"/>
      <c r="CU292" s="85"/>
      <c r="CV292" s="107"/>
      <c r="CW292" s="107"/>
      <c r="CX292" s="107"/>
      <c r="CY292" s="107"/>
      <c r="CZ292" s="107"/>
      <c r="DP292"/>
      <c r="DQ292" s="85"/>
      <c r="DR292" s="85"/>
      <c r="DS292" s="107"/>
      <c r="DT292" s="107"/>
      <c r="DU292" s="107"/>
      <c r="DV292" s="107"/>
      <c r="DW292" s="107"/>
    </row>
    <row r="293" spans="1:127" ht="16.5">
      <c r="A293"/>
      <c r="B293"/>
      <c r="C293" s="85"/>
      <c r="D293" s="107"/>
      <c r="E293" s="107"/>
      <c r="F293" s="107"/>
      <c r="G293" s="107"/>
      <c r="H293" s="107"/>
      <c r="I293" s="340"/>
      <c r="J293" s="340"/>
      <c r="K293" s="340"/>
      <c r="L293" s="340"/>
      <c r="M293" s="340"/>
      <c r="N293" s="340"/>
      <c r="O293" s="340"/>
      <c r="P293" s="340"/>
      <c r="Q293" s="340"/>
      <c r="S293"/>
      <c r="T293"/>
      <c r="U293" s="85"/>
      <c r="V293" s="107"/>
      <c r="W293" s="107"/>
      <c r="X293" s="107"/>
      <c r="Y293" s="107"/>
      <c r="Z293" s="107"/>
      <c r="AK293"/>
      <c r="AL293" s="85"/>
      <c r="AM293" s="85"/>
      <c r="AN293" s="107"/>
      <c r="AO293" s="107"/>
      <c r="AP293" s="107"/>
      <c r="AQ293" s="107"/>
      <c r="AR293" s="107"/>
      <c r="BO293"/>
      <c r="BP293" s="85"/>
      <c r="BQ293" s="85"/>
      <c r="BR293" s="107"/>
      <c r="BS293" s="107"/>
      <c r="BT293" s="107"/>
      <c r="BU293" s="107"/>
      <c r="BV293" s="107"/>
      <c r="CS293"/>
      <c r="CT293" s="85"/>
      <c r="CU293" s="85"/>
      <c r="CV293" s="107"/>
      <c r="CW293" s="107"/>
      <c r="CX293" s="107"/>
      <c r="CY293" s="107"/>
      <c r="CZ293" s="107"/>
      <c r="DP293"/>
      <c r="DQ293" s="85"/>
      <c r="DR293" s="85"/>
      <c r="DS293" s="107"/>
      <c r="DT293" s="107"/>
      <c r="DU293" s="107"/>
      <c r="DV293" s="107"/>
      <c r="DW293" s="107"/>
    </row>
    <row r="294" spans="1:127" ht="16.5">
      <c r="A294"/>
      <c r="B294"/>
      <c r="C294" s="85"/>
      <c r="D294" s="107"/>
      <c r="E294" s="107"/>
      <c r="F294" s="107"/>
      <c r="G294" s="107"/>
      <c r="H294" s="107"/>
      <c r="I294" s="340"/>
      <c r="J294" s="340"/>
      <c r="K294" s="340"/>
      <c r="L294" s="340"/>
      <c r="M294" s="340"/>
      <c r="N294" s="340"/>
      <c r="O294" s="340"/>
      <c r="P294" s="340"/>
      <c r="Q294" s="340"/>
      <c r="S294"/>
      <c r="T294"/>
      <c r="U294" s="85"/>
      <c r="V294" s="107"/>
      <c r="W294" s="107"/>
      <c r="X294" s="107"/>
      <c r="Y294" s="107"/>
      <c r="Z294" s="107"/>
      <c r="AK294"/>
      <c r="AL294" s="85"/>
      <c r="AM294" s="85"/>
      <c r="AN294" s="107"/>
      <c r="AO294" s="107"/>
      <c r="AP294" s="107"/>
      <c r="AQ294" s="107"/>
      <c r="AR294" s="107"/>
      <c r="BO294"/>
      <c r="BP294" s="85"/>
      <c r="BQ294" s="85"/>
      <c r="BR294" s="107"/>
      <c r="BS294" s="107"/>
      <c r="BT294" s="107"/>
      <c r="BU294" s="107"/>
      <c r="BV294" s="107"/>
      <c r="CS294"/>
      <c r="CT294" s="85"/>
      <c r="CU294" s="85"/>
      <c r="CV294" s="107"/>
      <c r="CW294" s="107"/>
      <c r="CX294" s="107"/>
      <c r="CY294" s="107"/>
      <c r="CZ294" s="107"/>
      <c r="DP294"/>
      <c r="DQ294" s="85"/>
      <c r="DR294" s="85"/>
      <c r="DS294" s="107"/>
      <c r="DT294" s="107"/>
      <c r="DU294" s="107"/>
      <c r="DV294" s="107"/>
      <c r="DW294" s="107"/>
    </row>
    <row r="295" spans="1:127" ht="16.5">
      <c r="A295"/>
      <c r="B295"/>
      <c r="C295" s="85"/>
      <c r="D295" s="107"/>
      <c r="E295" s="107"/>
      <c r="F295" s="107"/>
      <c r="G295" s="107"/>
      <c r="H295" s="107"/>
      <c r="I295" s="340"/>
      <c r="J295" s="340"/>
      <c r="K295" s="340"/>
      <c r="L295" s="340"/>
      <c r="M295" s="340"/>
      <c r="N295" s="340"/>
      <c r="O295" s="340"/>
      <c r="P295" s="340"/>
      <c r="Q295" s="340"/>
      <c r="S295"/>
      <c r="T295"/>
      <c r="U295" s="85"/>
      <c r="V295" s="107"/>
      <c r="W295" s="107"/>
      <c r="X295" s="107"/>
      <c r="Y295" s="107"/>
      <c r="Z295" s="107"/>
      <c r="AK295"/>
      <c r="AL295" s="85"/>
      <c r="AM295" s="85"/>
      <c r="AN295" s="107"/>
      <c r="AO295" s="107"/>
      <c r="AP295" s="107"/>
      <c r="AQ295" s="107"/>
      <c r="AR295" s="107"/>
      <c r="BO295"/>
      <c r="BP295" s="85"/>
      <c r="BQ295" s="85"/>
      <c r="BR295" s="107"/>
      <c r="BS295" s="107"/>
      <c r="BT295" s="107"/>
      <c r="BU295" s="107"/>
      <c r="BV295" s="107"/>
      <c r="CS295"/>
      <c r="CT295" s="85"/>
      <c r="CU295" s="85"/>
      <c r="CV295" s="107"/>
      <c r="CW295" s="107"/>
      <c r="CX295" s="107"/>
      <c r="CY295" s="107"/>
      <c r="CZ295" s="107"/>
      <c r="DP295"/>
      <c r="DQ295" s="85"/>
      <c r="DR295" s="85"/>
      <c r="DS295" s="107"/>
      <c r="DT295" s="107"/>
      <c r="DU295" s="107"/>
      <c r="DV295" s="107"/>
      <c r="DW295" s="107"/>
    </row>
    <row r="296" spans="1:127" ht="16.5">
      <c r="A296"/>
      <c r="B296"/>
      <c r="C296" s="85"/>
      <c r="D296" s="107"/>
      <c r="E296" s="107"/>
      <c r="F296" s="107"/>
      <c r="G296" s="107"/>
      <c r="H296" s="107"/>
      <c r="I296" s="340"/>
      <c r="J296" s="340"/>
      <c r="K296" s="340"/>
      <c r="L296" s="340"/>
      <c r="M296" s="340"/>
      <c r="N296" s="340"/>
      <c r="O296" s="340"/>
      <c r="P296" s="340"/>
      <c r="Q296" s="340"/>
      <c r="S296"/>
      <c r="T296"/>
      <c r="U296" s="85"/>
      <c r="V296" s="107"/>
      <c r="W296" s="107"/>
      <c r="X296" s="107"/>
      <c r="Y296" s="107"/>
      <c r="Z296" s="107"/>
      <c r="AK296"/>
      <c r="AL296" s="85"/>
      <c r="AM296" s="85"/>
      <c r="AN296" s="107"/>
      <c r="AO296" s="107"/>
      <c r="AP296" s="107"/>
      <c r="AQ296" s="107"/>
      <c r="AR296" s="107"/>
      <c r="BO296"/>
      <c r="BP296" s="85"/>
      <c r="BQ296" s="85"/>
      <c r="BR296" s="107"/>
      <c r="BS296" s="107"/>
      <c r="BT296" s="107"/>
      <c r="BU296" s="107"/>
      <c r="BV296" s="107"/>
      <c r="CS296"/>
      <c r="CT296" s="85"/>
      <c r="CU296" s="85"/>
      <c r="CV296" s="107"/>
      <c r="CW296" s="107"/>
      <c r="CX296" s="107"/>
      <c r="CY296" s="107"/>
      <c r="CZ296" s="107"/>
      <c r="DP296"/>
      <c r="DQ296" s="85"/>
      <c r="DR296" s="85"/>
      <c r="DS296" s="107"/>
      <c r="DT296" s="107"/>
      <c r="DU296" s="107"/>
      <c r="DV296" s="107"/>
      <c r="DW296" s="107"/>
    </row>
    <row r="297" spans="1:127" ht="16.5">
      <c r="A297"/>
      <c r="B297"/>
      <c r="C297" s="85"/>
      <c r="D297" s="107"/>
      <c r="E297" s="107"/>
      <c r="F297" s="107"/>
      <c r="G297" s="107"/>
      <c r="H297" s="107"/>
      <c r="I297" s="340"/>
      <c r="J297" s="340"/>
      <c r="K297" s="340"/>
      <c r="L297" s="340"/>
      <c r="M297" s="340"/>
      <c r="N297" s="340"/>
      <c r="O297" s="340"/>
      <c r="P297" s="340"/>
      <c r="Q297" s="340"/>
      <c r="S297"/>
      <c r="T297"/>
      <c r="U297" s="85"/>
      <c r="V297" s="107"/>
      <c r="W297" s="107"/>
      <c r="X297" s="107"/>
      <c r="Y297" s="107"/>
      <c r="Z297" s="107"/>
      <c r="AK297"/>
      <c r="AL297" s="85"/>
      <c r="AM297" s="85"/>
      <c r="AN297" s="107"/>
      <c r="AO297" s="107"/>
      <c r="AP297" s="107"/>
      <c r="AQ297" s="107"/>
      <c r="AR297" s="107"/>
      <c r="BO297"/>
      <c r="BP297" s="85"/>
      <c r="BQ297" s="85"/>
      <c r="BR297" s="107"/>
      <c r="BS297" s="107"/>
      <c r="BT297" s="107"/>
      <c r="BU297" s="107"/>
      <c r="BV297" s="107"/>
      <c r="CS297"/>
      <c r="CT297" s="85"/>
      <c r="CU297" s="85"/>
      <c r="CV297" s="107"/>
      <c r="CW297" s="107"/>
      <c r="CX297" s="107"/>
      <c r="CY297" s="107"/>
      <c r="CZ297" s="107"/>
      <c r="DP297"/>
      <c r="DQ297" s="85"/>
      <c r="DR297" s="85"/>
      <c r="DS297" s="107"/>
      <c r="DT297" s="107"/>
      <c r="DU297" s="107"/>
      <c r="DV297" s="107"/>
      <c r="DW297" s="107"/>
    </row>
    <row r="298" spans="1:127" ht="16.5">
      <c r="A298"/>
      <c r="B298"/>
      <c r="C298" s="85"/>
      <c r="D298" s="107"/>
      <c r="E298" s="107"/>
      <c r="F298" s="107"/>
      <c r="G298" s="107"/>
      <c r="H298" s="107"/>
      <c r="I298" s="340"/>
      <c r="J298" s="340"/>
      <c r="K298" s="340"/>
      <c r="L298" s="340"/>
      <c r="M298" s="340"/>
      <c r="N298" s="340"/>
      <c r="O298" s="340"/>
      <c r="P298" s="340"/>
      <c r="Q298" s="340"/>
      <c r="S298"/>
      <c r="T298"/>
      <c r="U298" s="85"/>
      <c r="V298" s="107"/>
      <c r="W298" s="107"/>
      <c r="X298" s="107"/>
      <c r="Y298" s="107"/>
      <c r="Z298" s="107"/>
      <c r="AK298"/>
      <c r="AL298" s="85"/>
      <c r="AM298" s="85"/>
      <c r="AN298" s="107"/>
      <c r="AO298" s="107"/>
      <c r="AP298" s="107"/>
      <c r="AQ298" s="107"/>
      <c r="AR298" s="107"/>
      <c r="BO298"/>
      <c r="BP298" s="85"/>
      <c r="BQ298" s="85"/>
      <c r="BR298" s="107"/>
      <c r="BS298" s="107"/>
      <c r="BT298" s="107"/>
      <c r="BU298" s="107"/>
      <c r="BV298" s="107"/>
      <c r="CS298"/>
      <c r="CT298" s="85"/>
      <c r="CU298" s="85"/>
      <c r="CV298" s="107"/>
      <c r="CW298" s="107"/>
      <c r="CX298" s="107"/>
      <c r="CY298" s="107"/>
      <c r="CZ298" s="107"/>
      <c r="DP298"/>
      <c r="DQ298" s="85"/>
      <c r="DR298" s="85"/>
      <c r="DS298" s="107"/>
      <c r="DT298" s="107"/>
      <c r="DU298" s="107"/>
      <c r="DV298" s="107"/>
      <c r="DW298" s="107"/>
    </row>
    <row r="299" spans="1:127" ht="16.5">
      <c r="A299"/>
      <c r="B299"/>
      <c r="C299" s="85"/>
      <c r="D299" s="107"/>
      <c r="E299" s="107"/>
      <c r="F299" s="107"/>
      <c r="G299" s="107"/>
      <c r="H299" s="107"/>
      <c r="I299" s="340"/>
      <c r="J299" s="340"/>
      <c r="K299" s="340"/>
      <c r="L299" s="340"/>
      <c r="M299" s="340"/>
      <c r="N299" s="340"/>
      <c r="O299" s="340"/>
      <c r="P299" s="340"/>
      <c r="Q299" s="340"/>
      <c r="S299"/>
      <c r="T299"/>
      <c r="U299" s="85"/>
      <c r="V299" s="107"/>
      <c r="W299" s="107"/>
      <c r="X299" s="107"/>
      <c r="Y299" s="107"/>
      <c r="Z299" s="107"/>
      <c r="AK299"/>
      <c r="AL299" s="85"/>
      <c r="AM299" s="85"/>
      <c r="AN299" s="107"/>
      <c r="AO299" s="107"/>
      <c r="AP299" s="107"/>
      <c r="AQ299" s="107"/>
      <c r="AR299" s="107"/>
      <c r="BO299"/>
      <c r="BP299" s="85"/>
      <c r="BQ299" s="85"/>
      <c r="BR299" s="107"/>
      <c r="BS299" s="107"/>
      <c r="BT299" s="107"/>
      <c r="BU299" s="107"/>
      <c r="BV299" s="107"/>
      <c r="CS299"/>
      <c r="CT299" s="85"/>
      <c r="CU299" s="85"/>
      <c r="CV299" s="107"/>
      <c r="CW299" s="107"/>
      <c r="CX299" s="107"/>
      <c r="CY299" s="107"/>
      <c r="CZ299" s="107"/>
      <c r="DP299"/>
      <c r="DQ299" s="85"/>
      <c r="DR299" s="85"/>
      <c r="DS299" s="107"/>
      <c r="DT299" s="107"/>
      <c r="DU299" s="107"/>
      <c r="DV299" s="107"/>
      <c r="DW299" s="107"/>
    </row>
    <row r="300" spans="1:127" ht="16.5">
      <c r="A300"/>
      <c r="B300"/>
      <c r="C300" s="85"/>
      <c r="D300" s="107"/>
      <c r="E300" s="107"/>
      <c r="F300" s="107"/>
      <c r="G300" s="107"/>
      <c r="H300" s="107"/>
      <c r="I300" s="340"/>
      <c r="J300" s="340"/>
      <c r="K300" s="340"/>
      <c r="L300" s="340"/>
      <c r="M300" s="340"/>
      <c r="N300" s="340"/>
      <c r="O300" s="340"/>
      <c r="P300" s="340"/>
      <c r="Q300" s="340"/>
      <c r="S300"/>
      <c r="T300"/>
      <c r="U300" s="85"/>
      <c r="V300" s="107"/>
      <c r="W300" s="107"/>
      <c r="X300" s="107"/>
      <c r="Y300" s="107"/>
      <c r="Z300" s="107"/>
      <c r="AK300"/>
      <c r="AL300" s="85"/>
      <c r="AM300" s="85"/>
      <c r="AN300" s="107"/>
      <c r="AO300" s="107"/>
      <c r="AP300" s="107"/>
      <c r="AQ300" s="107"/>
      <c r="AR300" s="107"/>
      <c r="BO300"/>
      <c r="BP300" s="85"/>
      <c r="BQ300" s="85"/>
      <c r="BR300" s="107"/>
      <c r="BS300" s="107"/>
      <c r="BT300" s="107"/>
      <c r="BU300" s="107"/>
      <c r="BV300" s="107"/>
      <c r="CS300"/>
      <c r="CT300" s="85"/>
      <c r="CU300" s="85"/>
      <c r="CV300" s="107"/>
      <c r="CW300" s="107"/>
      <c r="CX300" s="107"/>
      <c r="CY300" s="107"/>
      <c r="CZ300" s="107"/>
      <c r="DP300"/>
      <c r="DQ300" s="85"/>
      <c r="DR300" s="85"/>
      <c r="DS300" s="107"/>
      <c r="DT300" s="107"/>
      <c r="DU300" s="107"/>
      <c r="DV300" s="107"/>
      <c r="DW300" s="107"/>
    </row>
    <row r="301" spans="1:127" ht="16.5">
      <c r="A301"/>
      <c r="B301"/>
      <c r="C301" s="85"/>
      <c r="D301" s="107"/>
      <c r="E301" s="107"/>
      <c r="F301" s="107"/>
      <c r="G301" s="107"/>
      <c r="H301" s="107"/>
      <c r="I301" s="340"/>
      <c r="J301" s="340"/>
      <c r="K301" s="340"/>
      <c r="L301" s="340"/>
      <c r="M301" s="340"/>
      <c r="N301" s="340"/>
      <c r="O301" s="340"/>
      <c r="P301" s="340"/>
      <c r="Q301" s="340"/>
      <c r="S301"/>
      <c r="T301"/>
      <c r="U301" s="85"/>
      <c r="V301" s="107"/>
      <c r="W301" s="107"/>
      <c r="X301" s="107"/>
      <c r="Y301" s="107"/>
      <c r="Z301" s="107"/>
      <c r="AK301"/>
      <c r="AL301" s="85"/>
      <c r="AM301" s="85"/>
      <c r="AN301" s="107"/>
      <c r="AO301" s="107"/>
      <c r="AP301" s="107"/>
      <c r="AQ301" s="107"/>
      <c r="AR301" s="107"/>
      <c r="BO301"/>
      <c r="BP301" s="85"/>
      <c r="BQ301" s="85"/>
      <c r="BR301" s="107"/>
      <c r="BS301" s="107"/>
      <c r="BT301" s="107"/>
      <c r="BU301" s="107"/>
      <c r="BV301" s="107"/>
      <c r="CS301"/>
      <c r="CT301" s="85"/>
      <c r="CU301" s="85"/>
      <c r="CV301" s="107"/>
      <c r="CW301" s="107"/>
      <c r="CX301" s="107"/>
      <c r="CY301" s="107"/>
      <c r="CZ301" s="107"/>
      <c r="DP301"/>
      <c r="DQ301" s="85"/>
      <c r="DR301" s="85"/>
      <c r="DS301" s="107"/>
      <c r="DT301" s="107"/>
      <c r="DU301" s="107"/>
      <c r="DV301" s="107"/>
      <c r="DW301" s="107"/>
    </row>
    <row r="302" spans="1:127" ht="16.5">
      <c r="A302"/>
      <c r="B302"/>
      <c r="C302" s="85"/>
      <c r="D302" s="107"/>
      <c r="E302" s="107"/>
      <c r="F302" s="107"/>
      <c r="G302" s="107"/>
      <c r="H302" s="107"/>
      <c r="I302" s="340"/>
      <c r="J302" s="340"/>
      <c r="K302" s="340"/>
      <c r="L302" s="340"/>
      <c r="M302" s="340"/>
      <c r="N302" s="340"/>
      <c r="O302" s="340"/>
      <c r="P302" s="340"/>
      <c r="Q302" s="340"/>
      <c r="S302"/>
      <c r="T302"/>
      <c r="U302" s="85"/>
      <c r="V302" s="107"/>
      <c r="W302" s="107"/>
      <c r="X302" s="107"/>
      <c r="Y302" s="107"/>
      <c r="Z302" s="107"/>
      <c r="AK302"/>
      <c r="AL302" s="85"/>
      <c r="AM302" s="85"/>
      <c r="AN302" s="107"/>
      <c r="AO302" s="107"/>
      <c r="AP302" s="107"/>
      <c r="AQ302" s="107"/>
      <c r="AR302" s="107"/>
      <c r="BO302"/>
      <c r="BP302" s="85"/>
      <c r="BQ302" s="85"/>
      <c r="BR302" s="107"/>
      <c r="BS302" s="107"/>
      <c r="BT302" s="107"/>
      <c r="BU302" s="107"/>
      <c r="BV302" s="107"/>
      <c r="CS302"/>
      <c r="CT302" s="85"/>
      <c r="CU302" s="85"/>
      <c r="CV302" s="107"/>
      <c r="CW302" s="107"/>
      <c r="CX302" s="107"/>
      <c r="CY302" s="107"/>
      <c r="CZ302" s="107"/>
      <c r="DP302"/>
      <c r="DQ302" s="85"/>
      <c r="DR302" s="85"/>
      <c r="DS302" s="107"/>
      <c r="DT302" s="107"/>
      <c r="DU302" s="107"/>
      <c r="DV302" s="107"/>
      <c r="DW302" s="107"/>
    </row>
    <row r="303" spans="1:127" ht="16.5">
      <c r="A303"/>
      <c r="B303"/>
      <c r="C303" s="85"/>
      <c r="D303" s="107"/>
      <c r="E303" s="107"/>
      <c r="F303" s="107"/>
      <c r="G303" s="107"/>
      <c r="H303" s="107"/>
      <c r="I303" s="340"/>
      <c r="J303" s="340"/>
      <c r="K303" s="340"/>
      <c r="L303" s="340"/>
      <c r="M303" s="340"/>
      <c r="N303" s="340"/>
      <c r="O303" s="340"/>
      <c r="P303" s="340"/>
      <c r="Q303" s="340"/>
      <c r="S303"/>
      <c r="T303"/>
      <c r="U303" s="85"/>
      <c r="V303" s="107"/>
      <c r="W303" s="107"/>
      <c r="X303" s="107"/>
      <c r="Y303" s="107"/>
      <c r="Z303" s="107"/>
      <c r="AK303"/>
      <c r="AL303" s="85"/>
      <c r="AM303" s="85"/>
      <c r="AN303" s="107"/>
      <c r="AO303" s="107"/>
      <c r="AP303" s="107"/>
      <c r="AQ303" s="107"/>
      <c r="AR303" s="107"/>
      <c r="BO303"/>
      <c r="BP303" s="85"/>
      <c r="BQ303" s="85"/>
      <c r="BR303" s="107"/>
      <c r="BS303" s="107"/>
      <c r="BT303" s="107"/>
      <c r="BU303" s="107"/>
      <c r="BV303" s="107"/>
      <c r="CS303"/>
      <c r="CT303" s="85"/>
      <c r="CU303" s="85"/>
      <c r="CV303" s="107"/>
      <c r="CW303" s="107"/>
      <c r="CX303" s="107"/>
      <c r="CY303" s="107"/>
      <c r="CZ303" s="107"/>
      <c r="DP303"/>
      <c r="DQ303" s="85"/>
      <c r="DR303" s="85"/>
      <c r="DS303" s="107"/>
      <c r="DT303" s="107"/>
      <c r="DU303" s="107"/>
      <c r="DV303" s="107"/>
      <c r="DW303" s="107"/>
    </row>
    <row r="304" spans="1:127" ht="16.5">
      <c r="A304"/>
      <c r="B304"/>
      <c r="C304" s="85"/>
      <c r="D304" s="107"/>
      <c r="E304" s="107"/>
      <c r="F304" s="107"/>
      <c r="G304" s="107"/>
      <c r="H304" s="107"/>
      <c r="I304" s="340"/>
      <c r="J304" s="340"/>
      <c r="K304" s="340"/>
      <c r="L304" s="340"/>
      <c r="M304" s="340"/>
      <c r="N304" s="340"/>
      <c r="O304" s="340"/>
      <c r="P304" s="340"/>
      <c r="Q304" s="340"/>
      <c r="S304"/>
      <c r="T304"/>
      <c r="U304" s="85"/>
      <c r="V304" s="107"/>
      <c r="W304" s="107"/>
      <c r="X304" s="107"/>
      <c r="Y304" s="107"/>
      <c r="Z304" s="107"/>
      <c r="AK304"/>
      <c r="AL304" s="85"/>
      <c r="AM304" s="85"/>
      <c r="AN304" s="107"/>
      <c r="AO304" s="107"/>
      <c r="AP304" s="107"/>
      <c r="AQ304" s="107"/>
      <c r="AR304" s="107"/>
      <c r="BO304"/>
      <c r="BP304" s="85"/>
      <c r="BQ304" s="85"/>
      <c r="BR304" s="107"/>
      <c r="BS304" s="107"/>
      <c r="BT304" s="107"/>
      <c r="BU304" s="107"/>
      <c r="BV304" s="107"/>
      <c r="CS304"/>
      <c r="CT304" s="85"/>
      <c r="CU304" s="85"/>
      <c r="CV304" s="107"/>
      <c r="CW304" s="107"/>
      <c r="CX304" s="107"/>
      <c r="CY304" s="107"/>
      <c r="CZ304" s="107"/>
      <c r="DP304"/>
      <c r="DQ304" s="85"/>
      <c r="DR304" s="85"/>
      <c r="DS304" s="107"/>
      <c r="DT304" s="107"/>
      <c r="DU304" s="107"/>
      <c r="DV304" s="107"/>
      <c r="DW304" s="107"/>
    </row>
    <row r="305" spans="1:127" ht="16.5">
      <c r="A305"/>
      <c r="B305"/>
      <c r="C305" s="85"/>
      <c r="D305" s="107"/>
      <c r="E305" s="107"/>
      <c r="F305" s="107"/>
      <c r="G305" s="107"/>
      <c r="H305" s="107"/>
      <c r="I305" s="340"/>
      <c r="J305" s="340"/>
      <c r="K305" s="340"/>
      <c r="L305" s="340"/>
      <c r="M305" s="340"/>
      <c r="N305" s="340"/>
      <c r="O305" s="340"/>
      <c r="P305" s="340"/>
      <c r="Q305" s="340"/>
      <c r="S305"/>
      <c r="T305"/>
      <c r="U305" s="85"/>
      <c r="V305" s="107"/>
      <c r="W305" s="107"/>
      <c r="X305" s="107"/>
      <c r="Y305" s="107"/>
      <c r="Z305" s="107"/>
      <c r="AK305"/>
      <c r="AL305" s="85"/>
      <c r="AM305" s="85"/>
      <c r="AN305" s="107"/>
      <c r="AO305" s="107"/>
      <c r="AP305" s="107"/>
      <c r="AQ305" s="107"/>
      <c r="AR305" s="107"/>
      <c r="BO305"/>
      <c r="BP305" s="85"/>
      <c r="BQ305" s="85"/>
      <c r="BR305" s="107"/>
      <c r="BS305" s="107"/>
      <c r="BT305" s="107"/>
      <c r="BU305" s="107"/>
      <c r="BV305" s="107"/>
      <c r="CS305"/>
      <c r="CT305" s="85"/>
      <c r="CU305" s="85"/>
      <c r="CV305" s="107"/>
      <c r="CW305" s="107"/>
      <c r="CX305" s="107"/>
      <c r="CY305" s="107"/>
      <c r="CZ305" s="107"/>
      <c r="DP305"/>
      <c r="DQ305" s="85"/>
      <c r="DR305" s="85"/>
      <c r="DS305" s="107"/>
      <c r="DT305" s="107"/>
      <c r="DU305" s="107"/>
      <c r="DV305" s="107"/>
      <c r="DW305" s="107"/>
    </row>
    <row r="306" spans="1:127" ht="16.5">
      <c r="A306"/>
      <c r="B306"/>
      <c r="C306" s="85"/>
      <c r="D306" s="107"/>
      <c r="E306" s="107"/>
      <c r="F306" s="107"/>
      <c r="G306" s="107"/>
      <c r="H306" s="107"/>
      <c r="I306" s="340"/>
      <c r="J306" s="340"/>
      <c r="K306" s="340"/>
      <c r="L306" s="340"/>
      <c r="M306" s="340"/>
      <c r="N306" s="340"/>
      <c r="O306" s="340"/>
      <c r="P306" s="340"/>
      <c r="Q306" s="340"/>
      <c r="S306"/>
      <c r="T306"/>
      <c r="U306" s="85"/>
      <c r="V306" s="107"/>
      <c r="W306" s="107"/>
      <c r="X306" s="107"/>
      <c r="Y306" s="107"/>
      <c r="Z306" s="107"/>
      <c r="AK306"/>
      <c r="AL306" s="85"/>
      <c r="AM306" s="85"/>
      <c r="AN306" s="107"/>
      <c r="AO306" s="107"/>
      <c r="AP306" s="107"/>
      <c r="AQ306" s="107"/>
      <c r="AR306" s="107"/>
      <c r="BO306"/>
      <c r="BP306" s="85"/>
      <c r="BQ306" s="85"/>
      <c r="BR306" s="107"/>
      <c r="BS306" s="107"/>
      <c r="BT306" s="107"/>
      <c r="BU306" s="107"/>
      <c r="BV306" s="107"/>
      <c r="CS306"/>
      <c r="CT306" s="85"/>
      <c r="CU306" s="85"/>
      <c r="CV306" s="107"/>
      <c r="CW306" s="107"/>
      <c r="CX306" s="107"/>
      <c r="CY306" s="107"/>
      <c r="CZ306" s="107"/>
      <c r="DP306"/>
      <c r="DQ306" s="85"/>
      <c r="DR306" s="85"/>
      <c r="DS306" s="107"/>
      <c r="DT306" s="107"/>
      <c r="DU306" s="107"/>
      <c r="DV306" s="107"/>
      <c r="DW306" s="107"/>
    </row>
    <row r="307" spans="1:127" ht="16.5">
      <c r="A307"/>
      <c r="B307"/>
      <c r="C307" s="85"/>
      <c r="D307" s="107"/>
      <c r="E307" s="107"/>
      <c r="F307" s="107"/>
      <c r="G307" s="107"/>
      <c r="H307" s="107"/>
      <c r="I307" s="340"/>
      <c r="J307" s="340"/>
      <c r="K307" s="340"/>
      <c r="L307" s="340"/>
      <c r="M307" s="340"/>
      <c r="N307" s="340"/>
      <c r="O307" s="340"/>
      <c r="P307" s="340"/>
      <c r="Q307" s="340"/>
      <c r="S307"/>
      <c r="T307"/>
      <c r="U307" s="85"/>
      <c r="V307" s="107"/>
      <c r="W307" s="107"/>
      <c r="X307" s="107"/>
      <c r="Y307" s="107"/>
      <c r="Z307" s="107"/>
      <c r="AK307"/>
      <c r="AL307" s="85"/>
      <c r="AM307" s="85"/>
      <c r="AN307" s="107"/>
      <c r="AO307" s="107"/>
      <c r="AP307" s="107"/>
      <c r="AQ307" s="107"/>
      <c r="AR307" s="107"/>
      <c r="BO307"/>
      <c r="BP307" s="85"/>
      <c r="BQ307" s="85"/>
      <c r="BR307" s="107"/>
      <c r="BS307" s="107"/>
      <c r="BT307" s="107"/>
      <c r="BU307" s="107"/>
      <c r="BV307" s="107"/>
      <c r="CS307"/>
      <c r="CT307" s="85"/>
      <c r="CU307" s="85"/>
      <c r="CV307" s="107"/>
      <c r="CW307" s="107"/>
      <c r="CX307" s="107"/>
      <c r="CY307" s="107"/>
      <c r="CZ307" s="107"/>
      <c r="DP307"/>
      <c r="DQ307" s="85"/>
      <c r="DR307" s="85"/>
      <c r="DS307" s="107"/>
      <c r="DT307" s="107"/>
      <c r="DU307" s="107"/>
      <c r="DV307" s="107"/>
      <c r="DW307" s="107"/>
    </row>
    <row r="308" spans="1:127" ht="16.5">
      <c r="A308"/>
      <c r="B308"/>
      <c r="C308" s="85"/>
      <c r="D308" s="107"/>
      <c r="E308" s="107"/>
      <c r="F308" s="107"/>
      <c r="G308" s="107"/>
      <c r="H308" s="107"/>
      <c r="I308" s="340"/>
      <c r="J308" s="340"/>
      <c r="K308" s="340"/>
      <c r="L308" s="340"/>
      <c r="M308" s="340"/>
      <c r="N308" s="340"/>
      <c r="O308" s="340"/>
      <c r="P308" s="340"/>
      <c r="Q308" s="340"/>
      <c r="S308"/>
      <c r="T308"/>
      <c r="U308" s="85"/>
      <c r="V308" s="107"/>
      <c r="W308" s="107"/>
      <c r="X308" s="107"/>
      <c r="Y308" s="107"/>
      <c r="Z308" s="107"/>
      <c r="AK308"/>
      <c r="AL308" s="85"/>
      <c r="AM308" s="85"/>
      <c r="AN308" s="107"/>
      <c r="AO308" s="107"/>
      <c r="AP308" s="107"/>
      <c r="AQ308" s="107"/>
      <c r="AR308" s="107"/>
      <c r="BO308"/>
      <c r="BP308" s="85"/>
      <c r="BQ308" s="85"/>
      <c r="BR308" s="107"/>
      <c r="BS308" s="107"/>
      <c r="BT308" s="107"/>
      <c r="BU308" s="107"/>
      <c r="BV308" s="107"/>
      <c r="CS308"/>
      <c r="CT308" s="85"/>
      <c r="CU308" s="85"/>
      <c r="CV308" s="107"/>
      <c r="CW308" s="107"/>
      <c r="CX308" s="107"/>
      <c r="CY308" s="107"/>
      <c r="CZ308" s="107"/>
      <c r="DP308"/>
      <c r="DQ308" s="85"/>
      <c r="DR308" s="85"/>
      <c r="DS308" s="107"/>
      <c r="DT308" s="107"/>
      <c r="DU308" s="107"/>
      <c r="DV308" s="107"/>
      <c r="DW308" s="107"/>
    </row>
    <row r="309" spans="1:127" ht="16.5">
      <c r="A309"/>
      <c r="B309"/>
      <c r="C309" s="85"/>
      <c r="D309" s="107"/>
      <c r="E309" s="107"/>
      <c r="F309" s="107"/>
      <c r="G309" s="107"/>
      <c r="H309" s="107"/>
      <c r="I309" s="340"/>
      <c r="J309" s="340"/>
      <c r="K309" s="340"/>
      <c r="L309" s="340"/>
      <c r="M309" s="340"/>
      <c r="N309" s="340"/>
      <c r="O309" s="340"/>
      <c r="P309" s="340"/>
      <c r="Q309" s="340"/>
      <c r="S309"/>
      <c r="T309"/>
      <c r="U309" s="85"/>
      <c r="V309" s="107"/>
      <c r="W309" s="107"/>
      <c r="X309" s="107"/>
      <c r="Y309" s="107"/>
      <c r="Z309" s="107"/>
      <c r="AK309"/>
      <c r="AL309" s="85"/>
      <c r="AM309" s="85"/>
      <c r="AN309" s="107"/>
      <c r="AO309" s="107"/>
      <c r="AP309" s="107"/>
      <c r="AQ309" s="107"/>
      <c r="AR309" s="107"/>
      <c r="BO309"/>
      <c r="BP309" s="85"/>
      <c r="BQ309" s="85"/>
      <c r="BR309" s="107"/>
      <c r="BS309" s="107"/>
      <c r="BT309" s="107"/>
      <c r="BU309" s="107"/>
      <c r="BV309" s="107"/>
      <c r="CS309"/>
      <c r="CT309" s="85"/>
      <c r="CU309" s="85"/>
      <c r="CV309" s="107"/>
      <c r="CW309" s="107"/>
      <c r="CX309" s="107"/>
      <c r="CY309" s="107"/>
      <c r="CZ309" s="107"/>
      <c r="DP309"/>
      <c r="DQ309" s="85"/>
      <c r="DR309" s="85"/>
      <c r="DS309" s="107"/>
      <c r="DT309" s="107"/>
      <c r="DU309" s="107"/>
      <c r="DV309" s="107"/>
      <c r="DW309" s="107"/>
    </row>
    <row r="310" spans="1:127" ht="16.5">
      <c r="A310"/>
      <c r="B310"/>
      <c r="C310" s="85"/>
      <c r="D310" s="107"/>
      <c r="E310" s="107"/>
      <c r="F310" s="107"/>
      <c r="G310" s="107"/>
      <c r="H310" s="107"/>
      <c r="I310" s="340"/>
      <c r="J310" s="340"/>
      <c r="K310" s="340"/>
      <c r="L310" s="340"/>
      <c r="M310" s="340"/>
      <c r="N310" s="340"/>
      <c r="O310" s="340"/>
      <c r="P310" s="340"/>
      <c r="Q310" s="340"/>
      <c r="S310"/>
      <c r="T310"/>
      <c r="U310" s="85"/>
      <c r="V310" s="107"/>
      <c r="W310" s="107"/>
      <c r="X310" s="107"/>
      <c r="Y310" s="107"/>
      <c r="Z310" s="107"/>
      <c r="AK310"/>
      <c r="AL310" s="85"/>
      <c r="AM310" s="85"/>
      <c r="AN310" s="107"/>
      <c r="AO310" s="107"/>
      <c r="AP310" s="107"/>
      <c r="AQ310" s="107"/>
      <c r="AR310" s="107"/>
      <c r="BO310"/>
      <c r="BP310" s="85"/>
      <c r="BQ310" s="85"/>
      <c r="BR310" s="107"/>
      <c r="BS310" s="107"/>
      <c r="BT310" s="107"/>
      <c r="BU310" s="107"/>
      <c r="BV310" s="107"/>
      <c r="CS310"/>
      <c r="CT310" s="85"/>
      <c r="CU310" s="85"/>
      <c r="CV310" s="107"/>
      <c r="CW310" s="107"/>
      <c r="CX310" s="107"/>
      <c r="CY310" s="107"/>
      <c r="CZ310" s="107"/>
      <c r="DP310"/>
      <c r="DQ310" s="85"/>
      <c r="DR310" s="85"/>
      <c r="DS310" s="107"/>
      <c r="DT310" s="107"/>
      <c r="DU310" s="107"/>
      <c r="DV310" s="107"/>
      <c r="DW310" s="107"/>
    </row>
    <row r="311" spans="1:127" ht="16.5">
      <c r="A311"/>
      <c r="B311"/>
      <c r="C311" s="85"/>
      <c r="D311" s="107"/>
      <c r="E311" s="107"/>
      <c r="F311" s="107"/>
      <c r="G311" s="107"/>
      <c r="H311" s="107"/>
      <c r="I311" s="340"/>
      <c r="J311" s="340"/>
      <c r="K311" s="340"/>
      <c r="L311" s="340"/>
      <c r="M311" s="340"/>
      <c r="N311" s="340"/>
      <c r="O311" s="340"/>
      <c r="P311" s="340"/>
      <c r="Q311" s="340"/>
      <c r="S311"/>
      <c r="T311"/>
      <c r="U311" s="85"/>
      <c r="V311" s="107"/>
      <c r="W311" s="107"/>
      <c r="X311" s="107"/>
      <c r="Y311" s="107"/>
      <c r="Z311" s="107"/>
      <c r="AK311"/>
      <c r="AL311" s="85"/>
      <c r="AM311" s="85"/>
      <c r="AN311" s="107"/>
      <c r="AO311" s="107"/>
      <c r="AP311" s="107"/>
      <c r="AQ311" s="107"/>
      <c r="AR311" s="107"/>
      <c r="BO311"/>
      <c r="BP311" s="85"/>
      <c r="BQ311" s="85"/>
      <c r="BR311" s="107"/>
      <c r="BS311" s="107"/>
      <c r="BT311" s="107"/>
      <c r="BU311" s="107"/>
      <c r="BV311" s="107"/>
      <c r="CS311"/>
      <c r="CT311" s="85"/>
      <c r="CU311" s="85"/>
      <c r="CV311" s="107"/>
      <c r="CW311" s="107"/>
      <c r="CX311" s="107"/>
      <c r="CY311" s="107"/>
      <c r="CZ311" s="107"/>
      <c r="DP311"/>
      <c r="DQ311" s="85"/>
      <c r="DR311" s="85"/>
      <c r="DS311" s="107"/>
      <c r="DT311" s="107"/>
      <c r="DU311" s="107"/>
      <c r="DV311" s="107"/>
      <c r="DW311" s="107"/>
    </row>
    <row r="312" spans="1:127" ht="16.5">
      <c r="A312"/>
      <c r="B312"/>
      <c r="C312" s="85"/>
      <c r="D312" s="107"/>
      <c r="E312" s="107"/>
      <c r="F312" s="107"/>
      <c r="G312" s="107"/>
      <c r="H312" s="107"/>
      <c r="I312" s="340"/>
      <c r="J312" s="340"/>
      <c r="K312" s="340"/>
      <c r="L312" s="340"/>
      <c r="M312" s="340"/>
      <c r="N312" s="340"/>
      <c r="O312" s="340"/>
      <c r="P312" s="340"/>
      <c r="Q312" s="340"/>
      <c r="S312"/>
      <c r="T312"/>
      <c r="U312" s="85"/>
      <c r="V312" s="107"/>
      <c r="W312" s="107"/>
      <c r="X312" s="107"/>
      <c r="Y312" s="107"/>
      <c r="Z312" s="107"/>
      <c r="AK312"/>
      <c r="AL312" s="85"/>
      <c r="AM312" s="85"/>
      <c r="AN312" s="107"/>
      <c r="AO312" s="107"/>
      <c r="AP312" s="107"/>
      <c r="AQ312" s="107"/>
      <c r="AR312" s="107"/>
      <c r="BO312"/>
      <c r="BP312" s="85"/>
      <c r="BQ312" s="85"/>
      <c r="BR312" s="107"/>
      <c r="BS312" s="107"/>
      <c r="BT312" s="107"/>
      <c r="BU312" s="107"/>
      <c r="BV312" s="107"/>
      <c r="CS312"/>
      <c r="CT312" s="85"/>
      <c r="CU312" s="85"/>
      <c r="CV312" s="107"/>
      <c r="CW312" s="107"/>
      <c r="CX312" s="107"/>
      <c r="CY312" s="107"/>
      <c r="CZ312" s="107"/>
      <c r="DP312"/>
      <c r="DQ312" s="85"/>
      <c r="DR312" s="85"/>
      <c r="DS312" s="107"/>
      <c r="DT312" s="107"/>
      <c r="DU312" s="107"/>
      <c r="DV312" s="107"/>
      <c r="DW312" s="107"/>
    </row>
    <row r="313" spans="1:127" ht="16.5">
      <c r="A313"/>
      <c r="B313"/>
      <c r="C313" s="85"/>
      <c r="D313" s="107"/>
      <c r="E313" s="107"/>
      <c r="F313" s="107"/>
      <c r="G313" s="107"/>
      <c r="H313" s="107"/>
      <c r="I313" s="340"/>
      <c r="J313" s="340"/>
      <c r="K313" s="340"/>
      <c r="L313" s="340"/>
      <c r="M313" s="340"/>
      <c r="N313" s="340"/>
      <c r="O313" s="340"/>
      <c r="P313" s="340"/>
      <c r="Q313" s="340"/>
      <c r="S313"/>
      <c r="T313"/>
      <c r="U313" s="85"/>
      <c r="V313" s="107"/>
      <c r="W313" s="107"/>
      <c r="X313" s="107"/>
      <c r="Y313" s="107"/>
      <c r="Z313" s="107"/>
      <c r="AK313"/>
      <c r="AL313" s="85"/>
      <c r="AM313" s="85"/>
      <c r="AN313" s="107"/>
      <c r="AO313" s="107"/>
      <c r="AP313" s="107"/>
      <c r="AQ313" s="107"/>
      <c r="AR313" s="107"/>
      <c r="BO313"/>
      <c r="BP313" s="85"/>
      <c r="BQ313" s="85"/>
      <c r="BR313" s="107"/>
      <c r="BS313" s="107"/>
      <c r="BT313" s="107"/>
      <c r="BU313" s="107"/>
      <c r="BV313" s="107"/>
      <c r="CS313"/>
      <c r="CT313" s="85"/>
      <c r="CU313" s="85"/>
      <c r="CV313" s="107"/>
      <c r="CW313" s="107"/>
      <c r="CX313" s="107"/>
      <c r="CY313" s="107"/>
      <c r="CZ313" s="107"/>
      <c r="DP313"/>
      <c r="DQ313" s="85"/>
      <c r="DR313" s="85"/>
      <c r="DS313" s="107"/>
      <c r="DT313" s="107"/>
      <c r="DU313" s="107"/>
      <c r="DV313" s="107"/>
      <c r="DW313" s="107"/>
    </row>
    <row r="314" spans="1:127" ht="16.5">
      <c r="A314"/>
      <c r="B314"/>
      <c r="C314" s="85"/>
      <c r="D314" s="107"/>
      <c r="E314" s="107"/>
      <c r="F314" s="107"/>
      <c r="G314" s="107"/>
      <c r="H314" s="107"/>
      <c r="I314" s="340"/>
      <c r="J314" s="340"/>
      <c r="K314" s="340"/>
      <c r="L314" s="340"/>
      <c r="M314" s="340"/>
      <c r="N314" s="340"/>
      <c r="O314" s="340"/>
      <c r="P314" s="340"/>
      <c r="Q314" s="340"/>
      <c r="S314"/>
      <c r="T314"/>
      <c r="U314" s="85"/>
      <c r="V314" s="107"/>
      <c r="W314" s="107"/>
      <c r="X314" s="107"/>
      <c r="Y314" s="107"/>
      <c r="Z314" s="107"/>
      <c r="AK314"/>
      <c r="AL314" s="85"/>
      <c r="AM314" s="85"/>
      <c r="AN314" s="107"/>
      <c r="AO314" s="107"/>
      <c r="AP314" s="107"/>
      <c r="AQ314" s="107"/>
      <c r="AR314" s="107"/>
      <c r="BO314"/>
      <c r="BP314" s="85"/>
      <c r="BQ314" s="85"/>
      <c r="BR314" s="107"/>
      <c r="BS314" s="107"/>
      <c r="BT314" s="107"/>
      <c r="BU314" s="107"/>
      <c r="BV314" s="107"/>
      <c r="CS314"/>
      <c r="CT314" s="85"/>
      <c r="CU314" s="85"/>
      <c r="CV314" s="107"/>
      <c r="CW314" s="107"/>
      <c r="CX314" s="107"/>
      <c r="CY314" s="107"/>
      <c r="CZ314" s="107"/>
      <c r="DP314"/>
      <c r="DQ314" s="85"/>
      <c r="DR314" s="85"/>
      <c r="DS314" s="107"/>
      <c r="DT314" s="107"/>
      <c r="DU314" s="107"/>
      <c r="DV314" s="107"/>
      <c r="DW314" s="107"/>
    </row>
    <row r="315" spans="1:127" ht="16.5">
      <c r="A315"/>
      <c r="B315"/>
      <c r="C315" s="85"/>
      <c r="D315" s="107"/>
      <c r="E315" s="107"/>
      <c r="F315" s="107"/>
      <c r="G315" s="107"/>
      <c r="H315" s="107"/>
      <c r="I315" s="340"/>
      <c r="J315" s="340"/>
      <c r="K315" s="340"/>
      <c r="L315" s="340"/>
      <c r="M315" s="340"/>
      <c r="N315" s="340"/>
      <c r="O315" s="340"/>
      <c r="P315" s="340"/>
      <c r="Q315" s="340"/>
      <c r="S315"/>
      <c r="T315"/>
      <c r="U315" s="85"/>
      <c r="V315" s="107"/>
      <c r="W315" s="107"/>
      <c r="X315" s="107"/>
      <c r="Y315" s="107"/>
      <c r="Z315" s="107"/>
      <c r="AK315"/>
      <c r="AL315" s="85"/>
      <c r="AM315" s="85"/>
      <c r="AN315" s="107"/>
      <c r="AO315" s="107"/>
      <c r="AP315" s="107"/>
      <c r="AQ315" s="107"/>
      <c r="AR315" s="107"/>
      <c r="BO315"/>
      <c r="BP315" s="85"/>
      <c r="BQ315" s="85"/>
      <c r="BR315" s="107"/>
      <c r="BS315" s="107"/>
      <c r="BT315" s="107"/>
      <c r="BU315" s="107"/>
      <c r="BV315" s="107"/>
      <c r="CS315"/>
      <c r="CT315" s="85"/>
      <c r="CU315" s="85"/>
      <c r="CV315" s="107"/>
      <c r="CW315" s="107"/>
      <c r="CX315" s="107"/>
      <c r="CY315" s="107"/>
      <c r="CZ315" s="107"/>
      <c r="DP315"/>
      <c r="DQ315" s="85"/>
      <c r="DR315" s="85"/>
      <c r="DS315" s="107"/>
      <c r="DT315" s="107"/>
      <c r="DU315" s="107"/>
      <c r="DV315" s="107"/>
      <c r="DW315" s="107"/>
    </row>
    <row r="316" spans="1:127" ht="16.5">
      <c r="A316"/>
      <c r="B316"/>
      <c r="C316" s="85"/>
      <c r="D316" s="107"/>
      <c r="E316" s="107"/>
      <c r="F316" s="107"/>
      <c r="G316" s="107"/>
      <c r="H316" s="107"/>
      <c r="I316" s="340"/>
      <c r="J316" s="340"/>
      <c r="K316" s="340"/>
      <c r="L316" s="340"/>
      <c r="M316" s="340"/>
      <c r="N316" s="340"/>
      <c r="O316" s="340"/>
      <c r="P316" s="340"/>
      <c r="Q316" s="340"/>
      <c r="S316"/>
      <c r="T316"/>
      <c r="U316" s="85"/>
      <c r="V316" s="107"/>
      <c r="W316" s="107"/>
      <c r="X316" s="107"/>
      <c r="Y316" s="107"/>
      <c r="Z316" s="107"/>
      <c r="AK316"/>
      <c r="AL316" s="85"/>
      <c r="AM316" s="85"/>
      <c r="AN316" s="107"/>
      <c r="AO316" s="107"/>
      <c r="AP316" s="107"/>
      <c r="AQ316" s="107"/>
      <c r="AR316" s="107"/>
      <c r="BO316"/>
      <c r="BP316" s="85"/>
      <c r="BQ316" s="85"/>
      <c r="BR316" s="107"/>
      <c r="BS316" s="107"/>
      <c r="BT316" s="107"/>
      <c r="BU316" s="107"/>
      <c r="BV316" s="107"/>
      <c r="CS316"/>
      <c r="CT316" s="85"/>
      <c r="CU316" s="85"/>
      <c r="CV316" s="107"/>
      <c r="CW316" s="107"/>
      <c r="CX316" s="107"/>
      <c r="CY316" s="107"/>
      <c r="CZ316" s="107"/>
      <c r="DP316"/>
      <c r="DQ316" s="85"/>
      <c r="DR316" s="85"/>
      <c r="DS316" s="107"/>
      <c r="DT316" s="107"/>
      <c r="DU316" s="107"/>
      <c r="DV316" s="107"/>
      <c r="DW316" s="107"/>
    </row>
    <row r="317" spans="1:127" ht="16.5">
      <c r="A317"/>
      <c r="B317"/>
      <c r="C317" s="85"/>
      <c r="D317" s="107"/>
      <c r="E317" s="107"/>
      <c r="F317" s="107"/>
      <c r="G317" s="107"/>
      <c r="H317" s="107"/>
      <c r="I317" s="340"/>
      <c r="J317" s="340"/>
      <c r="K317" s="340"/>
      <c r="L317" s="340"/>
      <c r="M317" s="340"/>
      <c r="N317" s="340"/>
      <c r="O317" s="340"/>
      <c r="P317" s="340"/>
      <c r="Q317" s="340"/>
      <c r="S317"/>
      <c r="T317"/>
      <c r="U317" s="85"/>
      <c r="V317" s="107"/>
      <c r="W317" s="107"/>
      <c r="X317" s="107"/>
      <c r="Y317" s="107"/>
      <c r="Z317" s="107"/>
      <c r="AK317"/>
      <c r="AL317" s="85"/>
      <c r="AM317" s="85"/>
      <c r="AN317" s="107"/>
      <c r="AO317" s="107"/>
      <c r="AP317" s="107"/>
      <c r="AQ317" s="107"/>
      <c r="AR317" s="107"/>
      <c r="BO317"/>
      <c r="BP317" s="85"/>
      <c r="BQ317" s="85"/>
      <c r="BR317" s="107"/>
      <c r="BS317" s="107"/>
      <c r="BT317" s="107"/>
      <c r="BU317" s="107"/>
      <c r="BV317" s="107"/>
      <c r="CS317"/>
      <c r="CT317" s="85"/>
      <c r="CU317" s="85"/>
      <c r="CV317" s="107"/>
      <c r="CW317" s="107"/>
      <c r="CX317" s="107"/>
      <c r="CY317" s="107"/>
      <c r="CZ317" s="107"/>
      <c r="DP317"/>
      <c r="DQ317" s="85"/>
      <c r="DR317" s="85"/>
      <c r="DS317" s="107"/>
      <c r="DT317" s="107"/>
      <c r="DU317" s="107"/>
      <c r="DV317" s="107"/>
      <c r="DW317" s="107"/>
    </row>
    <row r="318" spans="1:127" ht="16.5">
      <c r="A318"/>
      <c r="B318"/>
      <c r="C318" s="85"/>
      <c r="D318" s="107"/>
      <c r="E318" s="107"/>
      <c r="F318" s="107"/>
      <c r="G318" s="107"/>
      <c r="H318" s="107"/>
      <c r="I318" s="340"/>
      <c r="J318" s="340"/>
      <c r="K318" s="340"/>
      <c r="L318" s="340"/>
      <c r="M318" s="340"/>
      <c r="N318" s="340"/>
      <c r="O318" s="340"/>
      <c r="P318" s="340"/>
      <c r="Q318" s="340"/>
      <c r="S318"/>
      <c r="T318"/>
      <c r="U318" s="85"/>
      <c r="V318" s="107"/>
      <c r="W318" s="107"/>
      <c r="X318" s="107"/>
      <c r="Y318" s="107"/>
      <c r="Z318" s="107"/>
      <c r="AK318"/>
      <c r="AL318" s="85"/>
      <c r="AM318" s="85"/>
      <c r="AN318" s="107"/>
      <c r="AO318" s="107"/>
      <c r="AP318" s="107"/>
      <c r="AQ318" s="107"/>
      <c r="AR318" s="107"/>
      <c r="BO318"/>
      <c r="BP318" s="85"/>
      <c r="BQ318" s="85"/>
      <c r="BR318" s="107"/>
      <c r="BS318" s="107"/>
      <c r="BT318" s="107"/>
      <c r="BU318" s="107"/>
      <c r="BV318" s="107"/>
      <c r="CS318"/>
      <c r="CT318" s="85"/>
      <c r="CU318" s="85"/>
      <c r="CV318" s="107"/>
      <c r="CW318" s="107"/>
      <c r="CX318" s="107"/>
      <c r="CY318" s="107"/>
      <c r="CZ318" s="107"/>
      <c r="DP318"/>
      <c r="DQ318" s="85"/>
      <c r="DR318" s="85"/>
      <c r="DS318" s="107"/>
      <c r="DT318" s="107"/>
      <c r="DU318" s="107"/>
      <c r="DV318" s="107"/>
      <c r="DW318" s="107"/>
    </row>
    <row r="319" spans="1:127" ht="16.5">
      <c r="A319"/>
      <c r="B319"/>
      <c r="C319" s="85"/>
      <c r="D319" s="107"/>
      <c r="E319" s="107"/>
      <c r="F319" s="107"/>
      <c r="G319" s="107"/>
      <c r="H319" s="107"/>
      <c r="I319" s="340"/>
      <c r="J319" s="340"/>
      <c r="K319" s="340"/>
      <c r="L319" s="340"/>
      <c r="M319" s="340"/>
      <c r="N319" s="340"/>
      <c r="O319" s="340"/>
      <c r="P319" s="340"/>
      <c r="Q319" s="340"/>
      <c r="S319"/>
      <c r="T319"/>
      <c r="U319" s="85"/>
      <c r="V319" s="107"/>
      <c r="W319" s="107"/>
      <c r="X319" s="107"/>
      <c r="Y319" s="107"/>
      <c r="Z319" s="107"/>
      <c r="AK319"/>
      <c r="AL319" s="85"/>
      <c r="AM319" s="85"/>
      <c r="AN319" s="107"/>
      <c r="AO319" s="107"/>
      <c r="AP319" s="107"/>
      <c r="AQ319" s="107"/>
      <c r="AR319" s="107"/>
      <c r="BO319"/>
      <c r="BP319" s="85"/>
      <c r="BQ319" s="85"/>
      <c r="BR319" s="107"/>
      <c r="BS319" s="107"/>
      <c r="BT319" s="107"/>
      <c r="BU319" s="107"/>
      <c r="BV319" s="107"/>
      <c r="CS319"/>
      <c r="CT319" s="85"/>
      <c r="CU319" s="85"/>
      <c r="CV319" s="107"/>
      <c r="CW319" s="107"/>
      <c r="CX319" s="107"/>
      <c r="CY319" s="107"/>
      <c r="CZ319" s="107"/>
      <c r="DP319"/>
      <c r="DQ319" s="85"/>
      <c r="DR319" s="85"/>
      <c r="DS319" s="107"/>
      <c r="DT319" s="107"/>
      <c r="DU319" s="107"/>
      <c r="DV319" s="107"/>
      <c r="DW319" s="107"/>
    </row>
    <row r="320" spans="1:127" ht="16.5">
      <c r="A320"/>
      <c r="B320"/>
      <c r="C320" s="85"/>
      <c r="D320" s="107"/>
      <c r="E320" s="107"/>
      <c r="F320" s="107"/>
      <c r="G320" s="107"/>
      <c r="H320" s="107"/>
      <c r="I320" s="340"/>
      <c r="J320" s="340"/>
      <c r="K320" s="340"/>
      <c r="L320" s="340"/>
      <c r="M320" s="340"/>
      <c r="N320" s="340"/>
      <c r="O320" s="340"/>
      <c r="P320" s="340"/>
      <c r="Q320" s="340"/>
      <c r="S320"/>
      <c r="T320"/>
      <c r="U320" s="85"/>
      <c r="V320" s="107"/>
      <c r="W320" s="107"/>
      <c r="X320" s="107"/>
      <c r="Y320" s="107"/>
      <c r="Z320" s="107"/>
      <c r="AK320"/>
      <c r="AL320" s="85"/>
      <c r="AM320" s="85"/>
      <c r="AN320" s="107"/>
      <c r="AO320" s="107"/>
      <c r="AP320" s="107"/>
      <c r="AQ320" s="107"/>
      <c r="AR320" s="107"/>
      <c r="BO320"/>
      <c r="BP320" s="85"/>
      <c r="BQ320" s="85"/>
      <c r="BR320" s="107"/>
      <c r="BS320" s="107"/>
      <c r="BT320" s="107"/>
      <c r="BU320" s="107"/>
      <c r="BV320" s="107"/>
      <c r="CS320"/>
      <c r="CT320" s="85"/>
      <c r="CU320" s="85"/>
      <c r="CV320" s="107"/>
      <c r="CW320" s="107"/>
      <c r="CX320" s="107"/>
      <c r="CY320" s="107"/>
      <c r="CZ320" s="107"/>
      <c r="DP320"/>
      <c r="DQ320" s="85"/>
      <c r="DR320" s="85"/>
      <c r="DS320" s="107"/>
      <c r="DT320" s="107"/>
      <c r="DU320" s="107"/>
      <c r="DV320" s="107"/>
      <c r="DW320" s="107"/>
    </row>
    <row r="321" spans="1:127" ht="16.5">
      <c r="A321"/>
      <c r="B321"/>
      <c r="C321" s="85"/>
      <c r="D321" s="107"/>
      <c r="E321" s="107"/>
      <c r="F321" s="107"/>
      <c r="G321" s="107"/>
      <c r="H321" s="107"/>
      <c r="I321" s="340"/>
      <c r="J321" s="340"/>
      <c r="K321" s="340"/>
      <c r="L321" s="340"/>
      <c r="M321" s="340"/>
      <c r="N321" s="340"/>
      <c r="O321" s="340"/>
      <c r="P321" s="340"/>
      <c r="Q321" s="340"/>
      <c r="S321"/>
      <c r="T321"/>
      <c r="U321" s="85"/>
      <c r="V321" s="107"/>
      <c r="W321" s="107"/>
      <c r="X321" s="107"/>
      <c r="Y321" s="107"/>
      <c r="Z321" s="107"/>
      <c r="AK321"/>
      <c r="AL321" s="85"/>
      <c r="AM321" s="85"/>
      <c r="AN321" s="107"/>
      <c r="AO321" s="107"/>
      <c r="AP321" s="107"/>
      <c r="AQ321" s="107"/>
      <c r="AR321" s="107"/>
      <c r="BO321"/>
      <c r="BP321" s="85"/>
      <c r="BQ321" s="85"/>
      <c r="BR321" s="107"/>
      <c r="BS321" s="107"/>
      <c r="BT321" s="107"/>
      <c r="BU321" s="107"/>
      <c r="BV321" s="107"/>
      <c r="CS321"/>
      <c r="CT321" s="85"/>
      <c r="CU321" s="85"/>
      <c r="CV321" s="107"/>
      <c r="CW321" s="107"/>
      <c r="CX321" s="107"/>
      <c r="CY321" s="107"/>
      <c r="CZ321" s="107"/>
      <c r="DP321"/>
      <c r="DQ321" s="85"/>
      <c r="DR321" s="85"/>
      <c r="DS321" s="107"/>
      <c r="DT321" s="107"/>
      <c r="DU321" s="107"/>
      <c r="DV321" s="107"/>
      <c r="DW321" s="107"/>
    </row>
    <row r="322" spans="1:127" ht="16.5">
      <c r="A322"/>
      <c r="B322"/>
      <c r="C322" s="85"/>
      <c r="D322" s="107"/>
      <c r="E322" s="107"/>
      <c r="F322" s="107"/>
      <c r="G322" s="107"/>
      <c r="H322" s="107"/>
      <c r="I322" s="340"/>
      <c r="J322" s="340"/>
      <c r="K322" s="340"/>
      <c r="L322" s="340"/>
      <c r="M322" s="340"/>
      <c r="N322" s="340"/>
      <c r="O322" s="340"/>
      <c r="P322" s="340"/>
      <c r="Q322" s="340"/>
      <c r="S322"/>
      <c r="T322"/>
      <c r="U322" s="85"/>
      <c r="V322" s="107"/>
      <c r="W322" s="107"/>
      <c r="X322" s="107"/>
      <c r="Y322" s="107"/>
      <c r="Z322" s="107"/>
      <c r="AK322"/>
      <c r="AL322" s="85"/>
      <c r="AM322" s="85"/>
      <c r="AN322" s="107"/>
      <c r="AO322" s="107"/>
      <c r="AP322" s="107"/>
      <c r="AQ322" s="107"/>
      <c r="AR322" s="107"/>
      <c r="BO322"/>
      <c r="BP322" s="85"/>
      <c r="BQ322" s="85"/>
      <c r="BR322" s="107"/>
      <c r="BS322" s="107"/>
      <c r="BT322" s="107"/>
      <c r="BU322" s="107"/>
      <c r="BV322" s="107"/>
      <c r="CS322"/>
      <c r="CT322" s="85"/>
      <c r="CU322" s="85"/>
      <c r="CV322" s="107"/>
      <c r="CW322" s="107"/>
      <c r="CX322" s="107"/>
      <c r="CY322" s="107"/>
      <c r="CZ322" s="107"/>
      <c r="DP322"/>
      <c r="DQ322" s="85"/>
      <c r="DR322" s="85"/>
      <c r="DS322" s="107"/>
      <c r="DT322" s="107"/>
      <c r="DU322" s="107"/>
      <c r="DV322" s="107"/>
      <c r="DW322" s="107"/>
    </row>
    <row r="323" spans="1:127" ht="16.5">
      <c r="A323"/>
      <c r="B323"/>
      <c r="C323" s="85"/>
      <c r="D323" s="107"/>
      <c r="E323" s="107"/>
      <c r="F323" s="107"/>
      <c r="G323" s="107"/>
      <c r="H323" s="107"/>
      <c r="I323" s="340"/>
      <c r="J323" s="340"/>
      <c r="K323" s="340"/>
      <c r="L323" s="340"/>
      <c r="M323" s="340"/>
      <c r="N323" s="340"/>
      <c r="O323" s="340"/>
      <c r="P323" s="340"/>
      <c r="Q323" s="340"/>
      <c r="S323"/>
      <c r="T323"/>
      <c r="U323" s="85"/>
      <c r="V323" s="107"/>
      <c r="W323" s="107"/>
      <c r="X323" s="107"/>
      <c r="Y323" s="107"/>
      <c r="Z323" s="107"/>
      <c r="AK323"/>
      <c r="AL323" s="85"/>
      <c r="AM323" s="85"/>
      <c r="AN323" s="107"/>
      <c r="AO323" s="107"/>
      <c r="AP323" s="107"/>
      <c r="AQ323" s="107"/>
      <c r="AR323" s="107"/>
      <c r="BO323"/>
      <c r="BP323" s="85"/>
      <c r="BQ323" s="85"/>
      <c r="BR323" s="107"/>
      <c r="BS323" s="107"/>
      <c r="BT323" s="107"/>
      <c r="BU323" s="107"/>
      <c r="BV323" s="107"/>
      <c r="CS323"/>
      <c r="CT323" s="85"/>
      <c r="CU323" s="85"/>
      <c r="CV323" s="107"/>
      <c r="CW323" s="107"/>
      <c r="CX323" s="107"/>
      <c r="CY323" s="107"/>
      <c r="CZ323" s="107"/>
      <c r="DP323"/>
      <c r="DQ323" s="85"/>
      <c r="DR323" s="85"/>
      <c r="DS323" s="107"/>
      <c r="DT323" s="107"/>
      <c r="DU323" s="107"/>
      <c r="DV323" s="107"/>
      <c r="DW323" s="107"/>
    </row>
    <row r="324" spans="1:127" ht="16.5">
      <c r="A324"/>
      <c r="B324"/>
      <c r="C324" s="85"/>
      <c r="D324" s="107"/>
      <c r="E324" s="107"/>
      <c r="F324" s="107"/>
      <c r="G324" s="107"/>
      <c r="H324" s="107"/>
      <c r="I324" s="340"/>
      <c r="J324" s="340"/>
      <c r="K324" s="340"/>
      <c r="L324" s="340"/>
      <c r="M324" s="340"/>
      <c r="N324" s="340"/>
      <c r="O324" s="340"/>
      <c r="P324" s="340"/>
      <c r="Q324" s="340"/>
      <c r="S324"/>
      <c r="T324"/>
      <c r="U324" s="85"/>
      <c r="V324" s="107"/>
      <c r="W324" s="107"/>
      <c r="X324" s="107"/>
      <c r="Y324" s="107"/>
      <c r="Z324" s="107"/>
      <c r="AK324"/>
      <c r="AL324" s="85"/>
      <c r="AM324" s="85"/>
      <c r="AN324" s="107"/>
      <c r="AO324" s="107"/>
      <c r="AP324" s="107"/>
      <c r="AQ324" s="107"/>
      <c r="AR324" s="107"/>
      <c r="BO324"/>
      <c r="BP324" s="85"/>
      <c r="BQ324" s="85"/>
      <c r="BR324" s="107"/>
      <c r="BS324" s="107"/>
      <c r="BT324" s="107"/>
      <c r="BU324" s="107"/>
      <c r="BV324" s="107"/>
      <c r="CS324"/>
      <c r="CT324" s="85"/>
      <c r="CU324" s="85"/>
      <c r="CV324" s="107"/>
      <c r="CW324" s="107"/>
      <c r="CX324" s="107"/>
      <c r="CY324" s="107"/>
      <c r="CZ324" s="107"/>
      <c r="DP324"/>
      <c r="DQ324" s="85"/>
      <c r="DR324" s="85"/>
      <c r="DS324" s="107"/>
      <c r="DT324" s="107"/>
      <c r="DU324" s="107"/>
      <c r="DV324" s="107"/>
      <c r="DW324" s="107"/>
    </row>
    <row r="325" spans="1:127" ht="16.5">
      <c r="A325"/>
      <c r="B325"/>
      <c r="C325" s="85"/>
      <c r="D325" s="107"/>
      <c r="E325" s="107"/>
      <c r="F325" s="107"/>
      <c r="G325" s="107"/>
      <c r="H325" s="107"/>
      <c r="I325" s="340"/>
      <c r="J325" s="340"/>
      <c r="K325" s="340"/>
      <c r="L325" s="340"/>
      <c r="M325" s="340"/>
      <c r="N325" s="340"/>
      <c r="O325" s="340"/>
      <c r="P325" s="340"/>
      <c r="Q325" s="340"/>
      <c r="S325"/>
      <c r="T325"/>
      <c r="U325" s="85"/>
      <c r="V325" s="107"/>
      <c r="W325" s="107"/>
      <c r="X325" s="107"/>
      <c r="Y325" s="107"/>
      <c r="Z325" s="107"/>
      <c r="AK325"/>
      <c r="AL325" s="85"/>
      <c r="AM325" s="85"/>
      <c r="AN325" s="107"/>
      <c r="AO325" s="107"/>
      <c r="AP325" s="107"/>
      <c r="AQ325" s="107"/>
      <c r="AR325" s="107"/>
      <c r="BO325"/>
      <c r="BP325" s="85"/>
      <c r="BQ325" s="85"/>
      <c r="BR325" s="107"/>
      <c r="BS325" s="107"/>
      <c r="BT325" s="107"/>
      <c r="BU325" s="107"/>
      <c r="BV325" s="107"/>
      <c r="CS325"/>
      <c r="CT325" s="85"/>
      <c r="CU325" s="85"/>
      <c r="CV325" s="107"/>
      <c r="CW325" s="107"/>
      <c r="CX325" s="107"/>
      <c r="CY325" s="107"/>
      <c r="CZ325" s="107"/>
      <c r="DP325"/>
      <c r="DQ325" s="85"/>
      <c r="DR325" s="85"/>
      <c r="DS325" s="107"/>
      <c r="DT325" s="107"/>
      <c r="DU325" s="107"/>
      <c r="DV325" s="107"/>
      <c r="DW325" s="107"/>
    </row>
    <row r="326" spans="1:127" ht="16.5">
      <c r="A326"/>
      <c r="B326"/>
      <c r="C326" s="85"/>
      <c r="D326" s="107"/>
      <c r="E326" s="107"/>
      <c r="F326" s="107"/>
      <c r="G326" s="107"/>
      <c r="H326" s="107"/>
      <c r="I326" s="340"/>
      <c r="J326" s="340"/>
      <c r="K326" s="340"/>
      <c r="L326" s="340"/>
      <c r="M326" s="340"/>
      <c r="N326" s="340"/>
      <c r="O326" s="340"/>
      <c r="P326" s="340"/>
      <c r="Q326" s="340"/>
      <c r="S326"/>
      <c r="T326"/>
      <c r="U326" s="85"/>
      <c r="V326" s="107"/>
      <c r="W326" s="107"/>
      <c r="X326" s="107"/>
      <c r="Y326" s="107"/>
      <c r="Z326" s="107"/>
      <c r="AK326"/>
      <c r="AL326" s="85"/>
      <c r="AM326" s="85"/>
      <c r="AN326" s="107"/>
      <c r="AO326" s="107"/>
      <c r="AP326" s="107"/>
      <c r="AQ326" s="107"/>
      <c r="AR326" s="107"/>
      <c r="BO326"/>
      <c r="BP326" s="85"/>
      <c r="BQ326" s="85"/>
      <c r="BR326" s="107"/>
      <c r="BS326" s="107"/>
      <c r="BT326" s="107"/>
      <c r="BU326" s="107"/>
      <c r="BV326" s="107"/>
      <c r="CS326"/>
      <c r="CT326" s="85"/>
      <c r="CU326" s="85"/>
      <c r="CV326" s="107"/>
      <c r="CW326" s="107"/>
      <c r="CX326" s="107"/>
      <c r="CY326" s="107"/>
      <c r="CZ326" s="107"/>
      <c r="DP326"/>
      <c r="DQ326" s="85"/>
      <c r="DR326" s="85"/>
      <c r="DS326" s="107"/>
      <c r="DT326" s="107"/>
      <c r="DU326" s="107"/>
      <c r="DV326" s="107"/>
      <c r="DW326" s="107"/>
    </row>
    <row r="327" spans="1:127" ht="16.5">
      <c r="A327"/>
      <c r="B327"/>
      <c r="C327" s="85"/>
      <c r="D327" s="107"/>
      <c r="E327" s="107"/>
      <c r="F327" s="107"/>
      <c r="G327" s="107"/>
      <c r="H327" s="107"/>
      <c r="I327" s="340"/>
      <c r="J327" s="340"/>
      <c r="K327" s="340"/>
      <c r="L327" s="340"/>
      <c r="M327" s="340"/>
      <c r="N327" s="340"/>
      <c r="O327" s="340"/>
      <c r="P327" s="340"/>
      <c r="Q327" s="340"/>
      <c r="S327"/>
      <c r="T327"/>
      <c r="U327" s="85"/>
      <c r="V327" s="107"/>
      <c r="W327" s="107"/>
      <c r="X327" s="107"/>
      <c r="Y327" s="107"/>
      <c r="Z327" s="107"/>
      <c r="AK327"/>
      <c r="AL327" s="85"/>
      <c r="AM327" s="85"/>
      <c r="AN327" s="107"/>
      <c r="AO327" s="107"/>
      <c r="AP327" s="107"/>
      <c r="AQ327" s="107"/>
      <c r="AR327" s="107"/>
      <c r="BO327"/>
      <c r="BP327" s="85"/>
      <c r="BQ327" s="85"/>
      <c r="BR327" s="107"/>
      <c r="BS327" s="107"/>
      <c r="BT327" s="107"/>
      <c r="BU327" s="107"/>
      <c r="BV327" s="107"/>
      <c r="CS327"/>
      <c r="CT327" s="85"/>
      <c r="CU327" s="85"/>
      <c r="CV327" s="107"/>
      <c r="CW327" s="107"/>
      <c r="CX327" s="107"/>
      <c r="CY327" s="107"/>
      <c r="CZ327" s="107"/>
      <c r="DP327"/>
      <c r="DQ327" s="85"/>
      <c r="DR327" s="85"/>
      <c r="DS327" s="107"/>
      <c r="DT327" s="107"/>
      <c r="DU327" s="107"/>
      <c r="DV327" s="107"/>
      <c r="DW327" s="107"/>
    </row>
    <row r="328" spans="1:127" ht="16.5">
      <c r="A328"/>
      <c r="B328"/>
      <c r="C328" s="85"/>
      <c r="D328" s="107"/>
      <c r="E328" s="107"/>
      <c r="F328" s="107"/>
      <c r="G328" s="107"/>
      <c r="H328" s="107"/>
      <c r="I328" s="340"/>
      <c r="J328" s="340"/>
      <c r="K328" s="340"/>
      <c r="L328" s="340"/>
      <c r="M328" s="340"/>
      <c r="N328" s="340"/>
      <c r="O328" s="340"/>
      <c r="P328" s="340"/>
      <c r="Q328" s="340"/>
      <c r="S328"/>
      <c r="T328"/>
      <c r="U328" s="85"/>
      <c r="V328" s="107"/>
      <c r="W328" s="107"/>
      <c r="X328" s="107"/>
      <c r="Y328" s="107"/>
      <c r="Z328" s="107"/>
      <c r="AK328"/>
      <c r="AL328" s="85"/>
      <c r="AM328" s="85"/>
      <c r="AN328" s="107"/>
      <c r="AO328" s="107"/>
      <c r="AP328" s="107"/>
      <c r="AQ328" s="107"/>
      <c r="AR328" s="107"/>
      <c r="BO328"/>
      <c r="BP328" s="85"/>
      <c r="BQ328" s="85"/>
      <c r="BR328" s="107"/>
      <c r="BS328" s="107"/>
      <c r="BT328" s="107"/>
      <c r="BU328" s="107"/>
      <c r="BV328" s="107"/>
      <c r="CS328"/>
      <c r="CT328" s="85"/>
      <c r="CU328" s="85"/>
      <c r="CV328" s="107"/>
      <c r="CW328" s="107"/>
      <c r="CX328" s="107"/>
      <c r="CY328" s="107"/>
      <c r="CZ328" s="107"/>
      <c r="DP328"/>
      <c r="DQ328" s="85"/>
      <c r="DR328" s="85"/>
      <c r="DS328" s="107"/>
      <c r="DT328" s="107"/>
      <c r="DU328" s="107"/>
      <c r="DV328" s="107"/>
      <c r="DW328" s="107"/>
    </row>
    <row r="329" spans="1:127" ht="16.5">
      <c r="A329"/>
      <c r="B329"/>
      <c r="C329" s="85"/>
      <c r="D329" s="107"/>
      <c r="E329" s="107"/>
      <c r="F329" s="107"/>
      <c r="G329" s="107"/>
      <c r="H329" s="107"/>
      <c r="I329" s="340"/>
      <c r="J329" s="340"/>
      <c r="K329" s="340"/>
      <c r="L329" s="340"/>
      <c r="M329" s="340"/>
      <c r="N329" s="340"/>
      <c r="O329" s="340"/>
      <c r="P329" s="340"/>
      <c r="Q329" s="340"/>
      <c r="S329"/>
      <c r="T329"/>
      <c r="U329" s="85"/>
      <c r="V329" s="107"/>
      <c r="W329" s="107"/>
      <c r="X329" s="107"/>
      <c r="Y329" s="107"/>
      <c r="Z329" s="107"/>
      <c r="AK329"/>
      <c r="AL329" s="85"/>
      <c r="AM329" s="85"/>
      <c r="AN329" s="107"/>
      <c r="AO329" s="107"/>
      <c r="AP329" s="107"/>
      <c r="AQ329" s="107"/>
      <c r="AR329" s="107"/>
      <c r="BO329"/>
      <c r="BP329" s="85"/>
      <c r="BQ329" s="85"/>
      <c r="BR329" s="107"/>
      <c r="BS329" s="107"/>
      <c r="BT329" s="107"/>
      <c r="BU329" s="107"/>
      <c r="BV329" s="107"/>
      <c r="CS329"/>
      <c r="CT329" s="85"/>
      <c r="CU329" s="85"/>
      <c r="CV329" s="107"/>
      <c r="CW329" s="107"/>
      <c r="CX329" s="107"/>
      <c r="CY329" s="107"/>
      <c r="CZ329" s="107"/>
      <c r="DP329"/>
      <c r="DQ329" s="85"/>
      <c r="DR329" s="85"/>
      <c r="DS329" s="107"/>
      <c r="DT329" s="107"/>
      <c r="DU329" s="107"/>
      <c r="DV329" s="107"/>
      <c r="DW329" s="107"/>
    </row>
    <row r="330" spans="1:127" ht="16.5">
      <c r="A330"/>
      <c r="B330"/>
      <c r="C330" s="85"/>
      <c r="D330" s="107"/>
      <c r="E330" s="107"/>
      <c r="F330" s="107"/>
      <c r="G330" s="107"/>
      <c r="H330" s="107"/>
      <c r="I330" s="340"/>
      <c r="J330" s="340"/>
      <c r="K330" s="340"/>
      <c r="L330" s="340"/>
      <c r="M330" s="340"/>
      <c r="N330" s="340"/>
      <c r="O330" s="340"/>
      <c r="P330" s="340"/>
      <c r="Q330" s="340"/>
      <c r="S330"/>
      <c r="T330"/>
      <c r="U330" s="85"/>
      <c r="V330" s="107"/>
      <c r="W330" s="107"/>
      <c r="X330" s="107"/>
      <c r="Y330" s="107"/>
      <c r="Z330" s="107"/>
      <c r="AK330"/>
      <c r="AL330" s="85"/>
      <c r="AM330" s="85"/>
      <c r="AN330" s="107"/>
      <c r="AO330" s="107"/>
      <c r="AP330" s="107"/>
      <c r="AQ330" s="107"/>
      <c r="AR330" s="107"/>
      <c r="BO330"/>
      <c r="BP330" s="85"/>
      <c r="BQ330" s="85"/>
      <c r="BR330" s="107"/>
      <c r="BS330" s="107"/>
      <c r="BT330" s="107"/>
      <c r="BU330" s="107"/>
      <c r="BV330" s="107"/>
      <c r="CS330"/>
      <c r="CT330" s="85"/>
      <c r="CU330" s="85"/>
      <c r="CV330" s="107"/>
      <c r="CW330" s="107"/>
      <c r="CX330" s="107"/>
      <c r="CY330" s="107"/>
      <c r="CZ330" s="107"/>
      <c r="DP330"/>
      <c r="DQ330" s="85"/>
      <c r="DR330" s="85"/>
      <c r="DS330" s="107"/>
      <c r="DT330" s="107"/>
      <c r="DU330" s="107"/>
      <c r="DV330" s="107"/>
      <c r="DW330" s="107"/>
    </row>
    <row r="331" spans="1:127" ht="16.5">
      <c r="A331"/>
      <c r="B331"/>
      <c r="C331" s="85"/>
      <c r="D331" s="107"/>
      <c r="E331" s="107"/>
      <c r="F331" s="107"/>
      <c r="G331" s="107"/>
      <c r="H331" s="107"/>
      <c r="I331" s="340"/>
      <c r="J331" s="340"/>
      <c r="K331" s="340"/>
      <c r="L331" s="340"/>
      <c r="M331" s="340"/>
      <c r="N331" s="340"/>
      <c r="O331" s="340"/>
      <c r="P331" s="340"/>
      <c r="Q331" s="340"/>
      <c r="S331"/>
      <c r="T331"/>
      <c r="U331" s="85"/>
      <c r="V331" s="107"/>
      <c r="W331" s="107"/>
      <c r="X331" s="107"/>
      <c r="Y331" s="107"/>
      <c r="Z331" s="107"/>
      <c r="AK331"/>
      <c r="AL331" s="85"/>
      <c r="AM331" s="85"/>
      <c r="AN331" s="107"/>
      <c r="AO331" s="107"/>
      <c r="AP331" s="107"/>
      <c r="AQ331" s="107"/>
      <c r="AR331" s="107"/>
      <c r="BO331"/>
      <c r="BP331" s="85"/>
      <c r="BQ331" s="85"/>
      <c r="BR331" s="107"/>
      <c r="BS331" s="107"/>
      <c r="BT331" s="107"/>
      <c r="BU331" s="107"/>
      <c r="BV331" s="107"/>
      <c r="CS331"/>
      <c r="CT331" s="85"/>
      <c r="CU331" s="85"/>
      <c r="CV331" s="107"/>
      <c r="CW331" s="107"/>
      <c r="CX331" s="107"/>
      <c r="CY331" s="107"/>
      <c r="CZ331" s="107"/>
      <c r="DP331"/>
      <c r="DQ331" s="85"/>
      <c r="DR331" s="85"/>
      <c r="DS331" s="107"/>
      <c r="DT331" s="107"/>
      <c r="DU331" s="107"/>
      <c r="DV331" s="107"/>
      <c r="DW331" s="107"/>
    </row>
    <row r="332" spans="1:127" ht="16.5">
      <c r="A332"/>
      <c r="B332"/>
      <c r="C332" s="85"/>
      <c r="D332" s="107"/>
      <c r="E332" s="107"/>
      <c r="F332" s="107"/>
      <c r="G332" s="107"/>
      <c r="H332" s="107"/>
      <c r="I332" s="340"/>
      <c r="J332" s="340"/>
      <c r="K332" s="340"/>
      <c r="L332" s="340"/>
      <c r="M332" s="340"/>
      <c r="N332" s="340"/>
      <c r="O332" s="340"/>
      <c r="P332" s="340"/>
      <c r="Q332" s="340"/>
      <c r="S332"/>
      <c r="T332"/>
      <c r="U332" s="85"/>
      <c r="V332" s="107"/>
      <c r="W332" s="107"/>
      <c r="X332" s="107"/>
      <c r="Y332" s="107"/>
      <c r="Z332" s="107"/>
      <c r="AK332"/>
      <c r="AL332" s="85"/>
      <c r="AM332" s="85"/>
      <c r="AN332" s="107"/>
      <c r="AO332" s="107"/>
      <c r="AP332" s="107"/>
      <c r="AQ332" s="107"/>
      <c r="AR332" s="107"/>
      <c r="BO332"/>
      <c r="BP332" s="85"/>
      <c r="BQ332" s="85"/>
      <c r="BR332" s="107"/>
      <c r="BS332" s="107"/>
      <c r="BT332" s="107"/>
      <c r="BU332" s="107"/>
      <c r="BV332" s="107"/>
      <c r="CS332"/>
      <c r="CT332" s="85"/>
      <c r="CU332" s="85"/>
      <c r="CV332" s="107"/>
      <c r="CW332" s="107"/>
      <c r="CX332" s="107"/>
      <c r="CY332" s="107"/>
      <c r="CZ332" s="107"/>
      <c r="DP332"/>
      <c r="DQ332" s="85"/>
      <c r="DR332" s="85"/>
      <c r="DS332" s="107"/>
      <c r="DT332" s="107"/>
      <c r="DU332" s="107"/>
      <c r="DV332" s="107"/>
      <c r="DW332" s="107"/>
    </row>
    <row r="333" spans="1:127" ht="16.5">
      <c r="A333"/>
      <c r="B333"/>
      <c r="C333" s="85"/>
      <c r="D333" s="107"/>
      <c r="E333" s="107"/>
      <c r="F333" s="107"/>
      <c r="G333" s="107"/>
      <c r="H333" s="107"/>
      <c r="I333" s="340"/>
      <c r="J333" s="340"/>
      <c r="K333" s="340"/>
      <c r="L333" s="340"/>
      <c r="M333" s="340"/>
      <c r="N333" s="340"/>
      <c r="O333" s="340"/>
      <c r="P333" s="340"/>
      <c r="Q333" s="340"/>
      <c r="S333"/>
      <c r="T333"/>
      <c r="U333" s="85"/>
      <c r="V333" s="107"/>
      <c r="W333" s="107"/>
      <c r="X333" s="107"/>
      <c r="Y333" s="107"/>
      <c r="Z333" s="107"/>
      <c r="AK333"/>
      <c r="AL333" s="85"/>
      <c r="AM333" s="85"/>
      <c r="AN333" s="107"/>
      <c r="AO333" s="107"/>
      <c r="AP333" s="107"/>
      <c r="AQ333" s="107"/>
      <c r="AR333" s="107"/>
      <c r="BO333"/>
      <c r="BP333" s="85"/>
      <c r="BQ333" s="85"/>
      <c r="BR333" s="107"/>
      <c r="BS333" s="107"/>
      <c r="BT333" s="107"/>
      <c r="BU333" s="107"/>
      <c r="BV333" s="107"/>
      <c r="CS333"/>
      <c r="CT333" s="85"/>
      <c r="CU333" s="85"/>
      <c r="CV333" s="107"/>
      <c r="CW333" s="107"/>
      <c r="CX333" s="107"/>
      <c r="CY333" s="107"/>
      <c r="CZ333" s="107"/>
      <c r="DP333"/>
      <c r="DQ333" s="85"/>
      <c r="DR333" s="85"/>
      <c r="DS333" s="107"/>
      <c r="DT333" s="107"/>
      <c r="DU333" s="107"/>
      <c r="DV333" s="107"/>
      <c r="DW333" s="107"/>
    </row>
    <row r="334" spans="1:127" ht="16.5">
      <c r="A334"/>
      <c r="B334"/>
      <c r="C334" s="85"/>
      <c r="D334" s="107"/>
      <c r="E334" s="107"/>
      <c r="F334" s="107"/>
      <c r="G334" s="107"/>
      <c r="H334" s="107"/>
      <c r="I334" s="340"/>
      <c r="J334" s="340"/>
      <c r="K334" s="340"/>
      <c r="L334" s="340"/>
      <c r="M334" s="340"/>
      <c r="N334" s="340"/>
      <c r="O334" s="340"/>
      <c r="P334" s="340"/>
      <c r="Q334" s="340"/>
      <c r="S334"/>
      <c r="T334"/>
      <c r="U334" s="85"/>
      <c r="V334" s="107"/>
      <c r="W334" s="107"/>
      <c r="X334" s="107"/>
      <c r="Y334" s="107"/>
      <c r="Z334" s="107"/>
      <c r="AK334"/>
      <c r="AL334" s="85"/>
      <c r="AM334" s="85"/>
      <c r="AN334" s="107"/>
      <c r="AO334" s="107"/>
      <c r="AP334" s="107"/>
      <c r="AQ334" s="107"/>
      <c r="AR334" s="107"/>
      <c r="BO334"/>
      <c r="BP334" s="85"/>
      <c r="BQ334" s="85"/>
      <c r="BR334" s="107"/>
      <c r="BS334" s="107"/>
      <c r="BT334" s="107"/>
      <c r="BU334" s="107"/>
      <c r="BV334" s="107"/>
      <c r="CS334"/>
      <c r="CT334" s="85"/>
      <c r="CU334" s="85"/>
      <c r="CV334" s="107"/>
      <c r="CW334" s="107"/>
      <c r="CX334" s="107"/>
      <c r="CY334" s="107"/>
      <c r="CZ334" s="107"/>
      <c r="DP334"/>
      <c r="DQ334" s="85"/>
      <c r="DR334" s="85"/>
      <c r="DS334" s="107"/>
      <c r="DT334" s="107"/>
      <c r="DU334" s="107"/>
      <c r="DV334" s="107"/>
      <c r="DW334" s="107"/>
    </row>
    <row r="335" spans="1:127" ht="16.5">
      <c r="A335"/>
      <c r="B335"/>
      <c r="C335" s="85"/>
      <c r="D335" s="107"/>
      <c r="E335" s="107"/>
      <c r="F335" s="107"/>
      <c r="G335" s="107"/>
      <c r="H335" s="107"/>
      <c r="I335" s="340"/>
      <c r="J335" s="340"/>
      <c r="K335" s="340"/>
      <c r="L335" s="340"/>
      <c r="M335" s="340"/>
      <c r="N335" s="340"/>
      <c r="O335" s="340"/>
      <c r="P335" s="340"/>
      <c r="Q335" s="340"/>
      <c r="S335"/>
      <c r="T335"/>
      <c r="U335" s="85"/>
      <c r="V335" s="107"/>
      <c r="W335" s="107"/>
      <c r="X335" s="107"/>
      <c r="Y335" s="107"/>
      <c r="Z335" s="107"/>
      <c r="AK335"/>
      <c r="AL335" s="85"/>
      <c r="AM335" s="85"/>
      <c r="AN335" s="107"/>
      <c r="AO335" s="107"/>
      <c r="AP335" s="107"/>
      <c r="AQ335" s="107"/>
      <c r="AR335" s="107"/>
      <c r="BO335"/>
      <c r="BP335" s="85"/>
      <c r="BQ335" s="85"/>
      <c r="BR335" s="107"/>
      <c r="BS335" s="107"/>
      <c r="BT335" s="107"/>
      <c r="BU335" s="107"/>
      <c r="BV335" s="107"/>
      <c r="CS335"/>
      <c r="CT335" s="85"/>
      <c r="CU335" s="85"/>
      <c r="CV335" s="107"/>
      <c r="CW335" s="107"/>
      <c r="CX335" s="107"/>
      <c r="CY335" s="107"/>
      <c r="CZ335" s="107"/>
      <c r="DP335"/>
      <c r="DQ335" s="85"/>
      <c r="DR335" s="85"/>
      <c r="DS335" s="107"/>
      <c r="DT335" s="107"/>
      <c r="DU335" s="107"/>
      <c r="DV335" s="107"/>
      <c r="DW335" s="107"/>
    </row>
    <row r="336" spans="1:127" ht="16.5">
      <c r="A336"/>
      <c r="B336"/>
      <c r="C336" s="85"/>
      <c r="D336" s="107"/>
      <c r="E336" s="107"/>
      <c r="F336" s="107"/>
      <c r="G336" s="107"/>
      <c r="H336" s="107"/>
      <c r="I336" s="340"/>
      <c r="J336" s="340"/>
      <c r="K336" s="340"/>
      <c r="L336" s="340"/>
      <c r="M336" s="340"/>
      <c r="N336" s="340"/>
      <c r="O336" s="340"/>
      <c r="P336" s="340"/>
      <c r="Q336" s="340"/>
      <c r="S336"/>
      <c r="T336"/>
      <c r="U336" s="85"/>
      <c r="V336" s="107"/>
      <c r="W336" s="107"/>
      <c r="X336" s="107"/>
      <c r="Y336" s="107"/>
      <c r="Z336" s="107"/>
      <c r="AK336"/>
      <c r="AL336" s="85"/>
      <c r="AM336" s="85"/>
      <c r="AN336" s="107"/>
      <c r="AO336" s="107"/>
      <c r="AP336" s="107"/>
      <c r="AQ336" s="107"/>
      <c r="AR336" s="107"/>
      <c r="BO336"/>
      <c r="BP336" s="85"/>
      <c r="BQ336" s="85"/>
      <c r="BR336" s="107"/>
      <c r="BS336" s="107"/>
      <c r="BT336" s="107"/>
      <c r="BU336" s="107"/>
      <c r="BV336" s="107"/>
      <c r="CS336"/>
      <c r="CT336" s="85"/>
      <c r="CU336" s="85"/>
      <c r="CV336" s="107"/>
      <c r="CW336" s="107"/>
      <c r="CX336" s="107"/>
      <c r="CY336" s="107"/>
      <c r="CZ336" s="107"/>
      <c r="DP336"/>
      <c r="DQ336" s="85"/>
      <c r="DR336" s="85"/>
      <c r="DS336" s="107"/>
      <c r="DT336" s="107"/>
      <c r="DU336" s="107"/>
      <c r="DV336" s="107"/>
      <c r="DW336" s="107"/>
    </row>
    <row r="337" spans="1:127" ht="16.5">
      <c r="A337"/>
      <c r="B337"/>
      <c r="C337" s="85"/>
      <c r="D337" s="107"/>
      <c r="E337" s="107"/>
      <c r="F337" s="107"/>
      <c r="G337" s="107"/>
      <c r="H337" s="107"/>
      <c r="I337" s="340"/>
      <c r="J337" s="340"/>
      <c r="K337" s="340"/>
      <c r="L337" s="340"/>
      <c r="M337" s="340"/>
      <c r="N337" s="340"/>
      <c r="O337" s="340"/>
      <c r="P337" s="340"/>
      <c r="Q337" s="340"/>
      <c r="S337"/>
      <c r="T337"/>
      <c r="U337" s="85"/>
      <c r="V337" s="107"/>
      <c r="W337" s="107"/>
      <c r="X337" s="107"/>
      <c r="Y337" s="107"/>
      <c r="Z337" s="107"/>
      <c r="AK337"/>
      <c r="AL337" s="85"/>
      <c r="AM337" s="85"/>
      <c r="AN337" s="107"/>
      <c r="AO337" s="107"/>
      <c r="AP337" s="107"/>
      <c r="AQ337" s="107"/>
      <c r="AR337" s="107"/>
      <c r="BO337"/>
      <c r="BP337" s="85"/>
      <c r="BQ337" s="85"/>
      <c r="BR337" s="107"/>
      <c r="BS337" s="107"/>
      <c r="BT337" s="107"/>
      <c r="BU337" s="107"/>
      <c r="BV337" s="107"/>
      <c r="CS337"/>
      <c r="CT337" s="85"/>
      <c r="CU337" s="85"/>
      <c r="CV337" s="107"/>
      <c r="CW337" s="107"/>
      <c r="CX337" s="107"/>
      <c r="CY337" s="107"/>
      <c r="CZ337" s="107"/>
      <c r="DP337"/>
      <c r="DQ337" s="85"/>
      <c r="DR337" s="85"/>
      <c r="DS337" s="107"/>
      <c r="DT337" s="107"/>
      <c r="DU337" s="107"/>
      <c r="DV337" s="107"/>
      <c r="DW337" s="107"/>
    </row>
    <row r="338" spans="1:127" ht="16.5">
      <c r="A338"/>
      <c r="B338"/>
      <c r="C338" s="85"/>
      <c r="D338" s="107"/>
      <c r="E338" s="107"/>
      <c r="F338" s="107"/>
      <c r="G338" s="107"/>
      <c r="H338" s="107"/>
      <c r="I338" s="340"/>
      <c r="J338" s="340"/>
      <c r="K338" s="340"/>
      <c r="L338" s="340"/>
      <c r="M338" s="340"/>
      <c r="N338" s="340"/>
      <c r="O338" s="340"/>
      <c r="P338" s="340"/>
      <c r="Q338" s="340"/>
      <c r="S338"/>
      <c r="T338"/>
      <c r="U338" s="85"/>
      <c r="V338" s="107"/>
      <c r="W338" s="107"/>
      <c r="X338" s="107"/>
      <c r="Y338" s="107"/>
      <c r="Z338" s="107"/>
      <c r="AK338"/>
      <c r="AL338" s="85"/>
      <c r="AM338" s="85"/>
      <c r="AN338" s="107"/>
      <c r="AO338" s="107"/>
      <c r="AP338" s="107"/>
      <c r="AQ338" s="107"/>
      <c r="AR338" s="107"/>
      <c r="BO338"/>
      <c r="BP338" s="85"/>
      <c r="BQ338" s="85"/>
      <c r="BR338" s="107"/>
      <c r="BS338" s="107"/>
      <c r="BT338" s="107"/>
      <c r="BU338" s="107"/>
      <c r="BV338" s="107"/>
      <c r="CS338"/>
      <c r="CT338" s="85"/>
      <c r="CU338" s="85"/>
      <c r="CV338" s="107"/>
      <c r="CW338" s="107"/>
      <c r="CX338" s="107"/>
      <c r="CY338" s="107"/>
      <c r="CZ338" s="107"/>
      <c r="DP338"/>
      <c r="DQ338" s="85"/>
      <c r="DR338" s="85"/>
      <c r="DS338" s="107"/>
      <c r="DT338" s="107"/>
      <c r="DU338" s="107"/>
      <c r="DV338" s="107"/>
      <c r="DW338" s="107"/>
    </row>
    <row r="339" spans="1:127" ht="16.5">
      <c r="A339"/>
      <c r="B339"/>
      <c r="C339" s="85"/>
      <c r="D339" s="107"/>
      <c r="E339" s="107"/>
      <c r="F339" s="107"/>
      <c r="G339" s="107"/>
      <c r="H339" s="107"/>
      <c r="I339" s="340"/>
      <c r="J339" s="340"/>
      <c r="K339" s="340"/>
      <c r="L339" s="340"/>
      <c r="M339" s="340"/>
      <c r="N339" s="340"/>
      <c r="O339" s="340"/>
      <c r="P339" s="340"/>
      <c r="Q339" s="340"/>
      <c r="S339"/>
      <c r="T339"/>
      <c r="U339" s="85"/>
      <c r="V339" s="107"/>
      <c r="W339" s="107"/>
      <c r="X339" s="107"/>
      <c r="Y339" s="107"/>
      <c r="Z339" s="107"/>
      <c r="AK339"/>
      <c r="AL339" s="85"/>
      <c r="AM339" s="85"/>
      <c r="AN339" s="107"/>
      <c r="AO339" s="107"/>
      <c r="AP339" s="107"/>
      <c r="AQ339" s="107"/>
      <c r="AR339" s="107"/>
      <c r="BO339"/>
      <c r="BP339" s="85"/>
      <c r="BQ339" s="85"/>
      <c r="BR339" s="107"/>
      <c r="BS339" s="107"/>
      <c r="BT339" s="107"/>
      <c r="BU339" s="107"/>
      <c r="BV339" s="107"/>
      <c r="CS339"/>
      <c r="CT339" s="85"/>
      <c r="CU339" s="85"/>
      <c r="CV339" s="107"/>
      <c r="CW339" s="107"/>
      <c r="CX339" s="107"/>
      <c r="CY339" s="107"/>
      <c r="CZ339" s="107"/>
      <c r="DP339"/>
      <c r="DQ339" s="85"/>
      <c r="DR339" s="85"/>
      <c r="DS339" s="107"/>
      <c r="DT339" s="107"/>
      <c r="DU339" s="107"/>
      <c r="DV339" s="107"/>
      <c r="DW339" s="107"/>
    </row>
    <row r="340" spans="1:127" ht="16.5">
      <c r="A340"/>
      <c r="B340"/>
      <c r="C340" s="85"/>
      <c r="D340" s="107"/>
      <c r="E340" s="107"/>
      <c r="F340" s="107"/>
      <c r="G340" s="107"/>
      <c r="H340" s="107"/>
      <c r="I340" s="340"/>
      <c r="J340" s="340"/>
      <c r="K340" s="340"/>
      <c r="L340" s="340"/>
      <c r="M340" s="340"/>
      <c r="N340" s="340"/>
      <c r="O340" s="340"/>
      <c r="P340" s="340"/>
      <c r="Q340" s="340"/>
      <c r="S340"/>
      <c r="T340"/>
      <c r="U340" s="85"/>
      <c r="V340" s="107"/>
      <c r="W340" s="107"/>
      <c r="X340" s="107"/>
      <c r="Y340" s="107"/>
      <c r="Z340" s="107"/>
      <c r="AK340"/>
      <c r="AL340" s="85"/>
      <c r="AM340" s="85"/>
      <c r="AN340" s="107"/>
      <c r="AO340" s="107"/>
      <c r="AP340" s="107"/>
      <c r="AQ340" s="107"/>
      <c r="AR340" s="107"/>
      <c r="BO340"/>
      <c r="BP340" s="85"/>
      <c r="BQ340" s="85"/>
      <c r="BR340" s="107"/>
      <c r="BS340" s="107"/>
      <c r="BT340" s="107"/>
      <c r="BU340" s="107"/>
      <c r="BV340" s="107"/>
      <c r="CS340"/>
      <c r="CT340" s="85"/>
      <c r="CU340" s="85"/>
      <c r="CV340" s="107"/>
      <c r="CW340" s="107"/>
      <c r="CX340" s="107"/>
      <c r="CY340" s="107"/>
      <c r="CZ340" s="107"/>
      <c r="DP340"/>
      <c r="DQ340" s="85"/>
      <c r="DR340" s="85"/>
      <c r="DS340" s="107"/>
      <c r="DT340" s="107"/>
      <c r="DU340" s="107"/>
      <c r="DV340" s="107"/>
      <c r="DW340" s="107"/>
    </row>
    <row r="341" spans="1:127" ht="16.5">
      <c r="A341"/>
      <c r="B341"/>
      <c r="C341" s="85"/>
      <c r="D341" s="107"/>
      <c r="E341" s="107"/>
      <c r="F341" s="107"/>
      <c r="G341" s="107"/>
      <c r="H341" s="107"/>
      <c r="I341" s="340"/>
      <c r="J341" s="340"/>
      <c r="K341" s="340"/>
      <c r="L341" s="340"/>
      <c r="M341" s="340"/>
      <c r="N341" s="340"/>
      <c r="O341" s="340"/>
      <c r="P341" s="340"/>
      <c r="Q341" s="340"/>
      <c r="S341"/>
      <c r="T341"/>
      <c r="U341" s="85"/>
      <c r="V341" s="107"/>
      <c r="W341" s="107"/>
      <c r="X341" s="107"/>
      <c r="Y341" s="107"/>
      <c r="Z341" s="107"/>
      <c r="AK341"/>
      <c r="AL341" s="85"/>
      <c r="AM341" s="85"/>
      <c r="AN341" s="107"/>
      <c r="AO341" s="107"/>
      <c r="AP341" s="107"/>
      <c r="AQ341" s="107"/>
      <c r="AR341" s="107"/>
      <c r="BO341"/>
      <c r="BP341" s="85"/>
      <c r="BQ341" s="85"/>
      <c r="BR341" s="107"/>
      <c r="BS341" s="107"/>
      <c r="BT341" s="107"/>
      <c r="BU341" s="107"/>
      <c r="BV341" s="107"/>
      <c r="CS341"/>
      <c r="CT341" s="85"/>
      <c r="CU341" s="85"/>
      <c r="CV341" s="107"/>
      <c r="CW341" s="107"/>
      <c r="CX341" s="107"/>
      <c r="CY341" s="107"/>
      <c r="CZ341" s="107"/>
      <c r="DP341"/>
      <c r="DQ341" s="85"/>
      <c r="DR341" s="85"/>
      <c r="DS341" s="107"/>
      <c r="DT341" s="107"/>
      <c r="DU341" s="107"/>
      <c r="DV341" s="107"/>
      <c r="DW341" s="107"/>
    </row>
    <row r="342" spans="1:127" ht="16.5">
      <c r="A342"/>
      <c r="B342"/>
      <c r="C342" s="85"/>
      <c r="D342" s="107"/>
      <c r="E342" s="107"/>
      <c r="F342" s="107"/>
      <c r="G342" s="107"/>
      <c r="H342" s="107"/>
      <c r="I342" s="340"/>
      <c r="J342" s="340"/>
      <c r="K342" s="340"/>
      <c r="L342" s="340"/>
      <c r="M342" s="340"/>
      <c r="N342" s="340"/>
      <c r="O342" s="340"/>
      <c r="P342" s="340"/>
      <c r="Q342" s="340"/>
      <c r="S342"/>
      <c r="T342"/>
      <c r="U342" s="85"/>
      <c r="V342" s="107"/>
      <c r="W342" s="107"/>
      <c r="X342" s="107"/>
      <c r="Y342" s="107"/>
      <c r="Z342" s="107"/>
      <c r="AK342"/>
      <c r="AL342" s="85"/>
      <c r="AM342" s="85"/>
      <c r="AN342" s="107"/>
      <c r="AO342" s="107"/>
      <c r="AP342" s="107"/>
      <c r="AQ342" s="107"/>
      <c r="AR342" s="107"/>
      <c r="BO342"/>
      <c r="BP342" s="85"/>
      <c r="BQ342" s="85"/>
      <c r="BR342" s="107"/>
      <c r="BS342" s="107"/>
      <c r="BT342" s="107"/>
      <c r="BU342" s="107"/>
      <c r="BV342" s="107"/>
      <c r="CS342"/>
      <c r="CT342" s="85"/>
      <c r="CU342" s="85"/>
      <c r="CV342" s="107"/>
      <c r="CW342" s="107"/>
      <c r="CX342" s="107"/>
      <c r="CY342" s="107"/>
      <c r="CZ342" s="107"/>
      <c r="DP342"/>
      <c r="DQ342" s="85"/>
      <c r="DR342" s="85"/>
      <c r="DS342" s="107"/>
      <c r="DT342" s="107"/>
      <c r="DU342" s="107"/>
      <c r="DV342" s="107"/>
      <c r="DW342" s="107"/>
    </row>
    <row r="343" spans="1:127" ht="16.5">
      <c r="A343"/>
      <c r="B343"/>
      <c r="C343" s="85"/>
      <c r="D343" s="107"/>
      <c r="E343" s="107"/>
      <c r="F343" s="107"/>
      <c r="G343" s="107"/>
      <c r="H343" s="107"/>
      <c r="I343" s="340"/>
      <c r="J343" s="340"/>
      <c r="K343" s="340"/>
      <c r="L343" s="340"/>
      <c r="M343" s="340"/>
      <c r="N343" s="340"/>
      <c r="O343" s="340"/>
      <c r="P343" s="340"/>
      <c r="Q343" s="340"/>
      <c r="S343"/>
      <c r="T343"/>
      <c r="U343" s="85"/>
      <c r="V343" s="107"/>
      <c r="W343" s="107"/>
      <c r="X343" s="107"/>
      <c r="Y343" s="107"/>
      <c r="Z343" s="107"/>
      <c r="AK343"/>
      <c r="AL343" s="85"/>
      <c r="AM343" s="85"/>
      <c r="AN343" s="107"/>
      <c r="AO343" s="107"/>
      <c r="AP343" s="107"/>
      <c r="AQ343" s="107"/>
      <c r="AR343" s="107"/>
      <c r="BO343"/>
      <c r="BP343" s="85"/>
      <c r="BQ343" s="85"/>
      <c r="BR343" s="107"/>
      <c r="BS343" s="107"/>
      <c r="BT343" s="107"/>
      <c r="BU343" s="107"/>
      <c r="BV343" s="107"/>
      <c r="CS343"/>
      <c r="CT343" s="85"/>
      <c r="CU343" s="85"/>
      <c r="CV343" s="107"/>
      <c r="CW343" s="107"/>
      <c r="CX343" s="107"/>
      <c r="CY343" s="107"/>
      <c r="CZ343" s="107"/>
      <c r="DP343"/>
      <c r="DQ343" s="85"/>
      <c r="DR343" s="85"/>
      <c r="DS343" s="107"/>
      <c r="DT343" s="107"/>
      <c r="DU343" s="107"/>
      <c r="DV343" s="107"/>
      <c r="DW343" s="107"/>
    </row>
    <row r="344" spans="1:127" ht="16.5">
      <c r="A344"/>
      <c r="B344"/>
      <c r="C344" s="85"/>
      <c r="D344" s="107"/>
      <c r="E344" s="107"/>
      <c r="F344" s="107"/>
      <c r="G344" s="107"/>
      <c r="H344" s="107"/>
      <c r="I344" s="340"/>
      <c r="J344" s="340"/>
      <c r="K344" s="340"/>
      <c r="L344" s="340"/>
      <c r="M344" s="340"/>
      <c r="N344" s="340"/>
      <c r="O344" s="340"/>
      <c r="P344" s="340"/>
      <c r="Q344" s="340"/>
      <c r="S344"/>
      <c r="T344"/>
      <c r="U344" s="85"/>
      <c r="V344" s="107"/>
      <c r="W344" s="107"/>
      <c r="X344" s="107"/>
      <c r="Y344" s="107"/>
      <c r="Z344" s="107"/>
      <c r="AK344"/>
      <c r="AL344" s="85"/>
      <c r="AM344" s="85"/>
      <c r="AN344" s="107"/>
      <c r="AO344" s="107"/>
      <c r="AP344" s="107"/>
      <c r="AQ344" s="107"/>
      <c r="AR344" s="107"/>
      <c r="BO344"/>
      <c r="BP344" s="85"/>
      <c r="BQ344" s="85"/>
      <c r="BR344" s="107"/>
      <c r="BS344" s="107"/>
      <c r="BT344" s="107"/>
      <c r="BU344" s="107"/>
      <c r="BV344" s="107"/>
      <c r="CS344"/>
      <c r="CT344" s="85"/>
      <c r="CU344" s="85"/>
      <c r="CV344" s="107"/>
      <c r="CW344" s="107"/>
      <c r="CX344" s="107"/>
      <c r="CY344" s="107"/>
      <c r="CZ344" s="107"/>
      <c r="DP344"/>
      <c r="DQ344" s="85"/>
      <c r="DR344" s="85"/>
      <c r="DS344" s="107"/>
      <c r="DT344" s="107"/>
      <c r="DU344" s="107"/>
      <c r="DV344" s="107"/>
      <c r="DW344" s="107"/>
    </row>
    <row r="345" spans="1:127" ht="16.5">
      <c r="A345"/>
      <c r="B345"/>
      <c r="C345" s="85"/>
      <c r="D345" s="107"/>
      <c r="E345" s="107"/>
      <c r="F345" s="107"/>
      <c r="G345" s="107"/>
      <c r="H345" s="107"/>
      <c r="I345" s="340"/>
      <c r="J345" s="340"/>
      <c r="K345" s="340"/>
      <c r="L345" s="340"/>
      <c r="M345" s="340"/>
      <c r="N345" s="340"/>
      <c r="O345" s="340"/>
      <c r="P345" s="340"/>
      <c r="Q345" s="340"/>
      <c r="S345"/>
      <c r="T345"/>
      <c r="U345" s="85"/>
      <c r="V345" s="107"/>
      <c r="W345" s="107"/>
      <c r="X345" s="107"/>
      <c r="Y345" s="107"/>
      <c r="Z345" s="107"/>
      <c r="AK345"/>
      <c r="AL345" s="85"/>
      <c r="AM345" s="85"/>
      <c r="AN345" s="107"/>
      <c r="AO345" s="107"/>
      <c r="AP345" s="107"/>
      <c r="AQ345" s="107"/>
      <c r="AR345" s="107"/>
      <c r="BO345"/>
      <c r="BP345" s="85"/>
      <c r="BQ345" s="85"/>
      <c r="BR345" s="107"/>
      <c r="BS345" s="107"/>
      <c r="BT345" s="107"/>
      <c r="BU345" s="107"/>
      <c r="BV345" s="107"/>
      <c r="CS345"/>
      <c r="CT345" s="85"/>
      <c r="CU345" s="85"/>
      <c r="CV345" s="107"/>
      <c r="CW345" s="107"/>
      <c r="CX345" s="107"/>
      <c r="CY345" s="107"/>
      <c r="CZ345" s="107"/>
      <c r="DP345"/>
      <c r="DQ345" s="85"/>
      <c r="DR345" s="85"/>
      <c r="DS345" s="107"/>
      <c r="DT345" s="107"/>
      <c r="DU345" s="107"/>
      <c r="DV345" s="107"/>
      <c r="DW345" s="107"/>
    </row>
    <row r="346" spans="1:127" ht="16.5">
      <c r="A346"/>
      <c r="B346"/>
      <c r="C346" s="85"/>
      <c r="D346" s="107"/>
      <c r="E346" s="107"/>
      <c r="F346" s="107"/>
      <c r="G346" s="107"/>
      <c r="H346" s="107"/>
      <c r="I346" s="340"/>
      <c r="J346" s="340"/>
      <c r="K346" s="340"/>
      <c r="L346" s="340"/>
      <c r="M346" s="340"/>
      <c r="N346" s="340"/>
      <c r="O346" s="340"/>
      <c r="P346" s="340"/>
      <c r="Q346" s="340"/>
      <c r="S346"/>
      <c r="T346"/>
      <c r="U346" s="85"/>
      <c r="V346" s="107"/>
      <c r="W346" s="107"/>
      <c r="X346" s="107"/>
      <c r="Y346" s="107"/>
      <c r="Z346" s="107"/>
      <c r="AK346"/>
      <c r="AL346" s="85"/>
      <c r="AM346" s="85"/>
      <c r="AN346" s="107"/>
      <c r="AO346" s="107"/>
      <c r="AP346" s="107"/>
      <c r="AQ346" s="107"/>
      <c r="AR346" s="107"/>
      <c r="BO346"/>
      <c r="BP346" s="85"/>
      <c r="BQ346" s="85"/>
      <c r="BR346" s="107"/>
      <c r="BS346" s="107"/>
      <c r="BT346" s="107"/>
      <c r="BU346" s="107"/>
      <c r="BV346" s="107"/>
      <c r="CS346"/>
      <c r="CT346" s="85"/>
      <c r="CU346" s="85"/>
      <c r="CV346" s="107"/>
      <c r="CW346" s="107"/>
      <c r="CX346" s="107"/>
      <c r="CY346" s="107"/>
      <c r="CZ346" s="107"/>
      <c r="DP346"/>
      <c r="DQ346" s="85"/>
      <c r="DR346" s="85"/>
      <c r="DS346" s="107"/>
      <c r="DT346" s="107"/>
      <c r="DU346" s="107"/>
      <c r="DV346" s="107"/>
      <c r="DW346" s="107"/>
    </row>
    <row r="347" spans="1:127" ht="16.5">
      <c r="A347"/>
      <c r="B347"/>
      <c r="C347" s="85"/>
      <c r="D347" s="107"/>
      <c r="E347" s="107"/>
      <c r="F347" s="107"/>
      <c r="G347" s="107"/>
      <c r="H347" s="107"/>
      <c r="I347" s="340"/>
      <c r="J347" s="340"/>
      <c r="K347" s="340"/>
      <c r="L347" s="340"/>
      <c r="M347" s="340"/>
      <c r="N347" s="340"/>
      <c r="O347" s="340"/>
      <c r="P347" s="340"/>
      <c r="Q347" s="340"/>
      <c r="S347"/>
      <c r="T347"/>
      <c r="U347" s="85"/>
      <c r="V347" s="107"/>
      <c r="W347" s="107"/>
      <c r="X347" s="107"/>
      <c r="Y347" s="107"/>
      <c r="Z347" s="107"/>
      <c r="AK347"/>
      <c r="AL347" s="85"/>
      <c r="AM347" s="85"/>
      <c r="AN347" s="107"/>
      <c r="AO347" s="107"/>
      <c r="AP347" s="107"/>
      <c r="AQ347" s="107"/>
      <c r="AR347" s="107"/>
      <c r="BO347"/>
      <c r="BP347" s="85"/>
      <c r="BQ347" s="85"/>
      <c r="BR347" s="107"/>
      <c r="BS347" s="107"/>
      <c r="BT347" s="107"/>
      <c r="BU347" s="107"/>
      <c r="BV347" s="107"/>
      <c r="CS347"/>
      <c r="CT347" s="85"/>
      <c r="CU347" s="85"/>
      <c r="CV347" s="107"/>
      <c r="CW347" s="107"/>
      <c r="CX347" s="107"/>
      <c r="CY347" s="107"/>
      <c r="CZ347" s="107"/>
      <c r="DP347"/>
      <c r="DQ347" s="85"/>
      <c r="DR347" s="85"/>
      <c r="DS347" s="107"/>
      <c r="DT347" s="107"/>
      <c r="DU347" s="107"/>
      <c r="DV347" s="107"/>
      <c r="DW347" s="107"/>
    </row>
    <row r="348" spans="1:127" ht="16.5">
      <c r="A348"/>
      <c r="B348"/>
      <c r="C348" s="85"/>
      <c r="D348" s="107"/>
      <c r="E348" s="107"/>
      <c r="F348" s="107"/>
      <c r="G348" s="107"/>
      <c r="H348" s="107"/>
      <c r="I348" s="340"/>
      <c r="J348" s="340"/>
      <c r="K348" s="340"/>
      <c r="L348" s="340"/>
      <c r="M348" s="340"/>
      <c r="N348" s="340"/>
      <c r="O348" s="340"/>
      <c r="P348" s="340"/>
      <c r="Q348" s="340"/>
      <c r="S348"/>
      <c r="T348"/>
      <c r="U348" s="85"/>
      <c r="V348" s="107"/>
      <c r="W348" s="107"/>
      <c r="X348" s="107"/>
      <c r="Y348" s="107"/>
      <c r="Z348" s="107"/>
      <c r="AK348"/>
      <c r="AL348" s="85"/>
      <c r="AM348" s="85"/>
      <c r="AN348" s="107"/>
      <c r="AO348" s="107"/>
      <c r="AP348" s="107"/>
      <c r="AQ348" s="107"/>
      <c r="AR348" s="107"/>
      <c r="BO348"/>
      <c r="BP348" s="85"/>
      <c r="BQ348" s="85"/>
      <c r="BR348" s="107"/>
      <c r="BS348" s="107"/>
      <c r="BT348" s="107"/>
      <c r="BU348" s="107"/>
      <c r="BV348" s="107"/>
      <c r="CS348"/>
      <c r="CT348" s="85"/>
      <c r="CU348" s="85"/>
      <c r="CV348" s="107"/>
      <c r="CW348" s="107"/>
      <c r="CX348" s="107"/>
      <c r="CY348" s="107"/>
      <c r="CZ348" s="107"/>
      <c r="DP348"/>
      <c r="DQ348" s="85"/>
      <c r="DR348" s="85"/>
      <c r="DS348" s="107"/>
      <c r="DT348" s="107"/>
      <c r="DU348" s="107"/>
      <c r="DV348" s="107"/>
      <c r="DW348" s="107"/>
    </row>
    <row r="349" spans="1:127" ht="16.5">
      <c r="A349"/>
      <c r="B349"/>
      <c r="C349" s="85"/>
      <c r="D349" s="107"/>
      <c r="E349" s="107"/>
      <c r="F349" s="107"/>
      <c r="G349" s="107"/>
      <c r="H349" s="107"/>
      <c r="I349" s="340"/>
      <c r="J349" s="340"/>
      <c r="K349" s="340"/>
      <c r="L349" s="340"/>
      <c r="M349" s="340"/>
      <c r="N349" s="340"/>
      <c r="O349" s="340"/>
      <c r="P349" s="340"/>
      <c r="Q349" s="340"/>
      <c r="S349"/>
      <c r="T349"/>
      <c r="U349" s="85"/>
      <c r="V349" s="107"/>
      <c r="W349" s="107"/>
      <c r="X349" s="107"/>
      <c r="Y349" s="107"/>
      <c r="Z349" s="107"/>
      <c r="AK349"/>
      <c r="AL349" s="85"/>
      <c r="AM349" s="85"/>
      <c r="AN349" s="107"/>
      <c r="AO349" s="107"/>
      <c r="AP349" s="107"/>
      <c r="AQ349" s="107"/>
      <c r="AR349" s="107"/>
      <c r="BO349"/>
      <c r="BP349" s="85"/>
      <c r="BQ349" s="85"/>
      <c r="BR349" s="107"/>
      <c r="BS349" s="107"/>
      <c r="BT349" s="107"/>
      <c r="BU349" s="107"/>
      <c r="BV349" s="107"/>
      <c r="CS349"/>
      <c r="CT349" s="85"/>
      <c r="CU349" s="85"/>
      <c r="CV349" s="107"/>
      <c r="CW349" s="107"/>
      <c r="CX349" s="107"/>
      <c r="CY349" s="107"/>
      <c r="CZ349" s="107"/>
      <c r="DP349"/>
      <c r="DQ349" s="85"/>
      <c r="DR349" s="85"/>
      <c r="DS349" s="107"/>
      <c r="DT349" s="107"/>
      <c r="DU349" s="107"/>
      <c r="DV349" s="107"/>
      <c r="DW349" s="107"/>
    </row>
    <row r="350" spans="1:127" ht="16.5">
      <c r="A350"/>
      <c r="B350"/>
      <c r="C350" s="85"/>
      <c r="D350" s="107"/>
      <c r="E350" s="107"/>
      <c r="F350" s="107"/>
      <c r="G350" s="107"/>
      <c r="H350" s="107"/>
      <c r="I350" s="340"/>
      <c r="J350" s="340"/>
      <c r="K350" s="340"/>
      <c r="L350" s="340"/>
      <c r="M350" s="340"/>
      <c r="N350" s="340"/>
      <c r="O350" s="340"/>
      <c r="P350" s="340"/>
      <c r="Q350" s="340"/>
      <c r="S350"/>
      <c r="T350"/>
      <c r="U350" s="85"/>
      <c r="V350" s="107"/>
      <c r="W350" s="107"/>
      <c r="X350" s="107"/>
      <c r="Y350" s="107"/>
      <c r="Z350" s="107"/>
      <c r="AK350"/>
      <c r="AL350" s="85"/>
      <c r="AM350" s="85"/>
      <c r="AN350" s="107"/>
      <c r="AO350" s="107"/>
      <c r="AP350" s="107"/>
      <c r="AQ350" s="107"/>
      <c r="AR350" s="107"/>
      <c r="BO350"/>
      <c r="BP350" s="85"/>
      <c r="BQ350" s="85"/>
      <c r="BR350" s="107"/>
      <c r="BS350" s="107"/>
      <c r="BT350" s="107"/>
      <c r="BU350" s="107"/>
      <c r="BV350" s="107"/>
      <c r="CS350"/>
      <c r="CT350" s="85"/>
      <c r="CU350" s="85"/>
      <c r="CV350" s="107"/>
      <c r="CW350" s="107"/>
      <c r="CX350" s="107"/>
      <c r="CY350" s="107"/>
      <c r="CZ350" s="107"/>
      <c r="DP350"/>
      <c r="DQ350" s="85"/>
      <c r="DR350" s="85"/>
      <c r="DS350" s="107"/>
      <c r="DT350" s="107"/>
      <c r="DU350" s="107"/>
      <c r="DV350" s="107"/>
      <c r="DW350" s="107"/>
    </row>
    <row r="351" spans="1:127" ht="16.5">
      <c r="A351"/>
      <c r="B351"/>
      <c r="C351" s="85"/>
      <c r="D351" s="107"/>
      <c r="E351" s="107"/>
      <c r="F351" s="107"/>
      <c r="G351" s="107"/>
      <c r="H351" s="107"/>
      <c r="I351" s="340"/>
      <c r="J351" s="340"/>
      <c r="K351" s="340"/>
      <c r="L351" s="340"/>
      <c r="M351" s="340"/>
      <c r="N351" s="340"/>
      <c r="O351" s="340"/>
      <c r="P351" s="340"/>
      <c r="Q351" s="340"/>
      <c r="S351"/>
      <c r="T351"/>
      <c r="U351" s="85"/>
      <c r="V351" s="107"/>
      <c r="W351" s="107"/>
      <c r="X351" s="107"/>
      <c r="Y351" s="107"/>
      <c r="Z351" s="107"/>
      <c r="AK351"/>
      <c r="AL351" s="85"/>
      <c r="AM351" s="85"/>
      <c r="AN351" s="107"/>
      <c r="AO351" s="107"/>
      <c r="AP351" s="107"/>
      <c r="AQ351" s="107"/>
      <c r="AR351" s="107"/>
      <c r="BO351"/>
      <c r="BP351" s="85"/>
      <c r="BQ351" s="85"/>
      <c r="BR351" s="107"/>
      <c r="BS351" s="107"/>
      <c r="BT351" s="107"/>
      <c r="BU351" s="107"/>
      <c r="BV351" s="107"/>
      <c r="CS351"/>
      <c r="CT351" s="85"/>
      <c r="CU351" s="85"/>
      <c r="CV351" s="107"/>
      <c r="CW351" s="107"/>
      <c r="CX351" s="107"/>
      <c r="CY351" s="107"/>
      <c r="CZ351" s="107"/>
      <c r="DP351"/>
      <c r="DQ351" s="85"/>
      <c r="DR351" s="85"/>
      <c r="DS351" s="107"/>
      <c r="DT351" s="107"/>
      <c r="DU351" s="107"/>
      <c r="DV351" s="107"/>
      <c r="DW351" s="107"/>
    </row>
    <row r="352" spans="1:127" ht="16.5">
      <c r="A352"/>
      <c r="B352"/>
      <c r="C352" s="85"/>
      <c r="D352" s="107"/>
      <c r="E352" s="107"/>
      <c r="F352" s="107"/>
      <c r="G352" s="107"/>
      <c r="H352" s="107"/>
      <c r="I352" s="340"/>
      <c r="J352" s="340"/>
      <c r="K352" s="340"/>
      <c r="L352" s="340"/>
      <c r="M352" s="340"/>
      <c r="N352" s="340"/>
      <c r="O352" s="340"/>
      <c r="P352" s="340"/>
      <c r="Q352" s="340"/>
      <c r="S352"/>
      <c r="T352"/>
      <c r="U352" s="85"/>
      <c r="V352" s="107"/>
      <c r="W352" s="107"/>
      <c r="X352" s="107"/>
      <c r="Y352" s="107"/>
      <c r="Z352" s="107"/>
      <c r="AK352"/>
      <c r="AL352" s="85"/>
      <c r="AM352" s="85"/>
      <c r="AN352" s="107"/>
      <c r="AO352" s="107"/>
      <c r="AP352" s="107"/>
      <c r="AQ352" s="107"/>
      <c r="AR352" s="107"/>
      <c r="BO352"/>
      <c r="BP352" s="85"/>
      <c r="BQ352" s="85"/>
      <c r="BR352" s="107"/>
      <c r="BS352" s="107"/>
      <c r="BT352" s="107"/>
      <c r="BU352" s="107"/>
      <c r="BV352" s="107"/>
      <c r="CS352"/>
      <c r="CT352" s="85"/>
      <c r="CU352" s="85"/>
      <c r="CV352" s="107"/>
      <c r="CW352" s="107"/>
      <c r="CX352" s="107"/>
      <c r="CY352" s="107"/>
      <c r="CZ352" s="107"/>
      <c r="DP352"/>
      <c r="DQ352" s="85"/>
      <c r="DR352" s="85"/>
      <c r="DS352" s="107"/>
      <c r="DT352" s="107"/>
      <c r="DU352" s="107"/>
      <c r="DV352" s="107"/>
      <c r="DW352" s="107"/>
    </row>
    <row r="353" spans="1:127" ht="16.5">
      <c r="A353"/>
      <c r="B353"/>
      <c r="C353" s="85"/>
      <c r="D353" s="107"/>
      <c r="E353" s="107"/>
      <c r="F353" s="107"/>
      <c r="G353" s="107"/>
      <c r="H353" s="107"/>
      <c r="I353" s="340"/>
      <c r="J353" s="340"/>
      <c r="K353" s="340"/>
      <c r="L353" s="340"/>
      <c r="M353" s="340"/>
      <c r="N353" s="340"/>
      <c r="O353" s="340"/>
      <c r="P353" s="340"/>
      <c r="Q353" s="340"/>
      <c r="S353"/>
      <c r="T353"/>
      <c r="U353" s="85"/>
      <c r="V353" s="107"/>
      <c r="W353" s="107"/>
      <c r="X353" s="107"/>
      <c r="Y353" s="107"/>
      <c r="Z353" s="107"/>
      <c r="AK353"/>
      <c r="AL353" s="85"/>
      <c r="AM353" s="85"/>
      <c r="AN353" s="107"/>
      <c r="AO353" s="107"/>
      <c r="AP353" s="107"/>
      <c r="AQ353" s="107"/>
      <c r="AR353" s="107"/>
      <c r="BO353"/>
      <c r="BP353" s="85"/>
      <c r="BQ353" s="85"/>
      <c r="BR353" s="107"/>
      <c r="BS353" s="107"/>
      <c r="BT353" s="107"/>
      <c r="BU353" s="107"/>
      <c r="BV353" s="107"/>
      <c r="CS353"/>
      <c r="CT353" s="85"/>
      <c r="CU353" s="85"/>
      <c r="CV353" s="107"/>
      <c r="CW353" s="107"/>
      <c r="CX353" s="107"/>
      <c r="CY353" s="107"/>
      <c r="CZ353" s="107"/>
      <c r="DP353"/>
      <c r="DQ353" s="85"/>
      <c r="DR353" s="85"/>
      <c r="DS353" s="107"/>
      <c r="DT353" s="107"/>
      <c r="DU353" s="107"/>
      <c r="DV353" s="107"/>
      <c r="DW353" s="107"/>
    </row>
    <row r="354" spans="1:127" ht="16.5">
      <c r="A354"/>
      <c r="B354"/>
      <c r="C354" s="85"/>
      <c r="D354" s="107"/>
      <c r="E354" s="107"/>
      <c r="F354" s="107"/>
      <c r="G354" s="107"/>
      <c r="H354" s="107"/>
      <c r="I354" s="340"/>
      <c r="J354" s="340"/>
      <c r="K354" s="340"/>
      <c r="L354" s="340"/>
      <c r="M354" s="340"/>
      <c r="N354" s="340"/>
      <c r="O354" s="340"/>
      <c r="P354" s="340"/>
      <c r="Q354" s="340"/>
      <c r="S354"/>
      <c r="T354"/>
      <c r="U354" s="85"/>
      <c r="V354" s="107"/>
      <c r="W354" s="107"/>
      <c r="X354" s="107"/>
      <c r="Y354" s="107"/>
      <c r="Z354" s="107"/>
      <c r="AK354"/>
      <c r="AL354" s="85"/>
      <c r="AM354" s="85"/>
      <c r="AN354" s="107"/>
      <c r="AO354" s="107"/>
      <c r="AP354" s="107"/>
      <c r="AQ354" s="107"/>
      <c r="AR354" s="107"/>
      <c r="BO354"/>
      <c r="BP354" s="85"/>
      <c r="BQ354" s="85"/>
      <c r="BR354" s="107"/>
      <c r="BS354" s="107"/>
      <c r="BT354" s="107"/>
      <c r="BU354" s="107"/>
      <c r="BV354" s="107"/>
      <c r="CS354"/>
      <c r="CT354" s="85"/>
      <c r="CU354" s="85"/>
      <c r="CV354" s="107"/>
      <c r="CW354" s="107"/>
      <c r="CX354" s="107"/>
      <c r="CY354" s="107"/>
      <c r="CZ354" s="107"/>
      <c r="DP354"/>
      <c r="DQ354" s="85"/>
      <c r="DR354" s="85"/>
      <c r="DS354" s="107"/>
      <c r="DT354" s="107"/>
      <c r="DU354" s="107"/>
      <c r="DV354" s="107"/>
      <c r="DW354" s="107"/>
    </row>
    <row r="355" spans="1:127" ht="16.5">
      <c r="A355"/>
      <c r="B355"/>
      <c r="C355" s="85"/>
      <c r="D355" s="107"/>
      <c r="E355" s="107"/>
      <c r="F355" s="107"/>
      <c r="G355" s="107"/>
      <c r="H355" s="107"/>
      <c r="I355" s="340"/>
      <c r="J355" s="340"/>
      <c r="K355" s="340"/>
      <c r="L355" s="340"/>
      <c r="M355" s="340"/>
      <c r="N355" s="340"/>
      <c r="O355" s="340"/>
      <c r="P355" s="340"/>
      <c r="Q355" s="340"/>
      <c r="S355"/>
      <c r="T355"/>
      <c r="U355" s="85"/>
      <c r="V355" s="107"/>
      <c r="W355" s="107"/>
      <c r="X355" s="107"/>
      <c r="Y355" s="107"/>
      <c r="Z355" s="107"/>
      <c r="AK355"/>
      <c r="AL355" s="85"/>
      <c r="AM355" s="85"/>
      <c r="AN355" s="107"/>
      <c r="AO355" s="107"/>
      <c r="AP355" s="107"/>
      <c r="AQ355" s="107"/>
      <c r="AR355" s="107"/>
      <c r="BO355"/>
      <c r="BP355" s="85"/>
      <c r="BQ355" s="85"/>
      <c r="BR355" s="107"/>
      <c r="BS355" s="107"/>
      <c r="BT355" s="107"/>
      <c r="BU355" s="107"/>
      <c r="BV355" s="107"/>
      <c r="CS355"/>
      <c r="CT355" s="85"/>
      <c r="CU355" s="85"/>
      <c r="CV355" s="107"/>
      <c r="CW355" s="107"/>
      <c r="CX355" s="107"/>
      <c r="CY355" s="107"/>
      <c r="CZ355" s="107"/>
      <c r="DP355"/>
      <c r="DQ355" s="85"/>
      <c r="DR355" s="85"/>
      <c r="DS355" s="107"/>
      <c r="DT355" s="107"/>
      <c r="DU355" s="107"/>
      <c r="DV355" s="107"/>
      <c r="DW355" s="107"/>
    </row>
    <row r="356" spans="1:127" ht="16.5">
      <c r="A356"/>
      <c r="B356"/>
      <c r="C356" s="85"/>
      <c r="D356" s="107"/>
      <c r="E356" s="107"/>
      <c r="F356" s="107"/>
      <c r="G356" s="107"/>
      <c r="H356" s="107"/>
      <c r="I356" s="340"/>
      <c r="J356" s="340"/>
      <c r="K356" s="340"/>
      <c r="L356" s="340"/>
      <c r="M356" s="340"/>
      <c r="N356" s="340"/>
      <c r="O356" s="340"/>
      <c r="P356" s="340"/>
      <c r="Q356" s="340"/>
      <c r="S356"/>
      <c r="T356"/>
      <c r="U356" s="85"/>
      <c r="V356" s="107"/>
      <c r="W356" s="107"/>
      <c r="X356" s="107"/>
      <c r="Y356" s="107"/>
      <c r="Z356" s="107"/>
      <c r="AK356"/>
      <c r="AL356" s="85"/>
      <c r="AM356" s="85"/>
      <c r="AN356" s="107"/>
      <c r="AO356" s="107"/>
      <c r="AP356" s="107"/>
      <c r="AQ356" s="107"/>
      <c r="AR356" s="107"/>
      <c r="BO356"/>
      <c r="BP356" s="85"/>
      <c r="BQ356" s="85"/>
      <c r="BR356" s="107"/>
      <c r="BS356" s="107"/>
      <c r="BT356" s="107"/>
      <c r="BU356" s="107"/>
      <c r="BV356" s="107"/>
      <c r="CS356"/>
      <c r="CT356" s="85"/>
      <c r="CU356" s="85"/>
      <c r="CV356" s="107"/>
      <c r="CW356" s="107"/>
      <c r="CX356" s="107"/>
      <c r="CY356" s="107"/>
      <c r="CZ356" s="107"/>
      <c r="DP356"/>
      <c r="DQ356" s="85"/>
      <c r="DR356" s="85"/>
      <c r="DS356" s="107"/>
      <c r="DT356" s="107"/>
      <c r="DU356" s="107"/>
      <c r="DV356" s="107"/>
      <c r="DW356" s="107"/>
    </row>
    <row r="357" spans="1:127" ht="16.5">
      <c r="A357"/>
      <c r="B357"/>
      <c r="C357" s="85"/>
      <c r="D357" s="107"/>
      <c r="E357" s="107"/>
      <c r="F357" s="107"/>
      <c r="G357" s="107"/>
      <c r="H357" s="107"/>
      <c r="I357" s="340"/>
      <c r="J357" s="340"/>
      <c r="K357" s="340"/>
      <c r="L357" s="340"/>
      <c r="M357" s="340"/>
      <c r="N357" s="340"/>
      <c r="O357" s="340"/>
      <c r="P357" s="340"/>
      <c r="Q357" s="340"/>
      <c r="S357"/>
      <c r="T357"/>
      <c r="U357" s="85"/>
      <c r="V357" s="107"/>
      <c r="W357" s="107"/>
      <c r="X357" s="107"/>
      <c r="Y357" s="107"/>
      <c r="Z357" s="107"/>
      <c r="AK357"/>
      <c r="AL357" s="85"/>
      <c r="AM357" s="85"/>
      <c r="AN357" s="107"/>
      <c r="AO357" s="107"/>
      <c r="AP357" s="107"/>
      <c r="AQ357" s="107"/>
      <c r="AR357" s="107"/>
      <c r="BO357"/>
      <c r="BP357" s="85"/>
      <c r="BQ357" s="85"/>
      <c r="BR357" s="107"/>
      <c r="BS357" s="107"/>
      <c r="BT357" s="107"/>
      <c r="BU357" s="107"/>
      <c r="BV357" s="107"/>
      <c r="CS357"/>
      <c r="CT357" s="85"/>
      <c r="CU357" s="85"/>
      <c r="CV357" s="107"/>
      <c r="CW357" s="107"/>
      <c r="CX357" s="107"/>
      <c r="CY357" s="107"/>
      <c r="CZ357" s="107"/>
      <c r="DP357"/>
      <c r="DQ357" s="85"/>
      <c r="DR357" s="85"/>
      <c r="DS357" s="107"/>
      <c r="DT357" s="107"/>
      <c r="DU357" s="107"/>
      <c r="DV357" s="107"/>
      <c r="DW357" s="107"/>
    </row>
    <row r="358" spans="1:127" ht="16.5">
      <c r="A358"/>
      <c r="B358"/>
      <c r="C358" s="85"/>
      <c r="D358" s="107"/>
      <c r="E358" s="107"/>
      <c r="F358" s="107"/>
      <c r="G358" s="107"/>
      <c r="H358" s="107"/>
      <c r="I358" s="340"/>
      <c r="J358" s="340"/>
      <c r="K358" s="340"/>
      <c r="L358" s="340"/>
      <c r="M358" s="340"/>
      <c r="N358" s="340"/>
      <c r="O358" s="340"/>
      <c r="P358" s="340"/>
      <c r="Q358" s="340"/>
      <c r="S358"/>
      <c r="T358"/>
      <c r="U358" s="85"/>
      <c r="V358" s="107"/>
      <c r="W358" s="107"/>
      <c r="X358" s="107"/>
      <c r="Y358" s="107"/>
      <c r="Z358" s="107"/>
      <c r="AK358"/>
      <c r="AL358" s="85"/>
      <c r="AM358" s="85"/>
      <c r="AN358" s="107"/>
      <c r="AO358" s="107"/>
      <c r="AP358" s="107"/>
      <c r="AQ358" s="107"/>
      <c r="AR358" s="107"/>
      <c r="BO358"/>
      <c r="BP358" s="85"/>
      <c r="BQ358" s="85"/>
      <c r="BR358" s="107"/>
      <c r="BS358" s="107"/>
      <c r="BT358" s="107"/>
      <c r="BU358" s="107"/>
      <c r="BV358" s="107"/>
      <c r="CS358"/>
      <c r="CT358" s="85"/>
      <c r="CU358" s="85"/>
      <c r="CV358" s="107"/>
      <c r="CW358" s="107"/>
      <c r="CX358" s="107"/>
      <c r="CY358" s="107"/>
      <c r="CZ358" s="107"/>
      <c r="DP358"/>
      <c r="DQ358" s="85"/>
      <c r="DR358" s="85"/>
      <c r="DS358" s="107"/>
      <c r="DT358" s="107"/>
      <c r="DU358" s="107"/>
      <c r="DV358" s="107"/>
      <c r="DW358" s="107"/>
    </row>
    <row r="359" spans="1:127" ht="16.5">
      <c r="A359"/>
      <c r="B359"/>
      <c r="C359" s="85"/>
      <c r="D359" s="107"/>
      <c r="E359" s="107"/>
      <c r="F359" s="107"/>
      <c r="G359" s="107"/>
      <c r="H359" s="107"/>
      <c r="I359" s="340"/>
      <c r="J359" s="340"/>
      <c r="K359" s="340"/>
      <c r="L359" s="340"/>
      <c r="M359" s="340"/>
      <c r="N359" s="340"/>
      <c r="O359" s="340"/>
      <c r="P359" s="340"/>
      <c r="Q359" s="340"/>
      <c r="S359"/>
      <c r="T359"/>
      <c r="U359" s="85"/>
      <c r="V359" s="107"/>
      <c r="W359" s="107"/>
      <c r="X359" s="107"/>
      <c r="Y359" s="107"/>
      <c r="Z359" s="107"/>
      <c r="AK359"/>
      <c r="AL359" s="85"/>
      <c r="AM359" s="85"/>
      <c r="AN359" s="107"/>
      <c r="AO359" s="107"/>
      <c r="AP359" s="107"/>
      <c r="AQ359" s="107"/>
      <c r="AR359" s="107"/>
      <c r="BO359"/>
      <c r="BP359" s="85"/>
      <c r="BQ359" s="85"/>
      <c r="BR359" s="107"/>
      <c r="BS359" s="107"/>
      <c r="BT359" s="107"/>
      <c r="BU359" s="107"/>
      <c r="BV359" s="107"/>
      <c r="CS359"/>
      <c r="CT359" s="85"/>
      <c r="CU359" s="85"/>
      <c r="CV359" s="107"/>
      <c r="CW359" s="107"/>
      <c r="CX359" s="107"/>
      <c r="CY359" s="107"/>
      <c r="CZ359" s="107"/>
      <c r="DP359"/>
      <c r="DQ359" s="85"/>
      <c r="DR359" s="85"/>
      <c r="DS359" s="107"/>
      <c r="DT359" s="107"/>
      <c r="DU359" s="107"/>
      <c r="DV359" s="107"/>
      <c r="DW359" s="107"/>
    </row>
    <row r="360" spans="1:127" ht="16.5">
      <c r="A360"/>
      <c r="B360"/>
      <c r="C360" s="85"/>
      <c r="D360" s="107"/>
      <c r="E360" s="107"/>
      <c r="F360" s="107"/>
      <c r="G360" s="107"/>
      <c r="H360" s="107"/>
      <c r="I360" s="340"/>
      <c r="J360" s="340"/>
      <c r="K360" s="340"/>
      <c r="L360" s="340"/>
      <c r="M360" s="340"/>
      <c r="N360" s="340"/>
      <c r="O360" s="340"/>
      <c r="P360" s="340"/>
      <c r="Q360" s="340"/>
      <c r="S360"/>
      <c r="T360"/>
      <c r="U360" s="85"/>
      <c r="V360" s="107"/>
      <c r="W360" s="107"/>
      <c r="X360" s="107"/>
      <c r="Y360" s="107"/>
      <c r="Z360" s="107"/>
      <c r="AK360"/>
      <c r="AL360" s="85"/>
      <c r="AM360" s="85"/>
      <c r="AN360" s="107"/>
      <c r="AO360" s="107"/>
      <c r="AP360" s="107"/>
      <c r="AQ360" s="107"/>
      <c r="AR360" s="107"/>
      <c r="BO360"/>
      <c r="BP360" s="85"/>
      <c r="BQ360" s="85"/>
      <c r="BR360" s="107"/>
      <c r="BS360" s="107"/>
      <c r="BT360" s="107"/>
      <c r="BU360" s="107"/>
      <c r="BV360" s="107"/>
      <c r="CS360"/>
      <c r="CT360" s="85"/>
      <c r="CU360" s="85"/>
      <c r="CV360" s="107"/>
      <c r="CW360" s="107"/>
      <c r="CX360" s="107"/>
      <c r="CY360" s="107"/>
      <c r="CZ360" s="107"/>
      <c r="DP360"/>
      <c r="DQ360" s="85"/>
      <c r="DR360" s="85"/>
      <c r="DS360" s="107"/>
      <c r="DT360" s="107"/>
      <c r="DU360" s="107"/>
      <c r="DV360" s="107"/>
      <c r="DW360" s="107"/>
    </row>
    <row r="361" spans="1:127" ht="16.5">
      <c r="A361"/>
      <c r="B361"/>
      <c r="C361" s="85"/>
      <c r="D361" s="107"/>
      <c r="E361" s="107"/>
      <c r="F361" s="107"/>
      <c r="G361" s="107"/>
      <c r="H361" s="107"/>
      <c r="I361" s="340"/>
      <c r="J361" s="340"/>
      <c r="K361" s="340"/>
      <c r="L361" s="340"/>
      <c r="M361" s="340"/>
      <c r="N361" s="340"/>
      <c r="O361" s="340"/>
      <c r="P361" s="340"/>
      <c r="Q361" s="340"/>
      <c r="S361"/>
      <c r="T361"/>
      <c r="U361" s="85"/>
      <c r="V361" s="107"/>
      <c r="W361" s="107"/>
      <c r="X361" s="107"/>
      <c r="Y361" s="107"/>
      <c r="Z361" s="107"/>
      <c r="AK361"/>
      <c r="AL361" s="85"/>
      <c r="AM361" s="85"/>
      <c r="AN361" s="107"/>
      <c r="AO361" s="107"/>
      <c r="AP361" s="107"/>
      <c r="AQ361" s="107"/>
      <c r="AR361" s="107"/>
      <c r="BO361"/>
      <c r="BP361" s="85"/>
      <c r="BQ361" s="85"/>
      <c r="BR361" s="107"/>
      <c r="BS361" s="107"/>
      <c r="BT361" s="107"/>
      <c r="BU361" s="107"/>
      <c r="BV361" s="107"/>
      <c r="CS361"/>
      <c r="CT361" s="85"/>
      <c r="CU361" s="85"/>
      <c r="CV361" s="107"/>
      <c r="CW361" s="107"/>
      <c r="CX361" s="107"/>
      <c r="CY361" s="107"/>
      <c r="CZ361" s="107"/>
      <c r="DP361"/>
      <c r="DQ361" s="85"/>
      <c r="DR361" s="85"/>
      <c r="DS361" s="107"/>
      <c r="DT361" s="107"/>
      <c r="DU361" s="107"/>
      <c r="DV361" s="107"/>
      <c r="DW361" s="107"/>
    </row>
    <row r="362" spans="1:127" ht="16.5">
      <c r="A362"/>
      <c r="B362"/>
      <c r="C362" s="85"/>
      <c r="D362" s="107"/>
      <c r="E362" s="107"/>
      <c r="F362" s="107"/>
      <c r="G362" s="107"/>
      <c r="H362" s="107"/>
      <c r="I362" s="340"/>
      <c r="J362" s="340"/>
      <c r="K362" s="340"/>
      <c r="L362" s="340"/>
      <c r="M362" s="340"/>
      <c r="N362" s="340"/>
      <c r="O362" s="340"/>
      <c r="P362" s="340"/>
      <c r="Q362" s="340"/>
      <c r="S362"/>
      <c r="T362"/>
      <c r="U362" s="85"/>
      <c r="V362" s="107"/>
      <c r="W362" s="107"/>
      <c r="X362" s="107"/>
      <c r="Y362" s="107"/>
      <c r="Z362" s="107"/>
      <c r="AK362"/>
      <c r="AL362" s="85"/>
      <c r="AM362" s="85"/>
      <c r="AN362" s="107"/>
      <c r="AO362" s="107"/>
      <c r="AP362" s="107"/>
      <c r="AQ362" s="107"/>
      <c r="AR362" s="107"/>
      <c r="BO362"/>
      <c r="BP362" s="85"/>
      <c r="BQ362" s="85"/>
      <c r="BR362" s="107"/>
      <c r="BS362" s="107"/>
      <c r="BT362" s="107"/>
      <c r="BU362" s="107"/>
      <c r="BV362" s="107"/>
      <c r="CS362"/>
      <c r="CT362" s="85"/>
      <c r="CU362" s="85"/>
      <c r="CV362" s="107"/>
      <c r="CW362" s="107"/>
      <c r="CX362" s="107"/>
      <c r="CY362" s="107"/>
      <c r="CZ362" s="107"/>
      <c r="DP362"/>
      <c r="DQ362" s="85"/>
      <c r="DR362" s="85"/>
      <c r="DS362" s="107"/>
      <c r="DT362" s="107"/>
      <c r="DU362" s="107"/>
      <c r="DV362" s="107"/>
      <c r="DW362" s="107"/>
    </row>
    <row r="363" spans="1:127" ht="16.5">
      <c r="A363"/>
      <c r="B363"/>
      <c r="C363" s="85"/>
      <c r="D363" s="107"/>
      <c r="E363" s="107"/>
      <c r="F363" s="107"/>
      <c r="G363" s="107"/>
      <c r="H363" s="107"/>
      <c r="I363" s="340"/>
      <c r="J363" s="340"/>
      <c r="K363" s="340"/>
      <c r="L363" s="340"/>
      <c r="M363" s="340"/>
      <c r="N363" s="340"/>
      <c r="O363" s="340"/>
      <c r="P363" s="340"/>
      <c r="Q363" s="340"/>
      <c r="S363"/>
      <c r="T363"/>
      <c r="U363" s="85"/>
      <c r="V363" s="107"/>
      <c r="W363" s="107"/>
      <c r="X363" s="107"/>
      <c r="Y363" s="107"/>
      <c r="Z363" s="107"/>
      <c r="AK363"/>
      <c r="AL363" s="85"/>
      <c r="AM363" s="85"/>
      <c r="AN363" s="107"/>
      <c r="AO363" s="107"/>
      <c r="AP363" s="107"/>
      <c r="AQ363" s="107"/>
      <c r="AR363" s="107"/>
      <c r="BO363"/>
      <c r="BP363" s="85"/>
      <c r="BQ363" s="85"/>
      <c r="BR363" s="107"/>
      <c r="BS363" s="107"/>
      <c r="BT363" s="107"/>
      <c r="BU363" s="107"/>
      <c r="BV363" s="107"/>
      <c r="CS363"/>
      <c r="CT363" s="85"/>
      <c r="CU363" s="85"/>
      <c r="CV363" s="107"/>
      <c r="CW363" s="107"/>
      <c r="CX363" s="107"/>
      <c r="CY363" s="107"/>
      <c r="CZ363" s="107"/>
      <c r="DP363"/>
      <c r="DQ363" s="85"/>
      <c r="DR363" s="85"/>
      <c r="DS363" s="107"/>
      <c r="DT363" s="107"/>
      <c r="DU363" s="107"/>
      <c r="DV363" s="107"/>
      <c r="DW363" s="107"/>
    </row>
    <row r="364" spans="1:127" ht="16.5">
      <c r="A364"/>
      <c r="B364"/>
      <c r="C364" s="85"/>
      <c r="D364" s="107"/>
      <c r="E364" s="107"/>
      <c r="F364" s="107"/>
      <c r="G364" s="107"/>
      <c r="H364" s="107"/>
      <c r="I364" s="340"/>
      <c r="J364" s="340"/>
      <c r="K364" s="340"/>
      <c r="L364" s="340"/>
      <c r="M364" s="340"/>
      <c r="N364" s="340"/>
      <c r="O364" s="340"/>
      <c r="P364" s="340"/>
      <c r="Q364" s="340"/>
      <c r="S364"/>
      <c r="T364"/>
      <c r="U364" s="85"/>
      <c r="V364" s="107"/>
      <c r="W364" s="107"/>
      <c r="X364" s="107"/>
      <c r="Y364" s="107"/>
      <c r="Z364" s="107"/>
      <c r="AK364"/>
      <c r="AL364" s="85"/>
      <c r="AM364" s="85"/>
      <c r="AN364" s="107"/>
      <c r="AO364" s="107"/>
      <c r="AP364" s="107"/>
      <c r="AQ364" s="107"/>
      <c r="AR364" s="107"/>
      <c r="BO364"/>
      <c r="BP364" s="85"/>
      <c r="BQ364" s="85"/>
      <c r="BR364" s="107"/>
      <c r="BS364" s="107"/>
      <c r="BT364" s="107"/>
      <c r="BU364" s="107"/>
      <c r="BV364" s="107"/>
      <c r="CS364"/>
      <c r="CT364" s="85"/>
      <c r="CU364" s="85"/>
      <c r="CV364" s="107"/>
      <c r="CW364" s="107"/>
      <c r="CX364" s="107"/>
      <c r="CY364" s="107"/>
      <c r="CZ364" s="107"/>
      <c r="DP364"/>
      <c r="DQ364" s="85"/>
      <c r="DR364" s="85"/>
      <c r="DS364" s="107"/>
      <c r="DT364" s="107"/>
      <c r="DU364" s="107"/>
      <c r="DV364" s="107"/>
      <c r="DW364" s="107"/>
    </row>
    <row r="365" spans="1:127" ht="16.5">
      <c r="A365"/>
      <c r="B365"/>
      <c r="C365" s="85"/>
      <c r="D365" s="107"/>
      <c r="E365" s="107"/>
      <c r="F365" s="107"/>
      <c r="G365" s="107"/>
      <c r="H365" s="107"/>
      <c r="I365" s="340"/>
      <c r="J365" s="340"/>
      <c r="K365" s="340"/>
      <c r="L365" s="340"/>
      <c r="M365" s="340"/>
      <c r="N365" s="340"/>
      <c r="O365" s="340"/>
      <c r="P365" s="340"/>
      <c r="Q365" s="340"/>
      <c r="S365"/>
      <c r="T365"/>
      <c r="U365" s="85"/>
      <c r="V365" s="107"/>
      <c r="W365" s="107"/>
      <c r="X365" s="107"/>
      <c r="Y365" s="107"/>
      <c r="Z365" s="107"/>
      <c r="AK365"/>
      <c r="AL365" s="85"/>
      <c r="AM365" s="85"/>
      <c r="AN365" s="107"/>
      <c r="AO365" s="107"/>
      <c r="AP365" s="107"/>
      <c r="AQ365" s="107"/>
      <c r="AR365" s="107"/>
      <c r="BO365"/>
      <c r="BP365" s="85"/>
      <c r="BQ365" s="85"/>
      <c r="BR365" s="107"/>
      <c r="BS365" s="107"/>
      <c r="BT365" s="107"/>
      <c r="BU365" s="107"/>
      <c r="BV365" s="107"/>
      <c r="CS365"/>
      <c r="CT365" s="85"/>
      <c r="CU365" s="85"/>
      <c r="CV365" s="107"/>
      <c r="CW365" s="107"/>
      <c r="CX365" s="107"/>
      <c r="CY365" s="107"/>
      <c r="CZ365" s="107"/>
      <c r="DP365"/>
      <c r="DQ365" s="85"/>
      <c r="DR365" s="85"/>
      <c r="DS365" s="107"/>
      <c r="DT365" s="107"/>
      <c r="DU365" s="107"/>
      <c r="DV365" s="107"/>
      <c r="DW365" s="107"/>
    </row>
    <row r="366" spans="1:127" ht="16.5">
      <c r="A366"/>
      <c r="B366"/>
      <c r="C366" s="85"/>
      <c r="D366" s="107"/>
      <c r="E366" s="107"/>
      <c r="F366" s="107"/>
      <c r="G366" s="107"/>
      <c r="H366" s="107"/>
      <c r="I366" s="340"/>
      <c r="J366" s="340"/>
      <c r="K366" s="340"/>
      <c r="L366" s="340"/>
      <c r="M366" s="340"/>
      <c r="N366" s="340"/>
      <c r="O366" s="340"/>
      <c r="P366" s="340"/>
      <c r="Q366" s="340"/>
      <c r="S366"/>
      <c r="T366"/>
      <c r="U366" s="85"/>
      <c r="V366" s="107"/>
      <c r="W366" s="107"/>
      <c r="X366" s="107"/>
      <c r="Y366" s="107"/>
      <c r="Z366" s="107"/>
      <c r="AK366"/>
      <c r="AL366" s="85"/>
      <c r="AM366" s="85"/>
      <c r="AN366" s="107"/>
      <c r="AO366" s="107"/>
      <c r="AP366" s="107"/>
      <c r="AQ366" s="107"/>
      <c r="AR366" s="107"/>
      <c r="BO366"/>
      <c r="BP366" s="85"/>
      <c r="BQ366" s="85"/>
      <c r="BR366" s="107"/>
      <c r="BS366" s="107"/>
      <c r="BT366" s="107"/>
      <c r="BU366" s="107"/>
      <c r="BV366" s="107"/>
      <c r="CS366"/>
      <c r="CT366" s="85"/>
      <c r="CU366" s="85"/>
      <c r="CV366" s="107"/>
      <c r="CW366" s="107"/>
      <c r="CX366" s="107"/>
      <c r="CY366" s="107"/>
      <c r="CZ366" s="107"/>
      <c r="DP366"/>
      <c r="DQ366" s="85"/>
      <c r="DR366" s="85"/>
      <c r="DS366" s="107"/>
      <c r="DT366" s="107"/>
      <c r="DU366" s="107"/>
      <c r="DV366" s="107"/>
      <c r="DW366" s="107"/>
    </row>
    <row r="367" spans="1:127" ht="16.5">
      <c r="A367"/>
      <c r="B367"/>
      <c r="C367" s="85"/>
      <c r="D367" s="107"/>
      <c r="E367" s="107"/>
      <c r="F367" s="107"/>
      <c r="G367" s="107"/>
      <c r="H367" s="107"/>
      <c r="I367" s="340"/>
      <c r="J367" s="340"/>
      <c r="K367" s="340"/>
      <c r="L367" s="340"/>
      <c r="M367" s="340"/>
      <c r="N367" s="340"/>
      <c r="O367" s="340"/>
      <c r="P367" s="340"/>
      <c r="Q367" s="340"/>
      <c r="S367"/>
      <c r="T367"/>
      <c r="U367" s="85"/>
      <c r="V367" s="107"/>
      <c r="W367" s="107"/>
      <c r="X367" s="107"/>
      <c r="Y367" s="107"/>
      <c r="Z367" s="107"/>
      <c r="AK367"/>
      <c r="AL367" s="85"/>
      <c r="AM367" s="85"/>
      <c r="AN367" s="107"/>
      <c r="AO367" s="107"/>
      <c r="AP367" s="107"/>
      <c r="AQ367" s="107"/>
      <c r="AR367" s="107"/>
      <c r="BO367"/>
      <c r="BP367" s="85"/>
      <c r="BQ367" s="85"/>
      <c r="BR367" s="107"/>
      <c r="BS367" s="107"/>
      <c r="BT367" s="107"/>
      <c r="BU367" s="107"/>
      <c r="BV367" s="107"/>
      <c r="CS367"/>
      <c r="CT367" s="85"/>
      <c r="CU367" s="85"/>
      <c r="CV367" s="107"/>
      <c r="CW367" s="107"/>
      <c r="CX367" s="107"/>
      <c r="CY367" s="107"/>
      <c r="CZ367" s="107"/>
      <c r="DP367"/>
      <c r="DQ367" s="85"/>
      <c r="DR367" s="85"/>
      <c r="DS367" s="107"/>
      <c r="DT367" s="107"/>
      <c r="DU367" s="107"/>
      <c r="DV367" s="107"/>
      <c r="DW367" s="107"/>
    </row>
    <row r="368" spans="1:127" ht="16.5">
      <c r="A368"/>
      <c r="B368"/>
      <c r="C368" s="85"/>
      <c r="D368" s="107"/>
      <c r="E368" s="107"/>
      <c r="F368" s="107"/>
      <c r="G368" s="107"/>
      <c r="H368" s="107"/>
      <c r="I368" s="340"/>
      <c r="J368" s="340"/>
      <c r="K368" s="340"/>
      <c r="L368" s="340"/>
      <c r="M368" s="340"/>
      <c r="N368" s="340"/>
      <c r="O368" s="340"/>
      <c r="P368" s="340"/>
      <c r="Q368" s="340"/>
      <c r="S368"/>
      <c r="T368"/>
      <c r="U368" s="85"/>
      <c r="V368" s="107"/>
      <c r="W368" s="107"/>
      <c r="X368" s="107"/>
      <c r="Y368" s="107"/>
      <c r="Z368" s="107"/>
      <c r="AK368"/>
      <c r="AL368" s="85"/>
      <c r="AM368" s="85"/>
      <c r="AN368" s="107"/>
      <c r="AO368" s="107"/>
      <c r="AP368" s="107"/>
      <c r="AQ368" s="107"/>
      <c r="AR368" s="107"/>
      <c r="BO368"/>
      <c r="BP368" s="85"/>
      <c r="BQ368" s="85"/>
      <c r="BR368" s="107"/>
      <c r="BS368" s="107"/>
      <c r="BT368" s="107"/>
      <c r="BU368" s="107"/>
      <c r="BV368" s="107"/>
      <c r="CS368"/>
      <c r="CT368" s="85"/>
      <c r="CU368" s="85"/>
      <c r="CV368" s="107"/>
      <c r="CW368" s="107"/>
      <c r="CX368" s="107"/>
      <c r="CY368" s="107"/>
      <c r="CZ368" s="107"/>
      <c r="DP368"/>
      <c r="DQ368" s="85"/>
      <c r="DR368" s="85"/>
      <c r="DS368" s="107"/>
      <c r="DT368" s="107"/>
      <c r="DU368" s="107"/>
      <c r="DV368" s="107"/>
      <c r="DW368" s="107"/>
    </row>
    <row r="369" spans="1:127" ht="16.5">
      <c r="A369"/>
      <c r="B369"/>
      <c r="C369" s="85"/>
      <c r="D369" s="107"/>
      <c r="E369" s="107"/>
      <c r="F369" s="107"/>
      <c r="G369" s="107"/>
      <c r="H369" s="107"/>
      <c r="I369" s="340"/>
      <c r="J369" s="340"/>
      <c r="K369" s="340"/>
      <c r="L369" s="340"/>
      <c r="M369" s="340"/>
      <c r="N369" s="340"/>
      <c r="O369" s="340"/>
      <c r="P369" s="340"/>
      <c r="Q369" s="340"/>
      <c r="S369"/>
      <c r="T369"/>
      <c r="U369" s="85"/>
      <c r="V369" s="107"/>
      <c r="W369" s="107"/>
      <c r="X369" s="107"/>
      <c r="Y369" s="107"/>
      <c r="Z369" s="107"/>
      <c r="AK369"/>
      <c r="AL369" s="85"/>
      <c r="AM369" s="85"/>
      <c r="AN369" s="107"/>
      <c r="AO369" s="107"/>
      <c r="AP369" s="107"/>
      <c r="AQ369" s="107"/>
      <c r="AR369" s="107"/>
      <c r="BO369"/>
      <c r="BP369" s="85"/>
      <c r="BQ369" s="85"/>
      <c r="BR369" s="107"/>
      <c r="BS369" s="107"/>
      <c r="BT369" s="107"/>
      <c r="BU369" s="107"/>
      <c r="BV369" s="107"/>
      <c r="CS369"/>
      <c r="CT369" s="85"/>
      <c r="CU369" s="85"/>
      <c r="CV369" s="107"/>
      <c r="CW369" s="107"/>
      <c r="CX369" s="107"/>
      <c r="CY369" s="107"/>
      <c r="CZ369" s="107"/>
      <c r="DP369"/>
      <c r="DQ369" s="85"/>
      <c r="DR369" s="85"/>
      <c r="DS369" s="107"/>
      <c r="DT369" s="107"/>
      <c r="DU369" s="107"/>
      <c r="DV369" s="107"/>
      <c r="DW369" s="107"/>
    </row>
    <row r="370" spans="1:127" ht="16.5">
      <c r="A370"/>
      <c r="B370"/>
      <c r="C370" s="85"/>
      <c r="D370" s="107"/>
      <c r="E370" s="107"/>
      <c r="F370" s="107"/>
      <c r="G370" s="107"/>
      <c r="H370" s="107"/>
      <c r="I370" s="340"/>
      <c r="J370" s="340"/>
      <c r="K370" s="340"/>
      <c r="L370" s="340"/>
      <c r="M370" s="340"/>
      <c r="N370" s="340"/>
      <c r="O370" s="340"/>
      <c r="P370" s="340"/>
      <c r="Q370" s="340"/>
      <c r="S370"/>
      <c r="T370"/>
      <c r="U370" s="85"/>
      <c r="V370" s="107"/>
      <c r="W370" s="107"/>
      <c r="X370" s="107"/>
      <c r="Y370" s="107"/>
      <c r="Z370" s="107"/>
      <c r="AK370"/>
      <c r="AL370" s="85"/>
      <c r="AM370" s="85"/>
      <c r="AN370" s="107"/>
      <c r="AO370" s="107"/>
      <c r="AP370" s="107"/>
      <c r="AQ370" s="107"/>
      <c r="AR370" s="107"/>
      <c r="BO370"/>
      <c r="BP370" s="85"/>
      <c r="BQ370" s="85"/>
      <c r="BR370" s="107"/>
      <c r="BS370" s="107"/>
      <c r="BT370" s="107"/>
      <c r="BU370" s="107"/>
      <c r="BV370" s="107"/>
      <c r="CS370"/>
      <c r="CT370" s="85"/>
      <c r="CU370" s="85"/>
      <c r="CV370" s="107"/>
      <c r="CW370" s="107"/>
      <c r="CX370" s="107"/>
      <c r="CY370" s="107"/>
      <c r="CZ370" s="107"/>
      <c r="DP370"/>
      <c r="DQ370" s="85"/>
      <c r="DR370" s="85"/>
      <c r="DS370" s="107"/>
      <c r="DT370" s="107"/>
      <c r="DU370" s="107"/>
      <c r="DV370" s="107"/>
      <c r="DW370" s="107"/>
    </row>
    <row r="371" spans="1:127" ht="16.5">
      <c r="A371"/>
      <c r="B371"/>
      <c r="C371" s="85"/>
      <c r="D371" s="107"/>
      <c r="E371" s="107"/>
      <c r="F371" s="107"/>
      <c r="G371" s="107"/>
      <c r="H371" s="107"/>
      <c r="I371" s="340"/>
      <c r="J371" s="340"/>
      <c r="K371" s="340"/>
      <c r="L371" s="340"/>
      <c r="M371" s="340"/>
      <c r="N371" s="340"/>
      <c r="O371" s="340"/>
      <c r="P371" s="340"/>
      <c r="Q371" s="340"/>
      <c r="S371"/>
      <c r="T371"/>
      <c r="U371" s="85"/>
      <c r="V371" s="107"/>
      <c r="W371" s="107"/>
      <c r="X371" s="107"/>
      <c r="Y371" s="107"/>
      <c r="Z371" s="107"/>
      <c r="AK371"/>
      <c r="AL371" s="85"/>
      <c r="AM371" s="85"/>
      <c r="AN371" s="107"/>
      <c r="AO371" s="107"/>
      <c r="AP371" s="107"/>
      <c r="AQ371" s="107"/>
      <c r="AR371" s="107"/>
      <c r="BO371"/>
      <c r="BP371" s="85"/>
      <c r="BQ371" s="85"/>
      <c r="BR371" s="107"/>
      <c r="BS371" s="107"/>
      <c r="BT371" s="107"/>
      <c r="BU371" s="107"/>
      <c r="BV371" s="107"/>
      <c r="CS371"/>
      <c r="CT371" s="85"/>
      <c r="CU371" s="85"/>
      <c r="CV371" s="107"/>
      <c r="CW371" s="107"/>
      <c r="CX371" s="107"/>
      <c r="CY371" s="107"/>
      <c r="CZ371" s="107"/>
      <c r="DP371"/>
      <c r="DQ371" s="85"/>
      <c r="DR371" s="85"/>
      <c r="DS371" s="107"/>
      <c r="DT371" s="107"/>
      <c r="DU371" s="107"/>
      <c r="DV371" s="107"/>
      <c r="DW371" s="107"/>
    </row>
    <row r="372" spans="1:127" ht="16.5">
      <c r="A372"/>
      <c r="B372"/>
      <c r="C372" s="85"/>
      <c r="D372" s="107"/>
      <c r="E372" s="107"/>
      <c r="F372" s="107"/>
      <c r="G372" s="107"/>
      <c r="H372" s="107"/>
      <c r="I372" s="340"/>
      <c r="J372" s="340"/>
      <c r="K372" s="340"/>
      <c r="L372" s="340"/>
      <c r="M372" s="340"/>
      <c r="N372" s="340"/>
      <c r="O372" s="340"/>
      <c r="P372" s="340"/>
      <c r="Q372" s="340"/>
      <c r="S372"/>
      <c r="T372"/>
      <c r="U372" s="85"/>
      <c r="V372" s="107"/>
      <c r="W372" s="107"/>
      <c r="X372" s="107"/>
      <c r="Y372" s="107"/>
      <c r="Z372" s="107"/>
      <c r="AK372"/>
      <c r="AL372" s="85"/>
      <c r="AM372" s="85"/>
      <c r="AN372" s="107"/>
      <c r="AO372" s="107"/>
      <c r="AP372" s="107"/>
      <c r="AQ372" s="107"/>
      <c r="AR372" s="107"/>
      <c r="BO372"/>
      <c r="BP372" s="85"/>
      <c r="BQ372" s="85"/>
      <c r="BR372" s="107"/>
      <c r="BS372" s="107"/>
      <c r="BT372" s="107"/>
      <c r="BU372" s="107"/>
      <c r="BV372" s="107"/>
      <c r="CS372"/>
      <c r="CT372" s="85"/>
      <c r="CU372" s="85"/>
      <c r="CV372" s="107"/>
      <c r="CW372" s="107"/>
      <c r="CX372" s="107"/>
      <c r="CY372" s="107"/>
      <c r="CZ372" s="107"/>
      <c r="DP372"/>
      <c r="DQ372" s="85"/>
      <c r="DR372" s="85"/>
      <c r="DS372" s="107"/>
      <c r="DT372" s="107"/>
      <c r="DU372" s="107"/>
      <c r="DV372" s="107"/>
      <c r="DW372" s="107"/>
    </row>
    <row r="373" spans="1:127" ht="16.5">
      <c r="A373"/>
      <c r="B373"/>
      <c r="C373" s="85"/>
      <c r="D373" s="107"/>
      <c r="E373" s="107"/>
      <c r="F373" s="107"/>
      <c r="G373" s="107"/>
      <c r="H373" s="107"/>
      <c r="I373" s="340"/>
      <c r="J373" s="340"/>
      <c r="K373" s="340"/>
      <c r="L373" s="340"/>
      <c r="M373" s="340"/>
      <c r="N373" s="340"/>
      <c r="O373" s="340"/>
      <c r="P373" s="340"/>
      <c r="Q373" s="340"/>
      <c r="S373"/>
      <c r="T373"/>
      <c r="U373" s="85"/>
      <c r="V373" s="107"/>
      <c r="W373" s="107"/>
      <c r="X373" s="107"/>
      <c r="Y373" s="107"/>
      <c r="Z373" s="107"/>
      <c r="AK373"/>
      <c r="AL373" s="85"/>
      <c r="AM373" s="85"/>
      <c r="AN373" s="107"/>
      <c r="AO373" s="107"/>
      <c r="AP373" s="107"/>
      <c r="AQ373" s="107"/>
      <c r="AR373" s="107"/>
      <c r="BO373"/>
      <c r="BP373" s="85"/>
      <c r="BQ373" s="85"/>
      <c r="BR373" s="107"/>
      <c r="BS373" s="107"/>
      <c r="BT373" s="107"/>
      <c r="BU373" s="107"/>
      <c r="BV373" s="107"/>
      <c r="CS373"/>
      <c r="CT373" s="85"/>
      <c r="CU373" s="85"/>
      <c r="CV373" s="107"/>
      <c r="CW373" s="107"/>
      <c r="CX373" s="107"/>
      <c r="CY373" s="107"/>
      <c r="CZ373" s="107"/>
      <c r="DP373"/>
      <c r="DQ373" s="85"/>
      <c r="DR373" s="85"/>
      <c r="DS373" s="107"/>
      <c r="DT373" s="107"/>
      <c r="DU373" s="107"/>
      <c r="DV373" s="107"/>
      <c r="DW373" s="107"/>
    </row>
    <row r="374" spans="1:127" ht="16.5">
      <c r="A374"/>
      <c r="B374"/>
      <c r="C374" s="85"/>
      <c r="D374" s="107"/>
      <c r="E374" s="107"/>
      <c r="F374" s="107"/>
      <c r="G374" s="107"/>
      <c r="H374" s="107"/>
      <c r="I374" s="340"/>
      <c r="J374" s="340"/>
      <c r="K374" s="340"/>
      <c r="L374" s="340"/>
      <c r="M374" s="340"/>
      <c r="N374" s="340"/>
      <c r="O374" s="340"/>
      <c r="P374" s="340"/>
      <c r="Q374" s="340"/>
      <c r="S374"/>
      <c r="T374"/>
      <c r="U374" s="85"/>
      <c r="V374" s="107"/>
      <c r="W374" s="107"/>
      <c r="X374" s="107"/>
      <c r="Y374" s="107"/>
      <c r="Z374" s="107"/>
      <c r="AK374"/>
      <c r="AL374" s="85"/>
      <c r="AM374" s="85"/>
      <c r="AN374" s="107"/>
      <c r="AO374" s="107"/>
      <c r="AP374" s="107"/>
      <c r="AQ374" s="107"/>
      <c r="AR374" s="107"/>
      <c r="BO374"/>
      <c r="BP374" s="85"/>
      <c r="BQ374" s="85"/>
      <c r="BR374" s="107"/>
      <c r="BS374" s="107"/>
      <c r="BT374" s="107"/>
      <c r="BU374" s="107"/>
      <c r="BV374" s="107"/>
      <c r="CS374"/>
      <c r="CT374" s="85"/>
      <c r="CU374" s="85"/>
      <c r="CV374" s="107"/>
      <c r="CW374" s="107"/>
      <c r="CX374" s="107"/>
      <c r="CY374" s="107"/>
      <c r="CZ374" s="107"/>
      <c r="DP374"/>
      <c r="DQ374" s="85"/>
      <c r="DR374" s="85"/>
      <c r="DS374" s="107"/>
      <c r="DT374" s="107"/>
      <c r="DU374" s="107"/>
      <c r="DV374" s="107"/>
      <c r="DW374" s="107"/>
    </row>
    <row r="375" spans="1:127" ht="16.5">
      <c r="A375"/>
      <c r="B375"/>
      <c r="C375" s="85"/>
      <c r="D375" s="107"/>
      <c r="E375" s="107"/>
      <c r="F375" s="107"/>
      <c r="G375" s="107"/>
      <c r="H375" s="107"/>
      <c r="I375" s="340"/>
      <c r="J375" s="340"/>
      <c r="K375" s="340"/>
      <c r="L375" s="340"/>
      <c r="M375" s="340"/>
      <c r="N375" s="340"/>
      <c r="O375" s="340"/>
      <c r="P375" s="340"/>
      <c r="Q375" s="340"/>
      <c r="S375"/>
      <c r="T375"/>
      <c r="U375" s="85"/>
      <c r="V375" s="107"/>
      <c r="W375" s="107"/>
      <c r="X375" s="107"/>
      <c r="Y375" s="107"/>
      <c r="Z375" s="107"/>
      <c r="AK375"/>
      <c r="AL375" s="85"/>
      <c r="AM375" s="85"/>
      <c r="AN375" s="107"/>
      <c r="AO375" s="107"/>
      <c r="AP375" s="107"/>
      <c r="AQ375" s="107"/>
      <c r="AR375" s="107"/>
      <c r="BO375"/>
      <c r="BP375" s="85"/>
      <c r="BQ375" s="85"/>
      <c r="BR375" s="107"/>
      <c r="BS375" s="107"/>
      <c r="BT375" s="107"/>
      <c r="BU375" s="107"/>
      <c r="BV375" s="107"/>
      <c r="CS375"/>
      <c r="CT375" s="85"/>
      <c r="CU375" s="85"/>
      <c r="CV375" s="107"/>
      <c r="CW375" s="107"/>
      <c r="CX375" s="107"/>
      <c r="CY375" s="107"/>
      <c r="CZ375" s="107"/>
      <c r="DP375"/>
      <c r="DQ375" s="85"/>
      <c r="DR375" s="85"/>
      <c r="DS375" s="107"/>
      <c r="DT375" s="107"/>
      <c r="DU375" s="107"/>
      <c r="DV375" s="107"/>
      <c r="DW375" s="107"/>
    </row>
    <row r="376" spans="1:127" ht="16.5">
      <c r="A376"/>
      <c r="B376"/>
      <c r="C376" s="85"/>
      <c r="D376" s="107"/>
      <c r="E376" s="107"/>
      <c r="F376" s="107"/>
      <c r="G376" s="107"/>
      <c r="H376" s="107"/>
      <c r="I376" s="340"/>
      <c r="J376" s="340"/>
      <c r="K376" s="340"/>
      <c r="L376" s="340"/>
      <c r="M376" s="340"/>
      <c r="N376" s="340"/>
      <c r="O376" s="340"/>
      <c r="P376" s="340"/>
      <c r="Q376" s="340"/>
      <c r="S376"/>
      <c r="T376"/>
      <c r="U376" s="85"/>
      <c r="V376" s="107"/>
      <c r="W376" s="107"/>
      <c r="X376" s="107"/>
      <c r="Y376" s="107"/>
      <c r="Z376" s="107"/>
      <c r="AK376"/>
      <c r="AL376" s="85"/>
      <c r="AM376" s="85"/>
      <c r="AN376" s="107"/>
      <c r="AO376" s="107"/>
      <c r="AP376" s="107"/>
      <c r="AQ376" s="107"/>
      <c r="AR376" s="107"/>
      <c r="BO376"/>
      <c r="BP376" s="85"/>
      <c r="BQ376" s="85"/>
      <c r="BR376" s="107"/>
      <c r="BS376" s="107"/>
      <c r="BT376" s="107"/>
      <c r="BU376" s="107"/>
      <c r="BV376" s="107"/>
      <c r="CS376"/>
      <c r="CT376" s="85"/>
      <c r="CU376" s="85"/>
      <c r="CV376" s="107"/>
      <c r="CW376" s="107"/>
      <c r="CX376" s="107"/>
      <c r="CY376" s="107"/>
      <c r="CZ376" s="107"/>
      <c r="DP376"/>
      <c r="DQ376" s="85"/>
      <c r="DR376" s="85"/>
      <c r="DS376" s="107"/>
      <c r="DT376" s="107"/>
      <c r="DU376" s="107"/>
      <c r="DV376" s="107"/>
      <c r="DW376" s="107"/>
    </row>
    <row r="377" spans="1:127" ht="16.5">
      <c r="A377"/>
      <c r="B377"/>
      <c r="C377" s="85"/>
      <c r="D377" s="107"/>
      <c r="E377" s="107"/>
      <c r="F377" s="107"/>
      <c r="G377" s="107"/>
      <c r="H377" s="107"/>
      <c r="I377" s="340"/>
      <c r="J377" s="340"/>
      <c r="K377" s="340"/>
      <c r="L377" s="340"/>
      <c r="M377" s="340"/>
      <c r="N377" s="340"/>
      <c r="O377" s="340"/>
      <c r="P377" s="340"/>
      <c r="Q377" s="340"/>
      <c r="S377"/>
      <c r="T377"/>
      <c r="U377" s="85"/>
      <c r="V377" s="107"/>
      <c r="W377" s="107"/>
      <c r="X377" s="107"/>
      <c r="Y377" s="107"/>
      <c r="Z377" s="107"/>
      <c r="AK377"/>
      <c r="AL377" s="85"/>
      <c r="AM377" s="85"/>
      <c r="AN377" s="107"/>
      <c r="AO377" s="107"/>
      <c r="AP377" s="107"/>
      <c r="AQ377" s="107"/>
      <c r="AR377" s="107"/>
      <c r="BO377"/>
      <c r="BP377" s="85"/>
      <c r="BQ377" s="85"/>
      <c r="BR377" s="107"/>
      <c r="BS377" s="107"/>
      <c r="BT377" s="107"/>
      <c r="BU377" s="107"/>
      <c r="BV377" s="107"/>
      <c r="CS377"/>
      <c r="CT377" s="85"/>
      <c r="CU377" s="85"/>
      <c r="CV377" s="107"/>
      <c r="CW377" s="107"/>
      <c r="CX377" s="107"/>
      <c r="CY377" s="107"/>
      <c r="CZ377" s="107"/>
      <c r="DP377"/>
      <c r="DQ377" s="85"/>
      <c r="DR377" s="85"/>
      <c r="DS377" s="107"/>
      <c r="DT377" s="107"/>
      <c r="DU377" s="107"/>
      <c r="DV377" s="107"/>
      <c r="DW377" s="107"/>
    </row>
    <row r="378" spans="1:127" ht="16.5">
      <c r="A378"/>
      <c r="B378"/>
      <c r="C378" s="85"/>
      <c r="D378" s="107"/>
      <c r="E378" s="107"/>
      <c r="F378" s="107"/>
      <c r="G378" s="107"/>
      <c r="H378" s="107"/>
      <c r="I378" s="340"/>
      <c r="J378" s="340"/>
      <c r="K378" s="340"/>
      <c r="L378" s="340"/>
      <c r="M378" s="340"/>
      <c r="N378" s="340"/>
      <c r="O378" s="340"/>
      <c r="P378" s="340"/>
      <c r="Q378" s="340"/>
      <c r="S378"/>
      <c r="T378"/>
      <c r="U378" s="85"/>
      <c r="V378" s="107"/>
      <c r="W378" s="107"/>
      <c r="X378" s="107"/>
      <c r="Y378" s="107"/>
      <c r="Z378" s="107"/>
      <c r="AK378"/>
      <c r="AL378" s="85"/>
      <c r="AM378" s="85"/>
      <c r="AN378" s="107"/>
      <c r="AO378" s="107"/>
      <c r="AP378" s="107"/>
      <c r="AQ378" s="107"/>
      <c r="AR378" s="107"/>
      <c r="BO378"/>
      <c r="BP378" s="85"/>
      <c r="BQ378" s="85"/>
      <c r="BR378" s="107"/>
      <c r="BS378" s="107"/>
      <c r="BT378" s="107"/>
      <c r="BU378" s="107"/>
      <c r="BV378" s="107"/>
      <c r="CS378"/>
      <c r="CT378" s="85"/>
      <c r="CU378" s="85"/>
      <c r="CV378" s="107"/>
      <c r="CW378" s="107"/>
      <c r="CX378" s="107"/>
      <c r="CY378" s="107"/>
      <c r="CZ378" s="107"/>
      <c r="DP378"/>
      <c r="DQ378" s="85"/>
      <c r="DR378" s="85"/>
      <c r="DS378" s="107"/>
      <c r="DT378" s="107"/>
      <c r="DU378" s="107"/>
      <c r="DV378" s="107"/>
      <c r="DW378" s="107"/>
    </row>
    <row r="379" spans="1:127" ht="16.5">
      <c r="A379"/>
      <c r="B379"/>
      <c r="C379" s="85"/>
      <c r="D379" s="107"/>
      <c r="E379" s="107"/>
      <c r="F379" s="107"/>
      <c r="G379" s="107"/>
      <c r="H379" s="107"/>
      <c r="I379" s="340"/>
      <c r="J379" s="340"/>
      <c r="K379" s="340"/>
      <c r="L379" s="340"/>
      <c r="M379" s="340"/>
      <c r="N379" s="340"/>
      <c r="O379" s="340"/>
      <c r="P379" s="340"/>
      <c r="Q379" s="340"/>
      <c r="S379"/>
      <c r="T379"/>
      <c r="U379" s="85"/>
      <c r="V379" s="107"/>
      <c r="W379" s="107"/>
      <c r="X379" s="107"/>
      <c r="Y379" s="107"/>
      <c r="Z379" s="107"/>
      <c r="AK379"/>
      <c r="AL379" s="85"/>
      <c r="AM379" s="85"/>
      <c r="AN379" s="107"/>
      <c r="AO379" s="107"/>
      <c r="AP379" s="107"/>
      <c r="AQ379" s="107"/>
      <c r="AR379" s="107"/>
      <c r="BO379"/>
      <c r="BP379" s="85"/>
      <c r="BQ379" s="85"/>
      <c r="BR379" s="107"/>
      <c r="BS379" s="107"/>
      <c r="BT379" s="107"/>
      <c r="BU379" s="107"/>
      <c r="BV379" s="107"/>
      <c r="CS379"/>
      <c r="CT379" s="85"/>
      <c r="CU379" s="85"/>
      <c r="CV379" s="107"/>
      <c r="CW379" s="107"/>
      <c r="CX379" s="107"/>
      <c r="CY379" s="107"/>
      <c r="CZ379" s="107"/>
      <c r="DP379"/>
      <c r="DQ379" s="85"/>
      <c r="DR379" s="85"/>
      <c r="DS379" s="107"/>
      <c r="DT379" s="107"/>
      <c r="DU379" s="107"/>
      <c r="DV379" s="107"/>
      <c r="DW379" s="107"/>
    </row>
    <row r="380" spans="1:127" ht="16.5">
      <c r="A380"/>
      <c r="B380"/>
      <c r="C380" s="85"/>
      <c r="D380" s="107"/>
      <c r="E380" s="107"/>
      <c r="F380" s="107"/>
      <c r="G380" s="107"/>
      <c r="H380" s="107"/>
      <c r="I380" s="340"/>
      <c r="J380" s="340"/>
      <c r="K380" s="340"/>
      <c r="L380" s="340"/>
      <c r="M380" s="340"/>
      <c r="N380" s="340"/>
      <c r="O380" s="340"/>
      <c r="P380" s="340"/>
      <c r="Q380" s="340"/>
      <c r="S380"/>
      <c r="T380"/>
      <c r="U380" s="85"/>
      <c r="V380" s="107"/>
      <c r="W380" s="107"/>
      <c r="X380" s="107"/>
      <c r="Y380" s="107"/>
      <c r="Z380" s="107"/>
      <c r="AK380"/>
      <c r="AL380" s="85"/>
      <c r="AM380" s="85"/>
      <c r="AN380" s="107"/>
      <c r="AO380" s="107"/>
      <c r="AP380" s="107"/>
      <c r="AQ380" s="107"/>
      <c r="AR380" s="107"/>
      <c r="BO380"/>
      <c r="BP380" s="85"/>
      <c r="BQ380" s="85"/>
      <c r="BR380" s="107"/>
      <c r="BS380" s="107"/>
      <c r="BT380" s="107"/>
      <c r="BU380" s="107"/>
      <c r="BV380" s="107"/>
      <c r="CS380"/>
      <c r="CT380" s="85"/>
      <c r="CU380" s="85"/>
      <c r="CV380" s="107"/>
      <c r="CW380" s="107"/>
      <c r="CX380" s="107"/>
      <c r="CY380" s="107"/>
      <c r="CZ380" s="107"/>
      <c r="DP380"/>
      <c r="DQ380" s="85"/>
      <c r="DR380" s="85"/>
      <c r="DS380" s="107"/>
      <c r="DT380" s="107"/>
      <c r="DU380" s="107"/>
      <c r="DV380" s="107"/>
      <c r="DW380" s="107"/>
    </row>
    <row r="381" spans="1:127" ht="16.5">
      <c r="A381"/>
      <c r="B381"/>
      <c r="C381" s="85"/>
      <c r="D381" s="107"/>
      <c r="E381" s="107"/>
      <c r="F381" s="107"/>
      <c r="G381" s="107"/>
      <c r="H381" s="107"/>
      <c r="I381" s="340"/>
      <c r="J381" s="340"/>
      <c r="K381" s="340"/>
      <c r="L381" s="340"/>
      <c r="M381" s="340"/>
      <c r="N381" s="340"/>
      <c r="O381" s="340"/>
      <c r="P381" s="340"/>
      <c r="Q381" s="340"/>
      <c r="S381"/>
      <c r="T381"/>
      <c r="U381" s="85"/>
      <c r="V381" s="107"/>
      <c r="W381" s="107"/>
      <c r="X381" s="107"/>
      <c r="Y381" s="107"/>
      <c r="Z381" s="107"/>
      <c r="AK381"/>
      <c r="AL381" s="85"/>
      <c r="AM381" s="85"/>
      <c r="AN381" s="107"/>
      <c r="AO381" s="107"/>
      <c r="AP381" s="107"/>
      <c r="AQ381" s="107"/>
      <c r="AR381" s="107"/>
      <c r="BO381"/>
      <c r="BP381" s="85"/>
      <c r="BQ381" s="85"/>
      <c r="BR381" s="107"/>
      <c r="BS381" s="107"/>
      <c r="BT381" s="107"/>
      <c r="BU381" s="107"/>
      <c r="BV381" s="107"/>
      <c r="CS381"/>
      <c r="CT381" s="85"/>
      <c r="CU381" s="85"/>
      <c r="CV381" s="107"/>
      <c r="CW381" s="107"/>
      <c r="CX381" s="107"/>
      <c r="CY381" s="107"/>
      <c r="CZ381" s="107"/>
      <c r="DP381"/>
      <c r="DQ381" s="85"/>
      <c r="DR381" s="85"/>
      <c r="DS381" s="107"/>
      <c r="DT381" s="107"/>
      <c r="DU381" s="107"/>
      <c r="DV381" s="107"/>
      <c r="DW381" s="107"/>
    </row>
    <row r="382" spans="1:127" ht="16.5">
      <c r="A382"/>
      <c r="B382"/>
      <c r="C382" s="85"/>
      <c r="D382" s="107"/>
      <c r="E382" s="107"/>
      <c r="F382" s="107"/>
      <c r="G382" s="107"/>
      <c r="H382" s="107"/>
      <c r="I382" s="340"/>
      <c r="J382" s="340"/>
      <c r="K382" s="340"/>
      <c r="L382" s="340"/>
      <c r="M382" s="340"/>
      <c r="N382" s="340"/>
      <c r="O382" s="340"/>
      <c r="P382" s="340"/>
      <c r="Q382" s="340"/>
      <c r="S382"/>
      <c r="T382"/>
      <c r="U382" s="85"/>
      <c r="V382" s="107"/>
      <c r="W382" s="107"/>
      <c r="X382" s="107"/>
      <c r="Y382" s="107"/>
      <c r="Z382" s="107"/>
      <c r="AK382"/>
      <c r="AL382" s="85"/>
      <c r="AM382" s="85"/>
      <c r="AN382" s="107"/>
      <c r="AO382" s="107"/>
      <c r="AP382" s="107"/>
      <c r="AQ382" s="107"/>
      <c r="AR382" s="107"/>
      <c r="BO382"/>
      <c r="BP382" s="85"/>
      <c r="BQ382" s="85"/>
      <c r="BR382" s="107"/>
      <c r="BS382" s="107"/>
      <c r="BT382" s="107"/>
      <c r="BU382" s="107"/>
      <c r="BV382" s="107"/>
      <c r="CS382"/>
      <c r="CT382" s="85"/>
      <c r="CU382" s="85"/>
      <c r="CV382" s="107"/>
      <c r="CW382" s="107"/>
      <c r="CX382" s="107"/>
      <c r="CY382" s="107"/>
      <c r="CZ382" s="107"/>
      <c r="DP382"/>
      <c r="DQ382" s="85"/>
      <c r="DR382" s="85"/>
      <c r="DS382" s="107"/>
      <c r="DT382" s="107"/>
      <c r="DU382" s="107"/>
      <c r="DV382" s="107"/>
      <c r="DW382" s="107"/>
    </row>
    <row r="383" spans="1:127" ht="16.5">
      <c r="A383"/>
      <c r="B383"/>
      <c r="C383" s="85"/>
      <c r="D383" s="107"/>
      <c r="E383" s="107"/>
      <c r="F383" s="107"/>
      <c r="G383" s="107"/>
      <c r="H383" s="107"/>
      <c r="I383" s="340"/>
      <c r="J383" s="340"/>
      <c r="K383" s="340"/>
      <c r="L383" s="340"/>
      <c r="M383" s="340"/>
      <c r="N383" s="340"/>
      <c r="O383" s="340"/>
      <c r="P383" s="340"/>
      <c r="Q383" s="340"/>
      <c r="S383"/>
      <c r="T383"/>
      <c r="U383" s="85"/>
      <c r="V383" s="107"/>
      <c r="W383" s="107"/>
      <c r="X383" s="107"/>
      <c r="Y383" s="107"/>
      <c r="Z383" s="107"/>
      <c r="AK383"/>
      <c r="AL383" s="85"/>
      <c r="AM383" s="85"/>
      <c r="AN383" s="107"/>
      <c r="AO383" s="107"/>
      <c r="AP383" s="107"/>
      <c r="AQ383" s="107"/>
      <c r="AR383" s="107"/>
      <c r="BO383"/>
      <c r="BP383" s="85"/>
      <c r="BQ383" s="85"/>
      <c r="BR383" s="107"/>
      <c r="BS383" s="107"/>
      <c r="BT383" s="107"/>
      <c r="BU383" s="107"/>
      <c r="BV383" s="107"/>
      <c r="CS383"/>
      <c r="CT383" s="85"/>
      <c r="CU383" s="85"/>
      <c r="CV383" s="107"/>
      <c r="CW383" s="107"/>
      <c r="CX383" s="107"/>
      <c r="CY383" s="107"/>
      <c r="CZ383" s="107"/>
      <c r="DP383"/>
      <c r="DQ383" s="85"/>
      <c r="DR383" s="85"/>
      <c r="DS383" s="107"/>
      <c r="DT383" s="107"/>
      <c r="DU383" s="107"/>
      <c r="DV383" s="107"/>
      <c r="DW383" s="107"/>
    </row>
    <row r="384" spans="1:127" ht="16.5">
      <c r="A384"/>
      <c r="B384"/>
      <c r="C384" s="85"/>
      <c r="D384" s="107"/>
      <c r="E384" s="107"/>
      <c r="F384" s="107"/>
      <c r="G384" s="107"/>
      <c r="H384" s="107"/>
      <c r="I384" s="340"/>
      <c r="J384" s="340"/>
      <c r="K384" s="340"/>
      <c r="L384" s="340"/>
      <c r="M384" s="340"/>
      <c r="N384" s="340"/>
      <c r="O384" s="340"/>
      <c r="P384" s="340"/>
      <c r="Q384" s="340"/>
      <c r="S384"/>
      <c r="T384"/>
      <c r="U384" s="85"/>
      <c r="V384" s="107"/>
      <c r="W384" s="107"/>
      <c r="X384" s="107"/>
      <c r="Y384" s="107"/>
      <c r="Z384" s="107"/>
      <c r="AK384"/>
      <c r="AL384" s="85"/>
      <c r="AM384" s="85"/>
      <c r="AN384" s="107"/>
      <c r="AO384" s="107"/>
      <c r="AP384" s="107"/>
      <c r="AQ384" s="107"/>
      <c r="AR384" s="107"/>
      <c r="BO384"/>
      <c r="BP384" s="85"/>
      <c r="BQ384" s="85"/>
      <c r="BR384" s="107"/>
      <c r="BS384" s="107"/>
      <c r="BT384" s="107"/>
      <c r="BU384" s="107"/>
      <c r="BV384" s="107"/>
      <c r="CS384"/>
      <c r="CT384" s="85"/>
      <c r="CU384" s="85"/>
      <c r="CV384" s="107"/>
      <c r="CW384" s="107"/>
      <c r="CX384" s="107"/>
      <c r="CY384" s="107"/>
      <c r="CZ384" s="107"/>
      <c r="DP384"/>
      <c r="DQ384" s="85"/>
      <c r="DR384" s="85"/>
      <c r="DS384" s="107"/>
      <c r="DT384" s="107"/>
      <c r="DU384" s="107"/>
      <c r="DV384" s="107"/>
      <c r="DW384" s="107"/>
    </row>
    <row r="385" spans="1:127" ht="16.5">
      <c r="A385"/>
      <c r="B385"/>
      <c r="C385" s="85"/>
      <c r="D385" s="107"/>
      <c r="E385" s="107"/>
      <c r="F385" s="107"/>
      <c r="G385" s="107"/>
      <c r="H385" s="107"/>
      <c r="I385" s="340"/>
      <c r="J385" s="340"/>
      <c r="K385" s="340"/>
      <c r="L385" s="340"/>
      <c r="M385" s="340"/>
      <c r="N385" s="340"/>
      <c r="O385" s="340"/>
      <c r="P385" s="340"/>
      <c r="Q385" s="340"/>
      <c r="S385"/>
      <c r="T385"/>
      <c r="U385" s="85"/>
      <c r="V385" s="107"/>
      <c r="W385" s="107"/>
      <c r="X385" s="107"/>
      <c r="Y385" s="107"/>
      <c r="Z385" s="107"/>
      <c r="AK385"/>
      <c r="AL385" s="85"/>
      <c r="AM385" s="85"/>
      <c r="AN385" s="107"/>
      <c r="AO385" s="107"/>
      <c r="AP385" s="107"/>
      <c r="AQ385" s="107"/>
      <c r="AR385" s="107"/>
      <c r="BO385"/>
      <c r="BP385" s="85"/>
      <c r="BQ385" s="85"/>
      <c r="BR385" s="107"/>
      <c r="BS385" s="107"/>
      <c r="BT385" s="107"/>
      <c r="BU385" s="107"/>
      <c r="BV385" s="107"/>
      <c r="CS385"/>
      <c r="CT385" s="85"/>
      <c r="CU385" s="85"/>
      <c r="CV385" s="107"/>
      <c r="CW385" s="107"/>
      <c r="CX385" s="107"/>
      <c r="CY385" s="107"/>
      <c r="CZ385" s="107"/>
      <c r="DP385"/>
      <c r="DQ385" s="85"/>
      <c r="DR385" s="85"/>
      <c r="DS385" s="107"/>
      <c r="DT385" s="107"/>
      <c r="DU385" s="107"/>
      <c r="DV385" s="107"/>
      <c r="DW385" s="107"/>
    </row>
    <row r="386" spans="1:127" ht="16.5">
      <c r="A386"/>
      <c r="B386"/>
      <c r="C386" s="85"/>
      <c r="D386" s="107"/>
      <c r="E386" s="107"/>
      <c r="F386" s="107"/>
      <c r="G386" s="107"/>
      <c r="H386" s="107"/>
      <c r="I386" s="340"/>
      <c r="J386" s="340"/>
      <c r="K386" s="340"/>
      <c r="L386" s="340"/>
      <c r="M386" s="340"/>
      <c r="N386" s="340"/>
      <c r="O386" s="340"/>
      <c r="P386" s="340"/>
      <c r="Q386" s="340"/>
      <c r="S386"/>
      <c r="T386"/>
      <c r="U386" s="85"/>
      <c r="V386" s="107"/>
      <c r="W386" s="107"/>
      <c r="X386" s="107"/>
      <c r="Y386" s="107"/>
      <c r="Z386" s="107"/>
      <c r="AK386"/>
      <c r="AL386" s="85"/>
      <c r="AM386" s="85"/>
      <c r="AN386" s="107"/>
      <c r="AO386" s="107"/>
      <c r="AP386" s="107"/>
      <c r="AQ386" s="107"/>
      <c r="AR386" s="107"/>
      <c r="BO386"/>
      <c r="BP386" s="85"/>
      <c r="BQ386" s="85"/>
      <c r="BR386" s="107"/>
      <c r="BS386" s="107"/>
      <c r="BT386" s="107"/>
      <c r="BU386" s="107"/>
      <c r="BV386" s="107"/>
      <c r="CS386"/>
      <c r="CT386" s="85"/>
      <c r="CU386" s="85"/>
      <c r="CV386" s="107"/>
      <c r="CW386" s="107"/>
      <c r="CX386" s="107"/>
      <c r="CY386" s="107"/>
      <c r="CZ386" s="107"/>
      <c r="DP386"/>
      <c r="DQ386" s="85"/>
      <c r="DR386" s="85"/>
      <c r="DS386" s="107"/>
      <c r="DT386" s="107"/>
      <c r="DU386" s="107"/>
      <c r="DV386" s="107"/>
      <c r="DW386" s="107"/>
    </row>
    <row r="387" spans="1:127" ht="16.5">
      <c r="A387"/>
      <c r="B387"/>
      <c r="C387" s="85"/>
      <c r="D387" s="107"/>
      <c r="E387" s="107"/>
      <c r="F387" s="107"/>
      <c r="G387" s="107"/>
      <c r="H387" s="107"/>
      <c r="I387" s="340"/>
      <c r="J387" s="340"/>
      <c r="K387" s="340"/>
      <c r="L387" s="340"/>
      <c r="M387" s="340"/>
      <c r="N387" s="340"/>
      <c r="O387" s="340"/>
      <c r="P387" s="340"/>
      <c r="Q387" s="340"/>
      <c r="S387"/>
      <c r="T387"/>
      <c r="U387" s="85"/>
      <c r="V387" s="107"/>
      <c r="W387" s="107"/>
      <c r="X387" s="107"/>
      <c r="Y387" s="107"/>
      <c r="Z387" s="107"/>
      <c r="AK387"/>
      <c r="AL387" s="85"/>
      <c r="AM387" s="85"/>
      <c r="AN387" s="107"/>
      <c r="AO387" s="107"/>
      <c r="AP387" s="107"/>
      <c r="AQ387" s="107"/>
      <c r="AR387" s="107"/>
      <c r="BO387"/>
      <c r="BP387" s="85"/>
      <c r="BQ387" s="85"/>
      <c r="BR387" s="107"/>
      <c r="BS387" s="107"/>
      <c r="BT387" s="107"/>
      <c r="BU387" s="107"/>
      <c r="BV387" s="107"/>
      <c r="CS387"/>
      <c r="CT387" s="85"/>
      <c r="CU387" s="85"/>
      <c r="CV387" s="107"/>
      <c r="CW387" s="107"/>
      <c r="CX387" s="107"/>
      <c r="CY387" s="107"/>
      <c r="CZ387" s="107"/>
      <c r="DP387"/>
      <c r="DQ387" s="85"/>
      <c r="DR387" s="85"/>
      <c r="DS387" s="107"/>
      <c r="DT387" s="107"/>
      <c r="DU387" s="107"/>
      <c r="DV387" s="107"/>
      <c r="DW387" s="107"/>
    </row>
    <row r="388" spans="1:127" ht="16.5">
      <c r="A388"/>
      <c r="B388"/>
      <c r="C388" s="85"/>
      <c r="D388" s="107"/>
      <c r="E388" s="107"/>
      <c r="F388" s="107"/>
      <c r="G388" s="107"/>
      <c r="H388" s="107"/>
      <c r="I388" s="340"/>
      <c r="J388" s="340"/>
      <c r="K388" s="340"/>
      <c r="L388" s="340"/>
      <c r="M388" s="340"/>
      <c r="N388" s="340"/>
      <c r="O388" s="340"/>
      <c r="P388" s="340"/>
      <c r="Q388" s="340"/>
      <c r="S388"/>
      <c r="T388"/>
      <c r="U388" s="85"/>
      <c r="V388" s="107"/>
      <c r="W388" s="107"/>
      <c r="X388" s="107"/>
      <c r="Y388" s="107"/>
      <c r="Z388" s="107"/>
      <c r="AK388"/>
      <c r="AL388" s="85"/>
      <c r="AM388" s="85"/>
      <c r="AN388" s="107"/>
      <c r="AO388" s="107"/>
      <c r="AP388" s="107"/>
      <c r="AQ388" s="107"/>
      <c r="AR388" s="107"/>
      <c r="BO388"/>
      <c r="BP388" s="85"/>
      <c r="BQ388" s="85"/>
      <c r="BR388" s="107"/>
      <c r="BS388" s="107"/>
      <c r="BT388" s="107"/>
      <c r="BU388" s="107"/>
      <c r="BV388" s="107"/>
      <c r="CS388"/>
      <c r="CT388" s="85"/>
      <c r="CU388" s="85"/>
      <c r="CV388" s="107"/>
      <c r="CW388" s="107"/>
      <c r="CX388" s="107"/>
      <c r="CY388" s="107"/>
      <c r="CZ388" s="107"/>
      <c r="DP388"/>
      <c r="DQ388" s="85"/>
      <c r="DR388" s="85"/>
      <c r="DS388" s="107"/>
      <c r="DT388" s="107"/>
      <c r="DU388" s="107"/>
      <c r="DV388" s="107"/>
      <c r="DW388" s="107"/>
    </row>
    <row r="389" spans="1:127" ht="16.5">
      <c r="A389"/>
      <c r="B389"/>
      <c r="C389" s="85"/>
      <c r="D389" s="107"/>
      <c r="E389" s="107"/>
      <c r="F389" s="107"/>
      <c r="G389" s="107"/>
      <c r="H389" s="107"/>
      <c r="I389" s="340"/>
      <c r="J389" s="340"/>
      <c r="K389" s="340"/>
      <c r="L389" s="340"/>
      <c r="M389" s="340"/>
      <c r="N389" s="340"/>
      <c r="O389" s="340"/>
      <c r="P389" s="340"/>
      <c r="Q389" s="340"/>
      <c r="S389"/>
      <c r="T389"/>
      <c r="U389" s="85"/>
      <c r="V389" s="107"/>
      <c r="W389" s="107"/>
      <c r="X389" s="107"/>
      <c r="Y389" s="107"/>
      <c r="Z389" s="107"/>
      <c r="AK389"/>
      <c r="AL389" s="85"/>
      <c r="AM389" s="85"/>
      <c r="AN389" s="107"/>
      <c r="AO389" s="107"/>
      <c r="AP389" s="107"/>
      <c r="AQ389" s="107"/>
      <c r="AR389" s="107"/>
      <c r="BO389"/>
      <c r="BP389" s="85"/>
      <c r="BQ389" s="85"/>
      <c r="BR389" s="107"/>
      <c r="BS389" s="107"/>
      <c r="BT389" s="107"/>
      <c r="BU389" s="107"/>
      <c r="BV389" s="107"/>
      <c r="CS389"/>
      <c r="CT389" s="85"/>
      <c r="CU389" s="85"/>
      <c r="CV389" s="107"/>
      <c r="CW389" s="107"/>
      <c r="CX389" s="107"/>
      <c r="CY389" s="107"/>
      <c r="CZ389" s="107"/>
      <c r="DP389"/>
      <c r="DQ389" s="85"/>
      <c r="DR389" s="85"/>
      <c r="DS389" s="107"/>
      <c r="DT389" s="107"/>
      <c r="DU389" s="107"/>
      <c r="DV389" s="107"/>
      <c r="DW389" s="107"/>
    </row>
    <row r="390" spans="1:127" ht="16.5">
      <c r="A390"/>
      <c r="B390"/>
      <c r="C390" s="85"/>
      <c r="D390" s="107"/>
      <c r="E390" s="107"/>
      <c r="F390" s="107"/>
      <c r="G390" s="107"/>
      <c r="H390" s="107"/>
      <c r="I390" s="340"/>
      <c r="J390" s="340"/>
      <c r="K390" s="340"/>
      <c r="L390" s="340"/>
      <c r="M390" s="340"/>
      <c r="N390" s="340"/>
      <c r="O390" s="340"/>
      <c r="P390" s="340"/>
      <c r="Q390" s="340"/>
      <c r="S390"/>
      <c r="T390"/>
      <c r="U390" s="85"/>
      <c r="V390" s="107"/>
      <c r="W390" s="107"/>
      <c r="X390" s="107"/>
      <c r="Y390" s="107"/>
      <c r="Z390" s="107"/>
      <c r="AK390"/>
      <c r="AL390" s="85"/>
      <c r="AM390" s="85"/>
      <c r="AN390" s="107"/>
      <c r="AO390" s="107"/>
      <c r="AP390" s="107"/>
      <c r="AQ390" s="107"/>
      <c r="AR390" s="107"/>
      <c r="BO390"/>
      <c r="BP390" s="85"/>
      <c r="BQ390" s="85"/>
      <c r="BR390" s="107"/>
      <c r="BS390" s="107"/>
      <c r="BT390" s="107"/>
      <c r="BU390" s="107"/>
      <c r="BV390" s="107"/>
      <c r="CS390"/>
      <c r="CT390" s="85"/>
      <c r="CU390" s="85"/>
      <c r="CV390" s="107"/>
      <c r="CW390" s="107"/>
      <c r="CX390" s="107"/>
      <c r="CY390" s="107"/>
      <c r="CZ390" s="107"/>
      <c r="DP390"/>
      <c r="DQ390" s="85"/>
      <c r="DR390" s="85"/>
      <c r="DS390" s="107"/>
      <c r="DT390" s="107"/>
      <c r="DU390" s="107"/>
      <c r="DV390" s="107"/>
      <c r="DW390" s="107"/>
    </row>
    <row r="391" spans="1:127" ht="16.5">
      <c r="A391"/>
      <c r="B391"/>
      <c r="C391" s="85"/>
      <c r="D391" s="107"/>
      <c r="E391" s="107"/>
      <c r="F391" s="107"/>
      <c r="G391" s="107"/>
      <c r="H391" s="107"/>
      <c r="I391" s="340"/>
      <c r="J391" s="340"/>
      <c r="K391" s="340"/>
      <c r="L391" s="340"/>
      <c r="M391" s="340"/>
      <c r="N391" s="340"/>
      <c r="O391" s="340"/>
      <c r="P391" s="340"/>
      <c r="Q391" s="340"/>
      <c r="S391"/>
      <c r="T391"/>
      <c r="U391" s="85"/>
      <c r="V391" s="107"/>
      <c r="W391" s="107"/>
      <c r="X391" s="107"/>
      <c r="Y391" s="107"/>
      <c r="Z391" s="107"/>
      <c r="AK391"/>
      <c r="AL391" s="85"/>
      <c r="AM391" s="85"/>
      <c r="AN391" s="107"/>
      <c r="AO391" s="107"/>
      <c r="AP391" s="107"/>
      <c r="AQ391" s="107"/>
      <c r="AR391" s="107"/>
      <c r="BO391"/>
      <c r="BP391" s="85"/>
      <c r="BQ391" s="85"/>
      <c r="BR391" s="107"/>
      <c r="BS391" s="107"/>
      <c r="BT391" s="107"/>
      <c r="BU391" s="107"/>
      <c r="BV391" s="107"/>
      <c r="CS391"/>
      <c r="CT391" s="85"/>
      <c r="CU391" s="85"/>
      <c r="CV391" s="107"/>
      <c r="CW391" s="107"/>
      <c r="CX391" s="107"/>
      <c r="CY391" s="107"/>
      <c r="CZ391" s="107"/>
      <c r="DP391"/>
      <c r="DQ391" s="85"/>
      <c r="DR391" s="85"/>
      <c r="DS391" s="107"/>
      <c r="DT391" s="107"/>
      <c r="DU391" s="107"/>
      <c r="DV391" s="107"/>
      <c r="DW391" s="107"/>
    </row>
    <row r="392" spans="1:127" ht="16.5">
      <c r="A392"/>
      <c r="B392"/>
      <c r="C392" s="85"/>
      <c r="D392" s="107"/>
      <c r="E392" s="107"/>
      <c r="F392" s="107"/>
      <c r="G392" s="107"/>
      <c r="H392" s="107"/>
      <c r="I392" s="340"/>
      <c r="J392" s="340"/>
      <c r="K392" s="340"/>
      <c r="L392" s="340"/>
      <c r="M392" s="340"/>
      <c r="N392" s="340"/>
      <c r="O392" s="340"/>
      <c r="P392" s="340"/>
      <c r="Q392" s="340"/>
      <c r="S392"/>
      <c r="T392"/>
      <c r="U392" s="85"/>
      <c r="V392" s="107"/>
      <c r="W392" s="107"/>
      <c r="X392" s="107"/>
      <c r="Y392" s="107"/>
      <c r="Z392" s="107"/>
      <c r="AK392"/>
      <c r="AL392" s="85"/>
      <c r="AM392" s="85"/>
      <c r="AN392" s="107"/>
      <c r="AO392" s="107"/>
      <c r="AP392" s="107"/>
      <c r="AQ392" s="107"/>
      <c r="AR392" s="107"/>
      <c r="BO392"/>
      <c r="BP392" s="85"/>
      <c r="BQ392" s="85"/>
      <c r="BR392" s="107"/>
      <c r="BS392" s="107"/>
      <c r="BT392" s="107"/>
      <c r="BU392" s="107"/>
      <c r="BV392" s="107"/>
      <c r="CS392"/>
      <c r="CT392" s="85"/>
      <c r="CU392" s="85"/>
      <c r="CV392" s="107"/>
      <c r="CW392" s="107"/>
      <c r="CX392" s="107"/>
      <c r="CY392" s="107"/>
      <c r="CZ392" s="107"/>
      <c r="DP392"/>
      <c r="DQ392" s="85"/>
      <c r="DR392" s="85"/>
      <c r="DS392" s="107"/>
      <c r="DT392" s="107"/>
      <c r="DU392" s="107"/>
      <c r="DV392" s="107"/>
      <c r="DW392" s="107"/>
    </row>
    <row r="393" spans="1:127" ht="16.5">
      <c r="A393"/>
      <c r="B393"/>
      <c r="C393" s="85"/>
      <c r="D393" s="107"/>
      <c r="E393" s="107"/>
      <c r="F393" s="107"/>
      <c r="G393" s="107"/>
      <c r="H393" s="107"/>
      <c r="I393" s="340"/>
      <c r="J393" s="340"/>
      <c r="K393" s="340"/>
      <c r="L393" s="340"/>
      <c r="M393" s="340"/>
      <c r="N393" s="340"/>
      <c r="O393" s="340"/>
      <c r="P393" s="340"/>
      <c r="Q393" s="340"/>
      <c r="S393"/>
      <c r="T393"/>
      <c r="U393" s="85"/>
      <c r="V393" s="107"/>
      <c r="W393" s="107"/>
      <c r="X393" s="107"/>
      <c r="Y393" s="107"/>
      <c r="Z393" s="107"/>
      <c r="AK393"/>
      <c r="AL393" s="85"/>
      <c r="AM393" s="85"/>
      <c r="AN393" s="107"/>
      <c r="AO393" s="107"/>
      <c r="AP393" s="107"/>
      <c r="AQ393" s="107"/>
      <c r="AR393" s="107"/>
      <c r="BO393"/>
      <c r="BP393" s="85"/>
      <c r="BQ393" s="85"/>
      <c r="BR393" s="107"/>
      <c r="BS393" s="107"/>
      <c r="BT393" s="107"/>
      <c r="BU393" s="107"/>
      <c r="BV393" s="107"/>
      <c r="CS393"/>
      <c r="CT393" s="85"/>
      <c r="CU393" s="85"/>
      <c r="CV393" s="107"/>
      <c r="CW393" s="107"/>
      <c r="CX393" s="107"/>
      <c r="CY393" s="107"/>
      <c r="CZ393" s="107"/>
      <c r="DP393"/>
      <c r="DQ393" s="85"/>
      <c r="DR393" s="85"/>
      <c r="DS393" s="107"/>
      <c r="DT393" s="107"/>
      <c r="DU393" s="107"/>
      <c r="DV393" s="107"/>
      <c r="DW393" s="107"/>
    </row>
    <row r="394" spans="1:127" ht="16.5">
      <c r="A394"/>
      <c r="B394"/>
      <c r="C394" s="85"/>
      <c r="D394" s="107"/>
      <c r="E394" s="107"/>
      <c r="F394" s="107"/>
      <c r="G394" s="107"/>
      <c r="H394" s="107"/>
      <c r="I394" s="340"/>
      <c r="J394" s="340"/>
      <c r="K394" s="340"/>
      <c r="L394" s="340"/>
      <c r="M394" s="340"/>
      <c r="N394" s="340"/>
      <c r="O394" s="340"/>
      <c r="P394" s="340"/>
      <c r="Q394" s="340"/>
      <c r="S394"/>
      <c r="T394"/>
      <c r="U394" s="85"/>
      <c r="V394" s="107"/>
      <c r="W394" s="107"/>
      <c r="X394" s="107"/>
      <c r="Y394" s="107"/>
      <c r="Z394" s="107"/>
      <c r="AK394"/>
      <c r="AL394" s="85"/>
      <c r="AM394" s="85"/>
      <c r="AN394" s="107"/>
      <c r="AO394" s="107"/>
      <c r="AP394" s="107"/>
      <c r="AQ394" s="107"/>
      <c r="AR394" s="107"/>
      <c r="BO394"/>
      <c r="BP394" s="85"/>
      <c r="BQ394" s="85"/>
      <c r="BR394" s="107"/>
      <c r="BS394" s="107"/>
      <c r="BT394" s="107"/>
      <c r="BU394" s="107"/>
      <c r="BV394" s="107"/>
      <c r="CS394"/>
      <c r="CT394" s="85"/>
      <c r="CU394" s="85"/>
      <c r="CV394" s="107"/>
      <c r="CW394" s="107"/>
      <c r="CX394" s="107"/>
      <c r="CY394" s="107"/>
      <c r="CZ394" s="107"/>
      <c r="DP394"/>
      <c r="DQ394" s="85"/>
      <c r="DR394" s="85"/>
      <c r="DS394" s="107"/>
      <c r="DT394" s="107"/>
      <c r="DU394" s="107"/>
      <c r="DV394" s="107"/>
      <c r="DW394" s="107"/>
    </row>
    <row r="395" spans="1:127" ht="16.5">
      <c r="A395"/>
      <c r="B395"/>
      <c r="C395" s="85"/>
      <c r="D395" s="107"/>
      <c r="E395" s="107"/>
      <c r="F395" s="107"/>
      <c r="G395" s="107"/>
      <c r="H395" s="107"/>
      <c r="I395" s="340"/>
      <c r="J395" s="340"/>
      <c r="K395" s="340"/>
      <c r="L395" s="340"/>
      <c r="M395" s="340"/>
      <c r="N395" s="340"/>
      <c r="O395" s="340"/>
      <c r="P395" s="340"/>
      <c r="Q395" s="340"/>
      <c r="S395"/>
      <c r="T395"/>
      <c r="U395" s="85"/>
      <c r="V395" s="107"/>
      <c r="W395" s="107"/>
      <c r="X395" s="107"/>
      <c r="Y395" s="107"/>
      <c r="Z395" s="107"/>
      <c r="AK395"/>
      <c r="AL395" s="85"/>
      <c r="AM395" s="85"/>
      <c r="AN395" s="107"/>
      <c r="AO395" s="107"/>
      <c r="AP395" s="107"/>
      <c r="AQ395" s="107"/>
      <c r="AR395" s="107"/>
      <c r="BO395"/>
      <c r="BP395" s="85"/>
      <c r="BQ395" s="85"/>
      <c r="BR395" s="107"/>
      <c r="BS395" s="107"/>
      <c r="BT395" s="107"/>
      <c r="BU395" s="107"/>
      <c r="BV395" s="107"/>
      <c r="CS395"/>
      <c r="CT395" s="85"/>
      <c r="CU395" s="85"/>
      <c r="CV395" s="107"/>
      <c r="CW395" s="107"/>
      <c r="CX395" s="107"/>
      <c r="CY395" s="107"/>
      <c r="CZ395" s="107"/>
      <c r="DP395"/>
      <c r="DQ395" s="85"/>
      <c r="DR395" s="85"/>
      <c r="DS395" s="107"/>
      <c r="DT395" s="107"/>
      <c r="DU395" s="107"/>
      <c r="DV395" s="107"/>
      <c r="DW395" s="107"/>
    </row>
    <row r="396" spans="1:127" ht="16.5">
      <c r="A396"/>
      <c r="B396"/>
      <c r="C396" s="85"/>
      <c r="D396" s="107"/>
      <c r="E396" s="107"/>
      <c r="F396" s="107"/>
      <c r="G396" s="107"/>
      <c r="H396" s="107"/>
      <c r="I396" s="340"/>
      <c r="J396" s="340"/>
      <c r="K396" s="340"/>
      <c r="L396" s="340"/>
      <c r="M396" s="340"/>
      <c r="N396" s="340"/>
      <c r="O396" s="340"/>
      <c r="P396" s="340"/>
      <c r="Q396" s="340"/>
      <c r="S396"/>
      <c r="T396"/>
      <c r="U396" s="85"/>
      <c r="V396" s="107"/>
      <c r="W396" s="107"/>
      <c r="X396" s="107"/>
      <c r="Y396" s="107"/>
      <c r="Z396" s="107"/>
      <c r="AK396"/>
      <c r="AL396" s="85"/>
      <c r="AM396" s="85"/>
      <c r="AN396" s="107"/>
      <c r="AO396" s="107"/>
      <c r="AP396" s="107"/>
      <c r="AQ396" s="107"/>
      <c r="AR396" s="107"/>
      <c r="BO396"/>
      <c r="BP396" s="85"/>
      <c r="BQ396" s="85"/>
      <c r="BR396" s="107"/>
      <c r="BS396" s="107"/>
      <c r="BT396" s="107"/>
      <c r="BU396" s="107"/>
      <c r="BV396" s="107"/>
      <c r="CS396"/>
      <c r="CT396" s="85"/>
      <c r="CU396" s="85"/>
      <c r="CV396" s="107"/>
      <c r="CW396" s="107"/>
      <c r="CX396" s="107"/>
      <c r="CY396" s="107"/>
      <c r="CZ396" s="107"/>
      <c r="DP396"/>
      <c r="DQ396" s="85"/>
      <c r="DR396" s="85"/>
      <c r="DS396" s="107"/>
      <c r="DT396" s="107"/>
      <c r="DU396" s="107"/>
      <c r="DV396" s="107"/>
      <c r="DW396" s="107"/>
    </row>
    <row r="397" spans="1:127" ht="16.5">
      <c r="A397"/>
      <c r="B397"/>
      <c r="C397" s="85"/>
      <c r="D397" s="107"/>
      <c r="E397" s="107"/>
      <c r="F397" s="107"/>
      <c r="G397" s="107"/>
      <c r="H397" s="107"/>
      <c r="I397" s="340"/>
      <c r="J397" s="340"/>
      <c r="K397" s="340"/>
      <c r="L397" s="340"/>
      <c r="M397" s="340"/>
      <c r="N397" s="340"/>
      <c r="O397" s="340"/>
      <c r="P397" s="340"/>
      <c r="Q397" s="340"/>
      <c r="S397"/>
      <c r="T397"/>
      <c r="U397" s="85"/>
      <c r="V397" s="107"/>
      <c r="W397" s="107"/>
      <c r="X397" s="107"/>
      <c r="Y397" s="107"/>
      <c r="Z397" s="107"/>
      <c r="AK397"/>
      <c r="AL397" s="85"/>
      <c r="AM397" s="85"/>
      <c r="AN397" s="107"/>
      <c r="AO397" s="107"/>
      <c r="AP397" s="107"/>
      <c r="AQ397" s="107"/>
      <c r="AR397" s="107"/>
      <c r="BO397"/>
      <c r="BP397" s="85"/>
      <c r="BQ397" s="85"/>
      <c r="BR397" s="107"/>
      <c r="BS397" s="107"/>
      <c r="BT397" s="107"/>
      <c r="BU397" s="107"/>
      <c r="BV397" s="107"/>
      <c r="CS397"/>
      <c r="CT397" s="85"/>
      <c r="CU397" s="85"/>
      <c r="CV397" s="107"/>
      <c r="CW397" s="107"/>
      <c r="CX397" s="107"/>
      <c r="CY397" s="107"/>
      <c r="CZ397" s="107"/>
      <c r="DP397"/>
      <c r="DQ397" s="85"/>
      <c r="DR397" s="85"/>
      <c r="DS397" s="107"/>
      <c r="DT397" s="107"/>
      <c r="DU397" s="107"/>
      <c r="DV397" s="107"/>
      <c r="DW397" s="107"/>
    </row>
    <row r="398" spans="1:127" ht="16.5">
      <c r="A398"/>
      <c r="B398"/>
      <c r="C398" s="85"/>
      <c r="D398" s="107"/>
      <c r="E398" s="107"/>
      <c r="F398" s="107"/>
      <c r="G398" s="107"/>
      <c r="H398" s="107"/>
      <c r="I398" s="340"/>
      <c r="J398" s="340"/>
      <c r="K398" s="340"/>
      <c r="L398" s="340"/>
      <c r="M398" s="340"/>
      <c r="N398" s="340"/>
      <c r="O398" s="340"/>
      <c r="P398" s="340"/>
      <c r="Q398" s="340"/>
      <c r="S398"/>
      <c r="T398"/>
      <c r="U398" s="85"/>
      <c r="V398" s="107"/>
      <c r="W398" s="107"/>
      <c r="X398" s="107"/>
      <c r="Y398" s="107"/>
      <c r="Z398" s="107"/>
      <c r="AK398"/>
      <c r="AL398" s="85"/>
      <c r="AM398" s="85"/>
      <c r="AN398" s="107"/>
      <c r="AO398" s="107"/>
      <c r="AP398" s="107"/>
      <c r="AQ398" s="107"/>
      <c r="AR398" s="107"/>
      <c r="BO398"/>
      <c r="BP398" s="85"/>
      <c r="BQ398" s="85"/>
      <c r="BR398" s="107"/>
      <c r="BS398" s="107"/>
      <c r="BT398" s="107"/>
      <c r="BU398" s="107"/>
      <c r="BV398" s="107"/>
      <c r="CS398"/>
      <c r="CT398" s="85"/>
      <c r="CU398" s="85"/>
      <c r="CV398" s="107"/>
      <c r="CW398" s="107"/>
      <c r="CX398" s="107"/>
      <c r="CY398" s="107"/>
      <c r="CZ398" s="107"/>
      <c r="DP398"/>
      <c r="DQ398" s="85"/>
      <c r="DR398" s="85"/>
      <c r="DS398" s="107"/>
      <c r="DT398" s="107"/>
      <c r="DU398" s="107"/>
      <c r="DV398" s="107"/>
      <c r="DW398" s="107"/>
    </row>
    <row r="399" spans="1:127" ht="16.5">
      <c r="A399"/>
      <c r="B399"/>
      <c r="C399" s="85"/>
      <c r="D399" s="107"/>
      <c r="E399" s="107"/>
      <c r="F399" s="107"/>
      <c r="G399" s="107"/>
      <c r="H399" s="107"/>
      <c r="I399" s="340"/>
      <c r="J399" s="340"/>
      <c r="K399" s="340"/>
      <c r="L399" s="340"/>
      <c r="M399" s="340"/>
      <c r="N399" s="340"/>
      <c r="O399" s="340"/>
      <c r="P399" s="340"/>
      <c r="Q399" s="340"/>
      <c r="S399"/>
      <c r="T399"/>
      <c r="U399" s="85"/>
      <c r="V399" s="107"/>
      <c r="W399" s="107"/>
      <c r="X399" s="107"/>
      <c r="Y399" s="107"/>
      <c r="Z399" s="107"/>
      <c r="AK399"/>
      <c r="AL399" s="85"/>
      <c r="AM399" s="85"/>
      <c r="AN399" s="107"/>
      <c r="AO399" s="107"/>
      <c r="AP399" s="107"/>
      <c r="AQ399" s="107"/>
      <c r="AR399" s="107"/>
      <c r="BO399"/>
      <c r="BP399" s="85"/>
      <c r="BQ399" s="85"/>
      <c r="BR399" s="107"/>
      <c r="BS399" s="107"/>
      <c r="BT399" s="107"/>
      <c r="BU399" s="107"/>
      <c r="BV399" s="107"/>
      <c r="CS399"/>
      <c r="CT399" s="85"/>
      <c r="CU399" s="85"/>
      <c r="CV399" s="107"/>
      <c r="CW399" s="107"/>
      <c r="CX399" s="107"/>
      <c r="CY399" s="107"/>
      <c r="CZ399" s="107"/>
      <c r="DP399"/>
      <c r="DQ399" s="85"/>
      <c r="DR399" s="85"/>
      <c r="DS399" s="107"/>
      <c r="DT399" s="107"/>
      <c r="DU399" s="107"/>
      <c r="DV399" s="107"/>
      <c r="DW399" s="107"/>
    </row>
    <row r="400" spans="1:127" ht="16.5">
      <c r="A400"/>
      <c r="B400"/>
      <c r="C400" s="85"/>
      <c r="D400" s="107"/>
      <c r="E400" s="107"/>
      <c r="F400" s="107"/>
      <c r="G400" s="107"/>
      <c r="H400" s="107"/>
      <c r="I400" s="340"/>
      <c r="J400" s="340"/>
      <c r="K400" s="340"/>
      <c r="L400" s="340"/>
      <c r="M400" s="340"/>
      <c r="N400" s="340"/>
      <c r="O400" s="340"/>
      <c r="P400" s="340"/>
      <c r="Q400" s="340"/>
      <c r="S400"/>
      <c r="T400"/>
      <c r="U400" s="85"/>
      <c r="V400" s="107"/>
      <c r="W400" s="107"/>
      <c r="X400" s="107"/>
      <c r="Y400" s="107"/>
      <c r="Z400" s="107"/>
      <c r="AK400"/>
      <c r="AL400" s="85"/>
      <c r="AM400" s="85"/>
      <c r="AN400" s="107"/>
      <c r="AO400" s="107"/>
      <c r="AP400" s="107"/>
      <c r="AQ400" s="107"/>
      <c r="AR400" s="107"/>
      <c r="BO400"/>
      <c r="BP400" s="85"/>
      <c r="BQ400" s="85"/>
      <c r="BR400" s="107"/>
      <c r="BS400" s="107"/>
      <c r="BT400" s="107"/>
      <c r="BU400" s="107"/>
      <c r="BV400" s="107"/>
      <c r="CS400"/>
      <c r="CT400" s="85"/>
      <c r="CU400" s="85"/>
      <c r="CV400" s="107"/>
      <c r="CW400" s="107"/>
      <c r="CX400" s="107"/>
      <c r="CY400" s="107"/>
      <c r="CZ400" s="107"/>
      <c r="DP400"/>
      <c r="DQ400" s="85"/>
      <c r="DR400" s="85"/>
      <c r="DS400" s="107"/>
      <c r="DT400" s="107"/>
      <c r="DU400" s="107"/>
      <c r="DV400" s="107"/>
      <c r="DW400" s="107"/>
    </row>
    <row r="401" spans="1:127" ht="16.5">
      <c r="A401"/>
      <c r="B401"/>
      <c r="C401" s="85"/>
      <c r="D401" s="107"/>
      <c r="E401" s="107"/>
      <c r="F401" s="107"/>
      <c r="G401" s="107"/>
      <c r="H401" s="107"/>
      <c r="I401" s="340"/>
      <c r="J401" s="340"/>
      <c r="K401" s="340"/>
      <c r="L401" s="340"/>
      <c r="M401" s="340"/>
      <c r="N401" s="340"/>
      <c r="O401" s="340"/>
      <c r="P401" s="340"/>
      <c r="Q401" s="340"/>
      <c r="S401"/>
      <c r="T401"/>
      <c r="U401" s="85"/>
      <c r="V401" s="107"/>
      <c r="W401" s="107"/>
      <c r="X401" s="107"/>
      <c r="Y401" s="107"/>
      <c r="Z401" s="107"/>
      <c r="AK401"/>
      <c r="AL401" s="85"/>
      <c r="AM401" s="85"/>
      <c r="AN401" s="107"/>
      <c r="AO401" s="107"/>
      <c r="AP401" s="107"/>
      <c r="AQ401" s="107"/>
      <c r="AR401" s="107"/>
      <c r="BO401"/>
      <c r="BP401" s="85"/>
      <c r="BQ401" s="85"/>
      <c r="BR401" s="107"/>
      <c r="BS401" s="107"/>
      <c r="BT401" s="107"/>
      <c r="BU401" s="107"/>
      <c r="BV401" s="107"/>
      <c r="CS401"/>
      <c r="CT401" s="85"/>
      <c r="CU401" s="85"/>
      <c r="CV401" s="107"/>
      <c r="CW401" s="107"/>
      <c r="CX401" s="107"/>
      <c r="CY401" s="107"/>
      <c r="CZ401" s="107"/>
      <c r="DP401"/>
      <c r="DQ401" s="85"/>
      <c r="DR401" s="85"/>
      <c r="DS401" s="107"/>
      <c r="DT401" s="107"/>
      <c r="DU401" s="107"/>
      <c r="DV401" s="107"/>
      <c r="DW401" s="107"/>
    </row>
    <row r="402" spans="1:127" ht="16.5">
      <c r="A402"/>
      <c r="B402"/>
      <c r="C402" s="85"/>
      <c r="D402" s="107"/>
      <c r="E402" s="107"/>
      <c r="F402" s="107"/>
      <c r="G402" s="107"/>
      <c r="H402" s="107"/>
      <c r="I402" s="340"/>
      <c r="J402" s="340"/>
      <c r="K402" s="340"/>
      <c r="L402" s="340"/>
      <c r="M402" s="340"/>
      <c r="N402" s="340"/>
      <c r="O402" s="340"/>
      <c r="P402" s="340"/>
      <c r="Q402" s="340"/>
      <c r="S402"/>
      <c r="T402"/>
      <c r="U402" s="85"/>
      <c r="V402" s="107"/>
      <c r="W402" s="107"/>
      <c r="X402" s="107"/>
      <c r="Y402" s="107"/>
      <c r="Z402" s="107"/>
      <c r="AK402"/>
      <c r="AL402" s="85"/>
      <c r="AM402" s="85"/>
      <c r="AN402" s="107"/>
      <c r="AO402" s="107"/>
      <c r="AP402" s="107"/>
      <c r="AQ402" s="107"/>
      <c r="AR402" s="107"/>
      <c r="BO402"/>
      <c r="BP402" s="85"/>
      <c r="BQ402" s="85"/>
      <c r="BR402" s="107"/>
      <c r="BS402" s="107"/>
      <c r="BT402" s="107"/>
      <c r="BU402" s="107"/>
      <c r="BV402" s="107"/>
      <c r="CS402"/>
      <c r="CT402" s="85"/>
      <c r="CU402" s="85"/>
      <c r="CV402" s="107"/>
      <c r="CW402" s="107"/>
      <c r="CX402" s="107"/>
      <c r="CY402" s="107"/>
      <c r="CZ402" s="107"/>
      <c r="DP402"/>
      <c r="DQ402" s="85"/>
      <c r="DR402" s="85"/>
      <c r="DS402" s="107"/>
      <c r="DT402" s="107"/>
      <c r="DU402" s="107"/>
      <c r="DV402" s="107"/>
      <c r="DW402" s="107"/>
    </row>
    <row r="403" spans="1:127" ht="16.5">
      <c r="A403"/>
      <c r="B403"/>
      <c r="C403" s="85"/>
      <c r="D403" s="107"/>
      <c r="E403" s="107"/>
      <c r="F403" s="107"/>
      <c r="G403" s="107"/>
      <c r="H403" s="107"/>
      <c r="I403" s="340"/>
      <c r="J403" s="340"/>
      <c r="K403" s="340"/>
      <c r="L403" s="340"/>
      <c r="M403" s="340"/>
      <c r="N403" s="340"/>
      <c r="O403" s="340"/>
      <c r="P403" s="340"/>
      <c r="Q403" s="340"/>
      <c r="S403"/>
      <c r="T403"/>
      <c r="U403" s="85"/>
      <c r="V403" s="107"/>
      <c r="W403" s="107"/>
      <c r="X403" s="107"/>
      <c r="Y403" s="107"/>
      <c r="Z403" s="107"/>
      <c r="AK403"/>
      <c r="AL403" s="85"/>
      <c r="AM403" s="85"/>
      <c r="AN403" s="107"/>
      <c r="AO403" s="107"/>
      <c r="AP403" s="107"/>
      <c r="AQ403" s="107"/>
      <c r="AR403" s="107"/>
      <c r="BO403"/>
      <c r="BP403" s="85"/>
      <c r="BQ403" s="85"/>
      <c r="BR403" s="107"/>
      <c r="BS403" s="107"/>
      <c r="BT403" s="107"/>
      <c r="BU403" s="107"/>
      <c r="BV403" s="107"/>
      <c r="CS403"/>
      <c r="CT403" s="85"/>
      <c r="CU403" s="85"/>
      <c r="CV403" s="107"/>
      <c r="CW403" s="107"/>
      <c r="CX403" s="107"/>
      <c r="CY403" s="107"/>
      <c r="CZ403" s="107"/>
      <c r="DP403"/>
      <c r="DQ403" s="85"/>
      <c r="DR403" s="85"/>
      <c r="DS403" s="107"/>
      <c r="DT403" s="107"/>
      <c r="DU403" s="107"/>
      <c r="DV403" s="107"/>
      <c r="DW403" s="107"/>
    </row>
    <row r="404" spans="1:127" ht="16.5">
      <c r="A404"/>
      <c r="B404"/>
      <c r="C404" s="85"/>
      <c r="D404" s="107"/>
      <c r="E404" s="107"/>
      <c r="F404" s="107"/>
      <c r="G404" s="107"/>
      <c r="H404" s="107"/>
      <c r="I404" s="340"/>
      <c r="J404" s="340"/>
      <c r="K404" s="340"/>
      <c r="L404" s="340"/>
      <c r="M404" s="340"/>
      <c r="N404" s="340"/>
      <c r="O404" s="340"/>
      <c r="P404" s="340"/>
      <c r="Q404" s="340"/>
      <c r="S404"/>
      <c r="T404"/>
      <c r="U404" s="85"/>
      <c r="V404" s="107"/>
      <c r="W404" s="107"/>
      <c r="X404" s="107"/>
      <c r="Y404" s="107"/>
      <c r="Z404" s="107"/>
      <c r="AK404"/>
      <c r="AL404" s="85"/>
      <c r="AM404" s="85"/>
      <c r="AN404" s="107"/>
      <c r="AO404" s="107"/>
      <c r="AP404" s="107"/>
      <c r="AQ404" s="107"/>
      <c r="AR404" s="107"/>
      <c r="BO404"/>
      <c r="BP404" s="85"/>
      <c r="BQ404" s="85"/>
      <c r="BR404" s="107"/>
      <c r="BS404" s="107"/>
      <c r="BT404" s="107"/>
      <c r="BU404" s="107"/>
      <c r="BV404" s="107"/>
      <c r="CS404"/>
      <c r="CT404" s="85"/>
      <c r="CU404" s="85"/>
      <c r="CV404" s="107"/>
      <c r="CW404" s="107"/>
      <c r="CX404" s="107"/>
      <c r="CY404" s="107"/>
      <c r="CZ404" s="107"/>
      <c r="DP404"/>
      <c r="DQ404" s="85"/>
      <c r="DR404" s="85"/>
      <c r="DS404" s="107"/>
      <c r="DT404" s="107"/>
      <c r="DU404" s="107"/>
      <c r="DV404" s="107"/>
      <c r="DW404" s="107"/>
    </row>
    <row r="405" spans="1:127" ht="16.5">
      <c r="A405"/>
      <c r="B405"/>
      <c r="C405" s="85"/>
      <c r="D405" s="107"/>
      <c r="E405" s="107"/>
      <c r="F405" s="107"/>
      <c r="G405" s="107"/>
      <c r="H405" s="107"/>
      <c r="I405" s="340"/>
      <c r="J405" s="340"/>
      <c r="K405" s="340"/>
      <c r="L405" s="340"/>
      <c r="M405" s="340"/>
      <c r="N405" s="340"/>
      <c r="O405" s="340"/>
      <c r="P405" s="340"/>
      <c r="Q405" s="340"/>
      <c r="S405"/>
      <c r="T405"/>
      <c r="U405" s="85"/>
      <c r="V405" s="107"/>
      <c r="W405" s="107"/>
      <c r="X405" s="107"/>
      <c r="Y405" s="107"/>
      <c r="Z405" s="107"/>
      <c r="AK405"/>
      <c r="AL405" s="85"/>
      <c r="AM405" s="85"/>
      <c r="AN405" s="107"/>
      <c r="AO405" s="107"/>
      <c r="AP405" s="107"/>
      <c r="AQ405" s="107"/>
      <c r="AR405" s="107"/>
      <c r="BO405"/>
      <c r="BP405" s="85"/>
      <c r="BQ405" s="85"/>
      <c r="BR405" s="107"/>
      <c r="BS405" s="107"/>
      <c r="BT405" s="107"/>
      <c r="BU405" s="107"/>
      <c r="BV405" s="107"/>
      <c r="CS405"/>
      <c r="CT405" s="85"/>
      <c r="CU405" s="85"/>
      <c r="CV405" s="107"/>
      <c r="CW405" s="107"/>
      <c r="CX405" s="107"/>
      <c r="CY405" s="107"/>
      <c r="CZ405" s="107"/>
      <c r="DP405"/>
      <c r="DQ405" s="85"/>
      <c r="DR405" s="85"/>
      <c r="DS405" s="107"/>
      <c r="DT405" s="107"/>
      <c r="DU405" s="107"/>
      <c r="DV405" s="107"/>
      <c r="DW405" s="107"/>
    </row>
    <row r="406" spans="1:127" ht="16.5">
      <c r="A406"/>
      <c r="B406"/>
      <c r="C406" s="85"/>
      <c r="D406" s="107"/>
      <c r="E406" s="107"/>
      <c r="F406" s="107"/>
      <c r="G406" s="107"/>
      <c r="H406" s="107"/>
      <c r="I406" s="340"/>
      <c r="J406" s="340"/>
      <c r="K406" s="340"/>
      <c r="L406" s="340"/>
      <c r="M406" s="340"/>
      <c r="N406" s="340"/>
      <c r="O406" s="340"/>
      <c r="P406" s="340"/>
      <c r="Q406" s="340"/>
      <c r="S406"/>
      <c r="T406"/>
      <c r="U406" s="85"/>
      <c r="V406" s="107"/>
      <c r="W406" s="107"/>
      <c r="X406" s="107"/>
      <c r="Y406" s="107"/>
      <c r="Z406" s="107"/>
      <c r="AK406"/>
      <c r="AL406" s="85"/>
      <c r="AM406" s="85"/>
      <c r="AN406" s="107"/>
      <c r="AO406" s="107"/>
      <c r="AP406" s="107"/>
      <c r="AQ406" s="107"/>
      <c r="AR406" s="107"/>
      <c r="BO406"/>
      <c r="BP406" s="85"/>
      <c r="BQ406" s="85"/>
      <c r="BR406" s="107"/>
      <c r="BS406" s="107"/>
      <c r="BT406" s="107"/>
      <c r="BU406" s="107"/>
      <c r="BV406" s="107"/>
      <c r="CS406"/>
      <c r="CT406" s="85"/>
      <c r="CU406" s="85"/>
      <c r="CV406" s="107"/>
      <c r="CW406" s="107"/>
      <c r="CX406" s="107"/>
      <c r="CY406" s="107"/>
      <c r="CZ406" s="107"/>
      <c r="DP406"/>
      <c r="DQ406" s="85"/>
      <c r="DR406" s="85"/>
      <c r="DS406" s="107"/>
      <c r="DT406" s="107"/>
      <c r="DU406" s="107"/>
      <c r="DV406" s="107"/>
      <c r="DW406" s="107"/>
    </row>
    <row r="407" spans="1:127" ht="16.5">
      <c r="A407"/>
      <c r="B407"/>
      <c r="C407" s="85"/>
      <c r="D407" s="107"/>
      <c r="E407" s="107"/>
      <c r="F407" s="107"/>
      <c r="G407" s="107"/>
      <c r="H407" s="107"/>
      <c r="I407" s="340"/>
      <c r="J407" s="340"/>
      <c r="K407" s="340"/>
      <c r="L407" s="340"/>
      <c r="M407" s="340"/>
      <c r="N407" s="340"/>
      <c r="O407" s="340"/>
      <c r="P407" s="340"/>
      <c r="Q407" s="340"/>
      <c r="S407"/>
      <c r="T407"/>
      <c r="U407" s="85"/>
      <c r="V407" s="107"/>
      <c r="W407" s="107"/>
      <c r="X407" s="107"/>
      <c r="Y407" s="107"/>
      <c r="Z407" s="107"/>
      <c r="AK407"/>
      <c r="AL407" s="85"/>
      <c r="AM407" s="85"/>
      <c r="AN407" s="107"/>
      <c r="AO407" s="107"/>
      <c r="AP407" s="107"/>
      <c r="AQ407" s="107"/>
      <c r="AR407" s="107"/>
      <c r="BO407"/>
      <c r="BP407" s="85"/>
      <c r="BQ407" s="85"/>
      <c r="BR407" s="107"/>
      <c r="BS407" s="107"/>
      <c r="BT407" s="107"/>
      <c r="BU407" s="107"/>
      <c r="BV407" s="107"/>
      <c r="CS407"/>
      <c r="CT407" s="85"/>
      <c r="CU407" s="85"/>
      <c r="CV407" s="107"/>
      <c r="CW407" s="107"/>
      <c r="CX407" s="107"/>
      <c r="CY407" s="107"/>
      <c r="CZ407" s="107"/>
      <c r="DP407"/>
      <c r="DQ407" s="85"/>
      <c r="DR407" s="85"/>
      <c r="DS407" s="107"/>
      <c r="DT407" s="107"/>
      <c r="DU407" s="107"/>
      <c r="DV407" s="107"/>
      <c r="DW407" s="107"/>
    </row>
    <row r="408" spans="1:127" ht="16.5">
      <c r="A408"/>
      <c r="B408"/>
      <c r="C408" s="85"/>
      <c r="D408" s="107"/>
      <c r="E408" s="107"/>
      <c r="F408" s="107"/>
      <c r="G408" s="107"/>
      <c r="H408" s="107"/>
      <c r="I408" s="340"/>
      <c r="J408" s="340"/>
      <c r="K408" s="340"/>
      <c r="L408" s="340"/>
      <c r="M408" s="340"/>
      <c r="N408" s="340"/>
      <c r="O408" s="340"/>
      <c r="P408" s="340"/>
      <c r="Q408" s="340"/>
      <c r="S408"/>
      <c r="T408"/>
      <c r="U408" s="85"/>
      <c r="V408" s="107"/>
      <c r="W408" s="107"/>
      <c r="X408" s="107"/>
      <c r="Y408" s="107"/>
      <c r="Z408" s="107"/>
      <c r="AK408"/>
      <c r="AL408" s="85"/>
      <c r="AM408" s="85"/>
      <c r="AN408" s="107"/>
      <c r="AO408" s="107"/>
      <c r="AP408" s="107"/>
      <c r="AQ408" s="107"/>
      <c r="AR408" s="107"/>
      <c r="BO408"/>
      <c r="BP408" s="85"/>
      <c r="BQ408" s="85"/>
      <c r="BR408" s="107"/>
      <c r="BS408" s="107"/>
      <c r="BT408" s="107"/>
      <c r="BU408" s="107"/>
      <c r="BV408" s="107"/>
      <c r="CS408"/>
      <c r="CT408" s="85"/>
      <c r="CU408" s="85"/>
      <c r="CV408" s="107"/>
      <c r="CW408" s="107"/>
      <c r="CX408" s="107"/>
      <c r="CY408" s="107"/>
      <c r="CZ408" s="107"/>
      <c r="DP408"/>
      <c r="DQ408" s="85"/>
      <c r="DR408" s="85"/>
      <c r="DS408" s="107"/>
      <c r="DT408" s="107"/>
      <c r="DU408" s="107"/>
      <c r="DV408" s="107"/>
      <c r="DW408" s="107"/>
    </row>
    <row r="409" spans="1:127" ht="16.5">
      <c r="A409"/>
      <c r="B409"/>
      <c r="C409" s="85"/>
      <c r="D409" s="107"/>
      <c r="E409" s="107"/>
      <c r="F409" s="107"/>
      <c r="G409" s="107"/>
      <c r="H409" s="107"/>
      <c r="I409" s="340"/>
      <c r="J409" s="340"/>
      <c r="K409" s="340"/>
      <c r="L409" s="340"/>
      <c r="M409" s="340"/>
      <c r="N409" s="340"/>
      <c r="O409" s="340"/>
      <c r="P409" s="340"/>
      <c r="Q409" s="340"/>
      <c r="S409"/>
      <c r="T409"/>
      <c r="U409" s="85"/>
      <c r="V409" s="107"/>
      <c r="W409" s="107"/>
      <c r="X409" s="107"/>
      <c r="Y409" s="107"/>
      <c r="Z409" s="107"/>
      <c r="AK409"/>
      <c r="AL409" s="85"/>
      <c r="AM409" s="85"/>
      <c r="AN409" s="107"/>
      <c r="AO409" s="107"/>
      <c r="AP409" s="107"/>
      <c r="AQ409" s="107"/>
      <c r="AR409" s="107"/>
      <c r="BO409"/>
      <c r="BP409" s="85"/>
      <c r="BQ409" s="85"/>
      <c r="BR409" s="107"/>
      <c r="BS409" s="107"/>
      <c r="BT409" s="107"/>
      <c r="BU409" s="107"/>
      <c r="BV409" s="107"/>
      <c r="CS409"/>
      <c r="CT409" s="85"/>
      <c r="CU409" s="85"/>
      <c r="CV409" s="107"/>
      <c r="CW409" s="107"/>
      <c r="CX409" s="107"/>
      <c r="CY409" s="107"/>
      <c r="CZ409" s="107"/>
      <c r="DP409"/>
      <c r="DQ409" s="85"/>
      <c r="DR409" s="85"/>
      <c r="DS409" s="107"/>
      <c r="DT409" s="107"/>
      <c r="DU409" s="107"/>
      <c r="DV409" s="107"/>
      <c r="DW409" s="107"/>
    </row>
    <row r="410" spans="1:127" ht="16.5">
      <c r="A410"/>
      <c r="B410"/>
      <c r="C410" s="85"/>
      <c r="D410" s="107"/>
      <c r="E410" s="107"/>
      <c r="F410" s="107"/>
      <c r="G410" s="107"/>
      <c r="H410" s="107"/>
      <c r="I410" s="340"/>
      <c r="J410" s="340"/>
      <c r="K410" s="340"/>
      <c r="L410" s="340"/>
      <c r="M410" s="340"/>
      <c r="N410" s="340"/>
      <c r="O410" s="340"/>
      <c r="P410" s="340"/>
      <c r="Q410" s="340"/>
      <c r="S410"/>
      <c r="T410"/>
      <c r="U410" s="85"/>
      <c r="V410" s="107"/>
      <c r="W410" s="107"/>
      <c r="X410" s="107"/>
      <c r="Y410" s="107"/>
      <c r="Z410" s="107"/>
      <c r="AK410"/>
      <c r="AL410" s="85"/>
      <c r="AM410" s="85"/>
      <c r="AN410" s="107"/>
      <c r="AO410" s="107"/>
      <c r="AP410" s="107"/>
      <c r="AQ410" s="107"/>
      <c r="AR410" s="107"/>
      <c r="BO410"/>
      <c r="BP410" s="85"/>
      <c r="BQ410" s="85"/>
      <c r="BR410" s="107"/>
      <c r="BS410" s="107"/>
      <c r="BT410" s="107"/>
      <c r="BU410" s="107"/>
      <c r="BV410" s="107"/>
      <c r="CS410"/>
      <c r="CT410" s="85"/>
      <c r="CU410" s="85"/>
      <c r="CV410" s="107"/>
      <c r="CW410" s="107"/>
      <c r="CX410" s="107"/>
      <c r="CY410" s="107"/>
      <c r="CZ410" s="107"/>
      <c r="DP410"/>
      <c r="DQ410" s="85"/>
      <c r="DR410" s="85"/>
      <c r="DS410" s="107"/>
      <c r="DT410" s="107"/>
      <c r="DU410" s="107"/>
      <c r="DV410" s="107"/>
      <c r="DW410" s="107"/>
    </row>
    <row r="411" spans="1:127" ht="16.5">
      <c r="A411"/>
      <c r="B411"/>
      <c r="C411" s="85"/>
      <c r="D411" s="107"/>
      <c r="E411" s="107"/>
      <c r="F411" s="107"/>
      <c r="G411" s="107"/>
      <c r="H411" s="107"/>
      <c r="I411" s="340"/>
      <c r="J411" s="340"/>
      <c r="K411" s="340"/>
      <c r="L411" s="340"/>
      <c r="M411" s="340"/>
      <c r="N411" s="340"/>
      <c r="O411" s="340"/>
      <c r="P411" s="340"/>
      <c r="Q411" s="340"/>
      <c r="S411"/>
      <c r="T411"/>
      <c r="U411" s="85"/>
      <c r="V411" s="107"/>
      <c r="W411" s="107"/>
      <c r="X411" s="107"/>
      <c r="Y411" s="107"/>
      <c r="Z411" s="107"/>
      <c r="AK411"/>
      <c r="AL411" s="85"/>
      <c r="AM411" s="85"/>
      <c r="AN411" s="107"/>
      <c r="AO411" s="107"/>
      <c r="AP411" s="107"/>
      <c r="AQ411" s="107"/>
      <c r="AR411" s="107"/>
      <c r="BO411"/>
      <c r="BP411" s="85"/>
      <c r="BQ411" s="85"/>
      <c r="BR411" s="107"/>
      <c r="BS411" s="107"/>
      <c r="BT411" s="107"/>
      <c r="BU411" s="107"/>
      <c r="BV411" s="107"/>
      <c r="CS411"/>
      <c r="CT411" s="85"/>
      <c r="CU411" s="85"/>
      <c r="CV411" s="107"/>
      <c r="CW411" s="107"/>
      <c r="CX411" s="107"/>
      <c r="CY411" s="107"/>
      <c r="CZ411" s="107"/>
      <c r="DP411"/>
      <c r="DQ411" s="85"/>
      <c r="DR411" s="85"/>
      <c r="DS411" s="107"/>
      <c r="DT411" s="107"/>
      <c r="DU411" s="107"/>
      <c r="DV411" s="107"/>
      <c r="DW411" s="107"/>
    </row>
    <row r="412" spans="1:127" ht="16.5">
      <c r="A412"/>
      <c r="B412"/>
      <c r="C412" s="85"/>
      <c r="D412" s="107"/>
      <c r="E412" s="107"/>
      <c r="F412" s="107"/>
      <c r="G412" s="107"/>
      <c r="H412" s="107"/>
      <c r="I412" s="340"/>
      <c r="J412" s="340"/>
      <c r="K412" s="340"/>
      <c r="L412" s="340"/>
      <c r="M412" s="340"/>
      <c r="N412" s="340"/>
      <c r="O412" s="340"/>
      <c r="P412" s="340"/>
      <c r="Q412" s="340"/>
      <c r="S412"/>
      <c r="T412"/>
      <c r="U412" s="85"/>
      <c r="V412" s="107"/>
      <c r="W412" s="107"/>
      <c r="X412" s="107"/>
      <c r="Y412" s="107"/>
      <c r="Z412" s="107"/>
      <c r="AK412"/>
      <c r="AL412" s="85"/>
      <c r="AM412" s="85"/>
      <c r="AN412" s="107"/>
      <c r="AO412" s="107"/>
      <c r="AP412" s="107"/>
      <c r="AQ412" s="107"/>
      <c r="AR412" s="107"/>
      <c r="BO412"/>
      <c r="BP412" s="85"/>
      <c r="BQ412" s="85"/>
      <c r="BR412" s="107"/>
      <c r="BS412" s="107"/>
      <c r="BT412" s="107"/>
      <c r="BU412" s="107"/>
      <c r="BV412" s="107"/>
      <c r="CS412"/>
      <c r="CT412" s="85"/>
      <c r="CU412" s="85"/>
      <c r="CV412" s="107"/>
      <c r="CW412" s="107"/>
      <c r="CX412" s="107"/>
      <c r="CY412" s="107"/>
      <c r="CZ412" s="107"/>
      <c r="DP412"/>
      <c r="DQ412" s="85"/>
      <c r="DR412" s="85"/>
      <c r="DS412" s="107"/>
      <c r="DT412" s="107"/>
      <c r="DU412" s="107"/>
      <c r="DV412" s="107"/>
      <c r="DW412" s="107"/>
    </row>
    <row r="413" spans="1:127" ht="16.5">
      <c r="A413"/>
      <c r="B413"/>
      <c r="C413" s="85"/>
      <c r="D413" s="107"/>
      <c r="E413" s="107"/>
      <c r="F413" s="107"/>
      <c r="G413" s="107"/>
      <c r="H413" s="107"/>
      <c r="I413" s="340"/>
      <c r="J413" s="340"/>
      <c r="K413" s="340"/>
      <c r="L413" s="340"/>
      <c r="M413" s="340"/>
      <c r="N413" s="340"/>
      <c r="O413" s="340"/>
      <c r="P413" s="340"/>
      <c r="Q413" s="340"/>
      <c r="S413"/>
      <c r="T413"/>
      <c r="U413" s="85"/>
      <c r="V413" s="107"/>
      <c r="W413" s="107"/>
      <c r="X413" s="107"/>
      <c r="Y413" s="107"/>
      <c r="Z413" s="107"/>
      <c r="AK413"/>
      <c r="AL413" s="85"/>
      <c r="AM413" s="85"/>
      <c r="AN413" s="107"/>
      <c r="AO413" s="107"/>
      <c r="AP413" s="107"/>
      <c r="AQ413" s="107"/>
      <c r="AR413" s="107"/>
      <c r="BO413"/>
      <c r="BP413" s="85"/>
      <c r="BQ413" s="85"/>
      <c r="BR413" s="107"/>
      <c r="BS413" s="107"/>
      <c r="BT413" s="107"/>
      <c r="BU413" s="107"/>
      <c r="BV413" s="107"/>
      <c r="CS413"/>
      <c r="CT413" s="85"/>
      <c r="CU413" s="85"/>
      <c r="CV413" s="107"/>
      <c r="CW413" s="107"/>
      <c r="CX413" s="107"/>
      <c r="CY413" s="107"/>
      <c r="CZ413" s="107"/>
      <c r="DP413"/>
      <c r="DQ413" s="85"/>
      <c r="DR413" s="85"/>
      <c r="DS413" s="107"/>
      <c r="DT413" s="107"/>
      <c r="DU413" s="107"/>
      <c r="DV413" s="107"/>
      <c r="DW413" s="107"/>
    </row>
    <row r="414" spans="1:127" ht="16.5">
      <c r="A414"/>
      <c r="B414"/>
      <c r="C414" s="85"/>
      <c r="D414" s="107"/>
      <c r="E414" s="107"/>
      <c r="F414" s="107"/>
      <c r="G414" s="107"/>
      <c r="H414" s="107"/>
      <c r="I414" s="340"/>
      <c r="J414" s="340"/>
      <c r="K414" s="340"/>
      <c r="L414" s="340"/>
      <c r="M414" s="340"/>
      <c r="N414" s="340"/>
      <c r="O414" s="340"/>
      <c r="P414" s="340"/>
      <c r="Q414" s="340"/>
      <c r="S414"/>
      <c r="T414"/>
      <c r="U414" s="85"/>
      <c r="V414" s="107"/>
      <c r="W414" s="107"/>
      <c r="X414" s="107"/>
      <c r="Y414" s="107"/>
      <c r="Z414" s="107"/>
      <c r="AK414"/>
      <c r="AL414" s="85"/>
      <c r="AM414" s="85"/>
      <c r="AN414" s="107"/>
      <c r="AO414" s="107"/>
      <c r="AP414" s="107"/>
      <c r="AQ414" s="107"/>
      <c r="AR414" s="107"/>
      <c r="BO414"/>
      <c r="BP414" s="85"/>
      <c r="BQ414" s="85"/>
      <c r="BR414" s="107"/>
      <c r="BS414" s="107"/>
      <c r="BT414" s="107"/>
      <c r="BU414" s="107"/>
      <c r="BV414" s="107"/>
      <c r="CS414"/>
      <c r="CT414" s="85"/>
      <c r="CU414" s="85"/>
      <c r="CV414" s="107"/>
      <c r="CW414" s="107"/>
      <c r="CX414" s="107"/>
      <c r="CY414" s="107"/>
      <c r="CZ414" s="107"/>
      <c r="DP414"/>
      <c r="DQ414" s="85"/>
      <c r="DR414" s="85"/>
      <c r="DS414" s="107"/>
      <c r="DT414" s="107"/>
      <c r="DU414" s="107"/>
      <c r="DV414" s="107"/>
      <c r="DW414" s="107"/>
    </row>
    <row r="415" spans="1:127" ht="16.5">
      <c r="A415"/>
      <c r="B415"/>
      <c r="C415" s="85"/>
      <c r="D415" s="107"/>
      <c r="E415" s="107"/>
      <c r="F415" s="107"/>
      <c r="G415" s="107"/>
      <c r="H415" s="107"/>
      <c r="I415" s="340"/>
      <c r="J415" s="340"/>
      <c r="K415" s="340"/>
      <c r="L415" s="340"/>
      <c r="M415" s="340"/>
      <c r="N415" s="340"/>
      <c r="O415" s="340"/>
      <c r="P415" s="340"/>
      <c r="Q415" s="340"/>
      <c r="S415"/>
      <c r="T415"/>
      <c r="U415" s="85"/>
      <c r="V415" s="107"/>
      <c r="W415" s="107"/>
      <c r="X415" s="107"/>
      <c r="Y415" s="107"/>
      <c r="Z415" s="107"/>
      <c r="AK415"/>
      <c r="AL415" s="85"/>
      <c r="AM415" s="85"/>
      <c r="AN415" s="107"/>
      <c r="AO415" s="107"/>
      <c r="AP415" s="107"/>
      <c r="AQ415" s="107"/>
      <c r="AR415" s="107"/>
      <c r="BO415"/>
      <c r="BP415" s="85"/>
      <c r="BQ415" s="85"/>
      <c r="BR415" s="107"/>
      <c r="BS415" s="107"/>
      <c r="BT415" s="107"/>
      <c r="BU415" s="107"/>
      <c r="BV415" s="107"/>
      <c r="CS415"/>
      <c r="CT415" s="85"/>
      <c r="CU415" s="85"/>
      <c r="CV415" s="107"/>
      <c r="CW415" s="107"/>
      <c r="CX415" s="107"/>
      <c r="CY415" s="107"/>
      <c r="CZ415" s="107"/>
      <c r="DP415"/>
      <c r="DQ415" s="85"/>
      <c r="DR415" s="85"/>
      <c r="DS415" s="107"/>
      <c r="DT415" s="107"/>
      <c r="DU415" s="107"/>
      <c r="DV415" s="107"/>
      <c r="DW415" s="107"/>
    </row>
    <row r="416" spans="1:127" ht="16.5">
      <c r="A416"/>
      <c r="B416"/>
      <c r="C416" s="85"/>
      <c r="D416" s="107"/>
      <c r="E416" s="107"/>
      <c r="F416" s="107"/>
      <c r="G416" s="107"/>
      <c r="H416" s="107"/>
      <c r="I416" s="340"/>
      <c r="J416" s="340"/>
      <c r="K416" s="340"/>
      <c r="L416" s="340"/>
      <c r="M416" s="340"/>
      <c r="N416" s="340"/>
      <c r="O416" s="340"/>
      <c r="P416" s="340"/>
      <c r="Q416" s="340"/>
      <c r="S416"/>
      <c r="T416"/>
      <c r="U416" s="85"/>
      <c r="V416" s="107"/>
      <c r="W416" s="107"/>
      <c r="X416" s="107"/>
      <c r="Y416" s="107"/>
      <c r="Z416" s="107"/>
      <c r="AK416"/>
      <c r="AL416" s="85"/>
      <c r="AM416" s="85"/>
      <c r="AN416" s="107"/>
      <c r="AO416" s="107"/>
      <c r="AP416" s="107"/>
      <c r="AQ416" s="107"/>
      <c r="AR416" s="107"/>
      <c r="BO416"/>
      <c r="BP416" s="85"/>
      <c r="BQ416" s="85"/>
      <c r="BR416" s="107"/>
      <c r="BS416" s="107"/>
      <c r="BT416" s="107"/>
      <c r="BU416" s="107"/>
      <c r="BV416" s="107"/>
      <c r="CS416"/>
      <c r="CT416" s="85"/>
      <c r="CU416" s="85"/>
      <c r="CV416" s="107"/>
      <c r="CW416" s="107"/>
      <c r="CX416" s="107"/>
      <c r="CY416" s="107"/>
      <c r="CZ416" s="107"/>
      <c r="DP416"/>
      <c r="DQ416" s="85"/>
      <c r="DR416" s="85"/>
      <c r="DS416" s="107"/>
      <c r="DT416" s="107"/>
      <c r="DU416" s="107"/>
      <c r="DV416" s="107"/>
      <c r="DW416" s="107"/>
    </row>
    <row r="417" spans="1:127" ht="16.5">
      <c r="A417"/>
      <c r="B417"/>
      <c r="C417" s="85"/>
      <c r="D417" s="107"/>
      <c r="E417" s="107"/>
      <c r="F417" s="107"/>
      <c r="G417" s="107"/>
      <c r="H417" s="107"/>
      <c r="I417" s="340"/>
      <c r="J417" s="340"/>
      <c r="K417" s="340"/>
      <c r="L417" s="340"/>
      <c r="M417" s="340"/>
      <c r="N417" s="340"/>
      <c r="O417" s="340"/>
      <c r="P417" s="340"/>
      <c r="Q417" s="340"/>
      <c r="S417"/>
      <c r="T417"/>
      <c r="U417" s="85"/>
      <c r="V417" s="107"/>
      <c r="W417" s="107"/>
      <c r="X417" s="107"/>
      <c r="Y417" s="107"/>
      <c r="Z417" s="107"/>
      <c r="AK417"/>
      <c r="AL417" s="85"/>
      <c r="AM417" s="85"/>
      <c r="AN417" s="107"/>
      <c r="AO417" s="107"/>
      <c r="AP417" s="107"/>
      <c r="AQ417" s="107"/>
      <c r="AR417" s="107"/>
      <c r="BO417"/>
      <c r="BP417" s="85"/>
      <c r="BQ417" s="85"/>
      <c r="BR417" s="107"/>
      <c r="BS417" s="107"/>
      <c r="BT417" s="107"/>
      <c r="BU417" s="107"/>
      <c r="BV417" s="107"/>
      <c r="CS417"/>
      <c r="CT417" s="85"/>
      <c r="CU417" s="85"/>
      <c r="CV417" s="107"/>
      <c r="CW417" s="107"/>
      <c r="CX417" s="107"/>
      <c r="CY417" s="107"/>
      <c r="CZ417" s="107"/>
      <c r="DP417"/>
      <c r="DQ417" s="85"/>
      <c r="DR417" s="85"/>
      <c r="DS417" s="107"/>
      <c r="DT417" s="107"/>
      <c r="DU417" s="107"/>
      <c r="DV417" s="107"/>
      <c r="DW417" s="107"/>
    </row>
    <row r="418" spans="1:127" ht="16.5">
      <c r="A418"/>
      <c r="B418"/>
      <c r="C418" s="85"/>
      <c r="D418" s="107"/>
      <c r="E418" s="107"/>
      <c r="F418" s="107"/>
      <c r="G418" s="107"/>
      <c r="H418" s="107"/>
      <c r="I418" s="340"/>
      <c r="J418" s="340"/>
      <c r="K418" s="340"/>
      <c r="L418" s="340"/>
      <c r="M418" s="340"/>
      <c r="N418" s="340"/>
      <c r="O418" s="340"/>
      <c r="P418" s="340"/>
      <c r="Q418" s="340"/>
      <c r="S418"/>
      <c r="T418"/>
      <c r="U418" s="85"/>
      <c r="V418" s="107"/>
      <c r="W418" s="107"/>
      <c r="X418" s="107"/>
      <c r="Y418" s="107"/>
      <c r="Z418" s="107"/>
      <c r="AK418"/>
      <c r="AL418" s="85"/>
      <c r="AM418" s="85"/>
      <c r="AN418" s="107"/>
      <c r="AO418" s="107"/>
      <c r="AP418" s="107"/>
      <c r="AQ418" s="107"/>
      <c r="AR418" s="107"/>
      <c r="BO418"/>
      <c r="BP418" s="85"/>
      <c r="BQ418" s="85"/>
      <c r="BR418" s="107"/>
      <c r="BS418" s="107"/>
      <c r="BT418" s="107"/>
      <c r="BU418" s="107"/>
      <c r="BV418" s="107"/>
      <c r="CS418"/>
      <c r="CT418" s="85"/>
      <c r="CU418" s="85"/>
      <c r="CV418" s="107"/>
      <c r="CW418" s="107"/>
      <c r="CX418" s="107"/>
      <c r="CY418" s="107"/>
      <c r="CZ418" s="107"/>
      <c r="DP418"/>
      <c r="DQ418" s="85"/>
      <c r="DR418" s="85"/>
      <c r="DS418" s="107"/>
      <c r="DT418" s="107"/>
      <c r="DU418" s="107"/>
      <c r="DV418" s="107"/>
      <c r="DW418" s="107"/>
    </row>
    <row r="419" spans="1:127" ht="16.5">
      <c r="A419"/>
      <c r="B419"/>
      <c r="C419" s="85"/>
      <c r="D419" s="107"/>
      <c r="E419" s="107"/>
      <c r="F419" s="107"/>
      <c r="G419" s="107"/>
      <c r="H419" s="107"/>
      <c r="I419" s="340"/>
      <c r="J419" s="340"/>
      <c r="K419" s="340"/>
      <c r="L419" s="340"/>
      <c r="M419" s="340"/>
      <c r="N419" s="340"/>
      <c r="O419" s="340"/>
      <c r="P419" s="340"/>
      <c r="Q419" s="340"/>
      <c r="S419"/>
      <c r="T419"/>
      <c r="U419" s="85"/>
      <c r="V419" s="107"/>
      <c r="W419" s="107"/>
      <c r="X419" s="107"/>
      <c r="Y419" s="107"/>
      <c r="Z419" s="107"/>
      <c r="AK419"/>
      <c r="AL419" s="85"/>
      <c r="AM419" s="85"/>
      <c r="AN419" s="107"/>
      <c r="AO419" s="107"/>
      <c r="AP419" s="107"/>
      <c r="AQ419" s="107"/>
      <c r="AR419" s="107"/>
      <c r="BO419"/>
      <c r="BP419" s="85"/>
      <c r="BQ419" s="85"/>
      <c r="BR419" s="107"/>
      <c r="BS419" s="107"/>
      <c r="BT419" s="107"/>
      <c r="BU419" s="107"/>
      <c r="BV419" s="107"/>
      <c r="CS419"/>
      <c r="CT419" s="85"/>
      <c r="CU419" s="85"/>
      <c r="CV419" s="107"/>
      <c r="CW419" s="107"/>
      <c r="CX419" s="107"/>
      <c r="CY419" s="107"/>
      <c r="CZ419" s="107"/>
      <c r="DP419"/>
      <c r="DQ419" s="85"/>
      <c r="DR419" s="85"/>
      <c r="DS419" s="107"/>
      <c r="DT419" s="107"/>
      <c r="DU419" s="107"/>
      <c r="DV419" s="107"/>
      <c r="DW419" s="107"/>
    </row>
    <row r="420" spans="1:127" ht="16.5">
      <c r="A420"/>
      <c r="B420"/>
      <c r="C420" s="85"/>
      <c r="D420" s="107"/>
      <c r="E420" s="107"/>
      <c r="F420" s="107"/>
      <c r="G420" s="107"/>
      <c r="H420" s="107"/>
      <c r="I420" s="340"/>
      <c r="J420" s="340"/>
      <c r="K420" s="340"/>
      <c r="L420" s="340"/>
      <c r="M420" s="340"/>
      <c r="N420" s="340"/>
      <c r="O420" s="340"/>
      <c r="P420" s="340"/>
      <c r="Q420" s="340"/>
      <c r="S420"/>
      <c r="T420"/>
      <c r="U420" s="85"/>
      <c r="V420" s="107"/>
      <c r="W420" s="107"/>
      <c r="X420" s="107"/>
      <c r="Y420" s="107"/>
      <c r="Z420" s="107"/>
      <c r="AK420"/>
      <c r="AL420" s="85"/>
      <c r="AM420" s="85"/>
      <c r="AN420" s="107"/>
      <c r="AO420" s="107"/>
      <c r="AP420" s="107"/>
      <c r="AQ420" s="107"/>
      <c r="AR420" s="107"/>
      <c r="BO420"/>
      <c r="BP420" s="85"/>
      <c r="BQ420" s="85"/>
      <c r="BR420" s="107"/>
      <c r="BS420" s="107"/>
      <c r="BT420" s="107"/>
      <c r="BU420" s="107"/>
      <c r="BV420" s="107"/>
      <c r="CS420"/>
      <c r="CT420" s="85"/>
      <c r="CU420" s="85"/>
      <c r="CV420" s="107"/>
      <c r="CW420" s="107"/>
      <c r="CX420" s="107"/>
      <c r="CY420" s="107"/>
      <c r="CZ420" s="107"/>
      <c r="DP420"/>
      <c r="DQ420" s="85"/>
      <c r="DR420" s="85"/>
      <c r="DS420" s="107"/>
      <c r="DT420" s="107"/>
      <c r="DU420" s="107"/>
      <c r="DV420" s="107"/>
      <c r="DW420" s="107"/>
    </row>
    <row r="421" spans="1:127" ht="16.5">
      <c r="A421"/>
      <c r="B421"/>
      <c r="C421" s="85"/>
      <c r="D421" s="107"/>
      <c r="E421" s="107"/>
      <c r="F421" s="107"/>
      <c r="G421" s="107"/>
      <c r="H421" s="107"/>
      <c r="I421" s="340"/>
      <c r="J421" s="340"/>
      <c r="K421" s="340"/>
      <c r="L421" s="340"/>
      <c r="M421" s="340"/>
      <c r="N421" s="340"/>
      <c r="O421" s="340"/>
      <c r="P421" s="340"/>
      <c r="Q421" s="340"/>
      <c r="S421"/>
      <c r="T421"/>
      <c r="U421" s="85"/>
      <c r="V421" s="107"/>
      <c r="W421" s="107"/>
      <c r="X421" s="107"/>
      <c r="Y421" s="107"/>
      <c r="Z421" s="107"/>
      <c r="AK421"/>
      <c r="AL421" s="85"/>
      <c r="AM421" s="85"/>
      <c r="AN421" s="107"/>
      <c r="AO421" s="107"/>
      <c r="AP421" s="107"/>
      <c r="AQ421" s="107"/>
      <c r="AR421" s="107"/>
      <c r="BO421"/>
      <c r="BP421" s="85"/>
      <c r="BQ421" s="85"/>
      <c r="BR421" s="107"/>
      <c r="BS421" s="107"/>
      <c r="BT421" s="107"/>
      <c r="BU421" s="107"/>
      <c r="BV421" s="107"/>
      <c r="CS421"/>
      <c r="CT421" s="85"/>
      <c r="CU421" s="85"/>
      <c r="CV421" s="107"/>
      <c r="CW421" s="107"/>
      <c r="CX421" s="107"/>
      <c r="CY421" s="107"/>
      <c r="CZ421" s="107"/>
      <c r="DP421"/>
      <c r="DQ421" s="85"/>
      <c r="DR421" s="85"/>
      <c r="DS421" s="107"/>
      <c r="DT421" s="107"/>
      <c r="DU421" s="107"/>
      <c r="DV421" s="107"/>
      <c r="DW421" s="107"/>
    </row>
    <row r="422" spans="1:127" ht="16.5">
      <c r="A422"/>
      <c r="B422"/>
      <c r="C422" s="85"/>
      <c r="D422" s="107"/>
      <c r="E422" s="107"/>
      <c r="F422" s="107"/>
      <c r="G422" s="107"/>
      <c r="H422" s="107"/>
      <c r="I422" s="340"/>
      <c r="J422" s="340"/>
      <c r="K422" s="340"/>
      <c r="L422" s="340"/>
      <c r="M422" s="340"/>
      <c r="N422" s="340"/>
      <c r="O422" s="340"/>
      <c r="P422" s="340"/>
      <c r="Q422" s="340"/>
      <c r="S422"/>
      <c r="T422"/>
      <c r="U422" s="85"/>
      <c r="V422" s="107"/>
      <c r="W422" s="107"/>
      <c r="X422" s="107"/>
      <c r="Y422" s="107"/>
      <c r="Z422" s="107"/>
      <c r="AK422"/>
      <c r="AL422" s="85"/>
      <c r="AM422" s="85"/>
      <c r="AN422" s="107"/>
      <c r="AO422" s="107"/>
      <c r="AP422" s="107"/>
      <c r="AQ422" s="107"/>
      <c r="AR422" s="107"/>
      <c r="BO422"/>
      <c r="BP422" s="85"/>
      <c r="BQ422" s="85"/>
      <c r="BR422" s="107"/>
      <c r="BS422" s="107"/>
      <c r="BT422" s="107"/>
      <c r="BU422" s="107"/>
      <c r="BV422" s="107"/>
      <c r="CS422"/>
      <c r="CT422" s="85"/>
      <c r="CU422" s="85"/>
      <c r="CV422" s="107"/>
      <c r="CW422" s="107"/>
      <c r="CX422" s="107"/>
      <c r="CY422" s="107"/>
      <c r="CZ422" s="107"/>
      <c r="DP422"/>
      <c r="DQ422" s="85"/>
      <c r="DR422" s="85"/>
      <c r="DS422" s="107"/>
      <c r="DT422" s="107"/>
      <c r="DU422" s="107"/>
      <c r="DV422" s="107"/>
      <c r="DW422" s="107"/>
    </row>
    <row r="423" spans="1:127" ht="16.5">
      <c r="A423"/>
      <c r="B423"/>
      <c r="C423" s="85"/>
      <c r="D423" s="107"/>
      <c r="E423" s="107"/>
      <c r="F423" s="107"/>
      <c r="G423" s="107"/>
      <c r="H423" s="107"/>
      <c r="I423" s="340"/>
      <c r="J423" s="340"/>
      <c r="K423" s="340"/>
      <c r="L423" s="340"/>
      <c r="M423" s="340"/>
      <c r="N423" s="340"/>
      <c r="O423" s="340"/>
      <c r="P423" s="340"/>
      <c r="Q423" s="340"/>
      <c r="S423"/>
      <c r="T423"/>
      <c r="U423" s="85"/>
      <c r="V423" s="107"/>
      <c r="W423" s="107"/>
      <c r="X423" s="107"/>
      <c r="Y423" s="107"/>
      <c r="Z423" s="107"/>
      <c r="AK423"/>
      <c r="AL423" s="85"/>
      <c r="AM423" s="85"/>
      <c r="AN423" s="107"/>
      <c r="AO423" s="107"/>
      <c r="AP423" s="107"/>
      <c r="AQ423" s="107"/>
      <c r="AR423" s="107"/>
      <c r="BO423"/>
      <c r="BP423" s="85"/>
      <c r="BQ423" s="85"/>
      <c r="BR423" s="107"/>
      <c r="BS423" s="107"/>
      <c r="BT423" s="107"/>
      <c r="BU423" s="107"/>
      <c r="BV423" s="107"/>
      <c r="CS423"/>
      <c r="CT423" s="85"/>
      <c r="CU423" s="85"/>
      <c r="CV423" s="107"/>
      <c r="CW423" s="107"/>
      <c r="CX423" s="107"/>
      <c r="CY423" s="107"/>
      <c r="CZ423" s="107"/>
      <c r="DP423"/>
      <c r="DQ423" s="85"/>
      <c r="DR423" s="85"/>
      <c r="DS423" s="107"/>
      <c r="DT423" s="107"/>
      <c r="DU423" s="107"/>
      <c r="DV423" s="107"/>
      <c r="DW423" s="107"/>
    </row>
    <row r="424" spans="1:127" ht="16.5">
      <c r="A424"/>
      <c r="B424"/>
      <c r="C424" s="85"/>
      <c r="D424" s="107"/>
      <c r="E424" s="107"/>
      <c r="F424" s="107"/>
      <c r="G424" s="107"/>
      <c r="H424" s="107"/>
      <c r="I424" s="340"/>
      <c r="J424" s="340"/>
      <c r="K424" s="340"/>
      <c r="L424" s="340"/>
      <c r="M424" s="340"/>
      <c r="N424" s="340"/>
      <c r="O424" s="340"/>
      <c r="P424" s="340"/>
      <c r="Q424" s="340"/>
      <c r="S424"/>
      <c r="T424"/>
      <c r="U424" s="85"/>
      <c r="V424" s="107"/>
      <c r="W424" s="107"/>
      <c r="X424" s="107"/>
      <c r="Y424" s="107"/>
      <c r="Z424" s="107"/>
      <c r="AK424"/>
      <c r="AL424" s="85"/>
      <c r="AM424" s="85"/>
      <c r="AN424" s="107"/>
      <c r="AO424" s="107"/>
      <c r="AP424" s="107"/>
      <c r="AQ424" s="107"/>
      <c r="AR424" s="107"/>
      <c r="BO424"/>
      <c r="BP424" s="85"/>
      <c r="BQ424" s="85"/>
      <c r="BR424" s="107"/>
      <c r="BS424" s="107"/>
      <c r="BT424" s="107"/>
      <c r="BU424" s="107"/>
      <c r="BV424" s="107"/>
      <c r="CS424"/>
      <c r="CT424" s="85"/>
      <c r="CU424" s="85"/>
      <c r="CV424" s="107"/>
      <c r="CW424" s="107"/>
      <c r="CX424" s="107"/>
      <c r="CY424" s="107"/>
      <c r="CZ424" s="107"/>
      <c r="DP424"/>
      <c r="DQ424" s="85"/>
      <c r="DR424" s="85"/>
      <c r="DS424" s="107"/>
      <c r="DT424" s="107"/>
      <c r="DU424" s="107"/>
      <c r="DV424" s="107"/>
      <c r="DW424" s="107"/>
    </row>
    <row r="425" spans="1:127" ht="16.5">
      <c r="A425"/>
      <c r="B425"/>
      <c r="C425" s="85"/>
      <c r="D425" s="107"/>
      <c r="E425" s="107"/>
      <c r="F425" s="107"/>
      <c r="G425" s="107"/>
      <c r="H425" s="107"/>
      <c r="I425" s="340"/>
      <c r="J425" s="340"/>
      <c r="K425" s="340"/>
      <c r="L425" s="340"/>
      <c r="M425" s="340"/>
      <c r="N425" s="340"/>
      <c r="O425" s="340"/>
      <c r="P425" s="340"/>
      <c r="Q425" s="340"/>
      <c r="S425"/>
      <c r="T425"/>
      <c r="U425" s="85"/>
      <c r="V425" s="107"/>
      <c r="W425" s="107"/>
      <c r="X425" s="107"/>
      <c r="Y425" s="107"/>
      <c r="Z425" s="107"/>
      <c r="AK425"/>
      <c r="AL425" s="85"/>
      <c r="AM425" s="85"/>
      <c r="AN425" s="107"/>
      <c r="AO425" s="107"/>
      <c r="AP425" s="107"/>
      <c r="AQ425" s="107"/>
      <c r="AR425" s="107"/>
      <c r="BO425"/>
      <c r="BP425" s="85"/>
      <c r="BQ425" s="85"/>
      <c r="BR425" s="107"/>
      <c r="BS425" s="107"/>
      <c r="BT425" s="107"/>
      <c r="BU425" s="107"/>
      <c r="BV425" s="107"/>
      <c r="CS425"/>
      <c r="CT425" s="85"/>
      <c r="CU425" s="85"/>
      <c r="CV425" s="107"/>
      <c r="CW425" s="107"/>
      <c r="CX425" s="107"/>
      <c r="CY425" s="107"/>
      <c r="CZ425" s="107"/>
      <c r="DP425"/>
      <c r="DQ425" s="85"/>
      <c r="DR425" s="85"/>
      <c r="DS425" s="107"/>
      <c r="DT425" s="107"/>
      <c r="DU425" s="107"/>
      <c r="DV425" s="107"/>
      <c r="DW425" s="107"/>
    </row>
    <row r="426" spans="1:127" ht="16.5">
      <c r="A426"/>
      <c r="B426"/>
      <c r="C426" s="85"/>
      <c r="D426" s="107"/>
      <c r="E426" s="107"/>
      <c r="F426" s="107"/>
      <c r="G426" s="107"/>
      <c r="H426" s="107"/>
      <c r="I426" s="340"/>
      <c r="J426" s="340"/>
      <c r="K426" s="340"/>
      <c r="L426" s="340"/>
      <c r="M426" s="340"/>
      <c r="N426" s="340"/>
      <c r="O426" s="340"/>
      <c r="P426" s="340"/>
      <c r="Q426" s="340"/>
      <c r="S426"/>
      <c r="T426"/>
      <c r="U426" s="85"/>
      <c r="V426" s="107"/>
      <c r="W426" s="107"/>
      <c r="X426" s="107"/>
      <c r="Y426" s="107"/>
      <c r="Z426" s="107"/>
      <c r="AK426"/>
      <c r="AL426" s="85"/>
      <c r="AM426" s="85"/>
      <c r="AN426" s="107"/>
      <c r="AO426" s="107"/>
      <c r="AP426" s="107"/>
      <c r="AQ426" s="107"/>
      <c r="AR426" s="107"/>
      <c r="BO426"/>
      <c r="BP426" s="85"/>
      <c r="BQ426" s="85"/>
      <c r="BR426" s="107"/>
      <c r="BS426" s="107"/>
      <c r="BT426" s="107"/>
      <c r="BU426" s="107"/>
      <c r="BV426" s="107"/>
      <c r="CS426"/>
      <c r="CT426" s="85"/>
      <c r="CU426" s="85"/>
      <c r="CV426" s="107"/>
      <c r="CW426" s="107"/>
      <c r="CX426" s="107"/>
      <c r="CY426" s="107"/>
      <c r="CZ426" s="107"/>
      <c r="DP426"/>
      <c r="DQ426" s="85"/>
      <c r="DR426" s="85"/>
      <c r="DS426" s="107"/>
      <c r="DT426" s="107"/>
      <c r="DU426" s="107"/>
      <c r="DV426" s="107"/>
      <c r="DW426" s="107"/>
    </row>
    <row r="427" spans="1:127" ht="16.5">
      <c r="A427"/>
      <c r="B427"/>
      <c r="C427" s="85"/>
      <c r="D427" s="107"/>
      <c r="E427" s="107"/>
      <c r="F427" s="107"/>
      <c r="G427" s="107"/>
      <c r="H427" s="107"/>
      <c r="I427" s="340"/>
      <c r="J427" s="340"/>
      <c r="K427" s="340"/>
      <c r="L427" s="340"/>
      <c r="M427" s="340"/>
      <c r="N427" s="340"/>
      <c r="O427" s="340"/>
      <c r="P427" s="340"/>
      <c r="Q427" s="340"/>
      <c r="S427"/>
      <c r="T427"/>
      <c r="U427" s="85"/>
      <c r="V427" s="107"/>
      <c r="W427" s="107"/>
      <c r="X427" s="107"/>
      <c r="Y427" s="107"/>
      <c r="Z427" s="107"/>
      <c r="AK427"/>
      <c r="AL427" s="85"/>
      <c r="AM427" s="85"/>
      <c r="AN427" s="107"/>
      <c r="AO427" s="107"/>
      <c r="AP427" s="107"/>
      <c r="AQ427" s="107"/>
      <c r="AR427" s="107"/>
      <c r="BO427"/>
      <c r="BP427" s="85"/>
      <c r="BQ427" s="85"/>
      <c r="BR427" s="107"/>
      <c r="BS427" s="107"/>
      <c r="BT427" s="107"/>
      <c r="BU427" s="107"/>
      <c r="BV427" s="107"/>
      <c r="CS427"/>
      <c r="CT427" s="85"/>
      <c r="CU427" s="85"/>
      <c r="CV427" s="107"/>
      <c r="CW427" s="107"/>
      <c r="CX427" s="107"/>
      <c r="CY427" s="107"/>
      <c r="CZ427" s="107"/>
      <c r="DP427"/>
      <c r="DQ427" s="85"/>
      <c r="DR427" s="85"/>
      <c r="DS427" s="107"/>
      <c r="DT427" s="107"/>
      <c r="DU427" s="107"/>
      <c r="DV427" s="107"/>
      <c r="DW427" s="107"/>
    </row>
    <row r="428" spans="1:127" ht="16.5">
      <c r="A428"/>
      <c r="B428"/>
      <c r="C428" s="85"/>
      <c r="D428" s="107"/>
      <c r="E428" s="107"/>
      <c r="F428" s="107"/>
      <c r="G428" s="107"/>
      <c r="H428" s="107"/>
      <c r="I428" s="340"/>
      <c r="J428" s="340"/>
      <c r="K428" s="340"/>
      <c r="L428" s="340"/>
      <c r="M428" s="340"/>
      <c r="N428" s="340"/>
      <c r="O428" s="340"/>
      <c r="P428" s="340"/>
      <c r="Q428" s="340"/>
      <c r="S428"/>
      <c r="T428"/>
      <c r="U428" s="85"/>
      <c r="V428" s="107"/>
      <c r="W428" s="107"/>
      <c r="X428" s="107"/>
      <c r="Y428" s="107"/>
      <c r="Z428" s="107"/>
      <c r="AK428"/>
      <c r="AL428" s="85"/>
      <c r="AM428" s="85"/>
      <c r="AN428" s="107"/>
      <c r="AO428" s="107"/>
      <c r="AP428" s="107"/>
      <c r="AQ428" s="107"/>
      <c r="AR428" s="107"/>
      <c r="BO428"/>
      <c r="BP428" s="85"/>
      <c r="BQ428" s="85"/>
      <c r="BR428" s="107"/>
      <c r="BS428" s="107"/>
      <c r="BT428" s="107"/>
      <c r="BU428" s="107"/>
      <c r="BV428" s="107"/>
      <c r="CS428"/>
      <c r="CT428" s="85"/>
      <c r="CU428" s="85"/>
      <c r="CV428" s="107"/>
      <c r="CW428" s="107"/>
      <c r="CX428" s="107"/>
      <c r="CY428" s="107"/>
      <c r="CZ428" s="107"/>
      <c r="DP428"/>
      <c r="DQ428" s="85"/>
      <c r="DR428" s="85"/>
      <c r="DS428" s="107"/>
      <c r="DT428" s="107"/>
      <c r="DU428" s="107"/>
      <c r="DV428" s="107"/>
      <c r="DW428" s="107"/>
    </row>
    <row r="429" spans="1:127" ht="16.5">
      <c r="A429"/>
      <c r="B429"/>
      <c r="C429" s="85"/>
      <c r="D429" s="107"/>
      <c r="E429" s="107"/>
      <c r="F429" s="107"/>
      <c r="G429" s="107"/>
      <c r="H429" s="107"/>
      <c r="I429" s="340"/>
      <c r="J429" s="340"/>
      <c r="K429" s="340"/>
      <c r="L429" s="340"/>
      <c r="M429" s="340"/>
      <c r="N429" s="340"/>
      <c r="O429" s="340"/>
      <c r="P429" s="340"/>
      <c r="Q429" s="340"/>
      <c r="S429"/>
      <c r="T429"/>
      <c r="U429" s="85"/>
      <c r="V429" s="107"/>
      <c r="W429" s="107"/>
      <c r="X429" s="107"/>
      <c r="Y429" s="107"/>
      <c r="Z429" s="107"/>
      <c r="AK429"/>
      <c r="AL429" s="85"/>
      <c r="AM429" s="85"/>
      <c r="AN429" s="107"/>
      <c r="AO429" s="107"/>
      <c r="AP429" s="107"/>
      <c r="AQ429" s="107"/>
      <c r="AR429" s="107"/>
      <c r="BO429"/>
      <c r="BP429" s="85"/>
      <c r="BQ429" s="85"/>
      <c r="BR429" s="107"/>
      <c r="BS429" s="107"/>
      <c r="BT429" s="107"/>
      <c r="BU429" s="107"/>
      <c r="BV429" s="107"/>
      <c r="CS429"/>
      <c r="CT429" s="85"/>
      <c r="CU429" s="85"/>
      <c r="CV429" s="107"/>
      <c r="CW429" s="107"/>
      <c r="CX429" s="107"/>
      <c r="CY429" s="107"/>
      <c r="CZ429" s="107"/>
      <c r="DP429"/>
      <c r="DQ429" s="85"/>
      <c r="DR429" s="85"/>
      <c r="DS429" s="107"/>
      <c r="DT429" s="107"/>
      <c r="DU429" s="107"/>
      <c r="DV429" s="107"/>
      <c r="DW429" s="107"/>
    </row>
    <row r="430" spans="1:127" ht="16.5">
      <c r="A430"/>
      <c r="B430"/>
      <c r="C430" s="85"/>
      <c r="D430" s="107"/>
      <c r="E430" s="107"/>
      <c r="F430" s="107"/>
      <c r="G430" s="107"/>
      <c r="H430" s="107"/>
      <c r="I430" s="340"/>
      <c r="J430" s="340"/>
      <c r="K430" s="340"/>
      <c r="L430" s="340"/>
      <c r="M430" s="340"/>
      <c r="N430" s="340"/>
      <c r="O430" s="340"/>
      <c r="P430" s="340"/>
      <c r="Q430" s="340"/>
      <c r="S430"/>
      <c r="T430"/>
      <c r="U430" s="85"/>
      <c r="V430" s="107"/>
      <c r="W430" s="107"/>
      <c r="X430" s="107"/>
      <c r="Y430" s="107"/>
      <c r="Z430" s="107"/>
      <c r="AK430"/>
      <c r="AL430" s="85"/>
      <c r="AM430" s="85"/>
      <c r="AN430" s="107"/>
      <c r="AO430" s="107"/>
      <c r="AP430" s="107"/>
      <c r="AQ430" s="107"/>
      <c r="AR430" s="107"/>
      <c r="BO430"/>
      <c r="BP430" s="85"/>
      <c r="BQ430" s="85"/>
      <c r="BR430" s="107"/>
      <c r="BS430" s="107"/>
      <c r="BT430" s="107"/>
      <c r="BU430" s="107"/>
      <c r="BV430" s="107"/>
      <c r="CS430"/>
      <c r="CT430" s="85"/>
      <c r="CU430" s="85"/>
      <c r="CV430" s="107"/>
      <c r="CW430" s="107"/>
      <c r="CX430" s="107"/>
      <c r="CY430" s="107"/>
      <c r="CZ430" s="107"/>
      <c r="DP430"/>
      <c r="DQ430" s="85"/>
      <c r="DR430" s="85"/>
      <c r="DS430" s="107"/>
      <c r="DT430" s="107"/>
      <c r="DU430" s="107"/>
      <c r="DV430" s="107"/>
      <c r="DW430" s="107"/>
    </row>
    <row r="431" spans="1:127" ht="16.5">
      <c r="A431"/>
      <c r="B431"/>
      <c r="C431" s="85"/>
      <c r="D431" s="107"/>
      <c r="E431" s="107"/>
      <c r="F431" s="107"/>
      <c r="G431" s="107"/>
      <c r="H431" s="107"/>
      <c r="I431" s="340"/>
      <c r="J431" s="340"/>
      <c r="K431" s="340"/>
      <c r="L431" s="340"/>
      <c r="M431" s="340"/>
      <c r="N431" s="340"/>
      <c r="O431" s="340"/>
      <c r="P431" s="340"/>
      <c r="Q431" s="340"/>
      <c r="S431"/>
      <c r="T431"/>
      <c r="U431" s="85"/>
      <c r="V431" s="107"/>
      <c r="W431" s="107"/>
      <c r="X431" s="107"/>
      <c r="Y431" s="107"/>
      <c r="Z431" s="107"/>
      <c r="AK431"/>
      <c r="AL431" s="85"/>
      <c r="AM431" s="85"/>
      <c r="AN431" s="107"/>
      <c r="AO431" s="107"/>
      <c r="AP431" s="107"/>
      <c r="AQ431" s="107"/>
      <c r="AR431" s="107"/>
      <c r="BO431"/>
      <c r="BP431" s="85"/>
      <c r="BQ431" s="85"/>
      <c r="BR431" s="107"/>
      <c r="BS431" s="107"/>
      <c r="BT431" s="107"/>
      <c r="BU431" s="107"/>
      <c r="BV431" s="107"/>
      <c r="CS431"/>
      <c r="CT431" s="85"/>
      <c r="CU431" s="85"/>
      <c r="CV431" s="107"/>
      <c r="CW431" s="107"/>
      <c r="CX431" s="107"/>
      <c r="CY431" s="107"/>
      <c r="CZ431" s="107"/>
      <c r="DP431"/>
      <c r="DQ431" s="85"/>
      <c r="DR431" s="85"/>
      <c r="DS431" s="107"/>
      <c r="DT431" s="107"/>
      <c r="DU431" s="107"/>
      <c r="DV431" s="107"/>
      <c r="DW431" s="107"/>
    </row>
    <row r="432" spans="1:127" ht="16.5">
      <c r="A432"/>
      <c r="B432"/>
      <c r="C432" s="85"/>
      <c r="D432" s="107"/>
      <c r="E432" s="107"/>
      <c r="F432" s="107"/>
      <c r="G432" s="107"/>
      <c r="H432" s="107"/>
      <c r="I432" s="340"/>
      <c r="J432" s="340"/>
      <c r="K432" s="340"/>
      <c r="L432" s="340"/>
      <c r="M432" s="340"/>
      <c r="N432" s="340"/>
      <c r="O432" s="340"/>
      <c r="P432" s="340"/>
      <c r="Q432" s="340"/>
      <c r="S432"/>
      <c r="T432"/>
      <c r="U432" s="85"/>
      <c r="V432" s="107"/>
      <c r="W432" s="107"/>
      <c r="X432" s="107"/>
      <c r="Y432" s="107"/>
      <c r="Z432" s="107"/>
      <c r="AK432"/>
      <c r="AL432" s="85"/>
      <c r="AM432" s="85"/>
      <c r="AN432" s="107"/>
      <c r="AO432" s="107"/>
      <c r="AP432" s="107"/>
      <c r="AQ432" s="107"/>
      <c r="AR432" s="107"/>
      <c r="BO432"/>
      <c r="BP432" s="85"/>
      <c r="BQ432" s="85"/>
      <c r="BR432" s="107"/>
      <c r="BS432" s="107"/>
      <c r="BT432" s="107"/>
      <c r="BU432" s="107"/>
      <c r="BV432" s="107"/>
      <c r="CS432"/>
      <c r="CT432" s="85"/>
      <c r="CU432" s="85"/>
      <c r="CV432" s="107"/>
      <c r="CW432" s="107"/>
      <c r="CX432" s="107"/>
      <c r="CY432" s="107"/>
      <c r="CZ432" s="107"/>
      <c r="DP432"/>
      <c r="DQ432" s="85"/>
      <c r="DR432" s="85"/>
      <c r="DS432" s="107"/>
      <c r="DT432" s="107"/>
      <c r="DU432" s="107"/>
      <c r="DV432" s="107"/>
      <c r="DW432" s="107"/>
    </row>
    <row r="433" spans="1:127" ht="16.5">
      <c r="A433"/>
      <c r="B433"/>
      <c r="C433" s="85"/>
      <c r="D433" s="107"/>
      <c r="E433" s="107"/>
      <c r="F433" s="107"/>
      <c r="G433" s="107"/>
      <c r="H433" s="107"/>
      <c r="I433" s="340"/>
      <c r="J433" s="340"/>
      <c r="K433" s="340"/>
      <c r="L433" s="340"/>
      <c r="M433" s="340"/>
      <c r="N433" s="340"/>
      <c r="O433" s="340"/>
      <c r="P433" s="340"/>
      <c r="Q433" s="340"/>
      <c r="S433"/>
      <c r="T433"/>
      <c r="U433" s="85"/>
      <c r="V433" s="107"/>
      <c r="W433" s="107"/>
      <c r="X433" s="107"/>
      <c r="Y433" s="107"/>
      <c r="Z433" s="107"/>
      <c r="AK433"/>
      <c r="AL433" s="85"/>
      <c r="AM433" s="85"/>
      <c r="AN433" s="107"/>
      <c r="AO433" s="107"/>
      <c r="AP433" s="107"/>
      <c r="AQ433" s="107"/>
      <c r="AR433" s="107"/>
      <c r="BO433"/>
      <c r="BP433" s="85"/>
      <c r="BQ433" s="85"/>
      <c r="BR433" s="107"/>
      <c r="BS433" s="107"/>
      <c r="BT433" s="107"/>
      <c r="BU433" s="107"/>
      <c r="BV433" s="107"/>
      <c r="CS433"/>
      <c r="CT433" s="85"/>
      <c r="CU433" s="85"/>
      <c r="CV433" s="107"/>
      <c r="CW433" s="107"/>
      <c r="CX433" s="107"/>
      <c r="CY433" s="107"/>
      <c r="CZ433" s="107"/>
      <c r="DP433"/>
      <c r="DQ433" s="85"/>
      <c r="DR433" s="85"/>
      <c r="DS433" s="107"/>
      <c r="DT433" s="107"/>
      <c r="DU433" s="107"/>
      <c r="DV433" s="107"/>
      <c r="DW433" s="107"/>
    </row>
    <row r="434" spans="1:127" ht="16.5">
      <c r="A434"/>
      <c r="B434"/>
      <c r="C434" s="85"/>
      <c r="D434" s="107"/>
      <c r="E434" s="107"/>
      <c r="F434" s="107"/>
      <c r="G434" s="107"/>
      <c r="H434" s="107"/>
      <c r="I434" s="340"/>
      <c r="J434" s="340"/>
      <c r="K434" s="340"/>
      <c r="L434" s="340"/>
      <c r="M434" s="340"/>
      <c r="N434" s="340"/>
      <c r="O434" s="340"/>
      <c r="P434" s="340"/>
      <c r="Q434" s="340"/>
      <c r="S434"/>
      <c r="T434"/>
      <c r="U434" s="85"/>
      <c r="V434" s="107"/>
      <c r="W434" s="107"/>
      <c r="X434" s="107"/>
      <c r="Y434" s="107"/>
      <c r="Z434" s="107"/>
      <c r="AK434"/>
      <c r="AL434" s="85"/>
      <c r="AM434" s="85"/>
      <c r="AN434" s="107"/>
      <c r="AO434" s="107"/>
      <c r="AP434" s="107"/>
      <c r="AQ434" s="107"/>
      <c r="AR434" s="107"/>
      <c r="BO434"/>
      <c r="BP434" s="85"/>
      <c r="BQ434" s="85"/>
      <c r="BR434" s="107"/>
      <c r="BS434" s="107"/>
      <c r="BT434" s="107"/>
      <c r="BU434" s="107"/>
      <c r="BV434" s="107"/>
      <c r="CS434"/>
      <c r="CT434" s="85"/>
      <c r="CU434" s="85"/>
      <c r="CV434" s="107"/>
      <c r="CW434" s="107"/>
      <c r="CX434" s="107"/>
      <c r="CY434" s="107"/>
      <c r="CZ434" s="107"/>
      <c r="DP434"/>
      <c r="DQ434" s="85"/>
      <c r="DR434" s="85"/>
      <c r="DS434" s="107"/>
      <c r="DT434" s="107"/>
      <c r="DU434" s="107"/>
      <c r="DV434" s="107"/>
      <c r="DW434" s="107"/>
    </row>
    <row r="435" spans="1:127" ht="16.5">
      <c r="A435"/>
      <c r="B435"/>
      <c r="C435" s="85"/>
      <c r="D435" s="107"/>
      <c r="E435" s="107"/>
      <c r="F435" s="107"/>
      <c r="G435" s="107"/>
      <c r="H435" s="107"/>
      <c r="I435" s="340"/>
      <c r="J435" s="340"/>
      <c r="K435" s="340"/>
      <c r="L435" s="340"/>
      <c r="M435" s="340"/>
      <c r="N435" s="340"/>
      <c r="O435" s="340"/>
      <c r="P435" s="340"/>
      <c r="Q435" s="340"/>
      <c r="S435"/>
      <c r="T435"/>
      <c r="U435" s="85"/>
      <c r="V435" s="107"/>
      <c r="W435" s="107"/>
      <c r="X435" s="107"/>
      <c r="Y435" s="107"/>
      <c r="Z435" s="107"/>
      <c r="AK435"/>
      <c r="AL435" s="85"/>
      <c r="AM435" s="85"/>
      <c r="AN435" s="107"/>
      <c r="AO435" s="107"/>
      <c r="AP435" s="107"/>
      <c r="AQ435" s="107"/>
      <c r="AR435" s="107"/>
      <c r="BO435"/>
      <c r="BP435" s="85"/>
      <c r="BQ435" s="85"/>
      <c r="BR435" s="107"/>
      <c r="BS435" s="107"/>
      <c r="BT435" s="107"/>
      <c r="BU435" s="107"/>
      <c r="BV435" s="107"/>
      <c r="CS435"/>
      <c r="CT435" s="85"/>
      <c r="CU435" s="85"/>
      <c r="CV435" s="107"/>
      <c r="CW435" s="107"/>
      <c r="CX435" s="107"/>
      <c r="CY435" s="107"/>
      <c r="CZ435" s="107"/>
      <c r="DP435"/>
      <c r="DQ435" s="85"/>
      <c r="DR435" s="85"/>
      <c r="DS435" s="107"/>
      <c r="DT435" s="107"/>
      <c r="DU435" s="107"/>
      <c r="DV435" s="107"/>
      <c r="DW435" s="107"/>
    </row>
    <row r="436" spans="1:127" ht="16.5">
      <c r="A436"/>
      <c r="B436"/>
      <c r="C436" s="85"/>
      <c r="D436" s="107"/>
      <c r="E436" s="107"/>
      <c r="F436" s="107"/>
      <c r="G436" s="107"/>
      <c r="H436" s="107"/>
      <c r="I436" s="340"/>
      <c r="J436" s="340"/>
      <c r="K436" s="340"/>
      <c r="L436" s="340"/>
      <c r="M436" s="340"/>
      <c r="N436" s="340"/>
      <c r="O436" s="340"/>
      <c r="P436" s="340"/>
      <c r="Q436" s="340"/>
      <c r="S436"/>
      <c r="T436"/>
      <c r="U436" s="85"/>
      <c r="V436" s="107"/>
      <c r="W436" s="107"/>
      <c r="X436" s="107"/>
      <c r="Y436" s="107"/>
      <c r="Z436" s="107"/>
      <c r="AK436"/>
      <c r="AL436" s="85"/>
      <c r="AM436" s="85"/>
      <c r="AN436" s="107"/>
      <c r="AO436" s="107"/>
      <c r="AP436" s="107"/>
      <c r="AQ436" s="107"/>
      <c r="AR436" s="107"/>
      <c r="BO436"/>
      <c r="BP436" s="85"/>
      <c r="BQ436" s="85"/>
      <c r="BR436" s="107"/>
      <c r="BS436" s="107"/>
      <c r="BT436" s="107"/>
      <c r="BU436" s="107"/>
      <c r="BV436" s="107"/>
      <c r="CS436"/>
      <c r="CT436" s="85"/>
      <c r="CU436" s="85"/>
      <c r="CV436" s="107"/>
      <c r="CW436" s="107"/>
      <c r="CX436" s="107"/>
      <c r="CY436" s="107"/>
      <c r="CZ436" s="107"/>
      <c r="DP436"/>
      <c r="DQ436" s="85"/>
      <c r="DR436" s="85"/>
      <c r="DS436" s="107"/>
      <c r="DT436" s="107"/>
      <c r="DU436" s="107"/>
      <c r="DV436" s="107"/>
      <c r="DW436" s="107"/>
    </row>
    <row r="437" spans="1:127" ht="16.5">
      <c r="A437"/>
      <c r="B437"/>
      <c r="C437" s="85"/>
      <c r="D437" s="107"/>
      <c r="E437" s="107"/>
      <c r="F437" s="107"/>
      <c r="G437" s="107"/>
      <c r="H437" s="107"/>
      <c r="I437" s="340"/>
      <c r="J437" s="340"/>
      <c r="K437" s="340"/>
      <c r="L437" s="340"/>
      <c r="M437" s="340"/>
      <c r="N437" s="340"/>
      <c r="O437" s="340"/>
      <c r="P437" s="340"/>
      <c r="Q437" s="340"/>
      <c r="S437"/>
      <c r="T437"/>
      <c r="U437" s="85"/>
      <c r="V437" s="107"/>
      <c r="W437" s="107"/>
      <c r="X437" s="107"/>
      <c r="Y437" s="107"/>
      <c r="Z437" s="107"/>
      <c r="AK437"/>
      <c r="AL437" s="85"/>
      <c r="AM437" s="85"/>
      <c r="AN437" s="107"/>
      <c r="AO437" s="107"/>
      <c r="AP437" s="107"/>
      <c r="AQ437" s="107"/>
      <c r="AR437" s="107"/>
      <c r="BO437"/>
      <c r="BP437" s="85"/>
      <c r="BQ437" s="85"/>
      <c r="BR437" s="107"/>
      <c r="BS437" s="107"/>
      <c r="BT437" s="107"/>
      <c r="BU437" s="107"/>
      <c r="BV437" s="107"/>
      <c r="CS437"/>
      <c r="CT437" s="85"/>
      <c r="CU437" s="85"/>
      <c r="CV437" s="107"/>
      <c r="CW437" s="107"/>
      <c r="CX437" s="107"/>
      <c r="CY437" s="107"/>
      <c r="CZ437" s="107"/>
      <c r="DP437"/>
      <c r="DQ437" s="85"/>
      <c r="DR437" s="85"/>
      <c r="DS437" s="107"/>
      <c r="DT437" s="107"/>
      <c r="DU437" s="107"/>
      <c r="DV437" s="107"/>
      <c r="DW437" s="107"/>
    </row>
    <row r="438" spans="1:127" ht="16.5">
      <c r="A438"/>
      <c r="B438"/>
      <c r="C438" s="85"/>
      <c r="D438" s="107"/>
      <c r="E438" s="107"/>
      <c r="F438" s="107"/>
      <c r="G438" s="107"/>
      <c r="H438" s="107"/>
      <c r="I438" s="340"/>
      <c r="J438" s="340"/>
      <c r="K438" s="340"/>
      <c r="L438" s="340"/>
      <c r="M438" s="340"/>
      <c r="N438" s="340"/>
      <c r="O438" s="340"/>
      <c r="P438" s="340"/>
      <c r="Q438" s="340"/>
      <c r="S438"/>
      <c r="T438"/>
      <c r="U438" s="85"/>
      <c r="V438" s="107"/>
      <c r="W438" s="107"/>
      <c r="X438" s="107"/>
      <c r="Y438" s="107"/>
      <c r="Z438" s="107"/>
      <c r="AK438"/>
      <c r="AL438" s="85"/>
      <c r="AM438" s="85"/>
      <c r="AN438" s="107"/>
      <c r="AO438" s="107"/>
      <c r="AP438" s="107"/>
      <c r="AQ438" s="107"/>
      <c r="AR438" s="107"/>
      <c r="BO438"/>
      <c r="BP438" s="85"/>
      <c r="BQ438" s="85"/>
      <c r="BR438" s="107"/>
      <c r="BS438" s="107"/>
      <c r="BT438" s="107"/>
      <c r="BU438" s="107"/>
      <c r="BV438" s="107"/>
      <c r="CS438"/>
      <c r="CT438" s="85"/>
      <c r="CU438" s="85"/>
      <c r="CV438" s="107"/>
      <c r="CW438" s="107"/>
      <c r="CX438" s="107"/>
      <c r="CY438" s="107"/>
      <c r="CZ438" s="107"/>
      <c r="DP438"/>
      <c r="DQ438" s="85"/>
      <c r="DR438" s="85"/>
      <c r="DS438" s="107"/>
      <c r="DT438" s="107"/>
      <c r="DU438" s="107"/>
      <c r="DV438" s="107"/>
      <c r="DW438" s="107"/>
    </row>
    <row r="439" spans="1:127" ht="16.5">
      <c r="A439"/>
      <c r="B439"/>
      <c r="C439" s="85"/>
      <c r="D439" s="107"/>
      <c r="E439" s="107"/>
      <c r="F439" s="107"/>
      <c r="G439" s="107"/>
      <c r="H439" s="107"/>
      <c r="I439" s="340"/>
      <c r="J439" s="340"/>
      <c r="K439" s="340"/>
      <c r="L439" s="340"/>
      <c r="M439" s="340"/>
      <c r="N439" s="340"/>
      <c r="O439" s="340"/>
      <c r="P439" s="340"/>
      <c r="Q439" s="340"/>
      <c r="S439"/>
      <c r="T439"/>
      <c r="U439" s="85"/>
      <c r="V439" s="107"/>
      <c r="W439" s="107"/>
      <c r="X439" s="107"/>
      <c r="Y439" s="107"/>
      <c r="Z439" s="107"/>
      <c r="AK439"/>
      <c r="AL439" s="85"/>
      <c r="AM439" s="85"/>
      <c r="AN439" s="107"/>
      <c r="AO439" s="107"/>
      <c r="AP439" s="107"/>
      <c r="AQ439" s="107"/>
      <c r="AR439" s="107"/>
      <c r="BO439"/>
      <c r="BP439" s="85"/>
      <c r="BQ439" s="85"/>
      <c r="BR439" s="107"/>
      <c r="BS439" s="107"/>
      <c r="BT439" s="107"/>
      <c r="BU439" s="107"/>
      <c r="BV439" s="107"/>
      <c r="CS439"/>
      <c r="CT439" s="85"/>
      <c r="CU439" s="85"/>
      <c r="CV439" s="107"/>
      <c r="CW439" s="107"/>
      <c r="CX439" s="107"/>
      <c r="CY439" s="107"/>
      <c r="CZ439" s="107"/>
      <c r="DP439"/>
      <c r="DQ439" s="85"/>
      <c r="DR439" s="85"/>
      <c r="DS439" s="107"/>
      <c r="DT439" s="107"/>
      <c r="DU439" s="107"/>
      <c r="DV439" s="107"/>
      <c r="DW439" s="107"/>
    </row>
    <row r="440" spans="1:127" ht="16.5">
      <c r="A440"/>
      <c r="B440"/>
      <c r="C440" s="85"/>
      <c r="D440" s="107"/>
      <c r="E440" s="107"/>
      <c r="F440" s="107"/>
      <c r="G440" s="107"/>
      <c r="H440" s="107"/>
      <c r="I440" s="340"/>
      <c r="J440" s="340"/>
      <c r="K440" s="340"/>
      <c r="L440" s="340"/>
      <c r="M440" s="340"/>
      <c r="N440" s="340"/>
      <c r="O440" s="340"/>
      <c r="P440" s="340"/>
      <c r="Q440" s="340"/>
      <c r="S440"/>
      <c r="T440"/>
      <c r="U440" s="85"/>
      <c r="V440" s="107"/>
      <c r="W440" s="107"/>
      <c r="X440" s="107"/>
      <c r="Y440" s="107"/>
      <c r="Z440" s="107"/>
      <c r="AK440"/>
      <c r="AL440" s="85"/>
      <c r="AM440" s="85"/>
      <c r="AN440" s="107"/>
      <c r="AO440" s="107"/>
      <c r="AP440" s="107"/>
      <c r="AQ440" s="107"/>
      <c r="AR440" s="107"/>
      <c r="BO440"/>
      <c r="BP440" s="85"/>
      <c r="BQ440" s="85"/>
      <c r="BR440" s="107"/>
      <c r="BS440" s="107"/>
      <c r="BT440" s="107"/>
      <c r="BU440" s="107"/>
      <c r="BV440" s="107"/>
      <c r="CS440"/>
      <c r="CT440" s="85"/>
      <c r="CU440" s="85"/>
      <c r="CV440" s="107"/>
      <c r="CW440" s="107"/>
      <c r="CX440" s="107"/>
      <c r="CY440" s="107"/>
      <c r="CZ440" s="107"/>
      <c r="DP440"/>
      <c r="DQ440" s="85"/>
      <c r="DR440" s="85"/>
      <c r="DS440" s="107"/>
      <c r="DT440" s="107"/>
      <c r="DU440" s="107"/>
      <c r="DV440" s="107"/>
      <c r="DW440" s="107"/>
    </row>
    <row r="441" spans="1:127" ht="16.5">
      <c r="A441"/>
      <c r="B441"/>
      <c r="C441" s="85"/>
      <c r="D441" s="107"/>
      <c r="E441" s="107"/>
      <c r="F441" s="107"/>
      <c r="G441" s="107"/>
      <c r="H441" s="107"/>
      <c r="I441" s="340"/>
      <c r="J441" s="340"/>
      <c r="K441" s="340"/>
      <c r="L441" s="340"/>
      <c r="M441" s="340"/>
      <c r="N441" s="340"/>
      <c r="O441" s="340"/>
      <c r="P441" s="340"/>
      <c r="Q441" s="340"/>
      <c r="S441"/>
      <c r="T441"/>
      <c r="U441" s="85"/>
      <c r="V441" s="107"/>
      <c r="W441" s="107"/>
      <c r="X441" s="107"/>
      <c r="Y441" s="107"/>
      <c r="Z441" s="107"/>
      <c r="AK441"/>
      <c r="AL441" s="85"/>
      <c r="AM441" s="85"/>
      <c r="AN441" s="107"/>
      <c r="AO441" s="107"/>
      <c r="AP441" s="107"/>
      <c r="AQ441" s="107"/>
      <c r="AR441" s="107"/>
      <c r="BO441"/>
      <c r="BP441" s="85"/>
      <c r="BQ441" s="85"/>
      <c r="BR441" s="107"/>
      <c r="BS441" s="107"/>
      <c r="BT441" s="107"/>
      <c r="BU441" s="107"/>
      <c r="BV441" s="107"/>
      <c r="CS441"/>
      <c r="CT441" s="85"/>
      <c r="CU441" s="85"/>
      <c r="CV441" s="107"/>
      <c r="CW441" s="107"/>
      <c r="CX441" s="107"/>
      <c r="CY441" s="107"/>
      <c r="CZ441" s="107"/>
      <c r="DP441"/>
      <c r="DQ441" s="85"/>
      <c r="DR441" s="85"/>
      <c r="DS441" s="107"/>
      <c r="DT441" s="107"/>
      <c r="DU441" s="107"/>
      <c r="DV441" s="107"/>
      <c r="DW441" s="107"/>
    </row>
    <row r="442" spans="1:127" ht="16.5">
      <c r="A442"/>
      <c r="B442"/>
      <c r="C442" s="85"/>
      <c r="D442" s="107"/>
      <c r="E442" s="107"/>
      <c r="F442" s="107"/>
      <c r="G442" s="107"/>
      <c r="H442" s="107"/>
      <c r="I442" s="340"/>
      <c r="J442" s="340"/>
      <c r="K442" s="340"/>
      <c r="L442" s="340"/>
      <c r="M442" s="340"/>
      <c r="N442" s="340"/>
      <c r="O442" s="340"/>
      <c r="P442" s="340"/>
      <c r="Q442" s="340"/>
      <c r="S442"/>
      <c r="T442"/>
      <c r="U442" s="85"/>
      <c r="V442" s="107"/>
      <c r="W442" s="107"/>
      <c r="X442" s="107"/>
      <c r="Y442" s="107"/>
      <c r="Z442" s="107"/>
      <c r="AK442"/>
      <c r="AL442" s="85"/>
      <c r="AM442" s="85"/>
      <c r="AN442" s="107"/>
      <c r="AO442" s="107"/>
      <c r="AP442" s="107"/>
      <c r="AQ442" s="107"/>
      <c r="AR442" s="107"/>
      <c r="BO442"/>
      <c r="BP442" s="85"/>
      <c r="BQ442" s="85"/>
      <c r="BR442" s="107"/>
      <c r="BS442" s="107"/>
      <c r="BT442" s="107"/>
      <c r="BU442" s="107"/>
      <c r="BV442" s="107"/>
      <c r="CS442"/>
      <c r="CT442" s="85"/>
      <c r="CU442" s="85"/>
      <c r="CV442" s="107"/>
      <c r="CW442" s="107"/>
      <c r="CX442" s="107"/>
      <c r="CY442" s="107"/>
      <c r="CZ442" s="107"/>
      <c r="DP442"/>
      <c r="DQ442" s="85"/>
      <c r="DR442" s="85"/>
      <c r="DS442" s="107"/>
      <c r="DT442" s="107"/>
      <c r="DU442" s="107"/>
      <c r="DV442" s="107"/>
      <c r="DW442" s="107"/>
    </row>
    <row r="443" spans="1:127" ht="16.5">
      <c r="A443"/>
      <c r="B443"/>
      <c r="C443" s="85"/>
      <c r="D443" s="107"/>
      <c r="E443" s="107"/>
      <c r="F443" s="107"/>
      <c r="G443" s="107"/>
      <c r="H443" s="107"/>
      <c r="I443" s="340"/>
      <c r="J443" s="340"/>
      <c r="K443" s="340"/>
      <c r="L443" s="340"/>
      <c r="M443" s="340"/>
      <c r="N443" s="340"/>
      <c r="O443" s="340"/>
      <c r="P443" s="340"/>
      <c r="Q443" s="340"/>
      <c r="S443"/>
      <c r="T443"/>
      <c r="U443" s="85"/>
      <c r="V443" s="107"/>
      <c r="W443" s="107"/>
      <c r="X443" s="107"/>
      <c r="Y443" s="107"/>
      <c r="Z443" s="107"/>
      <c r="AK443"/>
      <c r="AL443" s="85"/>
      <c r="AM443" s="85"/>
      <c r="AN443" s="107"/>
      <c r="AO443" s="107"/>
      <c r="AP443" s="107"/>
      <c r="AQ443" s="107"/>
      <c r="AR443" s="107"/>
      <c r="BO443"/>
      <c r="BP443" s="85"/>
      <c r="BQ443" s="85"/>
      <c r="BR443" s="107"/>
      <c r="BS443" s="107"/>
      <c r="BT443" s="107"/>
      <c r="BU443" s="107"/>
      <c r="BV443" s="107"/>
      <c r="CS443"/>
      <c r="CT443" s="85"/>
      <c r="CU443" s="85"/>
      <c r="CV443" s="107"/>
      <c r="CW443" s="107"/>
      <c r="CX443" s="107"/>
      <c r="CY443" s="107"/>
      <c r="CZ443" s="107"/>
      <c r="DP443"/>
      <c r="DQ443" s="85"/>
      <c r="DR443" s="85"/>
      <c r="DS443" s="107"/>
      <c r="DT443" s="107"/>
      <c r="DU443" s="107"/>
      <c r="DV443" s="107"/>
      <c r="DW443" s="107"/>
    </row>
    <row r="444" spans="1:127" ht="16.5">
      <c r="A444"/>
      <c r="B444"/>
      <c r="C444" s="85"/>
      <c r="D444" s="107"/>
      <c r="E444" s="107"/>
      <c r="F444" s="107"/>
      <c r="G444" s="107"/>
      <c r="H444" s="107"/>
      <c r="I444" s="340"/>
      <c r="J444" s="340"/>
      <c r="K444" s="340"/>
      <c r="L444" s="340"/>
      <c r="M444" s="340"/>
      <c r="N444" s="340"/>
      <c r="O444" s="340"/>
      <c r="P444" s="340"/>
      <c r="Q444" s="340"/>
      <c r="S444"/>
      <c r="T444"/>
      <c r="U444" s="85"/>
      <c r="V444" s="107"/>
      <c r="W444" s="107"/>
      <c r="X444" s="107"/>
      <c r="Y444" s="107"/>
      <c r="Z444" s="107"/>
      <c r="AK444"/>
      <c r="AL444" s="85"/>
      <c r="AM444" s="85"/>
      <c r="AN444" s="107"/>
      <c r="AO444" s="107"/>
      <c r="AP444" s="107"/>
      <c r="AQ444" s="107"/>
      <c r="AR444" s="107"/>
      <c r="BO444"/>
      <c r="BP444" s="85"/>
      <c r="BQ444" s="85"/>
      <c r="BR444" s="107"/>
      <c r="BS444" s="107"/>
      <c r="BT444" s="107"/>
      <c r="BU444" s="107"/>
      <c r="BV444" s="107"/>
      <c r="CS444"/>
      <c r="CT444" s="85"/>
      <c r="CU444" s="85"/>
      <c r="CV444" s="107"/>
      <c r="CW444" s="107"/>
      <c r="CX444" s="107"/>
      <c r="CY444" s="107"/>
      <c r="CZ444" s="107"/>
      <c r="DP444"/>
      <c r="DQ444" s="85"/>
      <c r="DR444" s="85"/>
      <c r="DS444" s="107"/>
      <c r="DT444" s="107"/>
      <c r="DU444" s="107"/>
      <c r="DV444" s="107"/>
      <c r="DW444" s="107"/>
    </row>
    <row r="445" spans="1:127" ht="16.5">
      <c r="A445"/>
      <c r="B445"/>
      <c r="C445" s="85"/>
      <c r="D445" s="107"/>
      <c r="E445" s="107"/>
      <c r="F445" s="107"/>
      <c r="G445" s="107"/>
      <c r="H445" s="107"/>
      <c r="I445" s="340"/>
      <c r="J445" s="340"/>
      <c r="K445" s="340"/>
      <c r="L445" s="340"/>
      <c r="M445" s="340"/>
      <c r="N445" s="340"/>
      <c r="O445" s="340"/>
      <c r="P445" s="340"/>
      <c r="Q445" s="340"/>
      <c r="S445"/>
      <c r="T445"/>
      <c r="U445" s="85"/>
      <c r="V445" s="107"/>
      <c r="W445" s="107"/>
      <c r="X445" s="107"/>
      <c r="Y445" s="107"/>
      <c r="Z445" s="107"/>
      <c r="AK445"/>
      <c r="AL445" s="85"/>
      <c r="AM445" s="85"/>
      <c r="AN445" s="107"/>
      <c r="AO445" s="107"/>
      <c r="AP445" s="107"/>
      <c r="AQ445" s="107"/>
      <c r="AR445" s="107"/>
      <c r="BO445"/>
      <c r="BP445" s="85"/>
      <c r="BQ445" s="85"/>
      <c r="BR445" s="107"/>
      <c r="BS445" s="107"/>
      <c r="BT445" s="107"/>
      <c r="BU445" s="107"/>
      <c r="BV445" s="107"/>
      <c r="CS445"/>
      <c r="CT445" s="85"/>
      <c r="CU445" s="85"/>
      <c r="CV445" s="107"/>
      <c r="CW445" s="107"/>
      <c r="CX445" s="107"/>
      <c r="CY445" s="107"/>
      <c r="CZ445" s="107"/>
      <c r="DP445"/>
      <c r="DQ445" s="85"/>
      <c r="DR445" s="85"/>
      <c r="DS445" s="107"/>
      <c r="DT445" s="107"/>
      <c r="DU445" s="107"/>
      <c r="DV445" s="107"/>
      <c r="DW445" s="107"/>
    </row>
    <row r="446" spans="1:127" ht="16.5">
      <c r="A446"/>
      <c r="B446"/>
      <c r="C446" s="85"/>
      <c r="D446" s="107"/>
      <c r="E446" s="107"/>
      <c r="F446" s="107"/>
      <c r="G446" s="107"/>
      <c r="H446" s="107"/>
      <c r="I446" s="340"/>
      <c r="J446" s="340"/>
      <c r="K446" s="340"/>
      <c r="L446" s="340"/>
      <c r="M446" s="340"/>
      <c r="N446" s="340"/>
      <c r="O446" s="340"/>
      <c r="P446" s="340"/>
      <c r="Q446" s="340"/>
      <c r="S446"/>
      <c r="T446"/>
      <c r="U446" s="85"/>
      <c r="V446" s="107"/>
      <c r="W446" s="107"/>
      <c r="X446" s="107"/>
      <c r="Y446" s="107"/>
      <c r="Z446" s="107"/>
      <c r="AK446"/>
      <c r="AL446" s="85"/>
      <c r="AM446" s="85"/>
      <c r="AN446" s="107"/>
      <c r="AO446" s="107"/>
      <c r="AP446" s="107"/>
      <c r="AQ446" s="107"/>
      <c r="AR446" s="107"/>
      <c r="BO446"/>
      <c r="BP446" s="85"/>
      <c r="BQ446" s="85"/>
      <c r="BR446" s="107"/>
      <c r="BS446" s="107"/>
      <c r="BT446" s="107"/>
      <c r="BU446" s="107"/>
      <c r="BV446" s="107"/>
      <c r="CS446"/>
      <c r="CT446" s="85"/>
      <c r="CU446" s="85"/>
      <c r="CV446" s="107"/>
      <c r="CW446" s="107"/>
      <c r="CX446" s="107"/>
      <c r="CY446" s="107"/>
      <c r="CZ446" s="107"/>
      <c r="DP446"/>
      <c r="DQ446" s="85"/>
      <c r="DR446" s="85"/>
      <c r="DS446" s="107"/>
      <c r="DT446" s="107"/>
      <c r="DU446" s="107"/>
      <c r="DV446" s="107"/>
      <c r="DW446" s="107"/>
    </row>
    <row r="447" spans="1:127" ht="16.5">
      <c r="A447"/>
      <c r="B447"/>
      <c r="C447" s="85"/>
      <c r="D447" s="107"/>
      <c r="E447" s="107"/>
      <c r="F447" s="107"/>
      <c r="G447" s="107"/>
      <c r="H447" s="107"/>
      <c r="I447" s="340"/>
      <c r="J447" s="340"/>
      <c r="K447" s="340"/>
      <c r="L447" s="340"/>
      <c r="M447" s="340"/>
      <c r="N447" s="340"/>
      <c r="O447" s="340"/>
      <c r="P447" s="340"/>
      <c r="Q447" s="340"/>
      <c r="S447"/>
      <c r="T447"/>
      <c r="U447" s="85"/>
      <c r="V447" s="107"/>
      <c r="W447" s="107"/>
      <c r="X447" s="107"/>
      <c r="Y447" s="107"/>
      <c r="Z447" s="107"/>
      <c r="AK447"/>
      <c r="AL447" s="85"/>
      <c r="AM447" s="85"/>
      <c r="AN447" s="107"/>
      <c r="AO447" s="107"/>
      <c r="AP447" s="107"/>
      <c r="AQ447" s="107"/>
      <c r="AR447" s="107"/>
      <c r="BO447"/>
      <c r="BP447" s="85"/>
      <c r="BQ447" s="85"/>
      <c r="BR447" s="107"/>
      <c r="BS447" s="107"/>
      <c r="BT447" s="107"/>
      <c r="BU447" s="107"/>
      <c r="BV447" s="107"/>
      <c r="CS447"/>
      <c r="CT447" s="85"/>
      <c r="CU447" s="85"/>
      <c r="CV447" s="107"/>
      <c r="CW447" s="107"/>
      <c r="CX447" s="107"/>
      <c r="CY447" s="107"/>
      <c r="CZ447" s="107"/>
      <c r="DP447"/>
      <c r="DQ447" s="85"/>
      <c r="DR447" s="85"/>
      <c r="DS447" s="107"/>
      <c r="DT447" s="107"/>
      <c r="DU447" s="107"/>
      <c r="DV447" s="107"/>
      <c r="DW447" s="107"/>
    </row>
    <row r="448" spans="1:127" ht="16.5">
      <c r="A448"/>
      <c r="B448"/>
      <c r="C448" s="85"/>
      <c r="D448" s="107"/>
      <c r="E448" s="107"/>
      <c r="F448" s="107"/>
      <c r="G448" s="107"/>
      <c r="H448" s="107"/>
      <c r="I448" s="340"/>
      <c r="J448" s="340"/>
      <c r="K448" s="340"/>
      <c r="L448" s="340"/>
      <c r="M448" s="340"/>
      <c r="N448" s="340"/>
      <c r="O448" s="340"/>
      <c r="P448" s="340"/>
      <c r="Q448" s="340"/>
      <c r="S448"/>
      <c r="T448"/>
      <c r="U448" s="85"/>
      <c r="V448" s="107"/>
      <c r="W448" s="107"/>
      <c r="X448" s="107"/>
      <c r="Y448" s="107"/>
      <c r="Z448" s="107"/>
      <c r="AK448"/>
      <c r="AL448" s="85"/>
      <c r="AM448" s="85"/>
      <c r="AN448" s="107"/>
      <c r="AO448" s="107"/>
      <c r="AP448" s="107"/>
      <c r="AQ448" s="107"/>
      <c r="AR448" s="107"/>
      <c r="BO448"/>
      <c r="BP448" s="85"/>
      <c r="BQ448" s="85"/>
      <c r="BR448" s="107"/>
      <c r="BS448" s="107"/>
      <c r="BT448" s="107"/>
      <c r="BU448" s="107"/>
      <c r="BV448" s="107"/>
      <c r="CS448"/>
      <c r="CT448" s="85"/>
      <c r="CU448" s="85"/>
      <c r="CV448" s="107"/>
      <c r="CW448" s="107"/>
      <c r="CX448" s="107"/>
      <c r="CY448" s="107"/>
      <c r="CZ448" s="107"/>
      <c r="DP448"/>
      <c r="DQ448" s="85"/>
      <c r="DR448" s="85"/>
      <c r="DS448" s="107"/>
      <c r="DT448" s="107"/>
      <c r="DU448" s="107"/>
      <c r="DV448" s="107"/>
      <c r="DW448" s="107"/>
    </row>
    <row r="449" spans="1:127" ht="16.5">
      <c r="A449"/>
      <c r="B449"/>
      <c r="C449" s="85"/>
      <c r="D449" s="107"/>
      <c r="E449" s="107"/>
      <c r="F449" s="107"/>
      <c r="G449" s="107"/>
      <c r="H449" s="107"/>
      <c r="I449" s="340"/>
      <c r="J449" s="340"/>
      <c r="K449" s="340"/>
      <c r="L449" s="340"/>
      <c r="M449" s="340"/>
      <c r="N449" s="340"/>
      <c r="O449" s="340"/>
      <c r="P449" s="340"/>
      <c r="Q449" s="340"/>
      <c r="S449"/>
      <c r="T449"/>
      <c r="U449" s="85"/>
      <c r="V449" s="107"/>
      <c r="W449" s="107"/>
      <c r="X449" s="107"/>
      <c r="Y449" s="107"/>
      <c r="Z449" s="107"/>
      <c r="AK449"/>
      <c r="AL449" s="85"/>
      <c r="AM449" s="85"/>
      <c r="AN449" s="107"/>
      <c r="AO449" s="107"/>
      <c r="AP449" s="107"/>
      <c r="AQ449" s="107"/>
      <c r="AR449" s="107"/>
      <c r="BO449"/>
      <c r="BP449" s="85"/>
      <c r="BQ449" s="85"/>
      <c r="BR449" s="107"/>
      <c r="BS449" s="107"/>
      <c r="BT449" s="107"/>
      <c r="BU449" s="107"/>
      <c r="BV449" s="107"/>
      <c r="CS449"/>
      <c r="CT449" s="85"/>
      <c r="CU449" s="85"/>
      <c r="CV449" s="107"/>
      <c r="CW449" s="107"/>
      <c r="CX449" s="107"/>
      <c r="CY449" s="107"/>
      <c r="CZ449" s="107"/>
      <c r="DP449"/>
      <c r="DQ449" s="85"/>
      <c r="DR449" s="85"/>
      <c r="DS449" s="107"/>
      <c r="DT449" s="107"/>
      <c r="DU449" s="107"/>
      <c r="DV449" s="107"/>
      <c r="DW449" s="107"/>
    </row>
    <row r="450" spans="1:127" ht="16.5">
      <c r="A450"/>
      <c r="B450"/>
      <c r="C450" s="85"/>
      <c r="D450" s="107"/>
      <c r="E450" s="107"/>
      <c r="F450" s="107"/>
      <c r="G450" s="107"/>
      <c r="H450" s="107"/>
      <c r="I450" s="340"/>
      <c r="J450" s="340"/>
      <c r="K450" s="340"/>
      <c r="L450" s="340"/>
      <c r="M450" s="340"/>
      <c r="N450" s="340"/>
      <c r="O450" s="340"/>
      <c r="P450" s="340"/>
      <c r="Q450" s="340"/>
      <c r="S450"/>
      <c r="T450"/>
      <c r="U450" s="85"/>
      <c r="V450" s="107"/>
      <c r="W450" s="107"/>
      <c r="X450" s="107"/>
      <c r="Y450" s="107"/>
      <c r="Z450" s="107"/>
      <c r="AK450"/>
      <c r="AL450" s="85"/>
      <c r="AM450" s="85"/>
      <c r="AN450" s="107"/>
      <c r="AO450" s="107"/>
      <c r="AP450" s="107"/>
      <c r="AQ450" s="107"/>
      <c r="AR450" s="107"/>
      <c r="BO450"/>
      <c r="BP450" s="85"/>
      <c r="BQ450" s="85"/>
      <c r="BR450" s="107"/>
      <c r="BS450" s="107"/>
      <c r="BT450" s="107"/>
      <c r="BU450" s="107"/>
      <c r="BV450" s="107"/>
      <c r="CS450"/>
      <c r="CT450" s="85"/>
      <c r="CU450" s="85"/>
      <c r="CV450" s="107"/>
      <c r="CW450" s="107"/>
      <c r="CX450" s="107"/>
      <c r="CY450" s="107"/>
      <c r="CZ450" s="107"/>
      <c r="DP450"/>
      <c r="DQ450" s="85"/>
      <c r="DR450" s="85"/>
      <c r="DS450" s="107"/>
      <c r="DT450" s="107"/>
      <c r="DU450" s="107"/>
      <c r="DV450" s="107"/>
      <c r="DW450" s="107"/>
    </row>
    <row r="451" spans="1:127" ht="16.5">
      <c r="A451"/>
      <c r="B451"/>
      <c r="C451" s="85"/>
      <c r="D451" s="107"/>
      <c r="E451" s="107"/>
      <c r="F451" s="107"/>
      <c r="G451" s="107"/>
      <c r="H451" s="107"/>
      <c r="I451" s="340"/>
      <c r="J451" s="340"/>
      <c r="K451" s="340"/>
      <c r="L451" s="340"/>
      <c r="M451" s="340"/>
      <c r="N451" s="340"/>
      <c r="O451" s="340"/>
      <c r="P451" s="340"/>
      <c r="Q451" s="340"/>
      <c r="S451"/>
      <c r="T451"/>
      <c r="U451" s="85"/>
      <c r="V451" s="107"/>
      <c r="W451" s="107"/>
      <c r="X451" s="107"/>
      <c r="Y451" s="107"/>
      <c r="Z451" s="107"/>
      <c r="AK451"/>
      <c r="AL451" s="85"/>
      <c r="AM451" s="85"/>
      <c r="AN451" s="107"/>
      <c r="AO451" s="107"/>
      <c r="AP451" s="107"/>
      <c r="AQ451" s="107"/>
      <c r="AR451" s="107"/>
      <c r="BO451"/>
      <c r="BP451" s="85"/>
      <c r="BQ451" s="85"/>
      <c r="BR451" s="107"/>
      <c r="BS451" s="107"/>
      <c r="BT451" s="107"/>
      <c r="BU451" s="107"/>
      <c r="BV451" s="107"/>
      <c r="CS451"/>
      <c r="CT451" s="85"/>
      <c r="CU451" s="85"/>
      <c r="CV451" s="107"/>
      <c r="CW451" s="107"/>
      <c r="CX451" s="107"/>
      <c r="CY451" s="107"/>
      <c r="CZ451" s="107"/>
      <c r="DP451"/>
      <c r="DQ451" s="85"/>
      <c r="DR451" s="85"/>
      <c r="DS451" s="107"/>
      <c r="DT451" s="107"/>
      <c r="DU451" s="107"/>
      <c r="DV451" s="107"/>
      <c r="DW451" s="107"/>
    </row>
    <row r="452" spans="1:127" ht="16.5">
      <c r="A452"/>
      <c r="B452"/>
      <c r="C452" s="85"/>
      <c r="D452" s="107"/>
      <c r="E452" s="107"/>
      <c r="F452" s="107"/>
      <c r="G452" s="107"/>
      <c r="H452" s="107"/>
      <c r="I452" s="340"/>
      <c r="J452" s="340"/>
      <c r="K452" s="340"/>
      <c r="L452" s="340"/>
      <c r="M452" s="340"/>
      <c r="N452" s="340"/>
      <c r="O452" s="340"/>
      <c r="P452" s="340"/>
      <c r="Q452" s="340"/>
      <c r="S452"/>
      <c r="T452"/>
      <c r="U452" s="85"/>
      <c r="V452" s="107"/>
      <c r="W452" s="107"/>
      <c r="X452" s="107"/>
      <c r="Y452" s="107"/>
      <c r="Z452" s="107"/>
      <c r="AK452"/>
      <c r="AL452" s="85"/>
      <c r="AM452" s="85"/>
      <c r="AN452" s="107"/>
      <c r="AO452" s="107"/>
      <c r="AP452" s="107"/>
      <c r="AQ452" s="107"/>
      <c r="AR452" s="107"/>
      <c r="BO452"/>
      <c r="BP452" s="85"/>
      <c r="BQ452" s="85"/>
      <c r="BR452" s="107"/>
      <c r="BS452" s="107"/>
      <c r="BT452" s="107"/>
      <c r="BU452" s="107"/>
      <c r="BV452" s="107"/>
      <c r="CS452"/>
      <c r="CT452" s="85"/>
      <c r="CU452" s="85"/>
      <c r="CV452" s="107"/>
      <c r="CW452" s="107"/>
      <c r="CX452" s="107"/>
      <c r="CY452" s="107"/>
      <c r="CZ452" s="107"/>
      <c r="DP452"/>
      <c r="DQ452" s="85"/>
      <c r="DR452" s="85"/>
      <c r="DS452" s="107"/>
      <c r="DT452" s="107"/>
      <c r="DU452" s="107"/>
      <c r="DV452" s="107"/>
      <c r="DW452" s="107"/>
    </row>
    <row r="453" spans="1:127" ht="16.5">
      <c r="A453"/>
      <c r="B453"/>
      <c r="C453" s="85"/>
      <c r="D453" s="107"/>
      <c r="E453" s="107"/>
      <c r="F453" s="107"/>
      <c r="G453" s="107"/>
      <c r="H453" s="107"/>
      <c r="I453" s="340"/>
      <c r="J453" s="340"/>
      <c r="K453" s="340"/>
      <c r="L453" s="340"/>
      <c r="M453" s="340"/>
      <c r="N453" s="340"/>
      <c r="O453" s="340"/>
      <c r="P453" s="340"/>
      <c r="Q453" s="340"/>
      <c r="S453"/>
      <c r="T453"/>
      <c r="U453" s="85"/>
      <c r="V453" s="107"/>
      <c r="W453" s="107"/>
      <c r="X453" s="107"/>
      <c r="Y453" s="107"/>
      <c r="Z453" s="107"/>
      <c r="AK453"/>
      <c r="AL453" s="85"/>
      <c r="AM453" s="85"/>
      <c r="AN453" s="107"/>
      <c r="AO453" s="107"/>
      <c r="AP453" s="107"/>
      <c r="AQ453" s="107"/>
      <c r="AR453" s="107"/>
      <c r="BO453"/>
      <c r="BP453" s="85"/>
      <c r="BQ453" s="85"/>
      <c r="BR453" s="107"/>
      <c r="BS453" s="107"/>
      <c r="BT453" s="107"/>
      <c r="BU453" s="107"/>
      <c r="BV453" s="107"/>
      <c r="CS453"/>
      <c r="CT453" s="85"/>
      <c r="CU453" s="85"/>
      <c r="CV453" s="107"/>
      <c r="CW453" s="107"/>
      <c r="CX453" s="107"/>
      <c r="CY453" s="107"/>
      <c r="CZ453" s="107"/>
      <c r="DP453"/>
      <c r="DQ453" s="85"/>
      <c r="DR453" s="85"/>
      <c r="DS453" s="107"/>
      <c r="DT453" s="107"/>
      <c r="DU453" s="107"/>
      <c r="DV453" s="107"/>
      <c r="DW453" s="107"/>
    </row>
    <row r="454" spans="1:127" ht="16.5">
      <c r="A454"/>
      <c r="B454"/>
      <c r="C454" s="85"/>
      <c r="D454" s="107"/>
      <c r="E454" s="107"/>
      <c r="F454" s="107"/>
      <c r="G454" s="107"/>
      <c r="H454" s="107"/>
      <c r="I454" s="340"/>
      <c r="J454" s="340"/>
      <c r="K454" s="340"/>
      <c r="L454" s="340"/>
      <c r="M454" s="340"/>
      <c r="N454" s="340"/>
      <c r="O454" s="340"/>
      <c r="P454" s="340"/>
      <c r="Q454" s="340"/>
      <c r="S454"/>
      <c r="T454"/>
      <c r="U454" s="85"/>
      <c r="V454" s="107"/>
      <c r="W454" s="107"/>
      <c r="X454" s="107"/>
      <c r="Y454" s="107"/>
      <c r="Z454" s="107"/>
      <c r="AK454"/>
      <c r="AL454" s="85"/>
      <c r="AM454" s="85"/>
      <c r="AN454" s="107"/>
      <c r="AO454" s="107"/>
      <c r="AP454" s="107"/>
      <c r="AQ454" s="107"/>
      <c r="AR454" s="107"/>
      <c r="BO454"/>
      <c r="BP454" s="85"/>
      <c r="BQ454" s="85"/>
      <c r="BR454" s="107"/>
      <c r="BS454" s="107"/>
      <c r="BT454" s="107"/>
      <c r="BU454" s="107"/>
      <c r="BV454" s="107"/>
      <c r="CS454"/>
      <c r="CT454" s="85"/>
      <c r="CU454" s="85"/>
      <c r="CV454" s="107"/>
      <c r="CW454" s="107"/>
      <c r="CX454" s="107"/>
      <c r="CY454" s="107"/>
      <c r="CZ454" s="107"/>
      <c r="DP454"/>
      <c r="DQ454" s="85"/>
      <c r="DR454" s="85"/>
      <c r="DS454" s="107"/>
      <c r="DT454" s="107"/>
      <c r="DU454" s="107"/>
      <c r="DV454" s="107"/>
      <c r="DW454" s="107"/>
    </row>
    <row r="455" spans="1:127" ht="16.5">
      <c r="A455"/>
      <c r="B455"/>
      <c r="C455" s="85"/>
      <c r="D455" s="107"/>
      <c r="E455" s="107"/>
      <c r="F455" s="107"/>
      <c r="G455" s="107"/>
      <c r="H455" s="107"/>
      <c r="I455" s="340"/>
      <c r="J455" s="340"/>
      <c r="K455" s="340"/>
      <c r="L455" s="340"/>
      <c r="M455" s="340"/>
      <c r="N455" s="340"/>
      <c r="O455" s="340"/>
      <c r="P455" s="340"/>
      <c r="Q455" s="340"/>
      <c r="S455"/>
      <c r="T455"/>
      <c r="U455" s="85"/>
      <c r="V455" s="107"/>
      <c r="W455" s="107"/>
      <c r="X455" s="107"/>
      <c r="Y455" s="107"/>
      <c r="Z455" s="107"/>
      <c r="AK455"/>
      <c r="AL455" s="85"/>
      <c r="AM455" s="85"/>
      <c r="AN455" s="107"/>
      <c r="AO455" s="107"/>
      <c r="AP455" s="107"/>
      <c r="AQ455" s="107"/>
      <c r="AR455" s="107"/>
      <c r="BO455"/>
      <c r="BP455" s="85"/>
      <c r="BQ455" s="85"/>
      <c r="BR455" s="107"/>
      <c r="BS455" s="107"/>
      <c r="BT455" s="107"/>
      <c r="BU455" s="107"/>
      <c r="BV455" s="107"/>
      <c r="CS455"/>
      <c r="CT455" s="85"/>
      <c r="CU455" s="85"/>
      <c r="CV455" s="107"/>
      <c r="CW455" s="107"/>
      <c r="CX455" s="107"/>
      <c r="CY455" s="107"/>
      <c r="CZ455" s="107"/>
      <c r="DP455"/>
      <c r="DQ455" s="85"/>
      <c r="DR455" s="85"/>
      <c r="DS455" s="107"/>
      <c r="DT455" s="107"/>
      <c r="DU455" s="107"/>
      <c r="DV455" s="107"/>
      <c r="DW455" s="107"/>
    </row>
    <row r="456" spans="1:127" ht="16.5">
      <c r="A456"/>
      <c r="B456"/>
      <c r="C456" s="85"/>
      <c r="D456" s="107"/>
      <c r="E456" s="107"/>
      <c r="F456" s="107"/>
      <c r="G456" s="107"/>
      <c r="H456" s="107"/>
      <c r="I456" s="340"/>
      <c r="J456" s="340"/>
      <c r="K456" s="340"/>
      <c r="L456" s="340"/>
      <c r="M456" s="340"/>
      <c r="N456" s="340"/>
      <c r="O456" s="340"/>
      <c r="P456" s="340"/>
      <c r="Q456" s="340"/>
      <c r="S456"/>
      <c r="T456"/>
      <c r="U456" s="85"/>
      <c r="V456" s="107"/>
      <c r="W456" s="107"/>
      <c r="X456" s="107"/>
      <c r="Y456" s="107"/>
      <c r="Z456" s="107"/>
      <c r="AK456"/>
      <c r="AL456" s="85"/>
      <c r="AM456" s="85"/>
      <c r="AN456" s="107"/>
      <c r="AO456" s="107"/>
      <c r="AP456" s="107"/>
      <c r="AQ456" s="107"/>
      <c r="AR456" s="107"/>
      <c r="BO456"/>
      <c r="BP456" s="85"/>
      <c r="BQ456" s="85"/>
      <c r="BR456" s="107"/>
      <c r="BS456" s="107"/>
      <c r="BT456" s="107"/>
      <c r="BU456" s="107"/>
      <c r="BV456" s="107"/>
      <c r="CS456"/>
      <c r="CT456" s="85"/>
      <c r="CU456" s="85"/>
      <c r="CV456" s="107"/>
      <c r="CW456" s="107"/>
      <c r="CX456" s="107"/>
      <c r="CY456" s="107"/>
      <c r="CZ456" s="107"/>
      <c r="DP456"/>
      <c r="DQ456" s="85"/>
      <c r="DR456" s="85"/>
      <c r="DS456" s="107"/>
      <c r="DT456" s="107"/>
      <c r="DU456" s="107"/>
      <c r="DV456" s="107"/>
      <c r="DW456" s="107"/>
    </row>
    <row r="457" spans="1:127" ht="16.5">
      <c r="A457"/>
      <c r="B457"/>
      <c r="C457" s="85"/>
      <c r="D457" s="107"/>
      <c r="E457" s="107"/>
      <c r="F457" s="107"/>
      <c r="G457" s="107"/>
      <c r="H457" s="107"/>
      <c r="I457" s="340"/>
      <c r="J457" s="340"/>
      <c r="K457" s="340"/>
      <c r="L457" s="340"/>
      <c r="M457" s="340"/>
      <c r="N457" s="340"/>
      <c r="O457" s="340"/>
      <c r="P457" s="340"/>
      <c r="Q457" s="340"/>
      <c r="S457"/>
      <c r="T457"/>
      <c r="U457" s="85"/>
      <c r="V457" s="107"/>
      <c r="W457" s="107"/>
      <c r="X457" s="107"/>
      <c r="Y457" s="107"/>
      <c r="Z457" s="107"/>
      <c r="AK457"/>
      <c r="AL457" s="85"/>
      <c r="AM457" s="85"/>
      <c r="AN457" s="107"/>
      <c r="AO457" s="107"/>
      <c r="AP457" s="107"/>
      <c r="AQ457" s="107"/>
      <c r="AR457" s="107"/>
      <c r="BO457"/>
      <c r="BP457" s="85"/>
      <c r="BQ457" s="85"/>
      <c r="BR457" s="107"/>
      <c r="BS457" s="107"/>
      <c r="BT457" s="107"/>
      <c r="BU457" s="107"/>
      <c r="BV457" s="107"/>
      <c r="CS457"/>
      <c r="CT457" s="85"/>
      <c r="CU457" s="85"/>
      <c r="CV457" s="107"/>
      <c r="CW457" s="107"/>
      <c r="CX457" s="107"/>
      <c r="CY457" s="107"/>
      <c r="CZ457" s="107"/>
      <c r="DP457"/>
      <c r="DQ457" s="85"/>
      <c r="DR457" s="85"/>
      <c r="DS457" s="107"/>
      <c r="DT457" s="107"/>
      <c r="DU457" s="107"/>
      <c r="DV457" s="107"/>
      <c r="DW457" s="107"/>
    </row>
    <row r="458" spans="1:127" ht="16.5">
      <c r="A458"/>
      <c r="B458"/>
      <c r="C458" s="85"/>
      <c r="D458" s="107"/>
      <c r="E458" s="107"/>
      <c r="F458" s="107"/>
      <c r="G458" s="107"/>
      <c r="H458" s="107"/>
      <c r="I458" s="340"/>
      <c r="J458" s="340"/>
      <c r="K458" s="340"/>
      <c r="L458" s="340"/>
      <c r="M458" s="340"/>
      <c r="N458" s="340"/>
      <c r="O458" s="340"/>
      <c r="P458" s="340"/>
      <c r="Q458" s="340"/>
      <c r="S458"/>
      <c r="T458"/>
      <c r="U458" s="85"/>
      <c r="V458" s="107"/>
      <c r="W458" s="107"/>
      <c r="X458" s="107"/>
      <c r="Y458" s="107"/>
      <c r="Z458" s="107"/>
      <c r="AK458"/>
      <c r="AL458" s="85"/>
      <c r="AM458" s="85"/>
      <c r="AN458" s="107"/>
      <c r="AO458" s="107"/>
      <c r="AP458" s="107"/>
      <c r="AQ458" s="107"/>
      <c r="AR458" s="107"/>
      <c r="BO458"/>
      <c r="BP458" s="85"/>
      <c r="BQ458" s="85"/>
      <c r="BR458" s="107"/>
      <c r="BS458" s="107"/>
      <c r="BT458" s="107"/>
      <c r="BU458" s="107"/>
      <c r="BV458" s="107"/>
      <c r="CS458"/>
      <c r="CT458" s="85"/>
      <c r="CU458" s="85"/>
      <c r="CV458" s="107"/>
      <c r="CW458" s="107"/>
      <c r="CX458" s="107"/>
      <c r="CY458" s="107"/>
      <c r="CZ458" s="107"/>
      <c r="DP458"/>
      <c r="DQ458" s="85"/>
      <c r="DR458" s="85"/>
      <c r="DS458" s="107"/>
      <c r="DT458" s="107"/>
      <c r="DU458" s="107"/>
      <c r="DV458" s="107"/>
      <c r="DW458" s="107"/>
    </row>
    <row r="459" spans="1:127" ht="16.5">
      <c r="A459"/>
      <c r="B459"/>
      <c r="C459" s="85"/>
      <c r="D459" s="107"/>
      <c r="E459" s="107"/>
      <c r="F459" s="107"/>
      <c r="G459" s="107"/>
      <c r="H459" s="107"/>
      <c r="I459" s="340"/>
      <c r="J459" s="340"/>
      <c r="K459" s="340"/>
      <c r="L459" s="340"/>
      <c r="M459" s="340"/>
      <c r="N459" s="340"/>
      <c r="O459" s="340"/>
      <c r="P459" s="340"/>
      <c r="Q459" s="340"/>
      <c r="S459"/>
      <c r="T459"/>
      <c r="U459" s="85"/>
      <c r="V459" s="107"/>
      <c r="W459" s="107"/>
      <c r="X459" s="107"/>
      <c r="Y459" s="107"/>
      <c r="Z459" s="107"/>
      <c r="AK459"/>
      <c r="AL459" s="85"/>
      <c r="AM459" s="85"/>
      <c r="AN459" s="107"/>
      <c r="AO459" s="107"/>
      <c r="AP459" s="107"/>
      <c r="AQ459" s="107"/>
      <c r="AR459" s="107"/>
      <c r="BO459"/>
      <c r="BP459" s="85"/>
      <c r="BQ459" s="85"/>
      <c r="BR459" s="107"/>
      <c r="BS459" s="107"/>
      <c r="BT459" s="107"/>
      <c r="BU459" s="107"/>
      <c r="BV459" s="107"/>
      <c r="CS459"/>
      <c r="CT459" s="85"/>
      <c r="CU459" s="85"/>
      <c r="CV459" s="107"/>
      <c r="CW459" s="107"/>
      <c r="CX459" s="107"/>
      <c r="CY459" s="107"/>
      <c r="CZ459" s="107"/>
      <c r="DP459"/>
      <c r="DQ459" s="85"/>
      <c r="DR459" s="85"/>
      <c r="DS459" s="107"/>
      <c r="DT459" s="107"/>
      <c r="DU459" s="107"/>
      <c r="DV459" s="107"/>
      <c r="DW459" s="107"/>
    </row>
    <row r="460" spans="1:127" ht="16.5">
      <c r="A460"/>
      <c r="B460"/>
      <c r="C460" s="85"/>
      <c r="D460" s="107"/>
      <c r="E460" s="107"/>
      <c r="F460" s="107"/>
      <c r="G460" s="107"/>
      <c r="H460" s="107"/>
      <c r="I460" s="340"/>
      <c r="J460" s="340"/>
      <c r="K460" s="340"/>
      <c r="L460" s="340"/>
      <c r="M460" s="340"/>
      <c r="N460" s="340"/>
      <c r="O460" s="340"/>
      <c r="P460" s="340"/>
      <c r="Q460" s="340"/>
      <c r="S460"/>
      <c r="T460"/>
      <c r="U460" s="85"/>
      <c r="V460" s="107"/>
      <c r="W460" s="107"/>
      <c r="X460" s="107"/>
      <c r="Y460" s="107"/>
      <c r="Z460" s="107"/>
      <c r="AK460"/>
      <c r="AL460" s="85"/>
      <c r="AM460" s="85"/>
      <c r="AN460" s="107"/>
      <c r="AO460" s="107"/>
      <c r="AP460" s="107"/>
      <c r="AQ460" s="107"/>
      <c r="AR460" s="107"/>
      <c r="BO460"/>
      <c r="BP460" s="85"/>
      <c r="BQ460" s="85"/>
      <c r="BR460" s="107"/>
      <c r="BS460" s="107"/>
      <c r="BT460" s="107"/>
      <c r="BU460" s="107"/>
      <c r="BV460" s="107"/>
      <c r="CS460"/>
      <c r="CT460" s="85"/>
      <c r="CU460" s="85"/>
      <c r="CV460" s="107"/>
      <c r="CW460" s="107"/>
      <c r="CX460" s="107"/>
      <c r="CY460" s="107"/>
      <c r="CZ460" s="107"/>
      <c r="DP460"/>
      <c r="DQ460" s="85"/>
      <c r="DR460" s="85"/>
      <c r="DS460" s="107"/>
      <c r="DT460" s="107"/>
      <c r="DU460" s="107"/>
      <c r="DV460" s="107"/>
      <c r="DW460" s="107"/>
    </row>
    <row r="461" spans="1:127" ht="16.5">
      <c r="A461"/>
      <c r="B461"/>
      <c r="C461" s="85"/>
      <c r="D461" s="107"/>
      <c r="E461" s="107"/>
      <c r="F461" s="107"/>
      <c r="G461" s="107"/>
      <c r="H461" s="107"/>
      <c r="I461" s="340"/>
      <c r="J461" s="340"/>
      <c r="K461" s="340"/>
      <c r="L461" s="340"/>
      <c r="M461" s="340"/>
      <c r="N461" s="340"/>
      <c r="O461" s="340"/>
      <c r="P461" s="340"/>
      <c r="Q461" s="340"/>
      <c r="S461"/>
      <c r="T461"/>
      <c r="U461" s="85"/>
      <c r="V461" s="107"/>
      <c r="W461" s="107"/>
      <c r="X461" s="107"/>
      <c r="Y461" s="107"/>
      <c r="Z461" s="107"/>
      <c r="AK461"/>
      <c r="AL461" s="85"/>
      <c r="AM461" s="85"/>
      <c r="AN461" s="107"/>
      <c r="AO461" s="107"/>
      <c r="AP461" s="107"/>
      <c r="AQ461" s="107"/>
      <c r="AR461" s="107"/>
      <c r="BO461"/>
      <c r="BP461" s="85"/>
      <c r="BQ461" s="85"/>
      <c r="BR461" s="107"/>
      <c r="BS461" s="107"/>
      <c r="BT461" s="107"/>
      <c r="BU461" s="107"/>
      <c r="BV461" s="107"/>
      <c r="CS461"/>
      <c r="CT461" s="85"/>
      <c r="CU461" s="85"/>
      <c r="CV461" s="107"/>
      <c r="CW461" s="107"/>
      <c r="CX461" s="107"/>
      <c r="CY461" s="107"/>
      <c r="CZ461" s="107"/>
      <c r="DP461"/>
      <c r="DQ461" s="85"/>
      <c r="DR461" s="85"/>
      <c r="DS461" s="107"/>
      <c r="DT461" s="107"/>
      <c r="DU461" s="107"/>
      <c r="DV461" s="107"/>
      <c r="DW461" s="107"/>
    </row>
    <row r="462" spans="1:127" ht="16.5">
      <c r="A462"/>
      <c r="B462"/>
      <c r="C462" s="85"/>
      <c r="D462" s="107"/>
      <c r="E462" s="107"/>
      <c r="F462" s="107"/>
      <c r="G462" s="107"/>
      <c r="H462" s="107"/>
      <c r="I462" s="340"/>
      <c r="J462" s="340"/>
      <c r="K462" s="340"/>
      <c r="L462" s="340"/>
      <c r="M462" s="340"/>
      <c r="N462" s="340"/>
      <c r="O462" s="340"/>
      <c r="P462" s="340"/>
      <c r="Q462" s="340"/>
      <c r="S462"/>
      <c r="T462"/>
      <c r="U462" s="85"/>
      <c r="V462" s="107"/>
      <c r="W462" s="107"/>
      <c r="X462" s="107"/>
      <c r="Y462" s="107"/>
      <c r="Z462" s="107"/>
      <c r="AK462"/>
      <c r="AL462" s="85"/>
      <c r="AM462" s="85"/>
      <c r="AN462" s="107"/>
      <c r="AO462" s="107"/>
      <c r="AP462" s="107"/>
      <c r="AQ462" s="107"/>
      <c r="AR462" s="107"/>
      <c r="BO462"/>
      <c r="BP462" s="85"/>
      <c r="BQ462" s="85"/>
      <c r="BR462" s="107"/>
      <c r="BS462" s="107"/>
      <c r="BT462" s="107"/>
      <c r="BU462" s="107"/>
      <c r="BV462" s="107"/>
      <c r="CS462"/>
      <c r="CT462" s="85"/>
      <c r="CU462" s="85"/>
      <c r="CV462" s="107"/>
      <c r="CW462" s="107"/>
      <c r="CX462" s="107"/>
      <c r="CY462" s="107"/>
      <c r="CZ462" s="107"/>
      <c r="DP462"/>
      <c r="DQ462" s="85"/>
      <c r="DR462" s="85"/>
      <c r="DS462" s="107"/>
      <c r="DT462" s="107"/>
      <c r="DU462" s="107"/>
      <c r="DV462" s="107"/>
      <c r="DW462" s="107"/>
    </row>
    <row r="463" spans="1:127" ht="16.5">
      <c r="A463"/>
      <c r="B463"/>
      <c r="C463" s="85"/>
      <c r="D463" s="107"/>
      <c r="E463" s="107"/>
      <c r="F463" s="107"/>
      <c r="G463" s="107"/>
      <c r="H463" s="107"/>
      <c r="I463" s="340"/>
      <c r="J463" s="340"/>
      <c r="K463" s="340"/>
      <c r="L463" s="340"/>
      <c r="M463" s="340"/>
      <c r="N463" s="340"/>
      <c r="O463" s="340"/>
      <c r="P463" s="340"/>
      <c r="Q463" s="340"/>
      <c r="S463"/>
      <c r="T463"/>
      <c r="U463" s="85"/>
      <c r="V463" s="107"/>
      <c r="W463" s="107"/>
      <c r="X463" s="107"/>
      <c r="Y463" s="107"/>
      <c r="Z463" s="107"/>
      <c r="AK463"/>
      <c r="AL463" s="85"/>
      <c r="AM463" s="85"/>
      <c r="AN463" s="107"/>
      <c r="AO463" s="107"/>
      <c r="AP463" s="107"/>
      <c r="AQ463" s="107"/>
      <c r="AR463" s="107"/>
      <c r="BO463"/>
      <c r="BP463" s="85"/>
      <c r="BQ463" s="85"/>
      <c r="BR463" s="107"/>
      <c r="BS463" s="107"/>
      <c r="BT463" s="107"/>
      <c r="BU463" s="107"/>
      <c r="BV463" s="107"/>
      <c r="CS463"/>
      <c r="CT463" s="85"/>
      <c r="CU463" s="85"/>
      <c r="CV463" s="107"/>
      <c r="CW463" s="107"/>
      <c r="CX463" s="107"/>
      <c r="CY463" s="107"/>
      <c r="CZ463" s="107"/>
      <c r="DP463"/>
      <c r="DQ463" s="85"/>
      <c r="DR463" s="85"/>
      <c r="DS463" s="107"/>
      <c r="DT463" s="107"/>
      <c r="DU463" s="107"/>
      <c r="DV463" s="107"/>
      <c r="DW463" s="107"/>
    </row>
    <row r="464" spans="1:127" ht="16.5">
      <c r="A464"/>
      <c r="B464"/>
      <c r="C464" s="85"/>
      <c r="D464" s="107"/>
      <c r="E464" s="107"/>
      <c r="F464" s="107"/>
      <c r="G464" s="107"/>
      <c r="H464" s="107"/>
      <c r="I464" s="340"/>
      <c r="J464" s="340"/>
      <c r="K464" s="340"/>
      <c r="L464" s="340"/>
      <c r="M464" s="340"/>
      <c r="N464" s="340"/>
      <c r="O464" s="340"/>
      <c r="P464" s="340"/>
      <c r="Q464" s="340"/>
      <c r="S464"/>
      <c r="T464"/>
      <c r="U464" s="85"/>
      <c r="V464" s="107"/>
      <c r="W464" s="107"/>
      <c r="X464" s="107"/>
      <c r="Y464" s="107"/>
      <c r="Z464" s="107"/>
      <c r="AK464"/>
      <c r="AL464" s="85"/>
      <c r="AM464" s="85"/>
      <c r="AN464" s="107"/>
      <c r="AO464" s="107"/>
      <c r="AP464" s="107"/>
      <c r="AQ464" s="107"/>
      <c r="AR464" s="107"/>
      <c r="BO464"/>
      <c r="BP464" s="85"/>
      <c r="BQ464" s="85"/>
      <c r="BR464" s="107"/>
      <c r="BS464" s="107"/>
      <c r="BT464" s="107"/>
      <c r="BU464" s="107"/>
      <c r="BV464" s="107"/>
      <c r="CS464"/>
      <c r="CT464" s="85"/>
      <c r="CU464" s="85"/>
      <c r="CV464" s="107"/>
      <c r="CW464" s="107"/>
      <c r="CX464" s="107"/>
      <c r="CY464" s="107"/>
      <c r="CZ464" s="107"/>
      <c r="DP464"/>
      <c r="DQ464" s="85"/>
      <c r="DR464" s="85"/>
      <c r="DS464" s="107"/>
      <c r="DT464" s="107"/>
      <c r="DU464" s="107"/>
      <c r="DV464" s="107"/>
      <c r="DW464" s="107"/>
    </row>
    <row r="465" spans="1:127" ht="16.5">
      <c r="A465"/>
      <c r="B465"/>
      <c r="C465" s="85"/>
      <c r="D465" s="107"/>
      <c r="E465" s="107"/>
      <c r="F465" s="107"/>
      <c r="G465" s="107"/>
      <c r="H465" s="107"/>
      <c r="I465" s="340"/>
      <c r="J465" s="340"/>
      <c r="K465" s="340"/>
      <c r="L465" s="340"/>
      <c r="M465" s="340"/>
      <c r="N465" s="340"/>
      <c r="O465" s="340"/>
      <c r="P465" s="340"/>
      <c r="Q465" s="340"/>
      <c r="S465"/>
      <c r="T465"/>
      <c r="U465" s="85"/>
      <c r="V465" s="107"/>
      <c r="W465" s="107"/>
      <c r="X465" s="107"/>
      <c r="Y465" s="107"/>
      <c r="Z465" s="107"/>
      <c r="AK465"/>
      <c r="AL465" s="85"/>
      <c r="AM465" s="85"/>
      <c r="AN465" s="107"/>
      <c r="AO465" s="107"/>
      <c r="AP465" s="107"/>
      <c r="AQ465" s="107"/>
      <c r="AR465" s="107"/>
      <c r="BO465"/>
      <c r="BP465" s="85"/>
      <c r="BQ465" s="85"/>
      <c r="BR465" s="107"/>
      <c r="BS465" s="107"/>
      <c r="BT465" s="107"/>
      <c r="BU465" s="107"/>
      <c r="BV465" s="107"/>
      <c r="CS465"/>
      <c r="CT465" s="85"/>
      <c r="CU465" s="85"/>
      <c r="CV465" s="107"/>
      <c r="CW465" s="107"/>
      <c r="CX465" s="107"/>
      <c r="CY465" s="107"/>
      <c r="CZ465" s="107"/>
      <c r="DP465"/>
      <c r="DQ465" s="85"/>
      <c r="DR465" s="85"/>
      <c r="DS465" s="107"/>
      <c r="DT465" s="107"/>
      <c r="DU465" s="107"/>
      <c r="DV465" s="107"/>
      <c r="DW465" s="107"/>
    </row>
    <row r="466" spans="1:127" ht="16.5">
      <c r="A466"/>
      <c r="B466"/>
      <c r="C466" s="85"/>
      <c r="D466" s="107"/>
      <c r="E466" s="107"/>
      <c r="F466" s="107"/>
      <c r="G466" s="107"/>
      <c r="H466" s="107"/>
      <c r="I466" s="340"/>
      <c r="J466" s="340"/>
      <c r="K466" s="340"/>
      <c r="L466" s="340"/>
      <c r="M466" s="340"/>
      <c r="N466" s="340"/>
      <c r="O466" s="340"/>
      <c r="P466" s="340"/>
      <c r="Q466" s="340"/>
      <c r="S466"/>
      <c r="T466"/>
      <c r="U466" s="85"/>
      <c r="V466" s="107"/>
      <c r="W466" s="107"/>
      <c r="X466" s="107"/>
      <c r="Y466" s="107"/>
      <c r="Z466" s="107"/>
      <c r="AK466"/>
      <c r="AL466" s="85"/>
      <c r="AM466" s="85"/>
      <c r="AN466" s="107"/>
      <c r="AO466" s="107"/>
      <c r="AP466" s="107"/>
      <c r="AQ466" s="107"/>
      <c r="AR466" s="107"/>
      <c r="BO466"/>
      <c r="BP466" s="85"/>
      <c r="BQ466" s="85"/>
      <c r="BR466" s="107"/>
      <c r="BS466" s="107"/>
      <c r="BT466" s="107"/>
      <c r="BU466" s="107"/>
      <c r="BV466" s="107"/>
      <c r="CS466"/>
      <c r="CT466" s="85"/>
      <c r="CU466" s="85"/>
      <c r="CV466" s="107"/>
      <c r="CW466" s="107"/>
      <c r="CX466" s="107"/>
      <c r="CY466" s="107"/>
      <c r="CZ466" s="107"/>
      <c r="DP466"/>
      <c r="DQ466" s="85"/>
      <c r="DR466" s="85"/>
      <c r="DS466" s="107"/>
      <c r="DT466" s="107"/>
      <c r="DU466" s="107"/>
      <c r="DV466" s="107"/>
      <c r="DW466" s="107"/>
    </row>
    <row r="467" spans="1:127" ht="16.5">
      <c r="A467"/>
      <c r="B467"/>
      <c r="C467" s="85"/>
      <c r="D467" s="107"/>
      <c r="E467" s="107"/>
      <c r="F467" s="107"/>
      <c r="G467" s="107"/>
      <c r="H467" s="107"/>
      <c r="I467" s="340"/>
      <c r="J467" s="340"/>
      <c r="K467" s="340"/>
      <c r="L467" s="340"/>
      <c r="M467" s="340"/>
      <c r="N467" s="340"/>
      <c r="O467" s="340"/>
      <c r="P467" s="340"/>
      <c r="Q467" s="340"/>
      <c r="S467"/>
      <c r="T467"/>
      <c r="U467" s="85"/>
      <c r="V467" s="107"/>
      <c r="W467" s="107"/>
      <c r="X467" s="107"/>
      <c r="Y467" s="107"/>
      <c r="Z467" s="107"/>
      <c r="AK467"/>
      <c r="AL467" s="85"/>
      <c r="AM467" s="85"/>
      <c r="AN467" s="107"/>
      <c r="AO467" s="107"/>
      <c r="AP467" s="107"/>
      <c r="AQ467" s="107"/>
      <c r="AR467" s="107"/>
      <c r="BO467"/>
      <c r="BP467" s="85"/>
      <c r="BQ467" s="85"/>
      <c r="BR467" s="107"/>
      <c r="BS467" s="107"/>
      <c r="BT467" s="107"/>
      <c r="BU467" s="107"/>
      <c r="BV467" s="107"/>
      <c r="CS467"/>
      <c r="CT467" s="85"/>
      <c r="CU467" s="85"/>
      <c r="CV467" s="107"/>
      <c r="CW467" s="107"/>
      <c r="CX467" s="107"/>
      <c r="CY467" s="107"/>
      <c r="CZ467" s="107"/>
      <c r="DP467"/>
      <c r="DQ467" s="85"/>
      <c r="DR467" s="85"/>
      <c r="DS467" s="107"/>
      <c r="DT467" s="107"/>
      <c r="DU467" s="107"/>
      <c r="DV467" s="107"/>
      <c r="DW467" s="107"/>
    </row>
    <row r="468" spans="1:127" ht="16.5">
      <c r="A468"/>
      <c r="B468"/>
      <c r="C468" s="85"/>
      <c r="D468" s="107"/>
      <c r="E468" s="107"/>
      <c r="F468" s="107"/>
      <c r="G468" s="107"/>
      <c r="H468" s="107"/>
      <c r="I468" s="340"/>
      <c r="J468" s="340"/>
      <c r="K468" s="340"/>
      <c r="L468" s="340"/>
      <c r="M468" s="340"/>
      <c r="N468" s="340"/>
      <c r="O468" s="340"/>
      <c r="P468" s="340"/>
      <c r="Q468" s="340"/>
      <c r="S468"/>
      <c r="T468"/>
      <c r="U468" s="85"/>
      <c r="V468" s="107"/>
      <c r="W468" s="107"/>
      <c r="X468" s="107"/>
      <c r="Y468" s="107"/>
      <c r="Z468" s="107"/>
      <c r="AK468"/>
      <c r="AL468" s="85"/>
      <c r="AM468" s="85"/>
      <c r="AN468" s="107"/>
      <c r="AO468" s="107"/>
      <c r="AP468" s="107"/>
      <c r="AQ468" s="107"/>
      <c r="AR468" s="107"/>
      <c r="BO468"/>
      <c r="BP468" s="85"/>
      <c r="BQ468" s="85"/>
      <c r="BR468" s="107"/>
      <c r="BS468" s="107"/>
      <c r="BT468" s="107"/>
      <c r="BU468" s="107"/>
      <c r="BV468" s="107"/>
      <c r="CS468"/>
      <c r="CT468" s="85"/>
      <c r="CU468" s="85"/>
      <c r="CV468" s="107"/>
      <c r="CW468" s="107"/>
      <c r="CX468" s="107"/>
      <c r="CY468" s="107"/>
      <c r="CZ468" s="107"/>
      <c r="DP468"/>
      <c r="DQ468" s="85"/>
      <c r="DR468" s="85"/>
      <c r="DS468" s="107"/>
      <c r="DT468" s="107"/>
      <c r="DU468" s="107"/>
      <c r="DV468" s="107"/>
      <c r="DW468" s="107"/>
    </row>
    <row r="469" spans="1:127" ht="16.5">
      <c r="A469"/>
      <c r="B469"/>
      <c r="C469" s="85"/>
      <c r="D469" s="107"/>
      <c r="E469" s="107"/>
      <c r="F469" s="107"/>
      <c r="G469" s="107"/>
      <c r="H469" s="107"/>
      <c r="I469" s="340"/>
      <c r="J469" s="340"/>
      <c r="K469" s="340"/>
      <c r="L469" s="340"/>
      <c r="M469" s="340"/>
      <c r="N469" s="340"/>
      <c r="O469" s="340"/>
      <c r="P469" s="340"/>
      <c r="Q469" s="340"/>
      <c r="S469"/>
      <c r="T469"/>
      <c r="U469" s="85"/>
      <c r="V469" s="107"/>
      <c r="W469" s="107"/>
      <c r="X469" s="107"/>
      <c r="Y469" s="107"/>
      <c r="Z469" s="107"/>
      <c r="AK469"/>
      <c r="AL469" s="85"/>
      <c r="AM469" s="85"/>
      <c r="AN469" s="107"/>
      <c r="AO469" s="107"/>
      <c r="AP469" s="107"/>
      <c r="AQ469" s="107"/>
      <c r="AR469" s="107"/>
      <c r="BO469"/>
      <c r="BP469" s="85"/>
      <c r="BQ469" s="85"/>
      <c r="BR469" s="107"/>
      <c r="BS469" s="107"/>
      <c r="BT469" s="107"/>
      <c r="BU469" s="107"/>
      <c r="BV469" s="107"/>
      <c r="CS469"/>
      <c r="CT469" s="85"/>
      <c r="CU469" s="85"/>
      <c r="CV469" s="107"/>
      <c r="CW469" s="107"/>
      <c r="CX469" s="107"/>
      <c r="CY469" s="107"/>
      <c r="CZ469" s="107"/>
      <c r="DP469"/>
      <c r="DQ469" s="85"/>
      <c r="DR469" s="85"/>
      <c r="DS469" s="107"/>
      <c r="DT469" s="107"/>
      <c r="DU469" s="107"/>
      <c r="DV469" s="107"/>
      <c r="DW469" s="107"/>
    </row>
    <row r="470" spans="1:127" ht="16.5">
      <c r="A470"/>
      <c r="B470"/>
      <c r="C470" s="85"/>
      <c r="D470" s="107"/>
      <c r="E470" s="107"/>
      <c r="F470" s="107"/>
      <c r="G470" s="107"/>
      <c r="H470" s="107"/>
      <c r="I470" s="340"/>
      <c r="J470" s="340"/>
      <c r="K470" s="340"/>
      <c r="L470" s="340"/>
      <c r="M470" s="340"/>
      <c r="N470" s="340"/>
      <c r="O470" s="340"/>
      <c r="P470" s="340"/>
      <c r="Q470" s="340"/>
      <c r="S470"/>
      <c r="T470"/>
      <c r="U470" s="85"/>
      <c r="V470" s="107"/>
      <c r="W470" s="107"/>
      <c r="X470" s="107"/>
      <c r="Y470" s="107"/>
      <c r="Z470" s="107"/>
      <c r="AK470"/>
      <c r="AL470" s="85"/>
      <c r="AM470" s="85"/>
      <c r="AN470" s="107"/>
      <c r="AO470" s="107"/>
      <c r="AP470" s="107"/>
      <c r="AQ470" s="107"/>
      <c r="AR470" s="107"/>
      <c r="BO470"/>
      <c r="BP470" s="85"/>
      <c r="BQ470" s="85"/>
      <c r="BR470" s="107"/>
      <c r="BS470" s="107"/>
      <c r="BT470" s="107"/>
      <c r="BU470" s="107"/>
      <c r="BV470" s="107"/>
      <c r="CS470"/>
      <c r="CT470" s="85"/>
      <c r="CU470" s="85"/>
      <c r="CV470" s="107"/>
      <c r="CW470" s="107"/>
      <c r="CX470" s="107"/>
      <c r="CY470" s="107"/>
      <c r="CZ470" s="107"/>
      <c r="DP470"/>
      <c r="DQ470" s="85"/>
      <c r="DR470" s="85"/>
      <c r="DS470" s="107"/>
      <c r="DT470" s="107"/>
      <c r="DU470" s="107"/>
      <c r="DV470" s="107"/>
      <c r="DW470" s="107"/>
    </row>
    <row r="471" spans="1:127" ht="16.5">
      <c r="A471"/>
      <c r="B471"/>
      <c r="C471" s="85"/>
      <c r="D471" s="107"/>
      <c r="E471" s="107"/>
      <c r="F471" s="107"/>
      <c r="G471" s="107"/>
      <c r="H471" s="107"/>
      <c r="I471" s="340"/>
      <c r="J471" s="340"/>
      <c r="K471" s="340"/>
      <c r="L471" s="340"/>
      <c r="M471" s="340"/>
      <c r="N471" s="340"/>
      <c r="O471" s="340"/>
      <c r="P471" s="340"/>
      <c r="Q471" s="340"/>
      <c r="S471"/>
      <c r="T471"/>
      <c r="U471" s="85"/>
      <c r="V471" s="107"/>
      <c r="W471" s="107"/>
      <c r="X471" s="107"/>
      <c r="Y471" s="107"/>
      <c r="Z471" s="107"/>
      <c r="AK471"/>
      <c r="AL471" s="85"/>
      <c r="AM471" s="85"/>
      <c r="AN471" s="107"/>
      <c r="AO471" s="107"/>
      <c r="AP471" s="107"/>
      <c r="AQ471" s="107"/>
      <c r="AR471" s="107"/>
      <c r="BO471"/>
      <c r="BP471" s="85"/>
      <c r="BQ471" s="85"/>
      <c r="BR471" s="107"/>
      <c r="BS471" s="107"/>
      <c r="BT471" s="107"/>
      <c r="BU471" s="107"/>
      <c r="BV471" s="107"/>
      <c r="CS471"/>
      <c r="CT471" s="85"/>
      <c r="CU471" s="85"/>
      <c r="CV471" s="107"/>
      <c r="CW471" s="107"/>
      <c r="CX471" s="107"/>
      <c r="CY471" s="107"/>
      <c r="CZ471" s="107"/>
      <c r="DP471"/>
      <c r="DQ471" s="85"/>
      <c r="DR471" s="85"/>
      <c r="DS471" s="107"/>
      <c r="DT471" s="107"/>
      <c r="DU471" s="107"/>
      <c r="DV471" s="107"/>
      <c r="DW471" s="107"/>
    </row>
    <row r="472" spans="1:127" ht="16.5">
      <c r="A472"/>
      <c r="B472"/>
      <c r="C472" s="85"/>
      <c r="D472" s="107"/>
      <c r="E472" s="107"/>
      <c r="F472" s="107"/>
      <c r="G472" s="107"/>
      <c r="H472" s="107"/>
      <c r="I472" s="340"/>
      <c r="J472" s="340"/>
      <c r="K472" s="340"/>
      <c r="L472" s="340"/>
      <c r="M472" s="340"/>
      <c r="N472" s="340"/>
      <c r="O472" s="340"/>
      <c r="P472" s="340"/>
      <c r="Q472" s="340"/>
      <c r="S472"/>
      <c r="T472"/>
      <c r="U472" s="85"/>
      <c r="V472" s="107"/>
      <c r="W472" s="107"/>
      <c r="X472" s="107"/>
      <c r="Y472" s="107"/>
      <c r="Z472" s="107"/>
      <c r="AK472"/>
      <c r="AL472" s="85"/>
      <c r="AM472" s="85"/>
      <c r="AN472" s="107"/>
      <c r="AO472" s="107"/>
      <c r="AP472" s="107"/>
      <c r="AQ472" s="107"/>
      <c r="AR472" s="107"/>
      <c r="BO472"/>
      <c r="BP472" s="85"/>
      <c r="BQ472" s="85"/>
      <c r="BR472" s="107"/>
      <c r="BS472" s="107"/>
      <c r="BT472" s="107"/>
      <c r="BU472" s="107"/>
      <c r="BV472" s="107"/>
      <c r="CS472"/>
      <c r="CT472" s="85"/>
      <c r="CU472" s="85"/>
      <c r="CV472" s="107"/>
      <c r="CW472" s="107"/>
      <c r="CX472" s="107"/>
      <c r="CY472" s="107"/>
      <c r="CZ472" s="107"/>
      <c r="DP472"/>
      <c r="DQ472" s="85"/>
      <c r="DR472" s="85"/>
      <c r="DS472" s="107"/>
      <c r="DT472" s="107"/>
      <c r="DU472" s="107"/>
      <c r="DV472" s="107"/>
      <c r="DW472" s="107"/>
    </row>
    <row r="473" spans="1:127" ht="16.5">
      <c r="A473"/>
      <c r="B473"/>
      <c r="C473" s="85"/>
      <c r="D473" s="107"/>
      <c r="E473" s="107"/>
      <c r="F473" s="107"/>
      <c r="G473" s="107"/>
      <c r="H473" s="107"/>
      <c r="I473" s="340"/>
      <c r="J473" s="340"/>
      <c r="K473" s="340"/>
      <c r="L473" s="340"/>
      <c r="M473" s="340"/>
      <c r="N473" s="340"/>
      <c r="O473" s="340"/>
      <c r="P473" s="340"/>
      <c r="Q473" s="340"/>
      <c r="S473"/>
      <c r="T473"/>
      <c r="U473" s="85"/>
      <c r="V473" s="107"/>
      <c r="W473" s="107"/>
      <c r="X473" s="107"/>
      <c r="Y473" s="107"/>
      <c r="Z473" s="107"/>
      <c r="AK473"/>
      <c r="AL473" s="85"/>
      <c r="AM473" s="85"/>
      <c r="AN473" s="107"/>
      <c r="AO473" s="107"/>
      <c r="AP473" s="107"/>
      <c r="AQ473" s="107"/>
      <c r="AR473" s="107"/>
      <c r="BO473"/>
      <c r="BP473" s="85"/>
      <c r="BQ473" s="85"/>
      <c r="BR473" s="107"/>
      <c r="BS473" s="107"/>
      <c r="BT473" s="107"/>
      <c r="BU473" s="107"/>
      <c r="BV473" s="107"/>
      <c r="CS473"/>
      <c r="CT473" s="85"/>
      <c r="CU473" s="85"/>
      <c r="CV473" s="107"/>
      <c r="CW473" s="107"/>
      <c r="CX473" s="107"/>
      <c r="CY473" s="107"/>
      <c r="CZ473" s="107"/>
      <c r="DP473"/>
      <c r="DQ473" s="85"/>
      <c r="DR473" s="85"/>
      <c r="DS473" s="107"/>
      <c r="DT473" s="107"/>
      <c r="DU473" s="107"/>
      <c r="DV473" s="107"/>
      <c r="DW473" s="107"/>
    </row>
    <row r="474" spans="1:127" ht="16.5">
      <c r="A474"/>
      <c r="B474"/>
      <c r="C474" s="85"/>
      <c r="D474" s="107"/>
      <c r="E474" s="107"/>
      <c r="F474" s="107"/>
      <c r="G474" s="107"/>
      <c r="H474" s="107"/>
      <c r="I474" s="340"/>
      <c r="J474" s="340"/>
      <c r="K474" s="340"/>
      <c r="L474" s="340"/>
      <c r="M474" s="340"/>
      <c r="N474" s="340"/>
      <c r="O474" s="340"/>
      <c r="P474" s="340"/>
      <c r="Q474" s="340"/>
      <c r="S474"/>
      <c r="T474"/>
      <c r="U474" s="85"/>
      <c r="V474" s="107"/>
      <c r="W474" s="107"/>
      <c r="X474" s="107"/>
      <c r="Y474" s="107"/>
      <c r="Z474" s="107"/>
      <c r="AK474"/>
      <c r="AL474" s="85"/>
      <c r="AM474" s="85"/>
      <c r="AN474" s="107"/>
      <c r="AO474" s="107"/>
      <c r="AP474" s="107"/>
      <c r="AQ474" s="107"/>
      <c r="AR474" s="107"/>
      <c r="BO474"/>
      <c r="BP474" s="85"/>
      <c r="BQ474" s="85"/>
      <c r="BR474" s="107"/>
      <c r="BS474" s="107"/>
      <c r="BT474" s="107"/>
      <c r="BU474" s="107"/>
      <c r="BV474" s="107"/>
      <c r="CS474"/>
      <c r="CT474" s="85"/>
      <c r="CU474" s="85"/>
      <c r="CV474" s="107"/>
      <c r="CW474" s="107"/>
      <c r="CX474" s="107"/>
      <c r="CY474" s="107"/>
      <c r="CZ474" s="107"/>
      <c r="DP474"/>
      <c r="DQ474" s="85"/>
      <c r="DR474" s="85"/>
      <c r="DS474" s="107"/>
      <c r="DT474" s="107"/>
      <c r="DU474" s="107"/>
      <c r="DV474" s="107"/>
      <c r="DW474" s="107"/>
    </row>
    <row r="475" spans="1:127" ht="16.5">
      <c r="A475"/>
      <c r="B475"/>
      <c r="C475" s="85"/>
      <c r="D475" s="107"/>
      <c r="E475" s="107"/>
      <c r="F475" s="107"/>
      <c r="G475" s="107"/>
      <c r="H475" s="107"/>
      <c r="I475" s="340"/>
      <c r="J475" s="340"/>
      <c r="K475" s="340"/>
      <c r="L475" s="340"/>
      <c r="M475" s="340"/>
      <c r="N475" s="340"/>
      <c r="O475" s="340"/>
      <c r="P475" s="340"/>
      <c r="Q475" s="340"/>
      <c r="S475"/>
      <c r="T475"/>
      <c r="U475" s="85"/>
      <c r="V475" s="107"/>
      <c r="W475" s="107"/>
      <c r="X475" s="107"/>
      <c r="Y475" s="107"/>
      <c r="Z475" s="107"/>
      <c r="AK475"/>
      <c r="AL475" s="85"/>
      <c r="AM475" s="85"/>
      <c r="AN475" s="107"/>
      <c r="AO475" s="107"/>
      <c r="AP475" s="107"/>
      <c r="AQ475" s="107"/>
      <c r="AR475" s="107"/>
      <c r="BO475"/>
      <c r="BP475" s="85"/>
      <c r="BQ475" s="85"/>
      <c r="BR475" s="107"/>
      <c r="BS475" s="107"/>
      <c r="BT475" s="107"/>
      <c r="BU475" s="107"/>
      <c r="BV475" s="107"/>
      <c r="CS475"/>
      <c r="CT475" s="85"/>
      <c r="CU475" s="85"/>
      <c r="CV475" s="107"/>
      <c r="CW475" s="107"/>
      <c r="CX475" s="107"/>
      <c r="CY475" s="107"/>
      <c r="CZ475" s="107"/>
      <c r="DP475"/>
      <c r="DQ475" s="85"/>
      <c r="DR475" s="85"/>
      <c r="DS475" s="107"/>
      <c r="DT475" s="107"/>
      <c r="DU475" s="107"/>
      <c r="DV475" s="107"/>
      <c r="DW475" s="107"/>
    </row>
    <row r="476" spans="1:127" ht="16.5">
      <c r="A476"/>
      <c r="B476"/>
      <c r="C476" s="85"/>
      <c r="D476" s="107"/>
      <c r="E476" s="107"/>
      <c r="F476" s="107"/>
      <c r="G476" s="107"/>
      <c r="H476" s="107"/>
      <c r="I476" s="340"/>
      <c r="J476" s="340"/>
      <c r="K476" s="340"/>
      <c r="L476" s="340"/>
      <c r="M476" s="340"/>
      <c r="N476" s="340"/>
      <c r="O476" s="340"/>
      <c r="P476" s="340"/>
      <c r="Q476" s="340"/>
      <c r="S476"/>
      <c r="T476"/>
      <c r="U476" s="85"/>
      <c r="V476" s="107"/>
      <c r="W476" s="107"/>
      <c r="X476" s="107"/>
      <c r="Y476" s="107"/>
      <c r="Z476" s="107"/>
      <c r="AK476"/>
      <c r="AL476" s="85"/>
      <c r="AM476" s="85"/>
      <c r="AN476" s="107"/>
      <c r="AO476" s="107"/>
      <c r="AP476" s="107"/>
      <c r="AQ476" s="107"/>
      <c r="AR476" s="107"/>
      <c r="BO476"/>
      <c r="BP476" s="85"/>
      <c r="BQ476" s="85"/>
      <c r="BR476" s="107"/>
      <c r="BS476" s="107"/>
      <c r="BT476" s="107"/>
      <c r="BU476" s="107"/>
      <c r="BV476" s="107"/>
      <c r="CS476"/>
      <c r="CT476" s="85"/>
      <c r="CU476" s="85"/>
      <c r="CV476" s="107"/>
      <c r="CW476" s="107"/>
      <c r="CX476" s="107"/>
      <c r="CY476" s="107"/>
      <c r="CZ476" s="107"/>
      <c r="DP476"/>
      <c r="DQ476" s="85"/>
      <c r="DR476" s="85"/>
      <c r="DS476" s="107"/>
      <c r="DT476" s="107"/>
      <c r="DU476" s="107"/>
      <c r="DV476" s="107"/>
      <c r="DW476" s="107"/>
    </row>
    <row r="477" spans="1:127" ht="16.5">
      <c r="A477"/>
      <c r="B477"/>
      <c r="C477" s="85"/>
      <c r="D477" s="107"/>
      <c r="E477" s="107"/>
      <c r="F477" s="107"/>
      <c r="G477" s="107"/>
      <c r="H477" s="107"/>
      <c r="I477" s="340"/>
      <c r="J477" s="340"/>
      <c r="K477" s="340"/>
      <c r="L477" s="340"/>
      <c r="M477" s="340"/>
      <c r="N477" s="340"/>
      <c r="O477" s="340"/>
      <c r="P477" s="340"/>
      <c r="Q477" s="340"/>
      <c r="S477"/>
      <c r="T477"/>
      <c r="U477" s="85"/>
      <c r="V477" s="107"/>
      <c r="W477" s="107"/>
      <c r="X477" s="107"/>
      <c r="Y477" s="107"/>
      <c r="Z477" s="107"/>
      <c r="AK477"/>
      <c r="AL477" s="85"/>
      <c r="AM477" s="85"/>
      <c r="AN477" s="107"/>
      <c r="AO477" s="107"/>
      <c r="AP477" s="107"/>
      <c r="AQ477" s="107"/>
      <c r="AR477" s="107"/>
      <c r="BO477"/>
      <c r="BP477" s="85"/>
      <c r="BQ477" s="85"/>
      <c r="BR477" s="107"/>
      <c r="BS477" s="107"/>
      <c r="BT477" s="107"/>
      <c r="BU477" s="107"/>
      <c r="BV477" s="107"/>
      <c r="CS477"/>
      <c r="CT477" s="85"/>
      <c r="CU477" s="85"/>
      <c r="CV477" s="107"/>
      <c r="CW477" s="107"/>
      <c r="CX477" s="107"/>
      <c r="CY477" s="107"/>
      <c r="CZ477" s="107"/>
      <c r="DP477"/>
      <c r="DQ477" s="85"/>
      <c r="DR477" s="85"/>
      <c r="DS477" s="107"/>
      <c r="DT477" s="107"/>
      <c r="DU477" s="107"/>
      <c r="DV477" s="107"/>
      <c r="DW477" s="107"/>
    </row>
    <row r="478" spans="1:127" ht="16.5">
      <c r="A478"/>
      <c r="B478"/>
      <c r="C478" s="85"/>
      <c r="D478" s="107"/>
      <c r="E478" s="107"/>
      <c r="F478" s="107"/>
      <c r="G478" s="107"/>
      <c r="H478" s="107"/>
      <c r="I478" s="340"/>
      <c r="J478" s="340"/>
      <c r="K478" s="340"/>
      <c r="L478" s="340"/>
      <c r="M478" s="340"/>
      <c r="N478" s="340"/>
      <c r="O478" s="340"/>
      <c r="P478" s="340"/>
      <c r="Q478" s="340"/>
      <c r="S478"/>
      <c r="T478"/>
      <c r="U478" s="85"/>
      <c r="V478" s="107"/>
      <c r="W478" s="107"/>
      <c r="X478" s="107"/>
      <c r="Y478" s="107"/>
      <c r="Z478" s="107"/>
      <c r="AK478"/>
      <c r="AL478" s="85"/>
      <c r="AM478" s="85"/>
      <c r="AN478" s="107"/>
      <c r="AO478" s="107"/>
      <c r="AP478" s="107"/>
      <c r="AQ478" s="107"/>
      <c r="AR478" s="107"/>
      <c r="BO478"/>
      <c r="BP478" s="85"/>
      <c r="BQ478" s="85"/>
      <c r="BR478" s="107"/>
      <c r="BS478" s="107"/>
      <c r="BT478" s="107"/>
      <c r="BU478" s="107"/>
      <c r="BV478" s="107"/>
      <c r="CS478"/>
      <c r="CT478" s="85"/>
      <c r="CU478" s="85"/>
      <c r="CV478" s="107"/>
      <c r="CW478" s="107"/>
      <c r="CX478" s="107"/>
      <c r="CY478" s="107"/>
      <c r="CZ478" s="107"/>
      <c r="DP478"/>
      <c r="DQ478" s="85"/>
      <c r="DR478" s="85"/>
      <c r="DS478" s="107"/>
      <c r="DT478" s="107"/>
      <c r="DU478" s="107"/>
      <c r="DV478" s="107"/>
      <c r="DW478" s="107"/>
    </row>
    <row r="479" spans="1:127" ht="16.5">
      <c r="A479"/>
      <c r="B479"/>
      <c r="C479" s="85"/>
      <c r="D479" s="107"/>
      <c r="E479" s="107"/>
      <c r="F479" s="107"/>
      <c r="G479" s="107"/>
      <c r="H479" s="107"/>
      <c r="I479" s="340"/>
      <c r="J479" s="340"/>
      <c r="K479" s="340"/>
      <c r="L479" s="340"/>
      <c r="M479" s="340"/>
      <c r="N479" s="340"/>
      <c r="O479" s="340"/>
      <c r="P479" s="340"/>
      <c r="Q479" s="340"/>
      <c r="S479"/>
      <c r="T479"/>
      <c r="U479" s="85"/>
      <c r="V479" s="107"/>
      <c r="W479" s="107"/>
      <c r="X479" s="107"/>
      <c r="Y479" s="107"/>
      <c r="Z479" s="107"/>
      <c r="AK479"/>
      <c r="AL479" s="85"/>
      <c r="AM479" s="85"/>
      <c r="AN479" s="107"/>
      <c r="AO479" s="107"/>
      <c r="AP479" s="107"/>
      <c r="AQ479" s="107"/>
      <c r="AR479" s="107"/>
      <c r="BO479"/>
      <c r="BP479" s="85"/>
      <c r="BQ479" s="85"/>
      <c r="BR479" s="107"/>
      <c r="BS479" s="107"/>
      <c r="BT479" s="107"/>
      <c r="BU479" s="107"/>
      <c r="BV479" s="107"/>
      <c r="CS479"/>
      <c r="CT479" s="85"/>
      <c r="CU479" s="85"/>
      <c r="CV479" s="107"/>
      <c r="CW479" s="107"/>
      <c r="CX479" s="107"/>
      <c r="CY479" s="107"/>
      <c r="CZ479" s="107"/>
      <c r="DP479"/>
      <c r="DQ479" s="85"/>
      <c r="DR479" s="85"/>
      <c r="DS479" s="107"/>
      <c r="DT479" s="107"/>
      <c r="DU479" s="107"/>
      <c r="DV479" s="107"/>
      <c r="DW479" s="107"/>
    </row>
    <row r="480" spans="1:127" ht="16.5">
      <c r="A480"/>
      <c r="B480"/>
      <c r="C480" s="85"/>
      <c r="D480" s="107"/>
      <c r="E480" s="107"/>
      <c r="F480" s="107"/>
      <c r="G480" s="107"/>
      <c r="H480" s="107"/>
      <c r="I480" s="340"/>
      <c r="J480" s="340"/>
      <c r="K480" s="340"/>
      <c r="L480" s="340"/>
      <c r="M480" s="340"/>
      <c r="N480" s="340"/>
      <c r="O480" s="340"/>
      <c r="P480" s="340"/>
      <c r="Q480" s="340"/>
      <c r="S480"/>
      <c r="T480"/>
      <c r="U480" s="85"/>
      <c r="V480" s="107"/>
      <c r="W480" s="107"/>
      <c r="X480" s="107"/>
      <c r="Y480" s="107"/>
      <c r="Z480" s="107"/>
      <c r="AK480"/>
      <c r="AL480" s="85"/>
      <c r="AM480" s="85"/>
      <c r="AN480" s="107"/>
      <c r="AO480" s="107"/>
      <c r="AP480" s="107"/>
      <c r="AQ480" s="107"/>
      <c r="AR480" s="107"/>
      <c r="BO480"/>
      <c r="BP480" s="85"/>
      <c r="BQ480" s="85"/>
      <c r="BR480" s="107"/>
      <c r="BS480" s="107"/>
      <c r="BT480" s="107"/>
      <c r="BU480" s="107"/>
      <c r="BV480" s="107"/>
      <c r="CS480"/>
      <c r="CT480" s="85"/>
      <c r="CU480" s="85"/>
      <c r="CV480" s="107"/>
      <c r="CW480" s="107"/>
      <c r="CX480" s="107"/>
      <c r="CY480" s="107"/>
      <c r="CZ480" s="107"/>
      <c r="DP480"/>
      <c r="DQ480" s="85"/>
      <c r="DR480" s="85"/>
      <c r="DS480" s="107"/>
      <c r="DT480" s="107"/>
      <c r="DU480" s="107"/>
      <c r="DV480" s="107"/>
      <c r="DW480" s="107"/>
    </row>
    <row r="481" spans="1:127" ht="16.5">
      <c r="A481"/>
      <c r="B481"/>
      <c r="C481" s="85"/>
      <c r="D481" s="107"/>
      <c r="E481" s="107"/>
      <c r="F481" s="107"/>
      <c r="G481" s="107"/>
      <c r="H481" s="107"/>
      <c r="I481" s="340"/>
      <c r="J481" s="340"/>
      <c r="K481" s="340"/>
      <c r="L481" s="340"/>
      <c r="M481" s="340"/>
      <c r="N481" s="340"/>
      <c r="O481" s="340"/>
      <c r="P481" s="340"/>
      <c r="Q481" s="340"/>
      <c r="S481"/>
      <c r="T481"/>
      <c r="U481" s="85"/>
      <c r="V481" s="107"/>
      <c r="W481" s="107"/>
      <c r="X481" s="107"/>
      <c r="Y481" s="107"/>
      <c r="Z481" s="107"/>
      <c r="AK481"/>
      <c r="AL481" s="85"/>
      <c r="AM481" s="85"/>
      <c r="AN481" s="107"/>
      <c r="AO481" s="107"/>
      <c r="AP481" s="107"/>
      <c r="AQ481" s="107"/>
      <c r="AR481" s="107"/>
      <c r="BO481"/>
      <c r="BP481" s="85"/>
      <c r="BQ481" s="85"/>
      <c r="BR481" s="107"/>
      <c r="BS481" s="107"/>
      <c r="BT481" s="107"/>
      <c r="BU481" s="107"/>
      <c r="BV481" s="107"/>
      <c r="CS481"/>
      <c r="CT481" s="85"/>
      <c r="CU481" s="85"/>
      <c r="CV481" s="107"/>
      <c r="CW481" s="107"/>
      <c r="CX481" s="107"/>
      <c r="CY481" s="107"/>
      <c r="CZ481" s="107"/>
      <c r="DP481"/>
      <c r="DQ481" s="85"/>
      <c r="DR481" s="85"/>
      <c r="DS481" s="107"/>
      <c r="DT481" s="107"/>
      <c r="DU481" s="107"/>
      <c r="DV481" s="107"/>
      <c r="DW481" s="107"/>
    </row>
    <row r="482" spans="1:127" ht="16.5">
      <c r="A482"/>
      <c r="B482"/>
      <c r="C482" s="85"/>
      <c r="D482" s="107"/>
      <c r="E482" s="107"/>
      <c r="F482" s="107"/>
      <c r="G482" s="107"/>
      <c r="H482" s="107"/>
      <c r="I482" s="340"/>
      <c r="J482" s="340"/>
      <c r="K482" s="340"/>
      <c r="L482" s="340"/>
      <c r="M482" s="340"/>
      <c r="N482" s="340"/>
      <c r="O482" s="340"/>
      <c r="P482" s="340"/>
      <c r="Q482" s="340"/>
      <c r="S482"/>
      <c r="T482"/>
      <c r="U482" s="85"/>
      <c r="V482" s="107"/>
      <c r="W482" s="107"/>
      <c r="X482" s="107"/>
      <c r="Y482" s="107"/>
      <c r="Z482" s="107"/>
      <c r="AK482"/>
      <c r="AL482" s="85"/>
      <c r="AM482" s="85"/>
      <c r="AN482" s="107"/>
      <c r="AO482" s="107"/>
      <c r="AP482" s="107"/>
      <c r="AQ482" s="107"/>
      <c r="AR482" s="107"/>
      <c r="BO482"/>
      <c r="BP482" s="85"/>
      <c r="BQ482" s="85"/>
      <c r="BR482" s="107"/>
      <c r="BS482" s="107"/>
      <c r="BT482" s="107"/>
      <c r="BU482" s="107"/>
      <c r="BV482" s="107"/>
      <c r="CS482"/>
      <c r="CT482" s="85"/>
      <c r="CU482" s="85"/>
      <c r="CV482" s="107"/>
      <c r="CW482" s="107"/>
      <c r="CX482" s="107"/>
      <c r="CY482" s="107"/>
      <c r="CZ482" s="107"/>
      <c r="DP482"/>
      <c r="DQ482" s="85"/>
      <c r="DR482" s="85"/>
      <c r="DS482" s="107"/>
      <c r="DT482" s="107"/>
      <c r="DU482" s="107"/>
      <c r="DV482" s="107"/>
      <c r="DW482" s="107"/>
    </row>
    <row r="483" spans="1:127" ht="16.5">
      <c r="A483"/>
      <c r="B483"/>
      <c r="C483" s="85"/>
      <c r="D483" s="107"/>
      <c r="E483" s="107"/>
      <c r="F483" s="107"/>
      <c r="G483" s="107"/>
      <c r="H483" s="107"/>
      <c r="I483" s="340"/>
      <c r="J483" s="340"/>
      <c r="K483" s="340"/>
      <c r="L483" s="340"/>
      <c r="M483" s="340"/>
      <c r="N483" s="340"/>
      <c r="O483" s="340"/>
      <c r="P483" s="340"/>
      <c r="Q483" s="340"/>
      <c r="S483"/>
      <c r="T483"/>
      <c r="U483" s="85"/>
      <c r="V483" s="107"/>
      <c r="W483" s="107"/>
      <c r="X483" s="107"/>
      <c r="Y483" s="107"/>
      <c r="Z483" s="107"/>
      <c r="AK483"/>
      <c r="AL483" s="85"/>
      <c r="AM483" s="85"/>
      <c r="AN483" s="107"/>
      <c r="AO483" s="107"/>
      <c r="AP483" s="107"/>
      <c r="AQ483" s="107"/>
      <c r="AR483" s="107"/>
      <c r="BO483"/>
      <c r="BP483" s="85"/>
      <c r="BQ483" s="85"/>
      <c r="BR483" s="107"/>
      <c r="BS483" s="107"/>
      <c r="BT483" s="107"/>
      <c r="BU483" s="107"/>
      <c r="BV483" s="107"/>
      <c r="CS483"/>
      <c r="CT483" s="85"/>
      <c r="CU483" s="85"/>
      <c r="CV483" s="107"/>
      <c r="CW483" s="107"/>
      <c r="CX483" s="107"/>
      <c r="CY483" s="107"/>
      <c r="CZ483" s="107"/>
      <c r="DP483"/>
      <c r="DQ483" s="85"/>
      <c r="DR483" s="85"/>
      <c r="DS483" s="107"/>
      <c r="DT483" s="107"/>
      <c r="DU483" s="107"/>
      <c r="DV483" s="107"/>
      <c r="DW483" s="107"/>
    </row>
    <row r="484" spans="1:127" ht="16.5">
      <c r="A484"/>
      <c r="B484"/>
      <c r="C484" s="85"/>
      <c r="D484" s="107"/>
      <c r="E484" s="107"/>
      <c r="F484" s="107"/>
      <c r="G484" s="107"/>
      <c r="H484" s="107"/>
      <c r="I484" s="340"/>
      <c r="J484" s="340"/>
      <c r="K484" s="340"/>
      <c r="L484" s="340"/>
      <c r="M484" s="340"/>
      <c r="N484" s="340"/>
      <c r="O484" s="340"/>
      <c r="P484" s="340"/>
      <c r="Q484" s="340"/>
      <c r="S484"/>
      <c r="T484"/>
      <c r="U484" s="85"/>
      <c r="V484" s="107"/>
      <c r="W484" s="107"/>
      <c r="X484" s="107"/>
      <c r="Y484" s="107"/>
      <c r="Z484" s="107"/>
      <c r="AK484"/>
      <c r="AL484" s="85"/>
      <c r="AM484" s="85"/>
      <c r="AN484" s="107"/>
      <c r="AO484" s="107"/>
      <c r="AP484" s="107"/>
      <c r="AQ484" s="107"/>
      <c r="AR484" s="107"/>
      <c r="BO484"/>
      <c r="BP484" s="85"/>
      <c r="BQ484" s="85"/>
      <c r="BR484" s="107"/>
      <c r="BS484" s="107"/>
      <c r="BT484" s="107"/>
      <c r="BU484" s="107"/>
      <c r="BV484" s="107"/>
      <c r="CS484"/>
      <c r="CT484" s="85"/>
      <c r="CU484" s="85"/>
      <c r="CV484" s="107"/>
      <c r="CW484" s="107"/>
      <c r="CX484" s="107"/>
      <c r="CY484" s="107"/>
      <c r="CZ484" s="107"/>
      <c r="DP484"/>
      <c r="DQ484" s="85"/>
      <c r="DR484" s="85"/>
      <c r="DS484" s="107"/>
      <c r="DT484" s="107"/>
      <c r="DU484" s="107"/>
      <c r="DV484" s="107"/>
      <c r="DW484" s="107"/>
    </row>
    <row r="485" spans="1:127" ht="16.5">
      <c r="A485"/>
      <c r="B485"/>
      <c r="C485" s="85"/>
      <c r="D485" s="107"/>
      <c r="E485" s="107"/>
      <c r="F485" s="107"/>
      <c r="G485" s="107"/>
      <c r="H485" s="107"/>
      <c r="I485" s="340"/>
      <c r="J485" s="340"/>
      <c r="K485" s="340"/>
      <c r="L485" s="340"/>
      <c r="M485" s="340"/>
      <c r="N485" s="340"/>
      <c r="O485" s="340"/>
      <c r="P485" s="340"/>
      <c r="Q485" s="340"/>
      <c r="S485"/>
      <c r="T485"/>
      <c r="U485" s="85"/>
      <c r="V485" s="107"/>
      <c r="W485" s="107"/>
      <c r="X485" s="107"/>
      <c r="Y485" s="107"/>
      <c r="Z485" s="107"/>
      <c r="AK485"/>
      <c r="AL485" s="85"/>
      <c r="AM485" s="85"/>
      <c r="AN485" s="107"/>
      <c r="AO485" s="107"/>
      <c r="AP485" s="107"/>
      <c r="AQ485" s="107"/>
      <c r="AR485" s="107"/>
      <c r="BO485"/>
      <c r="BP485" s="85"/>
      <c r="BQ485" s="85"/>
      <c r="BR485" s="107"/>
      <c r="BS485" s="107"/>
      <c r="BT485" s="107"/>
      <c r="BU485" s="107"/>
      <c r="BV485" s="107"/>
      <c r="CS485"/>
      <c r="CT485" s="85"/>
      <c r="CU485" s="85"/>
      <c r="CV485" s="107"/>
      <c r="CW485" s="107"/>
      <c r="CX485" s="107"/>
      <c r="CY485" s="107"/>
      <c r="CZ485" s="107"/>
      <c r="DP485"/>
      <c r="DQ485" s="85"/>
      <c r="DR485" s="85"/>
      <c r="DS485" s="107"/>
      <c r="DT485" s="107"/>
      <c r="DU485" s="107"/>
      <c r="DV485" s="107"/>
      <c r="DW485" s="107"/>
    </row>
    <row r="486" spans="1:127" ht="16.5">
      <c r="A486"/>
      <c r="B486"/>
      <c r="C486" s="85"/>
      <c r="D486" s="107"/>
      <c r="E486" s="107"/>
      <c r="F486" s="107"/>
      <c r="G486" s="107"/>
      <c r="H486" s="107"/>
      <c r="I486" s="340"/>
      <c r="J486" s="340"/>
      <c r="K486" s="340"/>
      <c r="L486" s="340"/>
      <c r="M486" s="340"/>
      <c r="N486" s="340"/>
      <c r="O486" s="340"/>
      <c r="P486" s="340"/>
      <c r="Q486" s="340"/>
      <c r="S486"/>
      <c r="T486"/>
      <c r="U486" s="85"/>
      <c r="V486" s="107"/>
      <c r="W486" s="107"/>
      <c r="X486" s="107"/>
      <c r="Y486" s="107"/>
      <c r="Z486" s="107"/>
      <c r="AK486"/>
      <c r="AL486" s="85"/>
      <c r="AM486" s="85"/>
      <c r="AN486" s="107"/>
      <c r="AO486" s="107"/>
      <c r="AP486" s="107"/>
      <c r="AQ486" s="107"/>
      <c r="AR486" s="107"/>
      <c r="BO486"/>
      <c r="BP486" s="85"/>
      <c r="BQ486" s="85"/>
      <c r="BR486" s="107"/>
      <c r="BS486" s="107"/>
      <c r="BT486" s="107"/>
      <c r="BU486" s="107"/>
      <c r="BV486" s="107"/>
      <c r="CS486"/>
      <c r="CT486" s="85"/>
      <c r="CU486" s="85"/>
      <c r="CV486" s="107"/>
      <c r="CW486" s="107"/>
      <c r="CX486" s="107"/>
      <c r="CY486" s="107"/>
      <c r="CZ486" s="107"/>
      <c r="DP486"/>
      <c r="DQ486" s="85"/>
      <c r="DR486" s="85"/>
      <c r="DS486" s="107"/>
      <c r="DT486" s="107"/>
      <c r="DU486" s="107"/>
      <c r="DV486" s="107"/>
      <c r="DW486" s="107"/>
    </row>
    <row r="487" spans="1:127" ht="16.5">
      <c r="A487"/>
      <c r="B487"/>
      <c r="C487" s="85"/>
      <c r="D487" s="107"/>
      <c r="E487" s="107"/>
      <c r="F487" s="107"/>
      <c r="G487" s="107"/>
      <c r="H487" s="107"/>
      <c r="I487" s="340"/>
      <c r="J487" s="340"/>
      <c r="K487" s="340"/>
      <c r="L487" s="340"/>
      <c r="M487" s="340"/>
      <c r="N487" s="340"/>
      <c r="O487" s="340"/>
      <c r="P487" s="340"/>
      <c r="Q487" s="340"/>
      <c r="S487"/>
      <c r="T487"/>
      <c r="U487" s="85"/>
      <c r="V487" s="107"/>
      <c r="W487" s="107"/>
      <c r="X487" s="107"/>
      <c r="Y487" s="107"/>
      <c r="Z487" s="107"/>
      <c r="AK487"/>
      <c r="AL487" s="85"/>
      <c r="AM487" s="85"/>
      <c r="AN487" s="107"/>
      <c r="AO487" s="107"/>
      <c r="AP487" s="107"/>
      <c r="AQ487" s="107"/>
      <c r="AR487" s="107"/>
      <c r="BO487"/>
      <c r="BP487" s="85"/>
      <c r="BQ487" s="85"/>
      <c r="BR487" s="107"/>
      <c r="BS487" s="107"/>
      <c r="BT487" s="107"/>
      <c r="BU487" s="107"/>
      <c r="BV487" s="107"/>
      <c r="CS487"/>
      <c r="CT487" s="85"/>
      <c r="CU487" s="85"/>
      <c r="CV487" s="107"/>
      <c r="CW487" s="107"/>
      <c r="CX487" s="107"/>
      <c r="CY487" s="107"/>
      <c r="CZ487" s="107"/>
      <c r="DP487"/>
      <c r="DQ487" s="85"/>
      <c r="DR487" s="85"/>
      <c r="DS487" s="107"/>
      <c r="DT487" s="107"/>
      <c r="DU487" s="107"/>
      <c r="DV487" s="107"/>
      <c r="DW487" s="107"/>
    </row>
    <row r="488" spans="1:127" ht="16.5">
      <c r="A488"/>
      <c r="B488"/>
      <c r="C488" s="85"/>
      <c r="D488" s="107"/>
      <c r="E488" s="107"/>
      <c r="F488" s="107"/>
      <c r="G488" s="107"/>
      <c r="H488" s="107"/>
      <c r="I488" s="340"/>
      <c r="J488" s="340"/>
      <c r="K488" s="340"/>
      <c r="L488" s="340"/>
      <c r="M488" s="340"/>
      <c r="N488" s="340"/>
      <c r="O488" s="340"/>
      <c r="P488" s="340"/>
      <c r="Q488" s="340"/>
      <c r="S488"/>
      <c r="T488"/>
      <c r="U488" s="85"/>
      <c r="V488" s="107"/>
      <c r="W488" s="107"/>
      <c r="X488" s="107"/>
      <c r="Y488" s="107"/>
      <c r="Z488" s="107"/>
      <c r="AK488"/>
      <c r="AL488" s="85"/>
      <c r="AM488" s="85"/>
      <c r="AN488" s="107"/>
      <c r="AO488" s="107"/>
      <c r="AP488" s="107"/>
      <c r="AQ488" s="107"/>
      <c r="AR488" s="107"/>
      <c r="BO488"/>
      <c r="BP488" s="85"/>
      <c r="BQ488" s="85"/>
      <c r="BR488" s="107"/>
      <c r="BS488" s="107"/>
      <c r="BT488" s="107"/>
      <c r="BU488" s="107"/>
      <c r="BV488" s="107"/>
      <c r="CS488"/>
      <c r="CT488" s="85"/>
      <c r="CU488" s="85"/>
      <c r="CV488" s="107"/>
      <c r="CW488" s="107"/>
      <c r="CX488" s="107"/>
      <c r="CY488" s="107"/>
      <c r="CZ488" s="107"/>
      <c r="DP488"/>
      <c r="DQ488" s="85"/>
      <c r="DR488" s="85"/>
      <c r="DS488" s="107"/>
      <c r="DT488" s="107"/>
      <c r="DU488" s="107"/>
      <c r="DV488" s="107"/>
      <c r="DW488" s="107"/>
    </row>
    <row r="489" spans="1:127" ht="16.5">
      <c r="A489"/>
      <c r="B489"/>
      <c r="C489" s="85"/>
      <c r="D489" s="107"/>
      <c r="E489" s="107"/>
      <c r="F489" s="107"/>
      <c r="G489" s="107"/>
      <c r="H489" s="107"/>
      <c r="I489" s="340"/>
      <c r="J489" s="340"/>
      <c r="K489" s="340"/>
      <c r="L489" s="340"/>
      <c r="M489" s="340"/>
      <c r="N489" s="340"/>
      <c r="O489" s="340"/>
      <c r="P489" s="340"/>
      <c r="Q489" s="340"/>
      <c r="S489"/>
      <c r="T489"/>
      <c r="U489" s="85"/>
      <c r="V489" s="107"/>
      <c r="W489" s="107"/>
      <c r="X489" s="107"/>
      <c r="Y489" s="107"/>
      <c r="Z489" s="107"/>
      <c r="AK489"/>
      <c r="AL489" s="85"/>
      <c r="AM489" s="85"/>
      <c r="AN489" s="107"/>
      <c r="AO489" s="107"/>
      <c r="AP489" s="107"/>
      <c r="AQ489" s="107"/>
      <c r="AR489" s="107"/>
      <c r="BO489"/>
      <c r="BP489" s="85"/>
      <c r="BQ489" s="85"/>
      <c r="BR489" s="107"/>
      <c r="BS489" s="107"/>
      <c r="BT489" s="107"/>
      <c r="BU489" s="107"/>
      <c r="BV489" s="107"/>
      <c r="CS489"/>
      <c r="CT489" s="85"/>
      <c r="CU489" s="85"/>
      <c r="CV489" s="107"/>
      <c r="CW489" s="107"/>
      <c r="CX489" s="107"/>
      <c r="CY489" s="107"/>
      <c r="CZ489" s="107"/>
      <c r="DP489"/>
      <c r="DQ489" s="85"/>
      <c r="DR489" s="85"/>
      <c r="DS489" s="107"/>
      <c r="DT489" s="107"/>
      <c r="DU489" s="107"/>
      <c r="DV489" s="107"/>
      <c r="DW489" s="107"/>
    </row>
    <row r="490" spans="1:127" ht="16.5">
      <c r="A490"/>
      <c r="B490"/>
      <c r="C490" s="85"/>
      <c r="D490" s="107"/>
      <c r="E490" s="107"/>
      <c r="F490" s="107"/>
      <c r="G490" s="107"/>
      <c r="H490" s="107"/>
      <c r="I490" s="340"/>
      <c r="J490" s="340"/>
      <c r="K490" s="340"/>
      <c r="L490" s="340"/>
      <c r="M490" s="340"/>
      <c r="N490" s="340"/>
      <c r="O490" s="340"/>
      <c r="P490" s="340"/>
      <c r="Q490" s="340"/>
      <c r="S490"/>
      <c r="T490"/>
      <c r="U490" s="85"/>
      <c r="V490" s="107"/>
      <c r="W490" s="107"/>
      <c r="X490" s="107"/>
      <c r="Y490" s="107"/>
      <c r="Z490" s="107"/>
      <c r="AK490"/>
      <c r="AL490" s="85"/>
      <c r="AM490" s="85"/>
      <c r="AN490" s="107"/>
      <c r="AO490" s="107"/>
      <c r="AP490" s="107"/>
      <c r="AQ490" s="107"/>
      <c r="AR490" s="107"/>
      <c r="BO490"/>
      <c r="BP490" s="85"/>
      <c r="BQ490" s="85"/>
      <c r="BR490" s="107"/>
      <c r="BS490" s="107"/>
      <c r="BT490" s="107"/>
      <c r="BU490" s="107"/>
      <c r="BV490" s="107"/>
      <c r="CS490"/>
      <c r="CT490" s="85"/>
      <c r="CU490" s="85"/>
      <c r="CV490" s="107"/>
      <c r="CW490" s="107"/>
      <c r="CX490" s="107"/>
      <c r="CY490" s="107"/>
      <c r="CZ490" s="107"/>
      <c r="DP490"/>
      <c r="DQ490" s="85"/>
      <c r="DR490" s="85"/>
      <c r="DS490" s="107"/>
      <c r="DT490" s="107"/>
      <c r="DU490" s="107"/>
      <c r="DV490" s="107"/>
      <c r="DW490" s="107"/>
    </row>
    <row r="491" spans="1:127" ht="16.5">
      <c r="A491"/>
      <c r="B491"/>
      <c r="C491" s="85"/>
      <c r="D491" s="107"/>
      <c r="E491" s="107"/>
      <c r="F491" s="107"/>
      <c r="G491" s="107"/>
      <c r="H491" s="107"/>
      <c r="I491" s="340"/>
      <c r="J491" s="340"/>
      <c r="K491" s="340"/>
      <c r="L491" s="340"/>
      <c r="M491" s="340"/>
      <c r="N491" s="340"/>
      <c r="O491" s="340"/>
      <c r="P491" s="340"/>
      <c r="Q491" s="340"/>
      <c r="S491"/>
      <c r="T491"/>
      <c r="U491" s="85"/>
      <c r="V491" s="107"/>
      <c r="W491" s="107"/>
      <c r="X491" s="107"/>
      <c r="Y491" s="107"/>
      <c r="Z491" s="107"/>
      <c r="AK491"/>
      <c r="AL491" s="85"/>
      <c r="AM491" s="85"/>
      <c r="AN491" s="107"/>
      <c r="AO491" s="107"/>
      <c r="AP491" s="107"/>
      <c r="AQ491" s="107"/>
      <c r="AR491" s="107"/>
      <c r="BO491"/>
      <c r="BP491" s="85"/>
      <c r="BQ491" s="85"/>
      <c r="BR491" s="107"/>
      <c r="BS491" s="107"/>
      <c r="BT491" s="107"/>
      <c r="BU491" s="107"/>
      <c r="BV491" s="107"/>
      <c r="CS491"/>
      <c r="CT491" s="85"/>
      <c r="CU491" s="85"/>
      <c r="CV491" s="107"/>
      <c r="CW491" s="107"/>
      <c r="CX491" s="107"/>
      <c r="CY491" s="107"/>
      <c r="CZ491" s="107"/>
      <c r="DP491"/>
      <c r="DQ491" s="85"/>
      <c r="DR491" s="85"/>
      <c r="DS491" s="107"/>
      <c r="DT491" s="107"/>
      <c r="DU491" s="107"/>
      <c r="DV491" s="107"/>
      <c r="DW491" s="107"/>
    </row>
    <row r="492" spans="1:127" ht="16.5">
      <c r="A492"/>
      <c r="B492"/>
      <c r="C492" s="85"/>
      <c r="D492" s="107"/>
      <c r="E492" s="107"/>
      <c r="F492" s="107"/>
      <c r="G492" s="107"/>
      <c r="H492" s="107"/>
      <c r="I492" s="340"/>
      <c r="J492" s="340"/>
      <c r="K492" s="340"/>
      <c r="L492" s="340"/>
      <c r="M492" s="340"/>
      <c r="N492" s="340"/>
      <c r="O492" s="340"/>
      <c r="P492" s="340"/>
      <c r="Q492" s="340"/>
      <c r="S492"/>
      <c r="T492"/>
      <c r="U492" s="85"/>
      <c r="V492" s="107"/>
      <c r="W492" s="107"/>
      <c r="X492" s="107"/>
      <c r="Y492" s="107"/>
      <c r="Z492" s="107"/>
      <c r="AK492"/>
      <c r="AL492" s="85"/>
      <c r="AM492" s="85"/>
      <c r="AN492" s="107"/>
      <c r="AO492" s="107"/>
      <c r="AP492" s="107"/>
      <c r="AQ492" s="107"/>
      <c r="AR492" s="107"/>
      <c r="BO492"/>
      <c r="BP492" s="85"/>
      <c r="BQ492" s="85"/>
      <c r="BR492" s="107"/>
      <c r="BS492" s="107"/>
      <c r="BT492" s="107"/>
      <c r="BU492" s="107"/>
      <c r="BV492" s="107"/>
      <c r="CS492"/>
      <c r="CT492" s="85"/>
      <c r="CU492" s="85"/>
      <c r="CV492" s="107"/>
      <c r="CW492" s="107"/>
      <c r="CX492" s="107"/>
      <c r="CY492" s="107"/>
      <c r="CZ492" s="107"/>
      <c r="DP492"/>
      <c r="DQ492" s="85"/>
      <c r="DR492" s="85"/>
      <c r="DS492" s="107"/>
      <c r="DT492" s="107"/>
      <c r="DU492" s="107"/>
      <c r="DV492" s="107"/>
      <c r="DW492" s="107"/>
    </row>
    <row r="493" spans="1:127" ht="16.5">
      <c r="A493"/>
      <c r="B493"/>
      <c r="C493" s="85"/>
      <c r="D493" s="107"/>
      <c r="E493" s="107"/>
      <c r="F493" s="107"/>
      <c r="G493" s="107"/>
      <c r="H493" s="107"/>
      <c r="I493" s="340"/>
      <c r="J493" s="340"/>
      <c r="K493" s="340"/>
      <c r="L493" s="340"/>
      <c r="M493" s="340"/>
      <c r="N493" s="340"/>
      <c r="O493" s="340"/>
      <c r="P493" s="340"/>
      <c r="Q493" s="340"/>
      <c r="S493"/>
      <c r="T493"/>
      <c r="U493" s="85"/>
      <c r="V493" s="107"/>
      <c r="W493" s="107"/>
      <c r="X493" s="107"/>
      <c r="Y493" s="107"/>
      <c r="Z493" s="107"/>
      <c r="AK493"/>
      <c r="AL493" s="85"/>
      <c r="AM493" s="85"/>
      <c r="AN493" s="107"/>
      <c r="AO493" s="107"/>
      <c r="AP493" s="107"/>
      <c r="AQ493" s="107"/>
      <c r="AR493" s="107"/>
      <c r="BO493"/>
      <c r="BP493" s="85"/>
      <c r="BQ493" s="85"/>
      <c r="BR493" s="107"/>
      <c r="BS493" s="107"/>
      <c r="BT493" s="107"/>
      <c r="BU493" s="107"/>
      <c r="BV493" s="107"/>
      <c r="CS493"/>
      <c r="CT493" s="85"/>
      <c r="CU493" s="85"/>
      <c r="CV493" s="107"/>
      <c r="CW493" s="107"/>
      <c r="CX493" s="107"/>
      <c r="CY493" s="107"/>
      <c r="CZ493" s="107"/>
      <c r="DP493"/>
      <c r="DQ493" s="85"/>
      <c r="DR493" s="85"/>
      <c r="DS493" s="107"/>
      <c r="DT493" s="107"/>
      <c r="DU493" s="107"/>
      <c r="DV493" s="107"/>
      <c r="DW493" s="107"/>
    </row>
    <row r="494" spans="1:127" ht="16.5">
      <c r="A494"/>
      <c r="B494"/>
      <c r="C494" s="85"/>
      <c r="D494" s="107"/>
      <c r="E494" s="107"/>
      <c r="F494" s="107"/>
      <c r="G494" s="107"/>
      <c r="H494" s="107"/>
      <c r="I494" s="340"/>
      <c r="J494" s="340"/>
      <c r="K494" s="340"/>
      <c r="L494" s="340"/>
      <c r="M494" s="340"/>
      <c r="N494" s="340"/>
      <c r="O494" s="340"/>
      <c r="P494" s="340"/>
      <c r="Q494" s="340"/>
      <c r="S494"/>
      <c r="T494"/>
      <c r="U494" s="85"/>
      <c r="V494" s="107"/>
      <c r="W494" s="107"/>
      <c r="X494" s="107"/>
      <c r="Y494" s="107"/>
      <c r="Z494" s="107"/>
      <c r="AK494"/>
      <c r="AL494" s="85"/>
      <c r="AM494" s="85"/>
      <c r="AN494" s="107"/>
      <c r="AO494" s="107"/>
      <c r="AP494" s="107"/>
      <c r="AQ494" s="107"/>
      <c r="AR494" s="107"/>
      <c r="BO494"/>
      <c r="BP494" s="85"/>
      <c r="BQ494" s="85"/>
      <c r="BR494" s="107"/>
      <c r="BS494" s="107"/>
      <c r="BT494" s="107"/>
      <c r="BU494" s="107"/>
      <c r="BV494" s="107"/>
      <c r="CS494"/>
      <c r="CT494" s="85"/>
      <c r="CU494" s="85"/>
      <c r="CV494" s="107"/>
      <c r="CW494" s="107"/>
      <c r="CX494" s="107"/>
      <c r="CY494" s="107"/>
      <c r="CZ494" s="107"/>
      <c r="DP494"/>
      <c r="DQ494" s="85"/>
      <c r="DR494" s="85"/>
      <c r="DS494" s="107"/>
      <c r="DT494" s="107"/>
      <c r="DU494" s="107"/>
      <c r="DV494" s="107"/>
      <c r="DW494" s="107"/>
    </row>
    <row r="495" spans="1:127" ht="16.5">
      <c r="A495"/>
      <c r="B495"/>
      <c r="C495" s="85"/>
      <c r="D495" s="107"/>
      <c r="E495" s="107"/>
      <c r="F495" s="107"/>
      <c r="G495" s="107"/>
      <c r="H495" s="107"/>
      <c r="I495" s="340"/>
      <c r="J495" s="340"/>
      <c r="K495" s="340"/>
      <c r="L495" s="340"/>
      <c r="M495" s="340"/>
      <c r="N495" s="340"/>
      <c r="O495" s="340"/>
      <c r="P495" s="340"/>
      <c r="Q495" s="340"/>
      <c r="S495"/>
      <c r="T495"/>
      <c r="U495" s="85"/>
      <c r="V495" s="107"/>
      <c r="W495" s="107"/>
      <c r="X495" s="107"/>
      <c r="Y495" s="107"/>
      <c r="Z495" s="107"/>
      <c r="AK495"/>
      <c r="AL495" s="85"/>
      <c r="AM495" s="85"/>
      <c r="AN495" s="107"/>
      <c r="AO495" s="107"/>
      <c r="AP495" s="107"/>
      <c r="AQ495" s="107"/>
      <c r="AR495" s="107"/>
      <c r="BO495"/>
      <c r="BP495" s="85"/>
      <c r="BQ495" s="85"/>
      <c r="BR495" s="107"/>
      <c r="BS495" s="107"/>
      <c r="BT495" s="107"/>
      <c r="BU495" s="107"/>
      <c r="BV495" s="107"/>
      <c r="CS495"/>
      <c r="CT495" s="85"/>
      <c r="CU495" s="85"/>
      <c r="CV495" s="107"/>
      <c r="CW495" s="107"/>
      <c r="CX495" s="107"/>
      <c r="CY495" s="107"/>
      <c r="CZ495" s="107"/>
      <c r="DP495"/>
      <c r="DQ495" s="85"/>
      <c r="DR495" s="85"/>
      <c r="DS495" s="107"/>
      <c r="DT495" s="107"/>
      <c r="DU495" s="107"/>
      <c r="DV495" s="107"/>
      <c r="DW495" s="107"/>
    </row>
    <row r="496" spans="1:127" ht="16.5">
      <c r="A496"/>
      <c r="B496"/>
      <c r="C496" s="85"/>
      <c r="D496" s="107"/>
      <c r="E496" s="107"/>
      <c r="F496" s="107"/>
      <c r="G496" s="107"/>
      <c r="H496" s="107"/>
      <c r="I496" s="340"/>
      <c r="J496" s="340"/>
      <c r="K496" s="340"/>
      <c r="L496" s="340"/>
      <c r="M496" s="340"/>
      <c r="N496" s="340"/>
      <c r="O496" s="340"/>
      <c r="P496" s="340"/>
      <c r="Q496" s="340"/>
      <c r="S496"/>
      <c r="T496"/>
      <c r="U496" s="85"/>
      <c r="V496" s="107"/>
      <c r="W496" s="107"/>
      <c r="X496" s="107"/>
      <c r="Y496" s="107"/>
      <c r="Z496" s="107"/>
      <c r="AK496"/>
      <c r="AL496" s="85"/>
      <c r="AM496" s="85"/>
      <c r="AN496" s="107"/>
      <c r="AO496" s="107"/>
      <c r="AP496" s="107"/>
      <c r="AQ496" s="107"/>
      <c r="AR496" s="107"/>
      <c r="BO496"/>
      <c r="BP496" s="85"/>
      <c r="BQ496" s="85"/>
      <c r="BR496" s="107"/>
      <c r="BS496" s="107"/>
      <c r="BT496" s="107"/>
      <c r="BU496" s="107"/>
      <c r="BV496" s="107"/>
      <c r="CS496"/>
      <c r="CT496" s="85"/>
      <c r="CU496" s="85"/>
      <c r="CV496" s="107"/>
      <c r="CW496" s="107"/>
      <c r="CX496" s="107"/>
      <c r="CY496" s="107"/>
      <c r="CZ496" s="107"/>
      <c r="DP496"/>
      <c r="DQ496" s="85"/>
      <c r="DR496" s="85"/>
      <c r="DS496" s="107"/>
      <c r="DT496" s="107"/>
      <c r="DU496" s="107"/>
      <c r="DV496" s="107"/>
      <c r="DW496" s="107"/>
    </row>
    <row r="497" spans="1:127" ht="16.5">
      <c r="A497"/>
      <c r="B497"/>
      <c r="C497" s="85"/>
      <c r="D497" s="107"/>
      <c r="E497" s="107"/>
      <c r="F497" s="107"/>
      <c r="G497" s="107"/>
      <c r="H497" s="107"/>
      <c r="I497" s="340"/>
      <c r="J497" s="340"/>
      <c r="K497" s="340"/>
      <c r="L497" s="340"/>
      <c r="M497" s="340"/>
      <c r="N497" s="340"/>
      <c r="O497" s="340"/>
      <c r="P497" s="340"/>
      <c r="Q497" s="340"/>
      <c r="S497"/>
      <c r="T497"/>
      <c r="U497" s="85"/>
      <c r="V497" s="107"/>
      <c r="W497" s="107"/>
      <c r="X497" s="107"/>
      <c r="Y497" s="107"/>
      <c r="Z497" s="107"/>
      <c r="AK497"/>
      <c r="AL497" s="85"/>
      <c r="AM497" s="85"/>
      <c r="AN497" s="107"/>
      <c r="AO497" s="107"/>
      <c r="AP497" s="107"/>
      <c r="AQ497" s="107"/>
      <c r="AR497" s="107"/>
      <c r="BO497"/>
      <c r="BP497" s="85"/>
      <c r="BQ497" s="85"/>
      <c r="BR497" s="107"/>
      <c r="BS497" s="107"/>
      <c r="BT497" s="107"/>
      <c r="BU497" s="107"/>
      <c r="BV497" s="107"/>
      <c r="CS497"/>
      <c r="CT497" s="85"/>
      <c r="CU497" s="85"/>
      <c r="CV497" s="107"/>
      <c r="CW497" s="107"/>
      <c r="CX497" s="107"/>
      <c r="CY497" s="107"/>
      <c r="CZ497" s="107"/>
      <c r="DP497"/>
      <c r="DQ497" s="85"/>
      <c r="DR497" s="85"/>
      <c r="DS497" s="107"/>
      <c r="DT497" s="107"/>
      <c r="DU497" s="107"/>
      <c r="DV497" s="107"/>
      <c r="DW497" s="107"/>
    </row>
    <row r="498" spans="1:127" ht="16.5">
      <c r="A498"/>
      <c r="B498"/>
      <c r="C498" s="85"/>
      <c r="D498" s="107"/>
      <c r="E498" s="107"/>
      <c r="F498" s="107"/>
      <c r="G498" s="107"/>
      <c r="H498" s="107"/>
      <c r="I498" s="340"/>
      <c r="J498" s="340"/>
      <c r="K498" s="340"/>
      <c r="L498" s="340"/>
      <c r="M498" s="340"/>
      <c r="N498" s="340"/>
      <c r="O498" s="340"/>
      <c r="P498" s="340"/>
      <c r="Q498" s="340"/>
      <c r="S498"/>
      <c r="T498"/>
      <c r="U498" s="85"/>
      <c r="V498" s="107"/>
      <c r="W498" s="107"/>
      <c r="X498" s="107"/>
      <c r="Y498" s="107"/>
      <c r="Z498" s="107"/>
      <c r="AK498"/>
      <c r="AL498" s="85"/>
      <c r="AM498" s="85"/>
      <c r="AN498" s="107"/>
      <c r="AO498" s="107"/>
      <c r="AP498" s="107"/>
      <c r="AQ498" s="107"/>
      <c r="AR498" s="107"/>
      <c r="BO498"/>
      <c r="BP498" s="85"/>
      <c r="BQ498" s="85"/>
      <c r="BR498" s="107"/>
      <c r="BS498" s="107"/>
      <c r="BT498" s="107"/>
      <c r="BU498" s="107"/>
      <c r="BV498" s="107"/>
      <c r="CS498"/>
      <c r="CT498" s="85"/>
      <c r="CU498" s="85"/>
      <c r="CV498" s="107"/>
      <c r="CW498" s="107"/>
      <c r="CX498" s="107"/>
      <c r="CY498" s="107"/>
      <c r="CZ498" s="107"/>
      <c r="DP498"/>
      <c r="DQ498" s="85"/>
      <c r="DR498" s="85"/>
      <c r="DS498" s="107"/>
      <c r="DT498" s="107"/>
      <c r="DU498" s="107"/>
      <c r="DV498" s="107"/>
      <c r="DW498" s="107"/>
    </row>
    <row r="499" spans="1:127" ht="16.5">
      <c r="A499"/>
      <c r="B499"/>
      <c r="C499" s="85"/>
      <c r="D499" s="107"/>
      <c r="E499" s="107"/>
      <c r="F499" s="107"/>
      <c r="G499" s="107"/>
      <c r="H499" s="107"/>
      <c r="I499" s="340"/>
      <c r="J499" s="340"/>
      <c r="K499" s="340"/>
      <c r="L499" s="340"/>
      <c r="M499" s="340"/>
      <c r="N499" s="340"/>
      <c r="O499" s="340"/>
      <c r="P499" s="340"/>
      <c r="Q499" s="340"/>
      <c r="S499"/>
      <c r="T499"/>
      <c r="U499" s="85"/>
      <c r="V499" s="107"/>
      <c r="W499" s="107"/>
      <c r="X499" s="107"/>
      <c r="Y499" s="107"/>
      <c r="Z499" s="107"/>
      <c r="AK499"/>
      <c r="AL499" s="85"/>
      <c r="AM499" s="85"/>
      <c r="AN499" s="107"/>
      <c r="AO499" s="107"/>
      <c r="AP499" s="107"/>
      <c r="AQ499" s="107"/>
      <c r="AR499" s="107"/>
      <c r="BO499"/>
      <c r="BP499" s="85"/>
      <c r="BQ499" s="85"/>
      <c r="BR499" s="107"/>
      <c r="BS499" s="107"/>
      <c r="BT499" s="107"/>
      <c r="BU499" s="107"/>
      <c r="BV499" s="107"/>
      <c r="CS499"/>
      <c r="CT499" s="85"/>
      <c r="CU499" s="85"/>
      <c r="CV499" s="107"/>
      <c r="CW499" s="107"/>
      <c r="CX499" s="107"/>
      <c r="CY499" s="107"/>
      <c r="CZ499" s="107"/>
      <c r="DP499"/>
      <c r="DQ499" s="85"/>
      <c r="DR499" s="85"/>
      <c r="DS499" s="107"/>
      <c r="DT499" s="107"/>
      <c r="DU499" s="107"/>
      <c r="DV499" s="107"/>
      <c r="DW499" s="107"/>
    </row>
    <row r="500" spans="1:127" ht="16.5">
      <c r="A500"/>
      <c r="B500"/>
      <c r="C500" s="85"/>
      <c r="D500" s="107"/>
      <c r="E500" s="107"/>
      <c r="F500" s="107"/>
      <c r="G500" s="107"/>
      <c r="H500" s="107"/>
      <c r="I500" s="340"/>
      <c r="J500" s="340"/>
      <c r="K500" s="340"/>
      <c r="L500" s="340"/>
      <c r="M500" s="340"/>
      <c r="N500" s="340"/>
      <c r="O500" s="340"/>
      <c r="P500" s="340"/>
      <c r="Q500" s="340"/>
      <c r="S500"/>
      <c r="T500"/>
      <c r="U500" s="85"/>
      <c r="V500" s="107"/>
      <c r="W500" s="107"/>
      <c r="X500" s="107"/>
      <c r="Y500" s="107"/>
      <c r="Z500" s="107"/>
      <c r="AK500"/>
      <c r="AL500" s="85"/>
      <c r="AM500" s="85"/>
      <c r="AN500" s="107"/>
      <c r="AO500" s="107"/>
      <c r="AP500" s="107"/>
      <c r="AQ500" s="107"/>
      <c r="AR500" s="107"/>
      <c r="BO500"/>
      <c r="BP500" s="85"/>
      <c r="BQ500" s="85"/>
      <c r="BR500" s="107"/>
      <c r="BS500" s="107"/>
      <c r="BT500" s="107"/>
      <c r="BU500" s="107"/>
      <c r="BV500" s="107"/>
      <c r="CS500"/>
      <c r="CT500" s="85"/>
      <c r="CU500" s="85"/>
      <c r="CV500" s="107"/>
      <c r="CW500" s="107"/>
      <c r="CX500" s="107"/>
      <c r="CY500" s="107"/>
      <c r="CZ500" s="107"/>
      <c r="DP500"/>
      <c r="DQ500" s="85"/>
      <c r="DR500" s="85"/>
      <c r="DS500" s="107"/>
      <c r="DT500" s="107"/>
      <c r="DU500" s="107"/>
      <c r="DV500" s="107"/>
      <c r="DW500" s="107"/>
    </row>
    <row r="501" spans="1:127" ht="16.5">
      <c r="A501"/>
      <c r="B501"/>
      <c r="C501" s="85"/>
      <c r="D501" s="107"/>
      <c r="E501" s="107"/>
      <c r="F501" s="107"/>
      <c r="G501" s="107"/>
      <c r="H501" s="107"/>
      <c r="I501" s="340"/>
      <c r="J501" s="340"/>
      <c r="K501" s="340"/>
      <c r="L501" s="340"/>
      <c r="M501" s="340"/>
      <c r="N501" s="340"/>
      <c r="O501" s="340"/>
      <c r="P501" s="340"/>
      <c r="Q501" s="340"/>
      <c r="S501"/>
      <c r="T501"/>
      <c r="U501" s="85"/>
      <c r="V501" s="107"/>
      <c r="W501" s="107"/>
      <c r="X501" s="107"/>
      <c r="Y501" s="107"/>
      <c r="Z501" s="107"/>
      <c r="AK501"/>
      <c r="AL501" s="85"/>
      <c r="AM501" s="85"/>
      <c r="AN501" s="107"/>
      <c r="AO501" s="107"/>
      <c r="AP501" s="107"/>
      <c r="AQ501" s="107"/>
      <c r="AR501" s="107"/>
      <c r="BO501"/>
      <c r="BP501" s="85"/>
      <c r="BQ501" s="85"/>
      <c r="BR501" s="107"/>
      <c r="BS501" s="107"/>
      <c r="BT501" s="107"/>
      <c r="BU501" s="107"/>
      <c r="BV501" s="107"/>
      <c r="CS501"/>
      <c r="CT501" s="85"/>
      <c r="CU501" s="85"/>
      <c r="CV501" s="107"/>
      <c r="CW501" s="107"/>
      <c r="CX501" s="107"/>
      <c r="CY501" s="107"/>
      <c r="CZ501" s="107"/>
      <c r="DP501"/>
      <c r="DQ501" s="85"/>
      <c r="DR501" s="85"/>
      <c r="DS501" s="107"/>
      <c r="DT501" s="107"/>
      <c r="DU501" s="107"/>
      <c r="DV501" s="107"/>
      <c r="DW501" s="107"/>
    </row>
    <row r="502" spans="1:127" ht="16.5">
      <c r="A502"/>
      <c r="B502"/>
      <c r="C502" s="85"/>
      <c r="D502" s="107"/>
      <c r="E502" s="107"/>
      <c r="F502" s="107"/>
      <c r="G502" s="107"/>
      <c r="H502" s="107"/>
      <c r="I502" s="340"/>
      <c r="J502" s="340"/>
      <c r="K502" s="340"/>
      <c r="L502" s="340"/>
      <c r="M502" s="340"/>
      <c r="N502" s="340"/>
      <c r="O502" s="340"/>
      <c r="P502" s="340"/>
      <c r="Q502" s="340"/>
      <c r="S502"/>
      <c r="T502"/>
      <c r="U502" s="85"/>
      <c r="V502" s="107"/>
      <c r="W502" s="107"/>
      <c r="X502" s="107"/>
      <c r="Y502" s="107"/>
      <c r="Z502" s="107"/>
      <c r="AK502"/>
      <c r="AL502" s="85"/>
      <c r="AM502" s="85"/>
      <c r="AN502" s="107"/>
      <c r="AO502" s="107"/>
      <c r="AP502" s="107"/>
      <c r="AQ502" s="107"/>
      <c r="AR502" s="107"/>
      <c r="BO502"/>
      <c r="BP502" s="85"/>
      <c r="BQ502" s="85"/>
      <c r="BR502" s="107"/>
      <c r="BS502" s="107"/>
      <c r="BT502" s="107"/>
      <c r="BU502" s="107"/>
      <c r="BV502" s="107"/>
      <c r="CS502"/>
      <c r="CT502" s="85"/>
      <c r="CU502" s="85"/>
      <c r="CV502" s="107"/>
      <c r="CW502" s="107"/>
      <c r="CX502" s="107"/>
      <c r="CY502" s="107"/>
      <c r="CZ502" s="107"/>
      <c r="DP502"/>
      <c r="DQ502" s="85"/>
      <c r="DR502" s="85"/>
      <c r="DS502" s="107"/>
      <c r="DT502" s="107"/>
      <c r="DU502" s="107"/>
      <c r="DV502" s="107"/>
      <c r="DW502" s="107"/>
    </row>
    <row r="503" spans="1:127" ht="16.5">
      <c r="A503"/>
      <c r="B503"/>
      <c r="C503" s="85"/>
      <c r="D503" s="107"/>
      <c r="E503" s="107"/>
      <c r="F503" s="107"/>
      <c r="G503" s="107"/>
      <c r="H503" s="107"/>
      <c r="I503" s="340"/>
      <c r="J503" s="340"/>
      <c r="K503" s="340"/>
      <c r="L503" s="340"/>
      <c r="M503" s="340"/>
      <c r="N503" s="340"/>
      <c r="O503" s="340"/>
      <c r="P503" s="340"/>
      <c r="Q503" s="340"/>
      <c r="S503"/>
      <c r="T503"/>
      <c r="U503" s="85"/>
      <c r="V503" s="107"/>
      <c r="W503" s="107"/>
      <c r="X503" s="107"/>
      <c r="Y503" s="107"/>
      <c r="Z503" s="107"/>
      <c r="AK503"/>
      <c r="AL503" s="85"/>
      <c r="AM503" s="85"/>
      <c r="AN503" s="107"/>
      <c r="AO503" s="107"/>
      <c r="AP503" s="107"/>
      <c r="AQ503" s="107"/>
      <c r="AR503" s="107"/>
      <c r="BO503"/>
      <c r="BP503" s="85"/>
      <c r="BQ503" s="85"/>
      <c r="BR503" s="107"/>
      <c r="BS503" s="107"/>
      <c r="BT503" s="107"/>
      <c r="BU503" s="107"/>
      <c r="BV503" s="107"/>
      <c r="CS503"/>
      <c r="CT503" s="85"/>
      <c r="CU503" s="85"/>
      <c r="CV503" s="107"/>
      <c r="CW503" s="107"/>
      <c r="CX503" s="107"/>
      <c r="CY503" s="107"/>
      <c r="CZ503" s="107"/>
      <c r="DP503"/>
      <c r="DQ503" s="85"/>
      <c r="DR503" s="85"/>
      <c r="DS503" s="107"/>
      <c r="DT503" s="107"/>
      <c r="DU503" s="107"/>
      <c r="DV503" s="107"/>
      <c r="DW503" s="107"/>
    </row>
    <row r="504" spans="1:127" ht="16.5">
      <c r="A504"/>
      <c r="B504"/>
      <c r="C504" s="85"/>
      <c r="D504" s="107"/>
      <c r="E504" s="107"/>
      <c r="F504" s="107"/>
      <c r="G504" s="107"/>
      <c r="H504" s="107"/>
      <c r="I504" s="340"/>
      <c r="J504" s="340"/>
      <c r="K504" s="340"/>
      <c r="L504" s="340"/>
      <c r="M504" s="340"/>
      <c r="N504" s="340"/>
      <c r="O504" s="340"/>
      <c r="P504" s="340"/>
      <c r="Q504" s="340"/>
      <c r="S504"/>
      <c r="T504"/>
      <c r="U504" s="85"/>
      <c r="V504" s="107"/>
      <c r="W504" s="107"/>
      <c r="X504" s="107"/>
      <c r="Y504" s="107"/>
      <c r="Z504" s="107"/>
      <c r="AK504"/>
      <c r="AL504" s="85"/>
      <c r="AM504" s="85"/>
      <c r="AN504" s="107"/>
      <c r="AO504" s="107"/>
      <c r="AP504" s="107"/>
      <c r="AQ504" s="107"/>
      <c r="AR504" s="107"/>
      <c r="BO504"/>
      <c r="BP504" s="85"/>
      <c r="BQ504" s="85"/>
      <c r="BR504" s="107"/>
      <c r="BS504" s="107"/>
      <c r="BT504" s="107"/>
      <c r="BU504" s="107"/>
      <c r="BV504" s="107"/>
      <c r="CS504"/>
      <c r="CT504" s="85"/>
      <c r="CU504" s="85"/>
      <c r="CV504" s="107"/>
      <c r="CW504" s="107"/>
      <c r="CX504" s="107"/>
      <c r="CY504" s="107"/>
      <c r="CZ504" s="107"/>
      <c r="DP504"/>
      <c r="DQ504" s="85"/>
      <c r="DR504" s="85"/>
      <c r="DS504" s="107"/>
      <c r="DT504" s="107"/>
      <c r="DU504" s="107"/>
      <c r="DV504" s="107"/>
      <c r="DW504" s="107"/>
    </row>
    <row r="505" spans="1:127" ht="16.5">
      <c r="A505"/>
      <c r="B505"/>
      <c r="C505" s="85"/>
      <c r="D505" s="107"/>
      <c r="E505" s="107"/>
      <c r="F505" s="107"/>
      <c r="G505" s="107"/>
      <c r="H505" s="107"/>
      <c r="I505" s="340"/>
      <c r="J505" s="340"/>
      <c r="K505" s="340"/>
      <c r="L505" s="340"/>
      <c r="M505" s="340"/>
      <c r="N505" s="340"/>
      <c r="O505" s="340"/>
      <c r="P505" s="340"/>
      <c r="Q505" s="340"/>
      <c r="S505"/>
      <c r="T505"/>
      <c r="U505" s="85"/>
      <c r="V505" s="107"/>
      <c r="W505" s="107"/>
      <c r="X505" s="107"/>
      <c r="Y505" s="107"/>
      <c r="Z505" s="107"/>
      <c r="AK505"/>
      <c r="AL505" s="85"/>
      <c r="AM505" s="85"/>
      <c r="AN505" s="107"/>
      <c r="AO505" s="107"/>
      <c r="AP505" s="107"/>
      <c r="AQ505" s="107"/>
      <c r="AR505" s="107"/>
      <c r="BO505"/>
      <c r="BP505" s="85"/>
      <c r="BQ505" s="85"/>
      <c r="BR505" s="107"/>
      <c r="BS505" s="107"/>
      <c r="BT505" s="107"/>
      <c r="BU505" s="107"/>
      <c r="BV505" s="107"/>
      <c r="CS505"/>
      <c r="CT505" s="85"/>
      <c r="CU505" s="85"/>
      <c r="CV505" s="107"/>
      <c r="CW505" s="107"/>
      <c r="CX505" s="107"/>
      <c r="CY505" s="107"/>
      <c r="CZ505" s="107"/>
      <c r="DP505"/>
      <c r="DQ505" s="85"/>
      <c r="DR505" s="85"/>
      <c r="DS505" s="107"/>
      <c r="DT505" s="107"/>
      <c r="DU505" s="107"/>
      <c r="DV505" s="107"/>
      <c r="DW505" s="107"/>
    </row>
    <row r="506" spans="1:127" ht="16.5">
      <c r="A506"/>
      <c r="B506"/>
      <c r="C506" s="85"/>
      <c r="D506" s="107"/>
      <c r="E506" s="107"/>
      <c r="F506" s="107"/>
      <c r="G506" s="107"/>
      <c r="H506" s="107"/>
      <c r="I506" s="340"/>
      <c r="J506" s="340"/>
      <c r="K506" s="340"/>
      <c r="L506" s="340"/>
      <c r="M506" s="340"/>
      <c r="N506" s="340"/>
      <c r="O506" s="340"/>
      <c r="P506" s="340"/>
      <c r="Q506" s="340"/>
      <c r="S506"/>
      <c r="T506"/>
      <c r="U506" s="85"/>
      <c r="V506" s="107"/>
      <c r="W506" s="107"/>
      <c r="X506" s="107"/>
      <c r="Y506" s="107"/>
      <c r="Z506" s="107"/>
      <c r="AK506"/>
      <c r="AL506" s="85"/>
      <c r="AM506" s="85"/>
      <c r="AN506" s="107"/>
      <c r="AO506" s="107"/>
      <c r="AP506" s="107"/>
      <c r="AQ506" s="107"/>
      <c r="AR506" s="107"/>
      <c r="BO506"/>
      <c r="BP506" s="85"/>
      <c r="BQ506" s="85"/>
      <c r="BR506" s="107"/>
      <c r="BS506" s="107"/>
      <c r="BT506" s="107"/>
      <c r="BU506" s="107"/>
      <c r="BV506" s="107"/>
      <c r="CS506"/>
      <c r="CT506" s="85"/>
      <c r="CU506" s="85"/>
      <c r="CV506" s="107"/>
      <c r="CW506" s="107"/>
      <c r="CX506" s="107"/>
      <c r="CY506" s="107"/>
      <c r="CZ506" s="107"/>
      <c r="DP506"/>
      <c r="DQ506" s="85"/>
      <c r="DR506" s="85"/>
      <c r="DS506" s="107"/>
      <c r="DT506" s="107"/>
      <c r="DU506" s="107"/>
      <c r="DV506" s="107"/>
      <c r="DW506" s="107"/>
    </row>
    <row r="507" spans="1:127" ht="16.5">
      <c r="A507"/>
      <c r="B507"/>
      <c r="C507" s="85"/>
      <c r="D507" s="107"/>
      <c r="E507" s="107"/>
      <c r="F507" s="107"/>
      <c r="G507" s="107"/>
      <c r="H507" s="107"/>
      <c r="I507" s="340"/>
      <c r="J507" s="340"/>
      <c r="K507" s="340"/>
      <c r="L507" s="340"/>
      <c r="M507" s="340"/>
      <c r="N507" s="340"/>
      <c r="O507" s="340"/>
      <c r="P507" s="340"/>
      <c r="Q507" s="340"/>
      <c r="S507"/>
      <c r="T507"/>
      <c r="U507" s="85"/>
      <c r="V507" s="107"/>
      <c r="W507" s="107"/>
      <c r="X507" s="107"/>
      <c r="Y507" s="107"/>
      <c r="Z507" s="107"/>
      <c r="AK507"/>
      <c r="AL507" s="85"/>
      <c r="AM507" s="85"/>
      <c r="AN507" s="107"/>
      <c r="AO507" s="107"/>
      <c r="AP507" s="107"/>
      <c r="AQ507" s="107"/>
      <c r="AR507" s="107"/>
      <c r="BO507"/>
      <c r="BP507" s="85"/>
      <c r="BQ507" s="85"/>
      <c r="BR507" s="107"/>
      <c r="BS507" s="107"/>
      <c r="BT507" s="107"/>
      <c r="BU507" s="107"/>
      <c r="BV507" s="107"/>
      <c r="CS507"/>
      <c r="CT507" s="85"/>
      <c r="CU507" s="85"/>
      <c r="CV507" s="107"/>
      <c r="CW507" s="107"/>
      <c r="CX507" s="107"/>
      <c r="CY507" s="107"/>
      <c r="CZ507" s="107"/>
      <c r="DP507"/>
      <c r="DQ507" s="85"/>
      <c r="DR507" s="85"/>
      <c r="DS507" s="107"/>
      <c r="DT507" s="107"/>
      <c r="DU507" s="107"/>
      <c r="DV507" s="107"/>
      <c r="DW507" s="107"/>
    </row>
    <row r="508" spans="1:127" ht="16.5">
      <c r="A508"/>
      <c r="B508"/>
      <c r="C508" s="85"/>
      <c r="D508" s="107"/>
      <c r="E508" s="107"/>
      <c r="F508" s="107"/>
      <c r="G508" s="107"/>
      <c r="H508" s="107"/>
      <c r="I508" s="340"/>
      <c r="J508" s="340"/>
      <c r="K508" s="340"/>
      <c r="L508" s="340"/>
      <c r="M508" s="340"/>
      <c r="N508" s="340"/>
      <c r="O508" s="340"/>
      <c r="P508" s="340"/>
      <c r="Q508" s="340"/>
      <c r="S508"/>
      <c r="T508"/>
      <c r="U508" s="85"/>
      <c r="V508" s="107"/>
      <c r="W508" s="107"/>
      <c r="X508" s="107"/>
      <c r="Y508" s="107"/>
      <c r="Z508" s="107"/>
      <c r="AK508"/>
      <c r="AL508" s="85"/>
      <c r="AM508" s="85"/>
      <c r="AN508" s="107"/>
      <c r="AO508" s="107"/>
      <c r="AP508" s="107"/>
      <c r="AQ508" s="107"/>
      <c r="AR508" s="107"/>
      <c r="BO508"/>
      <c r="BP508" s="85"/>
      <c r="BQ508" s="85"/>
      <c r="BR508" s="107"/>
      <c r="BS508" s="107"/>
      <c r="BT508" s="107"/>
      <c r="BU508" s="107"/>
      <c r="BV508" s="107"/>
      <c r="CS508"/>
      <c r="CT508" s="85"/>
      <c r="CU508" s="85"/>
      <c r="CV508" s="107"/>
      <c r="CW508" s="107"/>
      <c r="CX508" s="107"/>
      <c r="CY508" s="107"/>
      <c r="CZ508" s="107"/>
      <c r="DP508"/>
      <c r="DQ508" s="85"/>
      <c r="DR508" s="85"/>
      <c r="DS508" s="107"/>
      <c r="DT508" s="107"/>
      <c r="DU508" s="107"/>
      <c r="DV508" s="107"/>
      <c r="DW508" s="107"/>
    </row>
    <row r="509" spans="1:127" ht="16.5">
      <c r="A509"/>
      <c r="B509"/>
      <c r="C509" s="85"/>
      <c r="D509" s="107"/>
      <c r="E509" s="107"/>
      <c r="F509" s="107"/>
      <c r="G509" s="107"/>
      <c r="H509" s="107"/>
      <c r="I509" s="340"/>
      <c r="J509" s="340"/>
      <c r="K509" s="340"/>
      <c r="L509" s="340"/>
      <c r="M509" s="340"/>
      <c r="N509" s="340"/>
      <c r="O509" s="340"/>
      <c r="P509" s="340"/>
      <c r="Q509" s="340"/>
      <c r="S509"/>
      <c r="T509"/>
      <c r="U509" s="85"/>
      <c r="V509" s="107"/>
      <c r="W509" s="107"/>
      <c r="X509" s="107"/>
      <c r="Y509" s="107"/>
      <c r="Z509" s="107"/>
      <c r="AK509"/>
      <c r="AL509" s="85"/>
      <c r="AM509" s="85"/>
      <c r="AN509" s="107"/>
      <c r="AO509" s="107"/>
      <c r="AP509" s="107"/>
      <c r="AQ509" s="107"/>
      <c r="AR509" s="107"/>
      <c r="BO509"/>
      <c r="BP509" s="85"/>
      <c r="BQ509" s="85"/>
      <c r="BR509" s="107"/>
      <c r="BS509" s="107"/>
      <c r="BT509" s="107"/>
      <c r="BU509" s="107"/>
      <c r="BV509" s="107"/>
      <c r="CS509"/>
      <c r="CT509" s="85"/>
      <c r="CU509" s="85"/>
      <c r="CV509" s="107"/>
      <c r="CW509" s="107"/>
      <c r="CX509" s="107"/>
      <c r="CY509" s="107"/>
      <c r="CZ509" s="107"/>
      <c r="DP509"/>
      <c r="DQ509" s="85"/>
      <c r="DR509" s="85"/>
      <c r="DS509" s="107"/>
      <c r="DT509" s="107"/>
      <c r="DU509" s="107"/>
      <c r="DV509" s="107"/>
      <c r="DW509" s="107"/>
    </row>
    <row r="510" spans="1:127" ht="16.5">
      <c r="A510"/>
      <c r="B510"/>
      <c r="C510" s="85"/>
      <c r="D510" s="107"/>
      <c r="E510" s="107"/>
      <c r="F510" s="107"/>
      <c r="G510" s="107"/>
      <c r="H510" s="107"/>
      <c r="I510" s="340"/>
      <c r="J510" s="340"/>
      <c r="K510" s="340"/>
      <c r="L510" s="340"/>
      <c r="M510" s="340"/>
      <c r="N510" s="340"/>
      <c r="O510" s="340"/>
      <c r="P510" s="340"/>
      <c r="Q510" s="340"/>
      <c r="S510"/>
      <c r="T510"/>
      <c r="U510" s="85"/>
      <c r="V510" s="107"/>
      <c r="W510" s="107"/>
      <c r="X510" s="107"/>
      <c r="Y510" s="107"/>
      <c r="Z510" s="107"/>
      <c r="AK510"/>
      <c r="AL510" s="85"/>
      <c r="AM510" s="85"/>
      <c r="AN510" s="107"/>
      <c r="AO510" s="107"/>
      <c r="AP510" s="107"/>
      <c r="AQ510" s="107"/>
      <c r="AR510" s="107"/>
      <c r="BO510"/>
      <c r="BP510" s="85"/>
      <c r="BQ510" s="85"/>
      <c r="BR510" s="107"/>
      <c r="BS510" s="107"/>
      <c r="BT510" s="107"/>
      <c r="BU510" s="107"/>
      <c r="BV510" s="107"/>
      <c r="CS510"/>
      <c r="CT510" s="85"/>
      <c r="CU510" s="85"/>
      <c r="CV510" s="107"/>
      <c r="CW510" s="107"/>
      <c r="CX510" s="107"/>
      <c r="CY510" s="107"/>
      <c r="CZ510" s="107"/>
      <c r="DP510"/>
      <c r="DQ510" s="85"/>
      <c r="DR510" s="85"/>
      <c r="DS510" s="107"/>
      <c r="DT510" s="107"/>
      <c r="DU510" s="107"/>
      <c r="DV510" s="107"/>
      <c r="DW510" s="107"/>
    </row>
    <row r="511" spans="1:127" ht="16.5">
      <c r="A511"/>
      <c r="B511"/>
      <c r="C511" s="85"/>
      <c r="D511" s="107"/>
      <c r="E511" s="107"/>
      <c r="F511" s="107"/>
      <c r="G511" s="107"/>
      <c r="H511" s="107"/>
      <c r="I511" s="340"/>
      <c r="J511" s="340"/>
      <c r="K511" s="340"/>
      <c r="L511" s="340"/>
      <c r="M511" s="340"/>
      <c r="N511" s="340"/>
      <c r="O511" s="340"/>
      <c r="P511" s="340"/>
      <c r="Q511" s="340"/>
      <c r="S511"/>
      <c r="T511"/>
      <c r="U511" s="85"/>
      <c r="V511" s="107"/>
      <c r="W511" s="107"/>
      <c r="X511" s="107"/>
      <c r="Y511" s="107"/>
      <c r="Z511" s="107"/>
      <c r="AK511"/>
      <c r="AL511" s="85"/>
      <c r="AM511" s="85"/>
      <c r="AN511" s="107"/>
      <c r="AO511" s="107"/>
      <c r="AP511" s="107"/>
      <c r="AQ511" s="107"/>
      <c r="AR511" s="107"/>
      <c r="BO511"/>
      <c r="BP511" s="85"/>
      <c r="BQ511" s="85"/>
      <c r="BR511" s="107"/>
      <c r="BS511" s="107"/>
      <c r="BT511" s="107"/>
      <c r="BU511" s="107"/>
      <c r="BV511" s="107"/>
      <c r="CS511"/>
      <c r="CT511" s="85"/>
      <c r="CU511" s="85"/>
      <c r="CV511" s="107"/>
      <c r="CW511" s="107"/>
      <c r="CX511" s="107"/>
      <c r="CY511" s="107"/>
      <c r="CZ511" s="107"/>
      <c r="DP511"/>
      <c r="DQ511" s="85"/>
      <c r="DR511" s="85"/>
      <c r="DS511" s="107"/>
      <c r="DT511" s="107"/>
      <c r="DU511" s="107"/>
      <c r="DV511" s="107"/>
      <c r="DW511" s="107"/>
    </row>
    <row r="512" spans="1:127" ht="16.5">
      <c r="A512"/>
      <c r="B512"/>
      <c r="C512" s="85"/>
      <c r="D512" s="107"/>
      <c r="E512" s="107"/>
      <c r="F512" s="107"/>
      <c r="G512" s="107"/>
      <c r="H512" s="107"/>
      <c r="I512" s="340"/>
      <c r="J512" s="340"/>
      <c r="K512" s="340"/>
      <c r="L512" s="340"/>
      <c r="M512" s="340"/>
      <c r="N512" s="340"/>
      <c r="O512" s="340"/>
      <c r="P512" s="340"/>
      <c r="Q512" s="340"/>
      <c r="S512"/>
      <c r="T512"/>
      <c r="U512" s="85"/>
      <c r="V512" s="107"/>
      <c r="W512" s="107"/>
      <c r="X512" s="107"/>
      <c r="Y512" s="107"/>
      <c r="Z512" s="107"/>
      <c r="AK512"/>
      <c r="AL512" s="85"/>
      <c r="AM512" s="85"/>
      <c r="AN512" s="107"/>
      <c r="AO512" s="107"/>
      <c r="AP512" s="107"/>
      <c r="AQ512" s="107"/>
      <c r="AR512" s="107"/>
      <c r="BO512"/>
      <c r="BP512" s="85"/>
      <c r="BQ512" s="85"/>
      <c r="BR512" s="107"/>
      <c r="BS512" s="107"/>
      <c r="BT512" s="107"/>
      <c r="BU512" s="107"/>
      <c r="BV512" s="107"/>
      <c r="CS512"/>
      <c r="CT512" s="85"/>
      <c r="CU512" s="85"/>
      <c r="CV512" s="107"/>
      <c r="CW512" s="107"/>
      <c r="CX512" s="107"/>
      <c r="CY512" s="107"/>
      <c r="CZ512" s="107"/>
      <c r="DP512"/>
      <c r="DQ512" s="85"/>
      <c r="DR512" s="85"/>
      <c r="DS512" s="107"/>
      <c r="DT512" s="107"/>
      <c r="DU512" s="107"/>
      <c r="DV512" s="107"/>
      <c r="DW512" s="107"/>
    </row>
    <row r="513" spans="1:127" ht="16.5">
      <c r="A513"/>
      <c r="B513"/>
      <c r="C513" s="85"/>
      <c r="D513" s="107"/>
      <c r="E513" s="107"/>
      <c r="F513" s="107"/>
      <c r="G513" s="107"/>
      <c r="H513" s="107"/>
      <c r="I513" s="340"/>
      <c r="J513" s="340"/>
      <c r="K513" s="340"/>
      <c r="L513" s="340"/>
      <c r="M513" s="340"/>
      <c r="N513" s="340"/>
      <c r="O513" s="340"/>
      <c r="P513" s="340"/>
      <c r="Q513" s="340"/>
      <c r="S513"/>
      <c r="T513"/>
      <c r="U513" s="85"/>
      <c r="V513" s="107"/>
      <c r="W513" s="107"/>
      <c r="X513" s="107"/>
      <c r="Y513" s="107"/>
      <c r="Z513" s="107"/>
      <c r="AK513"/>
      <c r="AL513" s="85"/>
      <c r="AM513" s="85"/>
      <c r="AN513" s="107"/>
      <c r="AO513" s="107"/>
      <c r="AP513" s="107"/>
      <c r="AQ513" s="107"/>
      <c r="AR513" s="107"/>
      <c r="BO513"/>
      <c r="BP513" s="85"/>
      <c r="BQ513" s="85"/>
      <c r="BR513" s="107"/>
      <c r="BS513" s="107"/>
      <c r="BT513" s="107"/>
      <c r="BU513" s="107"/>
      <c r="BV513" s="107"/>
      <c r="CS513"/>
      <c r="CT513" s="85"/>
      <c r="CU513" s="85"/>
      <c r="CV513" s="107"/>
      <c r="CW513" s="107"/>
      <c r="CX513" s="107"/>
      <c r="CY513" s="107"/>
      <c r="CZ513" s="107"/>
      <c r="DP513"/>
      <c r="DQ513" s="85"/>
      <c r="DR513" s="85"/>
      <c r="DS513" s="107"/>
      <c r="DT513" s="107"/>
      <c r="DU513" s="107"/>
      <c r="DV513" s="107"/>
      <c r="DW513" s="107"/>
    </row>
    <row r="514" spans="1:127" ht="16.5">
      <c r="A514"/>
      <c r="B514"/>
      <c r="C514" s="85"/>
      <c r="D514" s="107"/>
      <c r="E514" s="107"/>
      <c r="F514" s="107"/>
      <c r="G514" s="107"/>
      <c r="H514" s="107"/>
      <c r="I514" s="340"/>
      <c r="J514" s="340"/>
      <c r="K514" s="340"/>
      <c r="L514" s="340"/>
      <c r="M514" s="340"/>
      <c r="N514" s="340"/>
      <c r="O514" s="340"/>
      <c r="P514" s="340"/>
      <c r="Q514" s="340"/>
      <c r="S514"/>
      <c r="T514"/>
      <c r="U514" s="85"/>
      <c r="V514" s="107"/>
      <c r="W514" s="107"/>
      <c r="X514" s="107"/>
      <c r="Y514" s="107"/>
      <c r="Z514" s="107"/>
      <c r="AK514"/>
      <c r="AL514" s="85"/>
      <c r="AM514" s="85"/>
      <c r="AN514" s="107"/>
      <c r="AO514" s="107"/>
      <c r="AP514" s="107"/>
      <c r="AQ514" s="107"/>
      <c r="AR514" s="107"/>
      <c r="BO514"/>
      <c r="BP514" s="85"/>
      <c r="BQ514" s="85"/>
      <c r="BR514" s="107"/>
      <c r="BS514" s="107"/>
      <c r="BT514" s="107"/>
      <c r="BU514" s="107"/>
      <c r="BV514" s="107"/>
      <c r="CS514"/>
      <c r="CT514" s="85"/>
      <c r="CU514" s="85"/>
      <c r="CV514" s="107"/>
      <c r="CW514" s="107"/>
      <c r="CX514" s="107"/>
      <c r="CY514" s="107"/>
      <c r="CZ514" s="107"/>
      <c r="DP514"/>
      <c r="DQ514" s="85"/>
      <c r="DR514" s="85"/>
      <c r="DS514" s="107"/>
      <c r="DT514" s="107"/>
      <c r="DU514" s="107"/>
      <c r="DV514" s="107"/>
      <c r="DW514" s="107"/>
    </row>
    <row r="515" spans="1:127" ht="16.5">
      <c r="A515"/>
      <c r="B515"/>
      <c r="C515" s="85"/>
      <c r="D515" s="107"/>
      <c r="E515" s="107"/>
      <c r="F515" s="107"/>
      <c r="G515" s="107"/>
      <c r="H515" s="107"/>
      <c r="I515" s="340"/>
      <c r="J515" s="340"/>
      <c r="K515" s="340"/>
      <c r="L515" s="340"/>
      <c r="M515" s="340"/>
      <c r="N515" s="340"/>
      <c r="O515" s="340"/>
      <c r="P515" s="340"/>
      <c r="Q515" s="340"/>
      <c r="S515"/>
      <c r="T515"/>
      <c r="U515" s="85"/>
      <c r="V515" s="107"/>
      <c r="W515" s="107"/>
      <c r="X515" s="107"/>
      <c r="Y515" s="107"/>
      <c r="Z515" s="107"/>
      <c r="AK515"/>
      <c r="AL515" s="85"/>
      <c r="AM515" s="85"/>
      <c r="AN515" s="107"/>
      <c r="AO515" s="107"/>
      <c r="AP515" s="107"/>
      <c r="AQ515" s="107"/>
      <c r="AR515" s="107"/>
      <c r="BO515"/>
      <c r="BP515" s="85"/>
      <c r="BQ515" s="85"/>
      <c r="BR515" s="107"/>
      <c r="BS515" s="107"/>
      <c r="BT515" s="107"/>
      <c r="BU515" s="107"/>
      <c r="BV515" s="107"/>
      <c r="CS515"/>
      <c r="CT515" s="85"/>
      <c r="CU515" s="85"/>
      <c r="CV515" s="107"/>
      <c r="CW515" s="107"/>
      <c r="CX515" s="107"/>
      <c r="CY515" s="107"/>
      <c r="CZ515" s="107"/>
      <c r="DP515"/>
      <c r="DQ515" s="85"/>
      <c r="DR515" s="85"/>
      <c r="DS515" s="107"/>
      <c r="DT515" s="107"/>
      <c r="DU515" s="107"/>
      <c r="DV515" s="107"/>
      <c r="DW515" s="107"/>
    </row>
    <row r="516" spans="1:127" ht="16.5">
      <c r="A516"/>
      <c r="B516"/>
      <c r="C516" s="85"/>
      <c r="D516" s="107"/>
      <c r="E516" s="107"/>
      <c r="F516" s="107"/>
      <c r="G516" s="107"/>
      <c r="H516" s="107"/>
      <c r="I516" s="340"/>
      <c r="J516" s="340"/>
      <c r="K516" s="340"/>
      <c r="L516" s="340"/>
      <c r="M516" s="340"/>
      <c r="N516" s="340"/>
      <c r="O516" s="340"/>
      <c r="P516" s="340"/>
      <c r="Q516" s="340"/>
      <c r="S516"/>
      <c r="T516"/>
      <c r="U516" s="85"/>
      <c r="V516" s="107"/>
      <c r="W516" s="107"/>
      <c r="X516" s="107"/>
      <c r="Y516" s="107"/>
      <c r="Z516" s="107"/>
      <c r="AK516"/>
      <c r="AL516" s="85"/>
      <c r="AM516" s="85"/>
      <c r="AN516" s="107"/>
      <c r="AO516" s="107"/>
      <c r="AP516" s="107"/>
      <c r="AQ516" s="107"/>
      <c r="AR516" s="107"/>
      <c r="BO516"/>
      <c r="BP516" s="85"/>
      <c r="BQ516" s="85"/>
      <c r="BR516" s="107"/>
      <c r="BS516" s="107"/>
      <c r="BT516" s="107"/>
      <c r="BU516" s="107"/>
      <c r="BV516" s="107"/>
      <c r="CS516"/>
      <c r="CT516" s="85"/>
      <c r="CU516" s="85"/>
      <c r="CV516" s="107"/>
      <c r="CW516" s="107"/>
      <c r="CX516" s="107"/>
      <c r="CY516" s="107"/>
      <c r="CZ516" s="107"/>
      <c r="DP516"/>
      <c r="DQ516" s="85"/>
      <c r="DR516" s="85"/>
      <c r="DS516" s="107"/>
      <c r="DT516" s="107"/>
      <c r="DU516" s="107"/>
      <c r="DV516" s="107"/>
      <c r="DW516" s="107"/>
    </row>
    <row r="517" spans="1:127" ht="16.5">
      <c r="A517"/>
      <c r="B517"/>
      <c r="C517" s="85"/>
      <c r="D517" s="107"/>
      <c r="E517" s="107"/>
      <c r="F517" s="107"/>
      <c r="G517" s="107"/>
      <c r="H517" s="107"/>
      <c r="I517" s="340"/>
      <c r="J517" s="340"/>
      <c r="K517" s="340"/>
      <c r="L517" s="340"/>
      <c r="M517" s="340"/>
      <c r="N517" s="340"/>
      <c r="O517" s="340"/>
      <c r="P517" s="340"/>
      <c r="Q517" s="340"/>
      <c r="S517"/>
      <c r="T517"/>
      <c r="U517" s="85"/>
      <c r="V517" s="107"/>
      <c r="W517" s="107"/>
      <c r="X517" s="107"/>
      <c r="Y517" s="107"/>
      <c r="Z517" s="107"/>
      <c r="AK517"/>
      <c r="AL517" s="85"/>
      <c r="AM517" s="85"/>
      <c r="AN517" s="107"/>
      <c r="AO517" s="107"/>
      <c r="AP517" s="107"/>
      <c r="AQ517" s="107"/>
      <c r="AR517" s="107"/>
      <c r="BO517"/>
      <c r="BP517" s="85"/>
      <c r="BQ517" s="85"/>
      <c r="BR517" s="107"/>
      <c r="BS517" s="107"/>
      <c r="BT517" s="107"/>
      <c r="BU517" s="107"/>
      <c r="BV517" s="107"/>
      <c r="CS517"/>
      <c r="CT517" s="85"/>
      <c r="CU517" s="85"/>
      <c r="CV517" s="107"/>
      <c r="CW517" s="107"/>
      <c r="CX517" s="107"/>
      <c r="CY517" s="107"/>
      <c r="CZ517" s="107"/>
      <c r="DP517"/>
      <c r="DQ517" s="85"/>
      <c r="DR517" s="85"/>
      <c r="DS517" s="107"/>
      <c r="DT517" s="107"/>
      <c r="DU517" s="107"/>
      <c r="DV517" s="107"/>
      <c r="DW517" s="107"/>
    </row>
    <row r="518" spans="1:127" ht="16.5">
      <c r="A518"/>
      <c r="B518"/>
      <c r="C518" s="85"/>
      <c r="D518" s="107"/>
      <c r="E518" s="107"/>
      <c r="F518" s="107"/>
      <c r="G518" s="107"/>
      <c r="H518" s="107"/>
      <c r="I518" s="340"/>
      <c r="J518" s="340"/>
      <c r="K518" s="340"/>
      <c r="L518" s="340"/>
      <c r="M518" s="340"/>
      <c r="N518" s="340"/>
      <c r="O518" s="340"/>
      <c r="P518" s="340"/>
      <c r="Q518" s="340"/>
      <c r="S518"/>
      <c r="T518"/>
      <c r="U518" s="85"/>
      <c r="V518" s="107"/>
      <c r="W518" s="107"/>
      <c r="X518" s="107"/>
      <c r="Y518" s="107"/>
      <c r="Z518" s="107"/>
      <c r="AK518"/>
      <c r="AL518" s="85"/>
      <c r="AM518" s="85"/>
      <c r="AN518" s="107"/>
      <c r="AO518" s="107"/>
      <c r="AP518" s="107"/>
      <c r="AQ518" s="107"/>
      <c r="AR518" s="107"/>
      <c r="BO518"/>
      <c r="BP518" s="85"/>
      <c r="BQ518" s="85"/>
      <c r="BR518" s="107"/>
      <c r="BS518" s="107"/>
      <c r="BT518" s="107"/>
      <c r="BU518" s="107"/>
      <c r="BV518" s="107"/>
      <c r="CS518"/>
      <c r="CT518" s="85"/>
      <c r="CU518" s="85"/>
      <c r="CV518" s="107"/>
      <c r="CW518" s="107"/>
      <c r="CX518" s="107"/>
      <c r="CY518" s="107"/>
      <c r="CZ518" s="107"/>
      <c r="DP518"/>
      <c r="DQ518" s="85"/>
      <c r="DR518" s="85"/>
      <c r="DS518" s="107"/>
      <c r="DT518" s="107"/>
      <c r="DU518" s="107"/>
      <c r="DV518" s="107"/>
      <c r="DW518" s="107"/>
    </row>
    <row r="519" spans="1:127" ht="16.5">
      <c r="A519"/>
      <c r="B519"/>
      <c r="C519" s="85"/>
      <c r="D519" s="107"/>
      <c r="E519" s="107"/>
      <c r="F519" s="107"/>
      <c r="G519" s="107"/>
      <c r="H519" s="107"/>
      <c r="I519" s="340"/>
      <c r="J519" s="340"/>
      <c r="K519" s="340"/>
      <c r="L519" s="340"/>
      <c r="M519" s="340"/>
      <c r="N519" s="340"/>
      <c r="O519" s="340"/>
      <c r="P519" s="340"/>
      <c r="Q519" s="340"/>
      <c r="S519"/>
      <c r="T519"/>
      <c r="U519" s="85"/>
      <c r="V519" s="107"/>
      <c r="W519" s="107"/>
      <c r="X519" s="107"/>
      <c r="Y519" s="107"/>
      <c r="Z519" s="107"/>
      <c r="AK519"/>
      <c r="AL519" s="85"/>
      <c r="AM519" s="85"/>
      <c r="AN519" s="107"/>
      <c r="AO519" s="107"/>
      <c r="AP519" s="107"/>
      <c r="AQ519" s="107"/>
      <c r="AR519" s="107"/>
      <c r="BO519"/>
      <c r="BP519" s="85"/>
      <c r="BQ519" s="85"/>
      <c r="BR519" s="107"/>
      <c r="BS519" s="107"/>
      <c r="BT519" s="107"/>
      <c r="BU519" s="107"/>
      <c r="BV519" s="107"/>
      <c r="CS519"/>
      <c r="CT519" s="85"/>
      <c r="CU519" s="85"/>
      <c r="CV519" s="107"/>
      <c r="CW519" s="107"/>
      <c r="CX519" s="107"/>
      <c r="CY519" s="107"/>
      <c r="CZ519" s="107"/>
      <c r="DP519"/>
      <c r="DQ519" s="85"/>
      <c r="DR519" s="85"/>
      <c r="DS519" s="107"/>
      <c r="DT519" s="107"/>
      <c r="DU519" s="107"/>
      <c r="DV519" s="107"/>
      <c r="DW519" s="107"/>
    </row>
    <row r="520" spans="1:127" ht="16.5">
      <c r="A520"/>
      <c r="B520"/>
      <c r="C520" s="85"/>
      <c r="D520" s="107"/>
      <c r="E520" s="107"/>
      <c r="F520" s="107"/>
      <c r="G520" s="107"/>
      <c r="H520" s="107"/>
      <c r="I520" s="340"/>
      <c r="J520" s="340"/>
      <c r="K520" s="340"/>
      <c r="L520" s="340"/>
      <c r="M520" s="340"/>
      <c r="N520" s="340"/>
      <c r="O520" s="340"/>
      <c r="P520" s="340"/>
      <c r="Q520" s="340"/>
      <c r="S520"/>
      <c r="T520"/>
      <c r="U520" s="85"/>
      <c r="V520" s="107"/>
      <c r="W520" s="107"/>
      <c r="X520" s="107"/>
      <c r="Y520" s="107"/>
      <c r="Z520" s="107"/>
      <c r="AK520"/>
      <c r="AL520" s="85"/>
      <c r="AM520" s="85"/>
      <c r="AN520" s="107"/>
      <c r="AO520" s="107"/>
      <c r="AP520" s="107"/>
      <c r="AQ520" s="107"/>
      <c r="AR520" s="107"/>
      <c r="BO520"/>
      <c r="BP520" s="85"/>
      <c r="BQ520" s="85"/>
      <c r="BR520" s="107"/>
      <c r="BS520" s="107"/>
      <c r="BT520" s="107"/>
      <c r="BU520" s="107"/>
      <c r="BV520" s="107"/>
      <c r="CS520"/>
      <c r="CT520" s="85"/>
      <c r="CU520" s="85"/>
      <c r="CV520" s="107"/>
      <c r="CW520" s="107"/>
      <c r="CX520" s="107"/>
      <c r="CY520" s="107"/>
      <c r="CZ520" s="107"/>
      <c r="DP520"/>
      <c r="DQ520" s="85"/>
      <c r="DR520" s="85"/>
      <c r="DS520" s="107"/>
      <c r="DT520" s="107"/>
      <c r="DU520" s="107"/>
      <c r="DV520" s="107"/>
      <c r="DW520" s="107"/>
    </row>
    <row r="521" spans="1:127" ht="16.5">
      <c r="A521"/>
      <c r="B521"/>
      <c r="C521" s="85"/>
      <c r="D521" s="107"/>
      <c r="E521" s="107"/>
      <c r="F521" s="107"/>
      <c r="G521" s="107"/>
      <c r="H521" s="107"/>
      <c r="I521" s="340"/>
      <c r="J521" s="340"/>
      <c r="K521" s="340"/>
      <c r="L521" s="340"/>
      <c r="M521" s="340"/>
      <c r="N521" s="340"/>
      <c r="O521" s="340"/>
      <c r="P521" s="340"/>
      <c r="Q521" s="340"/>
      <c r="S521"/>
      <c r="T521"/>
      <c r="U521" s="85"/>
      <c r="V521" s="107"/>
      <c r="W521" s="107"/>
      <c r="X521" s="107"/>
      <c r="Y521" s="107"/>
      <c r="Z521" s="107"/>
      <c r="AK521"/>
      <c r="AL521" s="85"/>
      <c r="AM521" s="85"/>
      <c r="AN521" s="107"/>
      <c r="AO521" s="107"/>
      <c r="AP521" s="107"/>
      <c r="AQ521" s="107"/>
      <c r="AR521" s="107"/>
      <c r="BO521"/>
      <c r="BP521" s="85"/>
      <c r="BQ521" s="85"/>
      <c r="BR521" s="107"/>
      <c r="BS521" s="107"/>
      <c r="BT521" s="107"/>
      <c r="BU521" s="107"/>
      <c r="BV521" s="107"/>
      <c r="CS521"/>
      <c r="CT521" s="85"/>
      <c r="CU521" s="85"/>
      <c r="CV521" s="107"/>
      <c r="CW521" s="107"/>
      <c r="CX521" s="107"/>
      <c r="CY521" s="107"/>
      <c r="CZ521" s="107"/>
      <c r="DP521"/>
      <c r="DQ521" s="85"/>
      <c r="DR521" s="85"/>
      <c r="DS521" s="107"/>
      <c r="DT521" s="107"/>
      <c r="DU521" s="107"/>
      <c r="DV521" s="107"/>
      <c r="DW521" s="107"/>
    </row>
    <row r="522" spans="1:127" ht="16.5">
      <c r="A522"/>
      <c r="B522"/>
      <c r="C522" s="85"/>
      <c r="D522" s="107"/>
      <c r="E522" s="107"/>
      <c r="F522" s="107"/>
      <c r="G522" s="107"/>
      <c r="H522" s="107"/>
      <c r="I522" s="340"/>
      <c r="J522" s="340"/>
      <c r="K522" s="340"/>
      <c r="L522" s="340"/>
      <c r="M522" s="340"/>
      <c r="N522" s="340"/>
      <c r="O522" s="340"/>
      <c r="P522" s="340"/>
      <c r="Q522" s="340"/>
      <c r="S522"/>
      <c r="T522"/>
      <c r="U522" s="85"/>
      <c r="V522" s="107"/>
      <c r="W522" s="107"/>
      <c r="X522" s="107"/>
      <c r="Y522" s="107"/>
      <c r="Z522" s="107"/>
      <c r="AK522"/>
      <c r="AL522" s="85"/>
      <c r="AM522" s="85"/>
      <c r="AN522" s="107"/>
      <c r="AO522" s="107"/>
      <c r="AP522" s="107"/>
      <c r="AQ522" s="107"/>
      <c r="AR522" s="107"/>
      <c r="BO522"/>
      <c r="BP522" s="85"/>
      <c r="BQ522" s="85"/>
      <c r="BR522" s="107"/>
      <c r="BS522" s="107"/>
      <c r="BT522" s="107"/>
      <c r="BU522" s="107"/>
      <c r="BV522" s="107"/>
      <c r="CS522"/>
      <c r="CT522" s="85"/>
      <c r="CU522" s="85"/>
      <c r="CV522" s="107"/>
      <c r="CW522" s="107"/>
      <c r="CX522" s="107"/>
      <c r="CY522" s="107"/>
      <c r="CZ522" s="107"/>
      <c r="DP522"/>
      <c r="DQ522" s="85"/>
      <c r="DR522" s="85"/>
      <c r="DS522" s="107"/>
      <c r="DT522" s="107"/>
      <c r="DU522" s="107"/>
      <c r="DV522" s="107"/>
      <c r="DW522" s="107"/>
    </row>
    <row r="523" spans="1:127" ht="16.5">
      <c r="A523"/>
      <c r="B523"/>
      <c r="C523" s="85"/>
      <c r="D523" s="107"/>
      <c r="E523" s="107"/>
      <c r="F523" s="107"/>
      <c r="G523" s="107"/>
      <c r="H523" s="107"/>
      <c r="I523" s="340"/>
      <c r="J523" s="340"/>
      <c r="K523" s="340"/>
      <c r="L523" s="340"/>
      <c r="M523" s="340"/>
      <c r="N523" s="340"/>
      <c r="O523" s="340"/>
      <c r="P523" s="340"/>
      <c r="Q523" s="340"/>
      <c r="S523"/>
      <c r="T523"/>
      <c r="U523" s="85"/>
      <c r="V523" s="107"/>
      <c r="W523" s="107"/>
      <c r="X523" s="107"/>
      <c r="Y523" s="107"/>
      <c r="Z523" s="107"/>
      <c r="AK523"/>
      <c r="AL523" s="85"/>
      <c r="AM523" s="85"/>
      <c r="AN523" s="107"/>
      <c r="AO523" s="107"/>
      <c r="AP523" s="107"/>
      <c r="AQ523" s="107"/>
      <c r="AR523" s="107"/>
      <c r="BO523"/>
      <c r="BP523" s="85"/>
      <c r="BQ523" s="85"/>
      <c r="BR523" s="107"/>
      <c r="BS523" s="107"/>
      <c r="BT523" s="107"/>
      <c r="BU523" s="107"/>
      <c r="BV523" s="107"/>
      <c r="CS523"/>
      <c r="CT523" s="85"/>
      <c r="CU523" s="85"/>
      <c r="CV523" s="107"/>
      <c r="CW523" s="107"/>
      <c r="CX523" s="107"/>
      <c r="CY523" s="107"/>
      <c r="CZ523" s="107"/>
      <c r="DP523"/>
      <c r="DQ523" s="85"/>
      <c r="DR523" s="85"/>
      <c r="DS523" s="107"/>
      <c r="DT523" s="107"/>
      <c r="DU523" s="107"/>
      <c r="DV523" s="107"/>
      <c r="DW523" s="107"/>
    </row>
    <row r="524" spans="1:127" ht="16.5">
      <c r="A524"/>
      <c r="B524"/>
      <c r="C524" s="85"/>
      <c r="D524" s="107"/>
      <c r="E524" s="107"/>
      <c r="F524" s="107"/>
      <c r="G524" s="107"/>
      <c r="H524" s="107"/>
      <c r="I524" s="340"/>
      <c r="J524" s="340"/>
      <c r="K524" s="340"/>
      <c r="L524" s="340"/>
      <c r="M524" s="340"/>
      <c r="N524" s="340"/>
      <c r="O524" s="340"/>
      <c r="P524" s="340"/>
      <c r="Q524" s="340"/>
      <c r="S524"/>
      <c r="T524"/>
      <c r="U524" s="85"/>
      <c r="V524" s="107"/>
      <c r="W524" s="107"/>
      <c r="X524" s="107"/>
      <c r="Y524" s="107"/>
      <c r="Z524" s="107"/>
      <c r="AK524"/>
      <c r="AL524" s="85"/>
      <c r="AM524" s="85"/>
      <c r="AN524" s="107"/>
      <c r="AO524" s="107"/>
      <c r="AP524" s="107"/>
      <c r="AQ524" s="107"/>
      <c r="AR524" s="107"/>
      <c r="BO524"/>
      <c r="BP524" s="85"/>
      <c r="BQ524" s="85"/>
      <c r="BR524" s="107"/>
      <c r="BS524" s="107"/>
      <c r="BT524" s="107"/>
      <c r="BU524" s="107"/>
      <c r="BV524" s="107"/>
      <c r="CS524"/>
      <c r="CT524" s="85"/>
      <c r="CU524" s="85"/>
      <c r="CV524" s="107"/>
      <c r="CW524" s="107"/>
      <c r="CX524" s="107"/>
      <c r="CY524" s="107"/>
      <c r="CZ524" s="107"/>
      <c r="DP524"/>
      <c r="DQ524" s="85"/>
      <c r="DR524" s="85"/>
      <c r="DS524" s="107"/>
      <c r="DT524" s="107"/>
      <c r="DU524" s="107"/>
      <c r="DV524" s="107"/>
      <c r="DW524" s="107"/>
    </row>
    <row r="525" spans="1:127" ht="16.5">
      <c r="A525"/>
      <c r="B525"/>
      <c r="C525" s="85"/>
      <c r="D525" s="107"/>
      <c r="E525" s="107"/>
      <c r="F525" s="107"/>
      <c r="G525" s="107"/>
      <c r="H525" s="107"/>
      <c r="I525" s="340"/>
      <c r="J525" s="340"/>
      <c r="K525" s="340"/>
      <c r="L525" s="340"/>
      <c r="M525" s="340"/>
      <c r="N525" s="340"/>
      <c r="O525" s="340"/>
      <c r="P525" s="340"/>
      <c r="Q525" s="340"/>
      <c r="S525"/>
      <c r="T525"/>
      <c r="U525" s="85"/>
      <c r="V525" s="107"/>
      <c r="W525" s="107"/>
      <c r="X525" s="107"/>
      <c r="Y525" s="107"/>
      <c r="Z525" s="107"/>
      <c r="AK525"/>
      <c r="AL525" s="85"/>
      <c r="AM525" s="85"/>
      <c r="AN525" s="107"/>
      <c r="AO525" s="107"/>
      <c r="AP525" s="107"/>
      <c r="AQ525" s="107"/>
      <c r="AR525" s="107"/>
      <c r="BO525"/>
      <c r="BP525" s="85"/>
      <c r="BQ525" s="85"/>
      <c r="BR525" s="107"/>
      <c r="BS525" s="107"/>
      <c r="BT525" s="107"/>
      <c r="BU525" s="107"/>
      <c r="BV525" s="107"/>
      <c r="CS525"/>
      <c r="CT525" s="85"/>
      <c r="CU525" s="85"/>
      <c r="CV525" s="107"/>
      <c r="CW525" s="107"/>
      <c r="CX525" s="107"/>
      <c r="CY525" s="107"/>
      <c r="CZ525" s="107"/>
      <c r="DP525"/>
      <c r="DQ525" s="85"/>
      <c r="DR525" s="85"/>
      <c r="DS525" s="107"/>
      <c r="DT525" s="107"/>
      <c r="DU525" s="107"/>
      <c r="DV525" s="107"/>
      <c r="DW525" s="107"/>
    </row>
    <row r="526" spans="1:127" ht="16.5">
      <c r="A526"/>
      <c r="B526"/>
      <c r="C526" s="85"/>
      <c r="D526" s="107"/>
      <c r="E526" s="107"/>
      <c r="F526" s="107"/>
      <c r="G526" s="107"/>
      <c r="H526" s="107"/>
      <c r="I526" s="340"/>
      <c r="J526" s="340"/>
      <c r="K526" s="340"/>
      <c r="L526" s="340"/>
      <c r="M526" s="340"/>
      <c r="N526" s="340"/>
      <c r="O526" s="340"/>
      <c r="P526" s="340"/>
      <c r="Q526" s="340"/>
      <c r="S526"/>
      <c r="T526"/>
      <c r="U526" s="85"/>
      <c r="V526" s="107"/>
      <c r="W526" s="107"/>
      <c r="X526" s="107"/>
      <c r="Y526" s="107"/>
      <c r="Z526" s="107"/>
      <c r="AK526"/>
      <c r="AL526" s="85"/>
      <c r="AM526" s="85"/>
      <c r="AN526" s="107"/>
      <c r="AO526" s="107"/>
      <c r="AP526" s="107"/>
      <c r="AQ526" s="107"/>
      <c r="AR526" s="107"/>
      <c r="BO526"/>
      <c r="BP526" s="85"/>
      <c r="BQ526" s="85"/>
      <c r="BR526" s="107"/>
      <c r="BS526" s="107"/>
      <c r="BT526" s="107"/>
      <c r="BU526" s="107"/>
      <c r="BV526" s="107"/>
      <c r="CS526"/>
      <c r="CT526" s="85"/>
      <c r="CU526" s="85"/>
      <c r="CV526" s="107"/>
      <c r="CW526" s="107"/>
      <c r="CX526" s="107"/>
      <c r="CY526" s="107"/>
      <c r="CZ526" s="107"/>
      <c r="DP526"/>
      <c r="DQ526" s="85"/>
      <c r="DR526" s="85"/>
      <c r="DS526" s="107"/>
      <c r="DT526" s="107"/>
      <c r="DU526" s="107"/>
      <c r="DV526" s="107"/>
      <c r="DW526" s="107"/>
    </row>
    <row r="527" spans="1:127" ht="16.5">
      <c r="A527"/>
      <c r="B527"/>
      <c r="C527" s="85"/>
      <c r="D527" s="107"/>
      <c r="E527" s="107"/>
      <c r="F527" s="107"/>
      <c r="G527" s="107"/>
      <c r="H527" s="107"/>
      <c r="I527" s="340"/>
      <c r="J527" s="340"/>
      <c r="K527" s="340"/>
      <c r="L527" s="340"/>
      <c r="M527" s="340"/>
      <c r="N527" s="340"/>
      <c r="O527" s="340"/>
      <c r="P527" s="340"/>
      <c r="Q527" s="340"/>
      <c r="S527"/>
      <c r="T527"/>
      <c r="U527" s="85"/>
      <c r="V527" s="107"/>
      <c r="W527" s="107"/>
      <c r="X527" s="107"/>
      <c r="Y527" s="107"/>
      <c r="Z527" s="107"/>
      <c r="AK527"/>
      <c r="AL527" s="85"/>
      <c r="AM527" s="85"/>
      <c r="AN527" s="107"/>
      <c r="AO527" s="107"/>
      <c r="AP527" s="107"/>
      <c r="AQ527" s="107"/>
      <c r="AR527" s="107"/>
      <c r="BO527"/>
      <c r="BP527" s="85"/>
      <c r="BQ527" s="85"/>
      <c r="BR527" s="107"/>
      <c r="BS527" s="107"/>
      <c r="BT527" s="107"/>
      <c r="BU527" s="107"/>
      <c r="BV527" s="107"/>
      <c r="CS527"/>
      <c r="CT527" s="85"/>
      <c r="CU527" s="85"/>
      <c r="CV527" s="107"/>
      <c r="CW527" s="107"/>
      <c r="CX527" s="107"/>
      <c r="CY527" s="107"/>
      <c r="CZ527" s="107"/>
      <c r="DP527"/>
      <c r="DQ527" s="85"/>
      <c r="DR527" s="85"/>
      <c r="DS527" s="107"/>
      <c r="DT527" s="107"/>
      <c r="DU527" s="107"/>
      <c r="DV527" s="107"/>
      <c r="DW527" s="107"/>
    </row>
    <row r="528" spans="1:127" ht="16.5">
      <c r="A528"/>
      <c r="B528"/>
      <c r="C528" s="85"/>
      <c r="D528" s="107"/>
      <c r="E528" s="107"/>
      <c r="F528" s="107"/>
      <c r="G528" s="107"/>
      <c r="H528" s="107"/>
      <c r="I528" s="340"/>
      <c r="J528" s="340"/>
      <c r="K528" s="340"/>
      <c r="L528" s="340"/>
      <c r="M528" s="340"/>
      <c r="N528" s="340"/>
      <c r="O528" s="340"/>
      <c r="P528" s="340"/>
      <c r="Q528" s="340"/>
      <c r="S528"/>
      <c r="T528"/>
      <c r="U528" s="85"/>
      <c r="V528" s="107"/>
      <c r="W528" s="107"/>
      <c r="X528" s="107"/>
      <c r="Y528" s="107"/>
      <c r="Z528" s="107"/>
      <c r="AK528"/>
      <c r="AL528" s="85"/>
      <c r="AM528" s="85"/>
      <c r="AN528" s="107"/>
      <c r="AO528" s="107"/>
      <c r="AP528" s="107"/>
      <c r="AQ528" s="107"/>
      <c r="AR528" s="107"/>
      <c r="BO528"/>
      <c r="BP528" s="85"/>
      <c r="BQ528" s="85"/>
      <c r="BR528" s="107"/>
      <c r="BS528" s="107"/>
      <c r="BT528" s="107"/>
      <c r="BU528" s="107"/>
      <c r="BV528" s="107"/>
      <c r="CS528"/>
      <c r="CT528" s="85"/>
      <c r="CU528" s="85"/>
      <c r="CV528" s="107"/>
      <c r="CW528" s="107"/>
      <c r="CX528" s="107"/>
      <c r="CY528" s="107"/>
      <c r="CZ528" s="107"/>
      <c r="DP528"/>
      <c r="DQ528" s="85"/>
      <c r="DR528" s="85"/>
      <c r="DS528" s="107"/>
      <c r="DT528" s="107"/>
      <c r="DU528" s="107"/>
      <c r="DV528" s="107"/>
      <c r="DW528" s="107"/>
    </row>
    <row r="529" spans="1:127" ht="16.5">
      <c r="A529"/>
      <c r="B529"/>
      <c r="C529" s="85"/>
      <c r="D529" s="107"/>
      <c r="E529" s="107"/>
      <c r="F529" s="107"/>
      <c r="G529" s="107"/>
      <c r="H529" s="107"/>
      <c r="I529" s="340"/>
      <c r="J529" s="340"/>
      <c r="K529" s="340"/>
      <c r="L529" s="340"/>
      <c r="M529" s="340"/>
      <c r="N529" s="340"/>
      <c r="O529" s="340"/>
      <c r="P529" s="340"/>
      <c r="Q529" s="340"/>
      <c r="S529"/>
      <c r="T529"/>
      <c r="U529" s="85"/>
      <c r="V529" s="107"/>
      <c r="W529" s="107"/>
      <c r="X529" s="107"/>
      <c r="Y529" s="107"/>
      <c r="Z529" s="107"/>
      <c r="AK529"/>
      <c r="AL529" s="85"/>
      <c r="AM529" s="85"/>
      <c r="AN529" s="107"/>
      <c r="AO529" s="107"/>
      <c r="AP529" s="107"/>
      <c r="AQ529" s="107"/>
      <c r="AR529" s="107"/>
      <c r="BO529"/>
      <c r="BP529" s="85"/>
      <c r="BQ529" s="85"/>
      <c r="BR529" s="107"/>
      <c r="BS529" s="107"/>
      <c r="BT529" s="107"/>
      <c r="BU529" s="107"/>
      <c r="BV529" s="107"/>
      <c r="CS529"/>
      <c r="CT529" s="85"/>
      <c r="CU529" s="85"/>
      <c r="CV529" s="107"/>
      <c r="CW529" s="107"/>
      <c r="CX529" s="107"/>
      <c r="CY529" s="107"/>
      <c r="CZ529" s="107"/>
      <c r="DP529"/>
      <c r="DQ529" s="85"/>
      <c r="DR529" s="85"/>
      <c r="DS529" s="107"/>
      <c r="DT529" s="107"/>
      <c r="DU529" s="107"/>
      <c r="DV529" s="107"/>
      <c r="DW529" s="107"/>
    </row>
    <row r="530" spans="1:127" ht="16.5">
      <c r="A530"/>
      <c r="B530"/>
      <c r="C530" s="85"/>
      <c r="D530" s="107"/>
      <c r="E530" s="107"/>
      <c r="F530" s="107"/>
      <c r="G530" s="107"/>
      <c r="H530" s="107"/>
      <c r="I530" s="340"/>
      <c r="J530" s="340"/>
      <c r="K530" s="340"/>
      <c r="L530" s="340"/>
      <c r="M530" s="340"/>
      <c r="N530" s="340"/>
      <c r="O530" s="340"/>
      <c r="P530" s="340"/>
      <c r="Q530" s="340"/>
      <c r="S530"/>
      <c r="T530"/>
      <c r="U530" s="85"/>
      <c r="V530" s="107"/>
      <c r="W530" s="107"/>
      <c r="X530" s="107"/>
      <c r="Y530" s="107"/>
      <c r="Z530" s="107"/>
      <c r="AK530"/>
      <c r="AL530" s="85"/>
      <c r="AM530" s="85"/>
      <c r="AN530" s="107"/>
      <c r="AO530" s="107"/>
      <c r="AP530" s="107"/>
      <c r="AQ530" s="107"/>
      <c r="AR530" s="107"/>
      <c r="BO530"/>
      <c r="BP530" s="85"/>
      <c r="BQ530" s="85"/>
      <c r="BR530" s="107"/>
      <c r="BS530" s="107"/>
      <c r="BT530" s="107"/>
      <c r="BU530" s="107"/>
      <c r="BV530" s="107"/>
      <c r="CS530"/>
      <c r="CT530" s="85"/>
      <c r="CU530" s="85"/>
      <c r="CV530" s="107"/>
      <c r="CW530" s="107"/>
      <c r="CX530" s="107"/>
      <c r="CY530" s="107"/>
      <c r="CZ530" s="107"/>
      <c r="DP530"/>
      <c r="DQ530" s="85"/>
      <c r="DR530" s="85"/>
      <c r="DS530" s="107"/>
      <c r="DT530" s="107"/>
      <c r="DU530" s="107"/>
      <c r="DV530" s="107"/>
      <c r="DW530" s="107"/>
    </row>
    <row r="531" spans="1:127" ht="16.5">
      <c r="A531"/>
      <c r="B531"/>
      <c r="C531" s="85"/>
      <c r="D531" s="107"/>
      <c r="E531" s="107"/>
      <c r="F531" s="107"/>
      <c r="G531" s="107"/>
      <c r="H531" s="107"/>
      <c r="I531" s="340"/>
      <c r="J531" s="340"/>
      <c r="K531" s="340"/>
      <c r="L531" s="340"/>
      <c r="M531" s="340"/>
      <c r="N531" s="340"/>
      <c r="O531" s="340"/>
      <c r="P531" s="340"/>
      <c r="Q531" s="340"/>
      <c r="S531"/>
      <c r="T531"/>
      <c r="U531" s="85"/>
      <c r="V531" s="107"/>
      <c r="W531" s="107"/>
      <c r="X531" s="107"/>
      <c r="Y531" s="107"/>
      <c r="Z531" s="107"/>
      <c r="AK531"/>
      <c r="AL531" s="85"/>
      <c r="AM531" s="85"/>
      <c r="AN531" s="107"/>
      <c r="AO531" s="107"/>
      <c r="AP531" s="107"/>
      <c r="AQ531" s="107"/>
      <c r="AR531" s="107"/>
      <c r="BO531"/>
      <c r="BP531" s="85"/>
      <c r="BQ531" s="85"/>
      <c r="BR531" s="107"/>
      <c r="BS531" s="107"/>
      <c r="BT531" s="107"/>
      <c r="BU531" s="107"/>
      <c r="BV531" s="107"/>
      <c r="CS531"/>
      <c r="CT531" s="85"/>
      <c r="CU531" s="85"/>
      <c r="CV531" s="107"/>
      <c r="CW531" s="107"/>
      <c r="CX531" s="107"/>
      <c r="CY531" s="107"/>
      <c r="CZ531" s="107"/>
      <c r="DP531"/>
      <c r="DQ531" s="85"/>
      <c r="DR531" s="85"/>
      <c r="DS531" s="107"/>
      <c r="DT531" s="107"/>
      <c r="DU531" s="107"/>
      <c r="DV531" s="107"/>
      <c r="DW531" s="107"/>
    </row>
    <row r="532" spans="1:127" ht="16.5">
      <c r="A532"/>
      <c r="B532"/>
      <c r="C532" s="85"/>
      <c r="D532" s="107"/>
      <c r="E532" s="107"/>
      <c r="F532" s="107"/>
      <c r="G532" s="107"/>
      <c r="H532" s="107"/>
      <c r="I532" s="340"/>
      <c r="J532" s="340"/>
      <c r="K532" s="340"/>
      <c r="L532" s="340"/>
      <c r="M532" s="340"/>
      <c r="N532" s="340"/>
      <c r="O532" s="340"/>
      <c r="P532" s="340"/>
      <c r="Q532" s="340"/>
      <c r="S532"/>
      <c r="T532"/>
      <c r="U532" s="85"/>
      <c r="V532" s="107"/>
      <c r="W532" s="107"/>
      <c r="X532" s="107"/>
      <c r="Y532" s="107"/>
      <c r="Z532" s="107"/>
      <c r="AK532"/>
      <c r="AL532" s="85"/>
      <c r="AM532" s="85"/>
      <c r="AN532" s="107"/>
      <c r="AO532" s="107"/>
      <c r="AP532" s="107"/>
      <c r="AQ532" s="107"/>
      <c r="AR532" s="107"/>
      <c r="BO532"/>
      <c r="BP532" s="85"/>
      <c r="BQ532" s="85"/>
      <c r="BR532" s="107"/>
      <c r="BS532" s="107"/>
      <c r="BT532" s="107"/>
      <c r="BU532" s="107"/>
      <c r="BV532" s="107"/>
      <c r="CS532"/>
      <c r="CT532" s="85"/>
      <c r="CU532" s="85"/>
      <c r="CV532" s="107"/>
      <c r="CW532" s="107"/>
      <c r="CX532" s="107"/>
      <c r="CY532" s="107"/>
      <c r="CZ532" s="107"/>
      <c r="DP532"/>
      <c r="DQ532" s="85"/>
      <c r="DR532" s="85"/>
      <c r="DS532" s="107"/>
      <c r="DT532" s="107"/>
      <c r="DU532" s="107"/>
      <c r="DV532" s="107"/>
      <c r="DW532" s="107"/>
    </row>
    <row r="533" spans="1:127" ht="16.5">
      <c r="A533"/>
      <c r="B533"/>
      <c r="C533" s="85"/>
      <c r="D533" s="107"/>
      <c r="E533" s="107"/>
      <c r="F533" s="107"/>
      <c r="G533" s="107"/>
      <c r="H533" s="107"/>
      <c r="I533" s="340"/>
      <c r="J533" s="340"/>
      <c r="K533" s="340"/>
      <c r="L533" s="340"/>
      <c r="M533" s="340"/>
      <c r="N533" s="340"/>
      <c r="O533" s="340"/>
      <c r="P533" s="340"/>
      <c r="Q533" s="340"/>
      <c r="S533"/>
      <c r="T533"/>
      <c r="U533" s="85"/>
      <c r="V533" s="107"/>
      <c r="W533" s="107"/>
      <c r="X533" s="107"/>
      <c r="Y533" s="107"/>
      <c r="Z533" s="107"/>
      <c r="AK533"/>
      <c r="AL533" s="85"/>
      <c r="AM533" s="85"/>
      <c r="AN533" s="107"/>
      <c r="AO533" s="107"/>
      <c r="AP533" s="107"/>
      <c r="AQ533" s="107"/>
      <c r="AR533" s="107"/>
      <c r="BO533"/>
      <c r="BP533" s="85"/>
      <c r="BQ533" s="85"/>
      <c r="BR533" s="107"/>
      <c r="BS533" s="107"/>
      <c r="BT533" s="107"/>
      <c r="BU533" s="107"/>
      <c r="BV533" s="107"/>
      <c r="CS533"/>
      <c r="CT533" s="85"/>
      <c r="CU533" s="85"/>
      <c r="CV533" s="107"/>
      <c r="CW533" s="107"/>
      <c r="CX533" s="107"/>
      <c r="CY533" s="107"/>
      <c r="CZ533" s="107"/>
      <c r="DP533"/>
      <c r="DQ533" s="85"/>
      <c r="DR533" s="85"/>
      <c r="DS533" s="107"/>
      <c r="DT533" s="107"/>
      <c r="DU533" s="107"/>
      <c r="DV533" s="107"/>
      <c r="DW533" s="107"/>
    </row>
    <row r="534" spans="1:127" ht="16.5">
      <c r="A534"/>
      <c r="B534"/>
      <c r="C534" s="85"/>
      <c r="D534" s="107"/>
      <c r="E534" s="107"/>
      <c r="F534" s="107"/>
      <c r="G534" s="107"/>
      <c r="H534" s="107"/>
      <c r="I534" s="340"/>
      <c r="J534" s="340"/>
      <c r="K534" s="340"/>
      <c r="L534" s="340"/>
      <c r="M534" s="340"/>
      <c r="N534" s="340"/>
      <c r="O534" s="340"/>
      <c r="P534" s="340"/>
      <c r="Q534" s="340"/>
      <c r="S534"/>
      <c r="T534"/>
      <c r="U534" s="85"/>
      <c r="V534" s="107"/>
      <c r="W534" s="107"/>
      <c r="X534" s="107"/>
      <c r="Y534" s="107"/>
      <c r="Z534" s="107"/>
      <c r="AK534"/>
      <c r="AL534" s="85"/>
      <c r="AM534" s="85"/>
      <c r="AN534" s="107"/>
      <c r="AO534" s="107"/>
      <c r="AP534" s="107"/>
      <c r="AQ534" s="107"/>
      <c r="AR534" s="107"/>
      <c r="BO534"/>
      <c r="BP534" s="85"/>
      <c r="BQ534" s="85"/>
      <c r="BR534" s="107"/>
      <c r="BS534" s="107"/>
      <c r="BT534" s="107"/>
      <c r="BU534" s="107"/>
      <c r="BV534" s="107"/>
      <c r="CS534"/>
      <c r="CT534" s="85"/>
      <c r="CU534" s="85"/>
      <c r="CV534" s="107"/>
      <c r="CW534" s="107"/>
      <c r="CX534" s="107"/>
      <c r="CY534" s="107"/>
      <c r="CZ534" s="107"/>
      <c r="DP534"/>
      <c r="DQ534" s="85"/>
      <c r="DR534" s="85"/>
      <c r="DS534" s="107"/>
      <c r="DT534" s="107"/>
      <c r="DU534" s="107"/>
      <c r="DV534" s="107"/>
      <c r="DW534" s="107"/>
    </row>
    <row r="535" spans="1:127" ht="16.5">
      <c r="A535"/>
      <c r="B535"/>
      <c r="C535" s="85"/>
      <c r="D535" s="107"/>
      <c r="E535" s="107"/>
      <c r="F535" s="107"/>
      <c r="G535" s="107"/>
      <c r="H535" s="107"/>
      <c r="I535" s="340"/>
      <c r="J535" s="340"/>
      <c r="K535" s="340"/>
      <c r="L535" s="340"/>
      <c r="M535" s="340"/>
      <c r="N535" s="340"/>
      <c r="O535" s="340"/>
      <c r="P535" s="340"/>
      <c r="Q535" s="340"/>
      <c r="S535"/>
      <c r="T535"/>
      <c r="U535" s="85"/>
      <c r="V535" s="107"/>
      <c r="W535" s="107"/>
      <c r="X535" s="107"/>
      <c r="Y535" s="107"/>
      <c r="Z535" s="107"/>
      <c r="AK535"/>
      <c r="AL535" s="85"/>
      <c r="AM535" s="85"/>
      <c r="AN535" s="107"/>
      <c r="AO535" s="107"/>
      <c r="AP535" s="107"/>
      <c r="AQ535" s="107"/>
      <c r="AR535" s="107"/>
      <c r="BO535"/>
      <c r="BP535" s="85"/>
      <c r="BQ535" s="85"/>
      <c r="BR535" s="107"/>
      <c r="BS535" s="107"/>
      <c r="BT535" s="107"/>
      <c r="BU535" s="107"/>
      <c r="BV535" s="107"/>
      <c r="CS535"/>
      <c r="CT535" s="85"/>
      <c r="CU535" s="85"/>
      <c r="CV535" s="107"/>
      <c r="CW535" s="107"/>
      <c r="CX535" s="107"/>
      <c r="CY535" s="107"/>
      <c r="CZ535" s="107"/>
      <c r="DP535"/>
      <c r="DQ535" s="85"/>
      <c r="DR535" s="85"/>
      <c r="DS535" s="107"/>
      <c r="DT535" s="107"/>
      <c r="DU535" s="107"/>
      <c r="DV535" s="107"/>
      <c r="DW535" s="107"/>
    </row>
    <row r="536" spans="1:127" ht="16.5">
      <c r="A536"/>
      <c r="B536"/>
      <c r="C536" s="85"/>
      <c r="D536" s="107"/>
      <c r="E536" s="107"/>
      <c r="F536" s="107"/>
      <c r="G536" s="107"/>
      <c r="H536" s="107"/>
      <c r="I536" s="340"/>
      <c r="J536" s="340"/>
      <c r="K536" s="340"/>
      <c r="L536" s="340"/>
      <c r="M536" s="340"/>
      <c r="N536" s="340"/>
      <c r="O536" s="340"/>
      <c r="P536" s="340"/>
      <c r="Q536" s="340"/>
      <c r="S536"/>
      <c r="T536"/>
      <c r="U536" s="85"/>
      <c r="V536" s="107"/>
      <c r="W536" s="107"/>
      <c r="X536" s="107"/>
      <c r="Y536" s="107"/>
      <c r="Z536" s="107"/>
      <c r="AK536"/>
      <c r="AL536" s="85"/>
      <c r="AM536" s="85"/>
      <c r="AN536" s="107"/>
      <c r="AO536" s="107"/>
      <c r="AP536" s="107"/>
      <c r="AQ536" s="107"/>
      <c r="AR536" s="107"/>
      <c r="BO536"/>
      <c r="BP536" s="85"/>
      <c r="BQ536" s="85"/>
      <c r="BR536" s="107"/>
      <c r="BS536" s="107"/>
      <c r="BT536" s="107"/>
      <c r="BU536" s="107"/>
      <c r="BV536" s="107"/>
      <c r="CS536"/>
      <c r="CT536" s="85"/>
      <c r="CU536" s="85"/>
      <c r="CV536" s="107"/>
      <c r="CW536" s="107"/>
      <c r="CX536" s="107"/>
      <c r="CY536" s="107"/>
      <c r="CZ536" s="107"/>
      <c r="DP536"/>
      <c r="DQ536" s="85"/>
      <c r="DR536" s="85"/>
      <c r="DS536" s="107"/>
      <c r="DT536" s="107"/>
      <c r="DU536" s="107"/>
      <c r="DV536" s="107"/>
      <c r="DW536" s="107"/>
    </row>
    <row r="537" spans="1:127" ht="16.5">
      <c r="A537"/>
      <c r="B537"/>
      <c r="C537" s="85"/>
      <c r="D537" s="107"/>
      <c r="E537" s="107"/>
      <c r="F537" s="107"/>
      <c r="G537" s="107"/>
      <c r="H537" s="107"/>
      <c r="I537" s="340"/>
      <c r="J537" s="340"/>
      <c r="K537" s="340"/>
      <c r="L537" s="340"/>
      <c r="M537" s="340"/>
      <c r="N537" s="340"/>
      <c r="O537" s="340"/>
      <c r="P537" s="340"/>
      <c r="Q537" s="340"/>
      <c r="S537"/>
      <c r="T537"/>
      <c r="U537" s="85"/>
      <c r="V537" s="107"/>
      <c r="W537" s="107"/>
      <c r="X537" s="107"/>
      <c r="Y537" s="107"/>
      <c r="Z537" s="107"/>
      <c r="AK537"/>
      <c r="AL537" s="85"/>
      <c r="AM537" s="85"/>
      <c r="AN537" s="107"/>
      <c r="AO537" s="107"/>
      <c r="AP537" s="107"/>
      <c r="AQ537" s="107"/>
      <c r="AR537" s="107"/>
      <c r="BO537"/>
      <c r="BP537" s="85"/>
      <c r="BQ537" s="85"/>
      <c r="BR537" s="107"/>
      <c r="BS537" s="107"/>
      <c r="BT537" s="107"/>
      <c r="BU537" s="107"/>
      <c r="BV537" s="107"/>
      <c r="CS537"/>
      <c r="CT537" s="85"/>
      <c r="CU537" s="85"/>
      <c r="CV537" s="107"/>
      <c r="CW537" s="107"/>
      <c r="CX537" s="107"/>
      <c r="CY537" s="107"/>
      <c r="CZ537" s="107"/>
      <c r="DP537"/>
      <c r="DQ537" s="85"/>
      <c r="DR537" s="85"/>
      <c r="DS537" s="107"/>
      <c r="DT537" s="107"/>
      <c r="DU537" s="107"/>
      <c r="DV537" s="107"/>
      <c r="DW537" s="107"/>
    </row>
    <row r="538" spans="1:127" ht="16.5">
      <c r="A538"/>
      <c r="B538"/>
      <c r="C538" s="85"/>
      <c r="D538" s="107"/>
      <c r="E538" s="107"/>
      <c r="F538" s="107"/>
      <c r="G538" s="107"/>
      <c r="H538" s="107"/>
      <c r="I538" s="340"/>
      <c r="J538" s="340"/>
      <c r="K538" s="340"/>
      <c r="L538" s="340"/>
      <c r="M538" s="340"/>
      <c r="N538" s="340"/>
      <c r="O538" s="340"/>
      <c r="P538" s="340"/>
      <c r="Q538" s="340"/>
      <c r="S538"/>
      <c r="T538"/>
      <c r="U538" s="85"/>
      <c r="V538" s="107"/>
      <c r="W538" s="107"/>
      <c r="X538" s="107"/>
      <c r="Y538" s="107"/>
      <c r="Z538" s="107"/>
      <c r="AK538"/>
      <c r="AL538" s="85"/>
      <c r="AM538" s="85"/>
      <c r="AN538" s="107"/>
      <c r="AO538" s="107"/>
      <c r="AP538" s="107"/>
      <c r="AQ538" s="107"/>
      <c r="AR538" s="107"/>
      <c r="BO538"/>
      <c r="BP538" s="85"/>
      <c r="BQ538" s="85"/>
      <c r="BR538" s="107"/>
      <c r="BS538" s="107"/>
      <c r="BT538" s="107"/>
      <c r="BU538" s="107"/>
      <c r="BV538" s="107"/>
      <c r="CS538"/>
      <c r="CT538" s="85"/>
      <c r="CU538" s="85"/>
      <c r="CV538" s="107"/>
      <c r="CW538" s="107"/>
      <c r="CX538" s="107"/>
      <c r="CY538" s="107"/>
      <c r="CZ538" s="107"/>
      <c r="DP538"/>
      <c r="DQ538" s="85"/>
      <c r="DR538" s="85"/>
      <c r="DS538" s="107"/>
      <c r="DT538" s="107"/>
      <c r="DU538" s="107"/>
      <c r="DV538" s="107"/>
      <c r="DW538" s="107"/>
    </row>
    <row r="539" spans="1:127" ht="16.5">
      <c r="A539"/>
      <c r="B539"/>
      <c r="C539" s="85"/>
      <c r="D539" s="107"/>
      <c r="E539" s="107"/>
      <c r="F539" s="107"/>
      <c r="G539" s="107"/>
      <c r="H539" s="107"/>
      <c r="I539" s="340"/>
      <c r="J539" s="340"/>
      <c r="K539" s="340"/>
      <c r="L539" s="340"/>
      <c r="M539" s="340"/>
      <c r="N539" s="340"/>
      <c r="O539" s="340"/>
      <c r="P539" s="340"/>
      <c r="Q539" s="340"/>
      <c r="S539"/>
      <c r="T539"/>
      <c r="U539" s="85"/>
      <c r="V539" s="107"/>
      <c r="W539" s="107"/>
      <c r="X539" s="107"/>
      <c r="Y539" s="107"/>
      <c r="Z539" s="107"/>
      <c r="AK539"/>
      <c r="AL539" s="85"/>
      <c r="AM539" s="85"/>
      <c r="AN539" s="107"/>
      <c r="AO539" s="107"/>
      <c r="AP539" s="107"/>
      <c r="AQ539" s="107"/>
      <c r="AR539" s="107"/>
      <c r="BO539"/>
      <c r="BP539" s="85"/>
      <c r="BQ539" s="85"/>
      <c r="BR539" s="107"/>
      <c r="BS539" s="107"/>
      <c r="BT539" s="107"/>
      <c r="BU539" s="107"/>
      <c r="BV539" s="107"/>
      <c r="CS539"/>
      <c r="CT539" s="85"/>
      <c r="CU539" s="85"/>
      <c r="CV539" s="107"/>
      <c r="CW539" s="107"/>
      <c r="CX539" s="107"/>
      <c r="CY539" s="107"/>
      <c r="CZ539" s="107"/>
      <c r="DP539"/>
      <c r="DQ539" s="85"/>
      <c r="DR539" s="85"/>
      <c r="DS539" s="107"/>
      <c r="DT539" s="107"/>
      <c r="DU539" s="107"/>
      <c r="DV539" s="107"/>
      <c r="DW539" s="107"/>
    </row>
    <row r="540" spans="1:127" ht="16.5">
      <c r="A540"/>
      <c r="B540"/>
      <c r="C540" s="85"/>
      <c r="D540" s="107"/>
      <c r="E540" s="107"/>
      <c r="F540" s="107"/>
      <c r="G540" s="107"/>
      <c r="H540" s="107"/>
      <c r="I540" s="340"/>
      <c r="J540" s="340"/>
      <c r="K540" s="340"/>
      <c r="L540" s="340"/>
      <c r="M540" s="340"/>
      <c r="N540" s="340"/>
      <c r="O540" s="340"/>
      <c r="P540" s="340"/>
      <c r="Q540" s="340"/>
      <c r="S540"/>
      <c r="T540"/>
      <c r="U540" s="85"/>
      <c r="V540" s="107"/>
      <c r="W540" s="107"/>
      <c r="X540" s="107"/>
      <c r="Y540" s="107"/>
      <c r="Z540" s="107"/>
      <c r="AK540"/>
      <c r="AL540" s="85"/>
      <c r="AM540" s="85"/>
      <c r="AN540" s="107"/>
      <c r="AO540" s="107"/>
      <c r="AP540" s="107"/>
      <c r="AQ540" s="107"/>
      <c r="AR540" s="107"/>
      <c r="BO540"/>
      <c r="BP540" s="85"/>
      <c r="BQ540" s="85"/>
      <c r="BR540" s="107"/>
      <c r="BS540" s="107"/>
      <c r="BT540" s="107"/>
      <c r="BU540" s="107"/>
      <c r="BV540" s="107"/>
      <c r="CS540"/>
      <c r="CT540" s="85"/>
      <c r="CU540" s="85"/>
      <c r="CV540" s="107"/>
      <c r="CW540" s="107"/>
      <c r="CX540" s="107"/>
      <c r="CY540" s="107"/>
      <c r="CZ540" s="107"/>
      <c r="DP540"/>
      <c r="DQ540" s="85"/>
      <c r="DR540" s="85"/>
      <c r="DS540" s="107"/>
      <c r="DT540" s="107"/>
      <c r="DU540" s="107"/>
      <c r="DV540" s="107"/>
      <c r="DW540" s="107"/>
    </row>
    <row r="541" spans="1:127" ht="16.5">
      <c r="A541"/>
      <c r="B541"/>
      <c r="C541" s="85"/>
      <c r="D541" s="107"/>
      <c r="E541" s="107"/>
      <c r="F541" s="107"/>
      <c r="G541" s="107"/>
      <c r="H541" s="107"/>
      <c r="I541" s="340"/>
      <c r="J541" s="340"/>
      <c r="K541" s="340"/>
      <c r="L541" s="340"/>
      <c r="M541" s="340"/>
      <c r="N541" s="340"/>
      <c r="O541" s="340"/>
      <c r="P541" s="340"/>
      <c r="Q541" s="340"/>
      <c r="S541"/>
      <c r="T541"/>
      <c r="U541" s="85"/>
      <c r="V541" s="107"/>
      <c r="W541" s="107"/>
      <c r="X541" s="107"/>
      <c r="Y541" s="107"/>
      <c r="Z541" s="107"/>
      <c r="AK541"/>
      <c r="AL541" s="85"/>
      <c r="AM541" s="85"/>
      <c r="AN541" s="107"/>
      <c r="AO541" s="107"/>
      <c r="AP541" s="107"/>
      <c r="AQ541" s="107"/>
      <c r="AR541" s="107"/>
      <c r="BO541"/>
      <c r="BP541" s="85"/>
      <c r="BQ541" s="85"/>
      <c r="BR541" s="107"/>
      <c r="BS541" s="107"/>
      <c r="BT541" s="107"/>
      <c r="BU541" s="107"/>
      <c r="BV541" s="107"/>
      <c r="CS541"/>
      <c r="CT541" s="85"/>
      <c r="CU541" s="85"/>
      <c r="CV541" s="107"/>
      <c r="CW541" s="107"/>
      <c r="CX541" s="107"/>
      <c r="CY541" s="107"/>
      <c r="CZ541" s="107"/>
      <c r="DP541"/>
      <c r="DQ541" s="85"/>
      <c r="DR541" s="85"/>
      <c r="DS541" s="107"/>
      <c r="DT541" s="107"/>
      <c r="DU541" s="107"/>
      <c r="DV541" s="107"/>
      <c r="DW541" s="107"/>
    </row>
    <row r="542" spans="1:127" ht="16.5">
      <c r="A542"/>
      <c r="B542"/>
      <c r="C542" s="85"/>
      <c r="D542" s="107"/>
      <c r="E542" s="107"/>
      <c r="F542" s="107"/>
      <c r="G542" s="107"/>
      <c r="H542" s="107"/>
      <c r="I542" s="340"/>
      <c r="J542" s="340"/>
      <c r="K542" s="340"/>
      <c r="L542" s="340"/>
      <c r="M542" s="340"/>
      <c r="N542" s="340"/>
      <c r="O542" s="340"/>
      <c r="P542" s="340"/>
      <c r="Q542" s="340"/>
      <c r="S542"/>
      <c r="T542"/>
      <c r="U542" s="85"/>
      <c r="V542" s="107"/>
      <c r="W542" s="107"/>
      <c r="X542" s="107"/>
      <c r="Y542" s="107"/>
      <c r="Z542" s="107"/>
      <c r="AK542"/>
      <c r="AL542" s="85"/>
      <c r="AM542" s="85"/>
      <c r="AN542" s="107"/>
      <c r="AO542" s="107"/>
      <c r="AP542" s="107"/>
      <c r="AQ542" s="107"/>
      <c r="AR542" s="107"/>
      <c r="BO542"/>
      <c r="BP542" s="85"/>
      <c r="BQ542" s="85"/>
      <c r="BR542" s="107"/>
      <c r="BS542" s="107"/>
      <c r="BT542" s="107"/>
      <c r="BU542" s="107"/>
      <c r="BV542" s="107"/>
      <c r="CS542"/>
      <c r="CT542" s="85"/>
      <c r="CU542" s="85"/>
      <c r="CV542" s="107"/>
      <c r="CW542" s="107"/>
      <c r="CX542" s="107"/>
      <c r="CY542" s="107"/>
      <c r="CZ542" s="107"/>
      <c r="DP542"/>
      <c r="DQ542" s="85"/>
      <c r="DR542" s="85"/>
      <c r="DS542" s="107"/>
      <c r="DT542" s="107"/>
      <c r="DU542" s="107"/>
      <c r="DV542" s="107"/>
      <c r="DW542" s="107"/>
    </row>
    <row r="543" spans="1:127" ht="16.5">
      <c r="A543"/>
      <c r="B543"/>
      <c r="C543" s="85"/>
      <c r="D543" s="107"/>
      <c r="E543" s="107"/>
      <c r="F543" s="107"/>
      <c r="G543" s="107"/>
      <c r="H543" s="107"/>
      <c r="I543" s="340"/>
      <c r="J543" s="340"/>
      <c r="K543" s="340"/>
      <c r="L543" s="340"/>
      <c r="M543" s="340"/>
      <c r="N543" s="340"/>
      <c r="O543" s="340"/>
      <c r="P543" s="340"/>
      <c r="Q543" s="340"/>
      <c r="S543"/>
      <c r="T543"/>
      <c r="U543" s="85"/>
      <c r="V543" s="107"/>
      <c r="W543" s="107"/>
      <c r="X543" s="107"/>
      <c r="Y543" s="107"/>
      <c r="Z543" s="107"/>
      <c r="AK543"/>
      <c r="AL543" s="85"/>
      <c r="AM543" s="85"/>
      <c r="AN543" s="107"/>
      <c r="AO543" s="107"/>
      <c r="AP543" s="107"/>
      <c r="AQ543" s="107"/>
      <c r="AR543" s="107"/>
      <c r="BO543"/>
      <c r="BP543" s="85"/>
      <c r="BQ543" s="85"/>
      <c r="BR543" s="107"/>
      <c r="BS543" s="107"/>
      <c r="BT543" s="107"/>
      <c r="BU543" s="107"/>
      <c r="BV543" s="107"/>
      <c r="CS543"/>
      <c r="CT543" s="85"/>
      <c r="CU543" s="85"/>
      <c r="CV543" s="107"/>
      <c r="CW543" s="107"/>
      <c r="CX543" s="107"/>
      <c r="CY543" s="107"/>
      <c r="CZ543" s="107"/>
      <c r="DP543"/>
      <c r="DQ543" s="85"/>
      <c r="DR543" s="85"/>
      <c r="DS543" s="107"/>
      <c r="DT543" s="107"/>
      <c r="DU543" s="107"/>
      <c r="DV543" s="107"/>
      <c r="DW543" s="107"/>
    </row>
    <row r="544" spans="1:127" ht="16.5">
      <c r="A544"/>
      <c r="B544"/>
      <c r="C544" s="85"/>
      <c r="D544" s="107"/>
      <c r="E544" s="107"/>
      <c r="F544" s="107"/>
      <c r="G544" s="107"/>
      <c r="H544" s="107"/>
      <c r="I544" s="340"/>
      <c r="J544" s="340"/>
      <c r="K544" s="340"/>
      <c r="L544" s="340"/>
      <c r="M544" s="340"/>
      <c r="N544" s="340"/>
      <c r="O544" s="340"/>
      <c r="P544" s="340"/>
      <c r="Q544" s="340"/>
      <c r="S544"/>
      <c r="T544"/>
      <c r="U544" s="85"/>
      <c r="V544" s="107"/>
      <c r="W544" s="107"/>
      <c r="X544" s="107"/>
      <c r="Y544" s="107"/>
      <c r="Z544" s="107"/>
      <c r="AK544"/>
      <c r="AL544" s="85"/>
      <c r="AM544" s="85"/>
      <c r="AN544" s="107"/>
      <c r="AO544" s="107"/>
      <c r="AP544" s="107"/>
      <c r="AQ544" s="107"/>
      <c r="AR544" s="107"/>
      <c r="BO544"/>
      <c r="BP544" s="85"/>
      <c r="BQ544" s="85"/>
      <c r="BR544" s="107"/>
      <c r="BS544" s="107"/>
      <c r="BT544" s="107"/>
      <c r="BU544" s="107"/>
      <c r="BV544" s="107"/>
      <c r="CS544"/>
      <c r="CT544" s="85"/>
      <c r="CU544" s="85"/>
      <c r="CV544" s="107"/>
      <c r="CW544" s="107"/>
      <c r="CX544" s="107"/>
      <c r="CY544" s="107"/>
      <c r="CZ544" s="107"/>
      <c r="DP544"/>
      <c r="DQ544" s="85"/>
      <c r="DR544" s="85"/>
      <c r="DS544" s="107"/>
      <c r="DT544" s="107"/>
      <c r="DU544" s="107"/>
      <c r="DV544" s="107"/>
      <c r="DW544" s="107"/>
    </row>
    <row r="545" spans="1:127" ht="16.5">
      <c r="A545"/>
      <c r="B545"/>
      <c r="C545" s="85"/>
      <c r="D545" s="107"/>
      <c r="E545" s="107"/>
      <c r="F545" s="107"/>
      <c r="G545" s="107"/>
      <c r="H545" s="107"/>
      <c r="I545" s="340"/>
      <c r="J545" s="340"/>
      <c r="K545" s="340"/>
      <c r="L545" s="340"/>
      <c r="M545" s="340"/>
      <c r="N545" s="340"/>
      <c r="O545" s="340"/>
      <c r="P545" s="340"/>
      <c r="Q545" s="340"/>
      <c r="S545"/>
      <c r="T545"/>
      <c r="U545" s="85"/>
      <c r="V545" s="107"/>
      <c r="W545" s="107"/>
      <c r="X545" s="107"/>
      <c r="Y545" s="107"/>
      <c r="Z545" s="107"/>
      <c r="AK545"/>
      <c r="AL545" s="85"/>
      <c r="AM545" s="85"/>
      <c r="AN545" s="107"/>
      <c r="AO545" s="107"/>
      <c r="AP545" s="107"/>
      <c r="AQ545" s="107"/>
      <c r="AR545" s="107"/>
      <c r="BO545"/>
      <c r="BP545" s="85"/>
      <c r="BQ545" s="85"/>
      <c r="BR545" s="107"/>
      <c r="BS545" s="107"/>
      <c r="BT545" s="107"/>
      <c r="BU545" s="107"/>
      <c r="BV545" s="107"/>
      <c r="CS545"/>
      <c r="CT545" s="85"/>
      <c r="CU545" s="85"/>
      <c r="CV545" s="107"/>
      <c r="CW545" s="107"/>
      <c r="CX545" s="107"/>
      <c r="CY545" s="107"/>
      <c r="CZ545" s="107"/>
      <c r="DP545"/>
      <c r="DQ545" s="85"/>
      <c r="DR545" s="85"/>
      <c r="DS545" s="107"/>
      <c r="DT545" s="107"/>
      <c r="DU545" s="107"/>
      <c r="DV545" s="107"/>
      <c r="DW545" s="107"/>
    </row>
    <row r="546" spans="1:127" ht="16.5">
      <c r="A546"/>
      <c r="B546"/>
      <c r="C546" s="85"/>
      <c r="D546" s="107"/>
      <c r="E546" s="107"/>
      <c r="F546" s="107"/>
      <c r="G546" s="107"/>
      <c r="H546" s="107"/>
      <c r="I546" s="340"/>
      <c r="J546" s="340"/>
      <c r="K546" s="340"/>
      <c r="L546" s="340"/>
      <c r="M546" s="340"/>
      <c r="N546" s="340"/>
      <c r="O546" s="340"/>
      <c r="P546" s="340"/>
      <c r="Q546" s="340"/>
      <c r="S546"/>
      <c r="T546"/>
      <c r="U546" s="85"/>
      <c r="V546" s="107"/>
      <c r="W546" s="107"/>
      <c r="X546" s="107"/>
      <c r="Y546" s="107"/>
      <c r="Z546" s="107"/>
      <c r="AK546"/>
      <c r="AL546" s="85"/>
      <c r="AM546" s="85"/>
      <c r="AN546" s="107"/>
      <c r="AO546" s="107"/>
      <c r="AP546" s="107"/>
      <c r="AQ546" s="107"/>
      <c r="AR546" s="107"/>
      <c r="BO546"/>
      <c r="BP546" s="85"/>
      <c r="BQ546" s="85"/>
      <c r="BR546" s="107"/>
      <c r="BS546" s="107"/>
      <c r="BT546" s="107"/>
      <c r="BU546" s="107"/>
      <c r="BV546" s="107"/>
      <c r="CS546"/>
      <c r="CT546" s="85"/>
      <c r="CU546" s="85"/>
      <c r="CV546" s="107"/>
      <c r="CW546" s="107"/>
      <c r="CX546" s="107"/>
      <c r="CY546" s="107"/>
      <c r="CZ546" s="107"/>
      <c r="DP546"/>
      <c r="DQ546" s="85"/>
      <c r="DR546" s="85"/>
      <c r="DS546" s="107"/>
      <c r="DT546" s="107"/>
      <c r="DU546" s="107"/>
      <c r="DV546" s="107"/>
      <c r="DW546" s="107"/>
    </row>
    <row r="547" spans="1:127" ht="16.5">
      <c r="A547"/>
      <c r="B547"/>
      <c r="C547" s="85"/>
      <c r="D547" s="107"/>
      <c r="E547" s="107"/>
      <c r="F547" s="107"/>
      <c r="G547" s="107"/>
      <c r="H547" s="107"/>
      <c r="I547" s="340"/>
      <c r="J547" s="340"/>
      <c r="K547" s="340"/>
      <c r="L547" s="340"/>
      <c r="M547" s="340"/>
      <c r="N547" s="340"/>
      <c r="O547" s="340"/>
      <c r="P547" s="340"/>
      <c r="Q547" s="340"/>
      <c r="S547"/>
      <c r="T547"/>
      <c r="U547" s="85"/>
      <c r="V547" s="107"/>
      <c r="W547" s="107"/>
      <c r="X547" s="107"/>
      <c r="Y547" s="107"/>
      <c r="Z547" s="107"/>
      <c r="AK547"/>
      <c r="AL547" s="85"/>
      <c r="AM547" s="85"/>
      <c r="AN547" s="107"/>
      <c r="AO547" s="107"/>
      <c r="AP547" s="107"/>
      <c r="AQ547" s="107"/>
      <c r="AR547" s="107"/>
      <c r="BO547"/>
      <c r="BP547" s="85"/>
      <c r="BQ547" s="85"/>
      <c r="BR547" s="107"/>
      <c r="BS547" s="107"/>
      <c r="BT547" s="107"/>
      <c r="BU547" s="107"/>
      <c r="BV547" s="107"/>
      <c r="CS547"/>
      <c r="CT547" s="85"/>
      <c r="CU547" s="85"/>
      <c r="CV547" s="107"/>
      <c r="CW547" s="107"/>
      <c r="CX547" s="107"/>
      <c r="CY547" s="107"/>
      <c r="CZ547" s="107"/>
      <c r="DP547"/>
      <c r="DQ547" s="85"/>
      <c r="DR547" s="85"/>
      <c r="DS547" s="107"/>
      <c r="DT547" s="107"/>
      <c r="DU547" s="107"/>
      <c r="DV547" s="107"/>
      <c r="DW547" s="107"/>
    </row>
    <row r="548" spans="1:127" ht="16.5">
      <c r="A548"/>
      <c r="B548"/>
      <c r="C548" s="85"/>
      <c r="D548" s="107"/>
      <c r="E548" s="107"/>
      <c r="F548" s="107"/>
      <c r="G548" s="107"/>
      <c r="H548" s="107"/>
      <c r="I548" s="340"/>
      <c r="J548" s="340"/>
      <c r="K548" s="340"/>
      <c r="L548" s="340"/>
      <c r="M548" s="340"/>
      <c r="N548" s="340"/>
      <c r="O548" s="340"/>
      <c r="P548" s="340"/>
      <c r="Q548" s="340"/>
      <c r="S548"/>
      <c r="T548"/>
      <c r="U548" s="85"/>
      <c r="V548" s="107"/>
      <c r="W548" s="107"/>
      <c r="X548" s="107"/>
      <c r="Y548" s="107"/>
      <c r="Z548" s="107"/>
      <c r="AK548"/>
      <c r="AL548" s="85"/>
      <c r="AM548" s="85"/>
      <c r="AN548" s="107"/>
      <c r="AO548" s="107"/>
      <c r="AP548" s="107"/>
      <c r="AQ548" s="107"/>
      <c r="AR548" s="107"/>
      <c r="BO548"/>
      <c r="BP548" s="85"/>
      <c r="BQ548" s="85"/>
      <c r="BR548" s="107"/>
      <c r="BS548" s="107"/>
      <c r="BT548" s="107"/>
      <c r="BU548" s="107"/>
      <c r="BV548" s="107"/>
      <c r="CS548"/>
      <c r="CT548" s="85"/>
      <c r="CU548" s="85"/>
      <c r="CV548" s="107"/>
      <c r="CW548" s="107"/>
      <c r="CX548" s="107"/>
      <c r="CY548" s="107"/>
      <c r="CZ548" s="107"/>
      <c r="DP548"/>
      <c r="DQ548" s="85"/>
      <c r="DR548" s="85"/>
      <c r="DS548" s="107"/>
      <c r="DT548" s="107"/>
      <c r="DU548" s="107"/>
      <c r="DV548" s="107"/>
      <c r="DW548" s="107"/>
    </row>
    <row r="549" spans="1:127" ht="16.5">
      <c r="A549"/>
      <c r="B549"/>
      <c r="C549" s="85"/>
      <c r="D549" s="107"/>
      <c r="E549" s="107"/>
      <c r="F549" s="107"/>
      <c r="G549" s="107"/>
      <c r="H549" s="107"/>
      <c r="I549" s="340"/>
      <c r="J549" s="340"/>
      <c r="K549" s="340"/>
      <c r="L549" s="340"/>
      <c r="M549" s="340"/>
      <c r="N549" s="340"/>
      <c r="O549" s="340"/>
      <c r="P549" s="340"/>
      <c r="Q549" s="340"/>
      <c r="S549"/>
      <c r="T549"/>
      <c r="U549" s="85"/>
      <c r="V549" s="107"/>
      <c r="W549" s="107"/>
      <c r="X549" s="107"/>
      <c r="Y549" s="107"/>
      <c r="Z549" s="107"/>
      <c r="AK549"/>
      <c r="AL549" s="85"/>
      <c r="AM549" s="85"/>
      <c r="AN549" s="107"/>
      <c r="AO549" s="107"/>
      <c r="AP549" s="107"/>
      <c r="AQ549" s="107"/>
      <c r="AR549" s="107"/>
      <c r="BO549"/>
      <c r="BP549" s="85"/>
      <c r="BQ549" s="85"/>
      <c r="BR549" s="107"/>
      <c r="BS549" s="107"/>
      <c r="BT549" s="107"/>
      <c r="BU549" s="107"/>
      <c r="BV549" s="107"/>
      <c r="CS549"/>
      <c r="CT549" s="85"/>
      <c r="CU549" s="85"/>
      <c r="CV549" s="107"/>
      <c r="CW549" s="107"/>
      <c r="CX549" s="107"/>
      <c r="CY549" s="107"/>
      <c r="CZ549" s="107"/>
      <c r="DP549"/>
      <c r="DQ549" s="85"/>
      <c r="DR549" s="85"/>
      <c r="DS549" s="107"/>
      <c r="DT549" s="107"/>
      <c r="DU549" s="107"/>
      <c r="DV549" s="107"/>
      <c r="DW549" s="107"/>
    </row>
    <row r="550" spans="1:127" ht="16.5">
      <c r="A550"/>
      <c r="B550"/>
      <c r="C550" s="85"/>
      <c r="D550" s="107"/>
      <c r="E550" s="107"/>
      <c r="F550" s="107"/>
      <c r="G550" s="107"/>
      <c r="H550" s="107"/>
      <c r="I550" s="340"/>
      <c r="J550" s="340"/>
      <c r="K550" s="340"/>
      <c r="L550" s="340"/>
      <c r="M550" s="340"/>
      <c r="N550" s="340"/>
      <c r="O550" s="340"/>
      <c r="P550" s="340"/>
      <c r="Q550" s="340"/>
      <c r="S550"/>
      <c r="T550"/>
      <c r="U550" s="85"/>
      <c r="V550" s="107"/>
      <c r="W550" s="107"/>
      <c r="X550" s="107"/>
      <c r="Y550" s="107"/>
      <c r="Z550" s="107"/>
      <c r="AK550"/>
      <c r="AL550" s="85"/>
      <c r="AM550" s="85"/>
      <c r="AN550" s="107"/>
      <c r="AO550" s="107"/>
      <c r="AP550" s="107"/>
      <c r="AQ550" s="107"/>
      <c r="AR550" s="107"/>
      <c r="BO550"/>
      <c r="BP550" s="85"/>
      <c r="BQ550" s="85"/>
      <c r="BR550" s="107"/>
      <c r="BS550" s="107"/>
      <c r="BT550" s="107"/>
      <c r="BU550" s="107"/>
      <c r="BV550" s="107"/>
      <c r="CS550"/>
      <c r="CT550" s="85"/>
      <c r="CU550" s="85"/>
      <c r="CV550" s="107"/>
      <c r="CW550" s="107"/>
      <c r="CX550" s="107"/>
      <c r="CY550" s="107"/>
      <c r="CZ550" s="107"/>
      <c r="DP550"/>
      <c r="DQ550" s="85"/>
      <c r="DR550" s="85"/>
      <c r="DS550" s="107"/>
      <c r="DT550" s="107"/>
      <c r="DU550" s="107"/>
      <c r="DV550" s="107"/>
      <c r="DW550" s="107"/>
    </row>
    <row r="551" spans="1:127" ht="16.5">
      <c r="A551"/>
      <c r="B551"/>
      <c r="C551" s="85"/>
      <c r="D551" s="107"/>
      <c r="E551" s="107"/>
      <c r="F551" s="107"/>
      <c r="G551" s="107"/>
      <c r="H551" s="107"/>
      <c r="I551" s="340"/>
      <c r="J551" s="340"/>
      <c r="K551" s="340"/>
      <c r="L551" s="340"/>
      <c r="M551" s="340"/>
      <c r="N551" s="340"/>
      <c r="O551" s="340"/>
      <c r="P551" s="340"/>
      <c r="Q551" s="340"/>
      <c r="S551"/>
      <c r="T551"/>
      <c r="U551" s="85"/>
      <c r="V551" s="107"/>
      <c r="W551" s="107"/>
      <c r="X551" s="107"/>
      <c r="Y551" s="107"/>
      <c r="Z551" s="107"/>
      <c r="AK551"/>
      <c r="AL551" s="85"/>
      <c r="AM551" s="85"/>
      <c r="AN551" s="107"/>
      <c r="AO551" s="107"/>
      <c r="AP551" s="107"/>
      <c r="AQ551" s="107"/>
      <c r="AR551" s="107"/>
      <c r="BO551"/>
      <c r="BP551" s="85"/>
      <c r="BQ551" s="85"/>
      <c r="BR551" s="107"/>
      <c r="BS551" s="107"/>
      <c r="BT551" s="107"/>
      <c r="BU551" s="107"/>
      <c r="BV551" s="107"/>
      <c r="CS551"/>
      <c r="CT551" s="85"/>
      <c r="CU551" s="85"/>
      <c r="CV551" s="107"/>
      <c r="CW551" s="107"/>
      <c r="CX551" s="107"/>
      <c r="CY551" s="107"/>
      <c r="CZ551" s="107"/>
      <c r="DP551"/>
      <c r="DQ551" s="85"/>
      <c r="DR551" s="85"/>
      <c r="DS551" s="107"/>
      <c r="DT551" s="107"/>
      <c r="DU551" s="107"/>
      <c r="DV551" s="107"/>
      <c r="DW551" s="107"/>
    </row>
    <row r="552" spans="1:127" ht="16.5">
      <c r="A552"/>
      <c r="B552"/>
      <c r="C552" s="85"/>
      <c r="D552" s="107"/>
      <c r="E552" s="107"/>
      <c r="F552" s="107"/>
      <c r="G552" s="107"/>
      <c r="H552" s="107"/>
      <c r="I552" s="340"/>
      <c r="J552" s="340"/>
      <c r="K552" s="340"/>
      <c r="L552" s="340"/>
      <c r="M552" s="340"/>
      <c r="N552" s="340"/>
      <c r="O552" s="340"/>
      <c r="P552" s="340"/>
      <c r="Q552" s="340"/>
      <c r="S552"/>
      <c r="T552"/>
      <c r="U552" s="85"/>
      <c r="V552" s="107"/>
      <c r="W552" s="107"/>
      <c r="X552" s="107"/>
      <c r="Y552" s="107"/>
      <c r="Z552" s="107"/>
      <c r="AK552"/>
      <c r="AL552" s="85"/>
      <c r="AM552" s="85"/>
      <c r="AN552" s="107"/>
      <c r="AO552" s="107"/>
      <c r="AP552" s="107"/>
      <c r="AQ552" s="107"/>
      <c r="AR552" s="107"/>
      <c r="BO552"/>
      <c r="BP552" s="85"/>
      <c r="BQ552" s="85"/>
      <c r="BR552" s="107"/>
      <c r="BS552" s="107"/>
      <c r="BT552" s="107"/>
      <c r="BU552" s="107"/>
      <c r="BV552" s="107"/>
      <c r="CS552"/>
      <c r="CT552" s="85"/>
      <c r="CU552" s="85"/>
      <c r="CV552" s="107"/>
      <c r="CW552" s="107"/>
      <c r="CX552" s="107"/>
      <c r="CY552" s="107"/>
      <c r="CZ552" s="107"/>
      <c r="DP552"/>
      <c r="DQ552" s="85"/>
      <c r="DR552" s="85"/>
      <c r="DS552" s="107"/>
      <c r="DT552" s="107"/>
      <c r="DU552" s="107"/>
      <c r="DV552" s="107"/>
      <c r="DW552" s="107"/>
    </row>
    <row r="553" spans="1:127" ht="16.5">
      <c r="A553"/>
      <c r="B553"/>
      <c r="C553" s="85"/>
      <c r="D553" s="107"/>
      <c r="E553" s="107"/>
      <c r="F553" s="107"/>
      <c r="G553" s="107"/>
      <c r="H553" s="107"/>
      <c r="I553" s="340"/>
      <c r="J553" s="340"/>
      <c r="K553" s="340"/>
      <c r="L553" s="340"/>
      <c r="M553" s="340"/>
      <c r="N553" s="340"/>
      <c r="O553" s="340"/>
      <c r="P553" s="340"/>
      <c r="Q553" s="340"/>
      <c r="S553"/>
      <c r="T553"/>
      <c r="U553" s="85"/>
      <c r="V553" s="107"/>
      <c r="W553" s="107"/>
      <c r="X553" s="107"/>
      <c r="Y553" s="107"/>
      <c r="Z553" s="107"/>
      <c r="AK553"/>
      <c r="AL553" s="85"/>
      <c r="AM553" s="85"/>
      <c r="AN553" s="107"/>
      <c r="AO553" s="107"/>
      <c r="AP553" s="107"/>
      <c r="AQ553" s="107"/>
      <c r="AR553" s="107"/>
      <c r="BO553"/>
      <c r="BP553" s="85"/>
      <c r="BQ553" s="85"/>
      <c r="BR553" s="107"/>
      <c r="BS553" s="107"/>
      <c r="BT553" s="107"/>
      <c r="BU553" s="107"/>
      <c r="BV553" s="107"/>
      <c r="CS553"/>
      <c r="CT553" s="85"/>
      <c r="CU553" s="85"/>
      <c r="CV553" s="107"/>
      <c r="CW553" s="107"/>
      <c r="CX553" s="107"/>
      <c r="CY553" s="107"/>
      <c r="CZ553" s="107"/>
      <c r="DP553"/>
      <c r="DQ553" s="85"/>
      <c r="DR553" s="85"/>
      <c r="DS553" s="107"/>
      <c r="DT553" s="107"/>
      <c r="DU553" s="107"/>
      <c r="DV553" s="107"/>
      <c r="DW553" s="107"/>
    </row>
    <row r="554" spans="1:127" ht="16.5">
      <c r="A554"/>
      <c r="B554"/>
      <c r="C554" s="85"/>
      <c r="D554" s="107"/>
      <c r="E554" s="107"/>
      <c r="F554" s="107"/>
      <c r="G554" s="107"/>
      <c r="H554" s="107"/>
      <c r="I554" s="340"/>
      <c r="J554" s="340"/>
      <c r="K554" s="340"/>
      <c r="L554" s="340"/>
      <c r="M554" s="340"/>
      <c r="N554" s="340"/>
      <c r="O554" s="340"/>
      <c r="P554" s="340"/>
      <c r="Q554" s="340"/>
      <c r="S554"/>
      <c r="T554"/>
      <c r="U554" s="85"/>
      <c r="V554" s="107"/>
      <c r="W554" s="107"/>
      <c r="X554" s="107"/>
      <c r="Y554" s="107"/>
      <c r="Z554" s="107"/>
      <c r="AK554"/>
      <c r="AL554" s="85"/>
      <c r="AM554" s="85"/>
      <c r="AN554" s="107"/>
      <c r="AO554" s="107"/>
      <c r="AP554" s="107"/>
      <c r="AQ554" s="107"/>
      <c r="AR554" s="107"/>
      <c r="BO554"/>
      <c r="BP554" s="85"/>
      <c r="BQ554" s="85"/>
      <c r="BR554" s="107"/>
      <c r="BS554" s="107"/>
      <c r="BT554" s="107"/>
      <c r="BU554" s="107"/>
      <c r="BV554" s="107"/>
      <c r="CS554"/>
      <c r="CT554" s="85"/>
      <c r="CU554" s="85"/>
      <c r="CV554" s="107"/>
      <c r="CW554" s="107"/>
      <c r="CX554" s="107"/>
      <c r="CY554" s="107"/>
      <c r="CZ554" s="107"/>
      <c r="DP554"/>
      <c r="DQ554" s="85"/>
      <c r="DR554" s="85"/>
      <c r="DS554" s="107"/>
      <c r="DT554" s="107"/>
      <c r="DU554" s="107"/>
      <c r="DV554" s="107"/>
      <c r="DW554" s="107"/>
    </row>
    <row r="555" spans="1:127" ht="16.5">
      <c r="A555"/>
      <c r="B555"/>
      <c r="C555" s="85"/>
      <c r="D555" s="107"/>
      <c r="E555" s="107"/>
      <c r="F555" s="107"/>
      <c r="G555" s="107"/>
      <c r="H555" s="107"/>
      <c r="I555" s="340"/>
      <c r="J555" s="340"/>
      <c r="K555" s="340"/>
      <c r="L555" s="340"/>
      <c r="M555" s="340"/>
      <c r="N555" s="340"/>
      <c r="O555" s="340"/>
      <c r="P555" s="340"/>
      <c r="Q555" s="340"/>
      <c r="S555"/>
      <c r="T555"/>
      <c r="U555" s="85"/>
      <c r="V555" s="107"/>
      <c r="W555" s="107"/>
      <c r="X555" s="107"/>
      <c r="Y555" s="107"/>
      <c r="Z555" s="107"/>
      <c r="AK555"/>
      <c r="AL555" s="85"/>
      <c r="AM555" s="85"/>
      <c r="AN555" s="107"/>
      <c r="AO555" s="107"/>
      <c r="AP555" s="107"/>
      <c r="AQ555" s="107"/>
      <c r="AR555" s="107"/>
      <c r="BO555"/>
      <c r="BP555" s="85"/>
      <c r="BQ555" s="85"/>
      <c r="BR555" s="107"/>
      <c r="BS555" s="107"/>
      <c r="BT555" s="107"/>
      <c r="BU555" s="107"/>
      <c r="BV555" s="107"/>
      <c r="CS555"/>
      <c r="CT555" s="85"/>
      <c r="CU555" s="85"/>
      <c r="CV555" s="107"/>
      <c r="CW555" s="107"/>
      <c r="CX555" s="107"/>
      <c r="CY555" s="107"/>
      <c r="CZ555" s="107"/>
      <c r="DP555"/>
      <c r="DQ555" s="85"/>
      <c r="DR555" s="85"/>
      <c r="DS555" s="107"/>
      <c r="DT555" s="107"/>
      <c r="DU555" s="107"/>
      <c r="DV555" s="107"/>
      <c r="DW555" s="107"/>
    </row>
    <row r="556" spans="1:127" ht="16.5">
      <c r="A556"/>
      <c r="B556"/>
      <c r="C556" s="85"/>
      <c r="D556" s="107"/>
      <c r="E556" s="107"/>
      <c r="F556" s="107"/>
      <c r="G556" s="107"/>
      <c r="H556" s="107"/>
      <c r="I556" s="340"/>
      <c r="J556" s="340"/>
      <c r="K556" s="340"/>
      <c r="L556" s="340"/>
      <c r="M556" s="340"/>
      <c r="N556" s="340"/>
      <c r="O556" s="340"/>
      <c r="P556" s="340"/>
      <c r="Q556" s="340"/>
      <c r="S556"/>
      <c r="T556"/>
      <c r="U556" s="85"/>
      <c r="V556" s="107"/>
      <c r="W556" s="107"/>
      <c r="X556" s="107"/>
      <c r="Y556" s="107"/>
      <c r="Z556" s="107"/>
      <c r="AK556"/>
      <c r="AL556" s="85"/>
      <c r="AM556" s="85"/>
      <c r="AN556" s="107"/>
      <c r="AO556" s="107"/>
      <c r="AP556" s="107"/>
      <c r="AQ556" s="107"/>
      <c r="AR556" s="107"/>
      <c r="BO556"/>
      <c r="BP556" s="85"/>
      <c r="BQ556" s="85"/>
      <c r="BR556" s="107"/>
      <c r="BS556" s="107"/>
      <c r="BT556" s="107"/>
      <c r="BU556" s="107"/>
      <c r="BV556" s="107"/>
      <c r="CS556"/>
      <c r="CT556" s="85"/>
      <c r="CU556" s="85"/>
      <c r="CV556" s="107"/>
      <c r="CW556" s="107"/>
      <c r="CX556" s="107"/>
      <c r="CY556" s="107"/>
      <c r="CZ556" s="107"/>
      <c r="DP556"/>
      <c r="DQ556" s="85"/>
      <c r="DR556" s="85"/>
      <c r="DS556" s="107"/>
      <c r="DT556" s="107"/>
      <c r="DU556" s="107"/>
      <c r="DV556" s="107"/>
      <c r="DW556" s="107"/>
    </row>
    <row r="557" spans="1:127" ht="16.5">
      <c r="A557"/>
      <c r="B557"/>
      <c r="C557" s="85"/>
      <c r="D557" s="107"/>
      <c r="E557" s="107"/>
      <c r="F557" s="107"/>
      <c r="G557" s="107"/>
      <c r="H557" s="107"/>
      <c r="I557" s="340"/>
      <c r="J557" s="340"/>
      <c r="K557" s="340"/>
      <c r="L557" s="340"/>
      <c r="M557" s="340"/>
      <c r="N557" s="340"/>
      <c r="O557" s="340"/>
      <c r="P557" s="340"/>
      <c r="Q557" s="340"/>
      <c r="S557"/>
      <c r="T557"/>
      <c r="U557" s="85"/>
      <c r="V557" s="107"/>
      <c r="W557" s="107"/>
      <c r="X557" s="107"/>
      <c r="Y557" s="107"/>
      <c r="Z557" s="107"/>
      <c r="AK557"/>
      <c r="AL557" s="85"/>
      <c r="AM557" s="85"/>
      <c r="AN557" s="107"/>
      <c r="AO557" s="107"/>
      <c r="AP557" s="107"/>
      <c r="AQ557" s="107"/>
      <c r="AR557" s="107"/>
      <c r="BO557"/>
      <c r="BP557" s="85"/>
      <c r="BQ557" s="85"/>
      <c r="BR557" s="107"/>
      <c r="BS557" s="107"/>
      <c r="BT557" s="107"/>
      <c r="BU557" s="107"/>
      <c r="BV557" s="107"/>
      <c r="CS557"/>
      <c r="CT557" s="85"/>
      <c r="CU557" s="85"/>
      <c r="CV557" s="107"/>
      <c r="CW557" s="107"/>
      <c r="CX557" s="107"/>
      <c r="CY557" s="107"/>
      <c r="CZ557" s="107"/>
      <c r="DP557"/>
      <c r="DQ557" s="85"/>
      <c r="DR557" s="85"/>
      <c r="DS557" s="107"/>
      <c r="DT557" s="107"/>
      <c r="DU557" s="107"/>
      <c r="DV557" s="107"/>
      <c r="DW557" s="107"/>
    </row>
    <row r="558" spans="1:127" ht="16.5">
      <c r="A558"/>
      <c r="B558"/>
      <c r="C558" s="85"/>
      <c r="D558" s="107"/>
      <c r="E558" s="107"/>
      <c r="F558" s="107"/>
      <c r="G558" s="107"/>
      <c r="H558" s="107"/>
      <c r="I558" s="340"/>
      <c r="J558" s="340"/>
      <c r="K558" s="340"/>
      <c r="L558" s="340"/>
      <c r="M558" s="340"/>
      <c r="N558" s="340"/>
      <c r="O558" s="340"/>
      <c r="P558" s="340"/>
      <c r="Q558" s="340"/>
      <c r="S558"/>
      <c r="T558"/>
      <c r="U558" s="85"/>
      <c r="V558" s="107"/>
      <c r="W558" s="107"/>
      <c r="X558" s="107"/>
      <c r="Y558" s="107"/>
      <c r="Z558" s="107"/>
      <c r="AK558"/>
      <c r="AL558" s="85"/>
      <c r="AM558" s="85"/>
      <c r="AN558" s="107"/>
      <c r="AO558" s="107"/>
      <c r="AP558" s="107"/>
      <c r="AQ558" s="107"/>
      <c r="AR558" s="107"/>
      <c r="BO558"/>
      <c r="BP558" s="85"/>
      <c r="BQ558" s="85"/>
      <c r="BR558" s="107"/>
      <c r="BS558" s="107"/>
      <c r="BT558" s="107"/>
      <c r="BU558" s="107"/>
      <c r="BV558" s="107"/>
      <c r="CS558"/>
      <c r="CT558" s="85"/>
      <c r="CU558" s="85"/>
      <c r="CV558" s="107"/>
      <c r="CW558" s="107"/>
      <c r="CX558" s="107"/>
      <c r="CY558" s="107"/>
      <c r="CZ558" s="107"/>
      <c r="DP558"/>
      <c r="DQ558" s="85"/>
      <c r="DR558" s="85"/>
      <c r="DS558" s="107"/>
      <c r="DT558" s="107"/>
      <c r="DU558" s="107"/>
      <c r="DV558" s="107"/>
      <c r="DW558" s="107"/>
    </row>
    <row r="559" spans="1:127" ht="16.5">
      <c r="A559"/>
      <c r="B559"/>
      <c r="C559" s="85"/>
      <c r="D559" s="107"/>
      <c r="E559" s="107"/>
      <c r="F559" s="107"/>
      <c r="G559" s="107"/>
      <c r="H559" s="107"/>
      <c r="I559" s="340"/>
      <c r="J559" s="340"/>
      <c r="K559" s="340"/>
      <c r="L559" s="340"/>
      <c r="M559" s="340"/>
      <c r="N559" s="340"/>
      <c r="O559" s="340"/>
      <c r="P559" s="340"/>
      <c r="Q559" s="340"/>
      <c r="S559"/>
      <c r="T559"/>
      <c r="U559" s="85"/>
      <c r="V559" s="107"/>
      <c r="W559" s="107"/>
      <c r="X559" s="107"/>
      <c r="Y559" s="107"/>
      <c r="Z559" s="107"/>
      <c r="AK559"/>
      <c r="AL559" s="85"/>
      <c r="AM559" s="85"/>
      <c r="AN559" s="107"/>
      <c r="AO559" s="107"/>
      <c r="AP559" s="107"/>
      <c r="AQ559" s="107"/>
      <c r="AR559" s="107"/>
      <c r="BO559"/>
      <c r="BP559" s="85"/>
      <c r="BQ559" s="85"/>
      <c r="BR559" s="107"/>
      <c r="BS559" s="107"/>
      <c r="BT559" s="107"/>
      <c r="BU559" s="107"/>
      <c r="BV559" s="107"/>
      <c r="CS559"/>
      <c r="CT559" s="85"/>
      <c r="CU559" s="85"/>
      <c r="CV559" s="107"/>
      <c r="CW559" s="107"/>
      <c r="CX559" s="107"/>
      <c r="CY559" s="107"/>
      <c r="CZ559" s="107"/>
      <c r="DP559"/>
      <c r="DQ559" s="85"/>
      <c r="DR559" s="85"/>
      <c r="DS559" s="107"/>
      <c r="DT559" s="107"/>
      <c r="DU559" s="107"/>
      <c r="DV559" s="107"/>
      <c r="DW559" s="107"/>
    </row>
    <row r="560" spans="1:127" ht="16.5">
      <c r="A560"/>
      <c r="B560"/>
      <c r="C560" s="85"/>
      <c r="D560" s="107"/>
      <c r="E560" s="107"/>
      <c r="F560" s="107"/>
      <c r="G560" s="107"/>
      <c r="H560" s="107"/>
      <c r="I560" s="340"/>
      <c r="J560" s="340"/>
      <c r="K560" s="340"/>
      <c r="L560" s="340"/>
      <c r="M560" s="340"/>
      <c r="N560" s="340"/>
      <c r="O560" s="340"/>
      <c r="P560" s="340"/>
      <c r="Q560" s="340"/>
      <c r="S560"/>
      <c r="T560"/>
      <c r="U560" s="85"/>
      <c r="V560" s="107"/>
      <c r="W560" s="107"/>
      <c r="X560" s="107"/>
      <c r="Y560" s="107"/>
      <c r="Z560" s="107"/>
      <c r="AK560"/>
      <c r="AL560" s="85"/>
      <c r="AM560" s="85"/>
      <c r="AN560" s="107"/>
      <c r="AO560" s="107"/>
      <c r="AP560" s="107"/>
      <c r="AQ560" s="107"/>
      <c r="AR560" s="107"/>
      <c r="BO560"/>
      <c r="BP560" s="85"/>
      <c r="BQ560" s="85"/>
      <c r="BR560" s="107"/>
      <c r="BS560" s="107"/>
      <c r="BT560" s="107"/>
      <c r="BU560" s="107"/>
      <c r="BV560" s="107"/>
      <c r="CS560"/>
      <c r="CT560" s="85"/>
      <c r="CU560" s="85"/>
      <c r="CV560" s="107"/>
      <c r="CW560" s="107"/>
      <c r="CX560" s="107"/>
      <c r="CY560" s="107"/>
      <c r="CZ560" s="107"/>
      <c r="DP560"/>
      <c r="DQ560" s="85"/>
      <c r="DR560" s="85"/>
      <c r="DS560" s="107"/>
      <c r="DT560" s="107"/>
      <c r="DU560" s="107"/>
      <c r="DV560" s="107"/>
      <c r="DW560" s="107"/>
    </row>
    <row r="561" spans="1:127" ht="16.5">
      <c r="A561"/>
      <c r="B561"/>
      <c r="C561" s="85"/>
      <c r="D561" s="107"/>
      <c r="E561" s="107"/>
      <c r="F561" s="107"/>
      <c r="G561" s="107"/>
      <c r="H561" s="107"/>
      <c r="I561" s="340"/>
      <c r="J561" s="340"/>
      <c r="K561" s="340"/>
      <c r="L561" s="340"/>
      <c r="M561" s="340"/>
      <c r="N561" s="340"/>
      <c r="O561" s="340"/>
      <c r="P561" s="340"/>
      <c r="Q561" s="340"/>
      <c r="S561"/>
      <c r="T561"/>
      <c r="U561" s="85"/>
      <c r="V561" s="107"/>
      <c r="W561" s="107"/>
      <c r="X561" s="107"/>
      <c r="Y561" s="107"/>
      <c r="Z561" s="107"/>
      <c r="AK561"/>
      <c r="AL561" s="85"/>
      <c r="AM561" s="85"/>
      <c r="AN561" s="107"/>
      <c r="AO561" s="107"/>
      <c r="AP561" s="107"/>
      <c r="AQ561" s="107"/>
      <c r="AR561" s="107"/>
      <c r="BO561"/>
      <c r="BP561" s="85"/>
      <c r="BQ561" s="85"/>
      <c r="BR561" s="107"/>
      <c r="BS561" s="107"/>
      <c r="BT561" s="107"/>
      <c r="BU561" s="107"/>
      <c r="BV561" s="107"/>
      <c r="CS561"/>
      <c r="CT561" s="85"/>
      <c r="CU561" s="85"/>
      <c r="CV561" s="107"/>
      <c r="CW561" s="107"/>
      <c r="CX561" s="107"/>
      <c r="CY561" s="107"/>
      <c r="CZ561" s="107"/>
      <c r="DP561"/>
      <c r="DQ561" s="85"/>
      <c r="DR561" s="85"/>
      <c r="DS561" s="107"/>
      <c r="DT561" s="107"/>
      <c r="DU561" s="107"/>
      <c r="DV561" s="107"/>
      <c r="DW561" s="107"/>
    </row>
    <row r="562" spans="1:127" ht="16.5">
      <c r="A562"/>
      <c r="B562"/>
      <c r="C562" s="85"/>
      <c r="D562" s="107"/>
      <c r="E562" s="107"/>
      <c r="F562" s="107"/>
      <c r="G562" s="107"/>
      <c r="H562" s="107"/>
      <c r="I562" s="340"/>
      <c r="J562" s="340"/>
      <c r="K562" s="340"/>
      <c r="L562" s="340"/>
      <c r="M562" s="340"/>
      <c r="N562" s="340"/>
      <c r="O562" s="340"/>
      <c r="P562" s="340"/>
      <c r="Q562" s="340"/>
      <c r="S562"/>
      <c r="T562"/>
      <c r="U562" s="85"/>
      <c r="V562" s="107"/>
      <c r="W562" s="107"/>
      <c r="X562" s="107"/>
      <c r="Y562" s="107"/>
      <c r="Z562" s="107"/>
      <c r="AK562"/>
      <c r="AL562" s="85"/>
      <c r="AM562" s="85"/>
      <c r="AN562" s="107"/>
      <c r="AO562" s="107"/>
      <c r="AP562" s="107"/>
      <c r="AQ562" s="107"/>
      <c r="AR562" s="107"/>
      <c r="BO562"/>
      <c r="BP562" s="85"/>
      <c r="BQ562" s="85"/>
      <c r="BR562" s="107"/>
      <c r="BS562" s="107"/>
      <c r="BT562" s="107"/>
      <c r="BU562" s="107"/>
      <c r="BV562" s="107"/>
      <c r="CS562"/>
      <c r="CT562" s="85"/>
      <c r="CU562" s="85"/>
      <c r="CV562" s="107"/>
      <c r="CW562" s="107"/>
      <c r="CX562" s="107"/>
      <c r="CY562" s="107"/>
      <c r="CZ562" s="107"/>
      <c r="DP562"/>
      <c r="DQ562" s="85"/>
      <c r="DR562" s="85"/>
      <c r="DS562" s="107"/>
      <c r="DT562" s="107"/>
      <c r="DU562" s="107"/>
      <c r="DV562" s="107"/>
      <c r="DW562" s="107"/>
    </row>
    <row r="563" spans="1:127" ht="16.5">
      <c r="A563"/>
      <c r="B563"/>
      <c r="C563" s="85"/>
      <c r="D563" s="107"/>
      <c r="E563" s="107"/>
      <c r="F563" s="107"/>
      <c r="G563" s="107"/>
      <c r="H563" s="107"/>
      <c r="I563" s="340"/>
      <c r="J563" s="340"/>
      <c r="K563" s="340"/>
      <c r="L563" s="340"/>
      <c r="M563" s="340"/>
      <c r="N563" s="340"/>
      <c r="O563" s="340"/>
      <c r="P563" s="340"/>
      <c r="Q563" s="340"/>
      <c r="S563"/>
      <c r="T563"/>
      <c r="U563" s="85"/>
      <c r="V563" s="107"/>
      <c r="W563" s="107"/>
      <c r="X563" s="107"/>
      <c r="Y563" s="107"/>
      <c r="Z563" s="107"/>
      <c r="AK563"/>
      <c r="AL563" s="85"/>
      <c r="AM563" s="85"/>
      <c r="AN563" s="107"/>
      <c r="AO563" s="107"/>
      <c r="AP563" s="107"/>
      <c r="AQ563" s="107"/>
      <c r="AR563" s="107"/>
      <c r="BO563"/>
      <c r="BP563" s="85"/>
      <c r="BQ563" s="85"/>
      <c r="BR563" s="107"/>
      <c r="BS563" s="107"/>
      <c r="BT563" s="107"/>
      <c r="BU563" s="107"/>
      <c r="BV563" s="107"/>
      <c r="CS563"/>
      <c r="CT563" s="85"/>
      <c r="CU563" s="85"/>
      <c r="CV563" s="107"/>
      <c r="CW563" s="107"/>
      <c r="CX563" s="107"/>
      <c r="CY563" s="107"/>
      <c r="CZ563" s="107"/>
      <c r="DP563"/>
      <c r="DQ563" s="85"/>
      <c r="DR563" s="85"/>
      <c r="DS563" s="107"/>
      <c r="DT563" s="107"/>
      <c r="DU563" s="107"/>
      <c r="DV563" s="107"/>
      <c r="DW563" s="107"/>
    </row>
    <row r="564" spans="1:127" ht="16.5">
      <c r="A564"/>
      <c r="B564"/>
      <c r="C564" s="85"/>
      <c r="D564" s="107"/>
      <c r="E564" s="107"/>
      <c r="F564" s="107"/>
      <c r="G564" s="107"/>
      <c r="H564" s="107"/>
      <c r="I564" s="340"/>
      <c r="J564" s="340"/>
      <c r="K564" s="340"/>
      <c r="L564" s="340"/>
      <c r="M564" s="340"/>
      <c r="N564" s="340"/>
      <c r="O564" s="340"/>
      <c r="P564" s="340"/>
      <c r="Q564" s="340"/>
      <c r="S564"/>
      <c r="T564"/>
      <c r="U564" s="85"/>
      <c r="V564" s="107"/>
      <c r="W564" s="107"/>
      <c r="X564" s="107"/>
      <c r="Y564" s="107"/>
      <c r="Z564" s="107"/>
      <c r="AK564"/>
      <c r="AL564" s="85"/>
      <c r="AM564" s="85"/>
      <c r="AN564" s="107"/>
      <c r="AO564" s="107"/>
      <c r="AP564" s="107"/>
      <c r="AQ564" s="107"/>
      <c r="AR564" s="107"/>
      <c r="BO564"/>
      <c r="BP564" s="85"/>
      <c r="BQ564" s="85"/>
      <c r="BR564" s="107"/>
      <c r="BS564" s="107"/>
      <c r="BT564" s="107"/>
      <c r="BU564" s="107"/>
      <c r="BV564" s="107"/>
      <c r="CS564"/>
      <c r="CT564" s="85"/>
      <c r="CU564" s="85"/>
      <c r="CV564" s="107"/>
      <c r="CW564" s="107"/>
      <c r="CX564" s="107"/>
      <c r="CY564" s="107"/>
      <c r="CZ564" s="107"/>
      <c r="DP564"/>
      <c r="DQ564" s="85"/>
      <c r="DR564" s="85"/>
      <c r="DS564" s="107"/>
      <c r="DT564" s="107"/>
      <c r="DU564" s="107"/>
      <c r="DV564" s="107"/>
      <c r="DW564" s="107"/>
    </row>
    <row r="565" spans="1:127" ht="16.5">
      <c r="A565"/>
      <c r="B565"/>
      <c r="C565" s="85"/>
      <c r="D565" s="107"/>
      <c r="E565" s="107"/>
      <c r="F565" s="107"/>
      <c r="G565" s="107"/>
      <c r="H565" s="107"/>
      <c r="I565" s="340"/>
      <c r="J565" s="340"/>
      <c r="K565" s="340"/>
      <c r="L565" s="340"/>
      <c r="M565" s="340"/>
      <c r="N565" s="340"/>
      <c r="O565" s="340"/>
      <c r="P565" s="340"/>
      <c r="Q565" s="340"/>
      <c r="S565"/>
      <c r="T565"/>
      <c r="U565" s="85"/>
      <c r="V565" s="107"/>
      <c r="W565" s="107"/>
      <c r="X565" s="107"/>
      <c r="Y565" s="107"/>
      <c r="Z565" s="107"/>
      <c r="AK565"/>
      <c r="AL565" s="85"/>
      <c r="AM565" s="85"/>
      <c r="AN565" s="107"/>
      <c r="AO565" s="107"/>
      <c r="AP565" s="107"/>
      <c r="AQ565" s="107"/>
      <c r="AR565" s="107"/>
      <c r="BO565"/>
      <c r="BP565" s="85"/>
      <c r="BQ565" s="85"/>
      <c r="BR565" s="107"/>
      <c r="BS565" s="107"/>
      <c r="BT565" s="107"/>
      <c r="BU565" s="107"/>
      <c r="BV565" s="107"/>
      <c r="CS565"/>
      <c r="CT565" s="85"/>
      <c r="CU565" s="85"/>
      <c r="CV565" s="107"/>
      <c r="CW565" s="107"/>
      <c r="CX565" s="107"/>
      <c r="CY565" s="107"/>
      <c r="CZ565" s="107"/>
      <c r="DP565"/>
      <c r="DQ565" s="85"/>
      <c r="DR565" s="85"/>
      <c r="DS565" s="107"/>
      <c r="DT565" s="107"/>
      <c r="DU565" s="107"/>
      <c r="DV565" s="107"/>
      <c r="DW565" s="107"/>
    </row>
    <row r="566" spans="1:127" ht="16.5">
      <c r="A566"/>
      <c r="B566"/>
      <c r="C566" s="85"/>
      <c r="D566" s="107"/>
      <c r="E566" s="107"/>
      <c r="F566" s="107"/>
      <c r="G566" s="107"/>
      <c r="H566" s="107"/>
      <c r="I566" s="340"/>
      <c r="J566" s="340"/>
      <c r="K566" s="340"/>
      <c r="L566" s="340"/>
      <c r="M566" s="340"/>
      <c r="N566" s="340"/>
      <c r="O566" s="340"/>
      <c r="P566" s="340"/>
      <c r="Q566" s="340"/>
      <c r="S566"/>
      <c r="T566"/>
      <c r="U566" s="85"/>
      <c r="V566" s="107"/>
      <c r="W566" s="107"/>
      <c r="X566" s="107"/>
      <c r="Y566" s="107"/>
      <c r="Z566" s="107"/>
      <c r="AK566"/>
      <c r="AL566" s="85"/>
      <c r="AM566" s="85"/>
      <c r="AN566" s="107"/>
      <c r="AO566" s="107"/>
      <c r="AP566" s="107"/>
      <c r="AQ566" s="107"/>
      <c r="AR566" s="107"/>
      <c r="BO566"/>
      <c r="BP566" s="85"/>
      <c r="BQ566" s="85"/>
      <c r="BR566" s="107"/>
      <c r="BS566" s="107"/>
      <c r="BT566" s="107"/>
      <c r="BU566" s="107"/>
      <c r="BV566" s="107"/>
      <c r="CS566"/>
      <c r="CT566" s="85"/>
      <c r="CU566" s="85"/>
      <c r="CV566" s="107"/>
      <c r="CW566" s="107"/>
      <c r="CX566" s="107"/>
      <c r="CY566" s="107"/>
      <c r="CZ566" s="107"/>
      <c r="DP566"/>
      <c r="DQ566" s="85"/>
      <c r="DR566" s="85"/>
      <c r="DS566" s="107"/>
      <c r="DT566" s="107"/>
      <c r="DU566" s="107"/>
      <c r="DV566" s="107"/>
      <c r="DW566" s="107"/>
    </row>
    <row r="567" spans="1:127" ht="16.5">
      <c r="A567"/>
      <c r="B567"/>
      <c r="C567" s="85"/>
      <c r="D567" s="107"/>
      <c r="E567" s="107"/>
      <c r="F567" s="107"/>
      <c r="G567" s="107"/>
      <c r="H567" s="107"/>
      <c r="I567" s="340"/>
      <c r="J567" s="340"/>
      <c r="K567" s="340"/>
      <c r="L567" s="340"/>
      <c r="M567" s="340"/>
      <c r="N567" s="340"/>
      <c r="O567" s="340"/>
      <c r="P567" s="340"/>
      <c r="Q567" s="340"/>
      <c r="S567"/>
      <c r="T567"/>
      <c r="U567" s="85"/>
      <c r="V567" s="107"/>
      <c r="W567" s="107"/>
      <c r="X567" s="107"/>
      <c r="Y567" s="107"/>
      <c r="Z567" s="107"/>
      <c r="AK567"/>
      <c r="AL567" s="85"/>
      <c r="AM567" s="85"/>
      <c r="AN567" s="107"/>
      <c r="AO567" s="107"/>
      <c r="AP567" s="107"/>
      <c r="AQ567" s="107"/>
      <c r="AR567" s="107"/>
      <c r="BO567"/>
      <c r="BP567" s="85"/>
      <c r="BQ567" s="85"/>
      <c r="BR567" s="107"/>
      <c r="BS567" s="107"/>
      <c r="BT567" s="107"/>
      <c r="BU567" s="107"/>
      <c r="BV567" s="107"/>
      <c r="CS567"/>
      <c r="CT567" s="85"/>
      <c r="CU567" s="85"/>
      <c r="CV567" s="107"/>
      <c r="CW567" s="107"/>
      <c r="CX567" s="107"/>
      <c r="CY567" s="107"/>
      <c r="CZ567" s="107"/>
      <c r="DP567"/>
      <c r="DQ567" s="85"/>
      <c r="DR567" s="85"/>
      <c r="DS567" s="107"/>
      <c r="DT567" s="107"/>
      <c r="DU567" s="107"/>
      <c r="DV567" s="107"/>
      <c r="DW567" s="107"/>
    </row>
    <row r="568" spans="1:127" ht="16.5">
      <c r="A568"/>
      <c r="B568"/>
      <c r="C568" s="85"/>
      <c r="D568" s="107"/>
      <c r="E568" s="107"/>
      <c r="F568" s="107"/>
      <c r="G568" s="107"/>
      <c r="H568" s="107"/>
      <c r="I568" s="340"/>
      <c r="J568" s="340"/>
      <c r="K568" s="340"/>
      <c r="L568" s="340"/>
      <c r="M568" s="340"/>
      <c r="N568" s="340"/>
      <c r="O568" s="340"/>
      <c r="P568" s="340"/>
      <c r="Q568" s="340"/>
      <c r="S568"/>
      <c r="T568"/>
      <c r="U568" s="85"/>
      <c r="V568" s="107"/>
      <c r="W568" s="107"/>
      <c r="X568" s="107"/>
      <c r="Y568" s="107"/>
      <c r="Z568" s="107"/>
      <c r="AK568"/>
      <c r="AL568" s="85"/>
      <c r="AM568" s="85"/>
      <c r="AN568" s="107"/>
      <c r="AO568" s="107"/>
      <c r="AP568" s="107"/>
      <c r="AQ568" s="107"/>
      <c r="AR568" s="107"/>
      <c r="BO568"/>
      <c r="BP568" s="85"/>
      <c r="BQ568" s="85"/>
      <c r="BR568" s="107"/>
      <c r="BS568" s="107"/>
      <c r="BT568" s="107"/>
      <c r="BU568" s="107"/>
      <c r="BV568" s="107"/>
      <c r="CS568"/>
      <c r="CT568" s="85"/>
      <c r="CU568" s="85"/>
      <c r="CV568" s="107"/>
      <c r="CW568" s="107"/>
      <c r="CX568" s="107"/>
      <c r="CY568" s="107"/>
      <c r="CZ568" s="107"/>
      <c r="DP568"/>
      <c r="DQ568" s="85"/>
      <c r="DR568" s="85"/>
      <c r="DS568" s="107"/>
      <c r="DT568" s="107"/>
      <c r="DU568" s="107"/>
      <c r="DV568" s="107"/>
      <c r="DW568" s="107"/>
    </row>
    <row r="569" spans="1:127" ht="16.5">
      <c r="A569"/>
      <c r="B569"/>
      <c r="C569" s="85"/>
      <c r="D569" s="107"/>
      <c r="E569" s="107"/>
      <c r="F569" s="107"/>
      <c r="G569" s="107"/>
      <c r="H569" s="107"/>
      <c r="I569" s="340"/>
      <c r="J569" s="340"/>
      <c r="K569" s="340"/>
      <c r="L569" s="340"/>
      <c r="M569" s="340"/>
      <c r="N569" s="340"/>
      <c r="O569" s="340"/>
      <c r="P569" s="340"/>
      <c r="Q569" s="340"/>
      <c r="S569"/>
      <c r="T569"/>
      <c r="U569" s="85"/>
      <c r="V569" s="107"/>
      <c r="W569" s="107"/>
      <c r="X569" s="107"/>
      <c r="Y569" s="107"/>
      <c r="Z569" s="107"/>
      <c r="AK569"/>
      <c r="AL569" s="85"/>
      <c r="AM569" s="85"/>
      <c r="AN569" s="107"/>
      <c r="AO569" s="107"/>
      <c r="AP569" s="107"/>
      <c r="AQ569" s="107"/>
      <c r="AR569" s="107"/>
      <c r="BO569"/>
      <c r="BP569" s="85"/>
      <c r="BQ569" s="85"/>
      <c r="BR569" s="107"/>
      <c r="BS569" s="107"/>
      <c r="BT569" s="107"/>
      <c r="BU569" s="107"/>
      <c r="BV569" s="107"/>
      <c r="CS569"/>
      <c r="CT569" s="85"/>
      <c r="CU569" s="85"/>
      <c r="CV569" s="107"/>
      <c r="CW569" s="107"/>
      <c r="CX569" s="107"/>
      <c r="CY569" s="107"/>
      <c r="CZ569" s="107"/>
      <c r="DP569"/>
      <c r="DQ569" s="85"/>
      <c r="DR569" s="85"/>
      <c r="DS569" s="107"/>
      <c r="DT569" s="107"/>
      <c r="DU569" s="107"/>
      <c r="DV569" s="107"/>
      <c r="DW569" s="107"/>
    </row>
    <row r="570" spans="1:127" ht="16.5">
      <c r="A570"/>
      <c r="B570"/>
      <c r="C570" s="85"/>
      <c r="D570" s="107"/>
      <c r="E570" s="107"/>
      <c r="F570" s="107"/>
      <c r="G570" s="107"/>
      <c r="H570" s="107"/>
      <c r="I570" s="340"/>
      <c r="J570" s="340"/>
      <c r="K570" s="340"/>
      <c r="L570" s="340"/>
      <c r="M570" s="340"/>
      <c r="N570" s="340"/>
      <c r="O570" s="340"/>
      <c r="P570" s="340"/>
      <c r="Q570" s="340"/>
      <c r="S570"/>
      <c r="T570"/>
      <c r="U570" s="85"/>
      <c r="V570" s="107"/>
      <c r="W570" s="107"/>
      <c r="X570" s="107"/>
      <c r="Y570" s="107"/>
      <c r="Z570" s="107"/>
      <c r="AK570"/>
      <c r="AL570" s="85"/>
      <c r="AM570" s="85"/>
      <c r="AN570" s="107"/>
      <c r="AO570" s="107"/>
      <c r="AP570" s="107"/>
      <c r="AQ570" s="107"/>
      <c r="AR570" s="107"/>
      <c r="BO570"/>
      <c r="BP570" s="85"/>
      <c r="BQ570" s="85"/>
      <c r="BR570" s="107"/>
      <c r="BS570" s="107"/>
      <c r="BT570" s="107"/>
      <c r="BU570" s="107"/>
      <c r="BV570" s="107"/>
      <c r="CS570"/>
      <c r="CT570" s="85"/>
      <c r="CU570" s="85"/>
      <c r="CV570" s="107"/>
      <c r="CW570" s="107"/>
      <c r="CX570" s="107"/>
      <c r="CY570" s="107"/>
      <c r="CZ570" s="107"/>
      <c r="DP570"/>
      <c r="DQ570" s="85"/>
      <c r="DR570" s="85"/>
      <c r="DS570" s="107"/>
      <c r="DT570" s="107"/>
      <c r="DU570" s="107"/>
      <c r="DV570" s="107"/>
      <c r="DW570" s="107"/>
    </row>
    <row r="571" spans="1:127" ht="16.5">
      <c r="A571"/>
      <c r="B571"/>
      <c r="C571" s="85"/>
      <c r="D571" s="107"/>
      <c r="E571" s="107"/>
      <c r="F571" s="107"/>
      <c r="G571" s="107"/>
      <c r="H571" s="107"/>
      <c r="I571" s="340"/>
      <c r="J571" s="340"/>
      <c r="K571" s="340"/>
      <c r="L571" s="340"/>
      <c r="M571" s="340"/>
      <c r="N571" s="340"/>
      <c r="O571" s="340"/>
      <c r="P571" s="340"/>
      <c r="Q571" s="340"/>
      <c r="S571"/>
      <c r="T571"/>
      <c r="U571" s="85"/>
      <c r="V571" s="107"/>
      <c r="W571" s="107"/>
      <c r="X571" s="107"/>
      <c r="Y571" s="107"/>
      <c r="Z571" s="107"/>
      <c r="AK571"/>
      <c r="AL571" s="85"/>
      <c r="AM571" s="85"/>
      <c r="AN571" s="107"/>
      <c r="AO571" s="107"/>
      <c r="AP571" s="107"/>
      <c r="AQ571" s="107"/>
      <c r="AR571" s="107"/>
      <c r="BO571"/>
      <c r="BP571" s="85"/>
      <c r="BQ571" s="85"/>
      <c r="BR571" s="107"/>
      <c r="BS571" s="107"/>
      <c r="BT571" s="107"/>
      <c r="BU571" s="107"/>
      <c r="BV571" s="107"/>
      <c r="CS571"/>
      <c r="CT571" s="85"/>
      <c r="CU571" s="85"/>
      <c r="CV571" s="107"/>
      <c r="CW571" s="107"/>
      <c r="CX571" s="107"/>
      <c r="CY571" s="107"/>
      <c r="CZ571" s="107"/>
      <c r="DP571"/>
      <c r="DQ571" s="85"/>
      <c r="DR571" s="85"/>
      <c r="DS571" s="107"/>
      <c r="DT571" s="107"/>
      <c r="DU571" s="107"/>
      <c r="DV571" s="107"/>
      <c r="DW571" s="107"/>
    </row>
    <row r="572" spans="1:127" ht="16.5">
      <c r="A572"/>
      <c r="B572"/>
      <c r="C572" s="85"/>
      <c r="D572" s="107"/>
      <c r="E572" s="107"/>
      <c r="F572" s="107"/>
      <c r="G572" s="107"/>
      <c r="H572" s="107"/>
      <c r="I572" s="340"/>
      <c r="J572" s="340"/>
      <c r="K572" s="340"/>
      <c r="L572" s="340"/>
      <c r="M572" s="340"/>
      <c r="N572" s="340"/>
      <c r="O572" s="340"/>
      <c r="P572" s="340"/>
      <c r="Q572" s="340"/>
      <c r="S572"/>
      <c r="T572"/>
      <c r="U572" s="85"/>
      <c r="V572" s="107"/>
      <c r="W572" s="107"/>
      <c r="X572" s="107"/>
      <c r="Y572" s="107"/>
      <c r="Z572" s="107"/>
      <c r="AK572"/>
      <c r="AL572" s="85"/>
      <c r="AM572" s="85"/>
      <c r="AN572" s="107"/>
      <c r="AO572" s="107"/>
      <c r="AP572" s="107"/>
      <c r="AQ572" s="107"/>
      <c r="AR572" s="107"/>
      <c r="BO572"/>
      <c r="BP572" s="85"/>
      <c r="BQ572" s="85"/>
      <c r="BR572" s="107"/>
      <c r="BS572" s="107"/>
      <c r="BT572" s="107"/>
      <c r="BU572" s="107"/>
      <c r="BV572" s="107"/>
      <c r="CS572"/>
      <c r="CT572" s="85"/>
      <c r="CU572" s="85"/>
      <c r="CV572" s="107"/>
      <c r="CW572" s="107"/>
      <c r="CX572" s="107"/>
      <c r="CY572" s="107"/>
      <c r="CZ572" s="107"/>
      <c r="DP572"/>
      <c r="DQ572" s="85"/>
      <c r="DR572" s="85"/>
      <c r="DS572" s="107"/>
      <c r="DT572" s="107"/>
      <c r="DU572" s="107"/>
      <c r="DV572" s="107"/>
      <c r="DW572" s="107"/>
    </row>
    <row r="573" spans="1:127" ht="16.5">
      <c r="A573"/>
      <c r="B573"/>
      <c r="C573" s="85"/>
      <c r="D573" s="107"/>
      <c r="E573" s="107"/>
      <c r="F573" s="107"/>
      <c r="G573" s="107"/>
      <c r="H573" s="107"/>
      <c r="I573" s="340"/>
      <c r="J573" s="340"/>
      <c r="K573" s="340"/>
      <c r="L573" s="340"/>
      <c r="M573" s="340"/>
      <c r="N573" s="340"/>
      <c r="O573" s="340"/>
      <c r="P573" s="340"/>
      <c r="Q573" s="340"/>
      <c r="S573"/>
      <c r="T573"/>
      <c r="U573" s="85"/>
      <c r="V573" s="107"/>
      <c r="W573" s="107"/>
      <c r="X573" s="107"/>
      <c r="Y573" s="107"/>
      <c r="Z573" s="107"/>
      <c r="AK573"/>
      <c r="AL573" s="85"/>
      <c r="AM573" s="85"/>
      <c r="AN573" s="107"/>
      <c r="AO573" s="107"/>
      <c r="AP573" s="107"/>
      <c r="AQ573" s="107"/>
      <c r="AR573" s="107"/>
      <c r="BO573"/>
      <c r="BP573" s="85"/>
      <c r="BQ573" s="85"/>
      <c r="BR573" s="107"/>
      <c r="BS573" s="107"/>
      <c r="BT573" s="107"/>
      <c r="BU573" s="107"/>
      <c r="BV573" s="107"/>
      <c r="CS573"/>
      <c r="CT573" s="85"/>
      <c r="CU573" s="85"/>
      <c r="CV573" s="107"/>
      <c r="CW573" s="107"/>
      <c r="CX573" s="107"/>
      <c r="CY573" s="107"/>
      <c r="CZ573" s="107"/>
      <c r="DP573"/>
      <c r="DQ573" s="85"/>
      <c r="DR573" s="85"/>
      <c r="DS573" s="107"/>
      <c r="DT573" s="107"/>
      <c r="DU573" s="107"/>
      <c r="DV573" s="107"/>
      <c r="DW573" s="107"/>
    </row>
    <row r="574" spans="1:127" ht="16.5">
      <c r="A574"/>
      <c r="B574"/>
      <c r="C574" s="85"/>
      <c r="D574" s="107"/>
      <c r="E574" s="107"/>
      <c r="F574" s="107"/>
      <c r="G574" s="107"/>
      <c r="H574" s="107"/>
      <c r="I574" s="340"/>
      <c r="J574" s="340"/>
      <c r="K574" s="340"/>
      <c r="L574" s="340"/>
      <c r="M574" s="340"/>
      <c r="N574" s="340"/>
      <c r="O574" s="340"/>
      <c r="P574" s="340"/>
      <c r="Q574" s="340"/>
      <c r="S574"/>
      <c r="T574"/>
      <c r="U574" s="85"/>
      <c r="V574" s="107"/>
      <c r="W574" s="107"/>
      <c r="X574" s="107"/>
      <c r="Y574" s="107"/>
      <c r="Z574" s="107"/>
      <c r="AK574"/>
      <c r="AL574" s="85"/>
      <c r="AM574" s="85"/>
      <c r="AN574" s="107"/>
      <c r="AO574" s="107"/>
      <c r="AP574" s="107"/>
      <c r="AQ574" s="107"/>
      <c r="AR574" s="107"/>
      <c r="BO574"/>
      <c r="BP574" s="85"/>
      <c r="BQ574" s="85"/>
      <c r="BR574" s="107"/>
      <c r="BS574" s="107"/>
      <c r="BT574" s="107"/>
      <c r="BU574" s="107"/>
      <c r="BV574" s="107"/>
      <c r="CS574"/>
      <c r="CT574" s="85"/>
      <c r="CU574" s="85"/>
      <c r="CV574" s="107"/>
      <c r="CW574" s="107"/>
      <c r="CX574" s="107"/>
      <c r="CY574" s="107"/>
      <c r="CZ574" s="107"/>
      <c r="DP574"/>
      <c r="DQ574" s="85"/>
      <c r="DR574" s="85"/>
      <c r="DS574" s="107"/>
      <c r="DT574" s="107"/>
      <c r="DU574" s="107"/>
      <c r="DV574" s="107"/>
      <c r="DW574" s="107"/>
    </row>
    <row r="575" spans="1:127" ht="16.5">
      <c r="A575"/>
      <c r="B575"/>
      <c r="C575" s="85"/>
      <c r="D575" s="107"/>
      <c r="E575" s="107"/>
      <c r="F575" s="107"/>
      <c r="G575" s="107"/>
      <c r="H575" s="107"/>
      <c r="I575" s="340"/>
      <c r="J575" s="340"/>
      <c r="K575" s="340"/>
      <c r="L575" s="340"/>
      <c r="M575" s="340"/>
      <c r="N575" s="340"/>
      <c r="O575" s="340"/>
      <c r="P575" s="340"/>
      <c r="Q575" s="340"/>
      <c r="S575"/>
      <c r="T575"/>
      <c r="U575" s="85"/>
      <c r="V575" s="107"/>
      <c r="W575" s="107"/>
      <c r="X575" s="107"/>
      <c r="Y575" s="107"/>
      <c r="Z575" s="107"/>
      <c r="AK575"/>
      <c r="AL575" s="85"/>
      <c r="AM575" s="85"/>
      <c r="AN575" s="107"/>
      <c r="AO575" s="107"/>
      <c r="AP575" s="107"/>
      <c r="AQ575" s="107"/>
      <c r="AR575" s="107"/>
      <c r="BO575"/>
      <c r="BP575" s="85"/>
      <c r="BQ575" s="85"/>
      <c r="BR575" s="107"/>
      <c r="BS575" s="107"/>
      <c r="BT575" s="107"/>
      <c r="BU575" s="107"/>
      <c r="BV575" s="107"/>
      <c r="CS575"/>
      <c r="CT575" s="85"/>
      <c r="CU575" s="85"/>
      <c r="CV575" s="107"/>
      <c r="CW575" s="107"/>
      <c r="CX575" s="107"/>
      <c r="CY575" s="107"/>
      <c r="CZ575" s="107"/>
      <c r="DP575"/>
      <c r="DQ575" s="85"/>
      <c r="DR575" s="85"/>
      <c r="DS575" s="107"/>
      <c r="DT575" s="107"/>
      <c r="DU575" s="107"/>
      <c r="DV575" s="107"/>
      <c r="DW575" s="107"/>
    </row>
    <row r="576" spans="1:127" ht="16.5">
      <c r="A576"/>
      <c r="B576"/>
      <c r="C576" s="85"/>
      <c r="D576" s="107"/>
      <c r="E576" s="107"/>
      <c r="F576" s="107"/>
      <c r="G576" s="107"/>
      <c r="H576" s="107"/>
      <c r="I576" s="340"/>
      <c r="J576" s="340"/>
      <c r="K576" s="340"/>
      <c r="L576" s="340"/>
      <c r="M576" s="340"/>
      <c r="N576" s="340"/>
      <c r="O576" s="340"/>
      <c r="P576" s="340"/>
      <c r="Q576" s="340"/>
      <c r="S576"/>
      <c r="T576"/>
      <c r="U576" s="85"/>
      <c r="V576" s="107"/>
      <c r="W576" s="107"/>
      <c r="X576" s="107"/>
      <c r="Y576" s="107"/>
      <c r="Z576" s="107"/>
      <c r="AK576"/>
      <c r="AL576" s="85"/>
      <c r="AM576" s="85"/>
      <c r="AN576" s="107"/>
      <c r="AO576" s="107"/>
      <c r="AP576" s="107"/>
      <c r="AQ576" s="107"/>
      <c r="AR576" s="107"/>
      <c r="BO576"/>
      <c r="BP576" s="85"/>
      <c r="BQ576" s="85"/>
      <c r="BR576" s="107"/>
      <c r="BS576" s="107"/>
      <c r="BT576" s="107"/>
      <c r="BU576" s="107"/>
      <c r="BV576" s="107"/>
      <c r="CS576"/>
      <c r="CT576" s="85"/>
      <c r="CU576" s="85"/>
      <c r="CV576" s="107"/>
      <c r="CW576" s="107"/>
      <c r="CX576" s="107"/>
      <c r="CY576" s="107"/>
      <c r="CZ576" s="107"/>
      <c r="DP576"/>
      <c r="DQ576" s="85"/>
      <c r="DR576" s="85"/>
      <c r="DS576" s="107"/>
      <c r="DT576" s="107"/>
      <c r="DU576" s="107"/>
      <c r="DV576" s="107"/>
      <c r="DW576" s="107"/>
    </row>
    <row r="577" spans="1:127" ht="16.5">
      <c r="A577"/>
      <c r="B577"/>
      <c r="C577" s="85"/>
      <c r="D577" s="107"/>
      <c r="E577" s="107"/>
      <c r="F577" s="107"/>
      <c r="G577" s="107"/>
      <c r="H577" s="107"/>
      <c r="I577" s="340"/>
      <c r="J577" s="340"/>
      <c r="K577" s="340"/>
      <c r="L577" s="340"/>
      <c r="M577" s="340"/>
      <c r="N577" s="340"/>
      <c r="O577" s="340"/>
      <c r="P577" s="340"/>
      <c r="Q577" s="340"/>
      <c r="S577"/>
      <c r="T577"/>
      <c r="U577" s="85"/>
      <c r="V577" s="107"/>
      <c r="W577" s="107"/>
      <c r="X577" s="107"/>
      <c r="Y577" s="107"/>
      <c r="Z577" s="107"/>
      <c r="AK577"/>
      <c r="AL577" s="85"/>
      <c r="AM577" s="85"/>
      <c r="AN577" s="107"/>
      <c r="AO577" s="107"/>
      <c r="AP577" s="107"/>
      <c r="AQ577" s="107"/>
      <c r="AR577" s="107"/>
      <c r="BO577"/>
      <c r="BP577" s="85"/>
      <c r="BQ577" s="85"/>
      <c r="BR577" s="107"/>
      <c r="BS577" s="107"/>
      <c r="BT577" s="107"/>
      <c r="BU577" s="107"/>
      <c r="BV577" s="107"/>
      <c r="CS577"/>
      <c r="CT577" s="85"/>
      <c r="CU577" s="85"/>
      <c r="CV577" s="107"/>
      <c r="CW577" s="107"/>
      <c r="CX577" s="107"/>
      <c r="CY577" s="107"/>
      <c r="CZ577" s="107"/>
      <c r="DP577"/>
      <c r="DQ577" s="85"/>
      <c r="DR577" s="85"/>
      <c r="DS577" s="107"/>
      <c r="DT577" s="107"/>
      <c r="DU577" s="107"/>
      <c r="DV577" s="107"/>
      <c r="DW577" s="107"/>
    </row>
    <row r="578" spans="1:127" ht="16.5">
      <c r="A578"/>
      <c r="B578"/>
      <c r="C578" s="85"/>
      <c r="D578" s="107"/>
      <c r="E578" s="107"/>
      <c r="F578" s="107"/>
      <c r="G578" s="107"/>
      <c r="H578" s="107"/>
      <c r="I578" s="340"/>
      <c r="J578" s="340"/>
      <c r="K578" s="340"/>
      <c r="L578" s="340"/>
      <c r="M578" s="340"/>
      <c r="N578" s="340"/>
      <c r="O578" s="340"/>
      <c r="P578" s="340"/>
      <c r="Q578" s="340"/>
      <c r="S578"/>
      <c r="T578"/>
      <c r="U578" s="85"/>
      <c r="V578" s="107"/>
      <c r="W578" s="107"/>
      <c r="X578" s="107"/>
      <c r="Y578" s="107"/>
      <c r="Z578" s="107"/>
      <c r="AK578"/>
      <c r="AL578" s="85"/>
      <c r="AM578" s="85"/>
      <c r="AN578" s="107"/>
      <c r="AO578" s="107"/>
      <c r="AP578" s="107"/>
      <c r="AQ578" s="107"/>
      <c r="AR578" s="107"/>
      <c r="BO578"/>
      <c r="BP578" s="85"/>
      <c r="BQ578" s="85"/>
      <c r="BR578" s="107"/>
      <c r="BS578" s="107"/>
      <c r="BT578" s="107"/>
      <c r="BU578" s="107"/>
      <c r="BV578" s="107"/>
      <c r="CS578"/>
      <c r="CT578" s="85"/>
      <c r="CU578" s="85"/>
      <c r="CV578" s="107"/>
      <c r="CW578" s="107"/>
      <c r="CX578" s="107"/>
      <c r="CY578" s="107"/>
      <c r="CZ578" s="107"/>
      <c r="DP578"/>
      <c r="DQ578" s="85"/>
      <c r="DR578" s="85"/>
      <c r="DS578" s="107"/>
      <c r="DT578" s="107"/>
      <c r="DU578" s="107"/>
      <c r="DV578" s="107"/>
      <c r="DW578" s="107"/>
    </row>
    <row r="579" spans="1:127" ht="16.5">
      <c r="A579"/>
      <c r="B579"/>
      <c r="C579" s="85"/>
      <c r="D579" s="107"/>
      <c r="E579" s="107"/>
      <c r="F579" s="107"/>
      <c r="G579" s="107"/>
      <c r="H579" s="107"/>
      <c r="I579" s="340"/>
      <c r="J579" s="340"/>
      <c r="K579" s="340"/>
      <c r="L579" s="340"/>
      <c r="M579" s="340"/>
      <c r="N579" s="340"/>
      <c r="O579" s="340"/>
      <c r="P579" s="340"/>
      <c r="Q579" s="340"/>
      <c r="S579"/>
      <c r="T579"/>
      <c r="U579" s="85"/>
      <c r="V579" s="107"/>
      <c r="W579" s="107"/>
      <c r="X579" s="107"/>
      <c r="Y579" s="107"/>
      <c r="Z579" s="107"/>
      <c r="AK579"/>
      <c r="AL579" s="85"/>
      <c r="AM579" s="85"/>
      <c r="AN579" s="107"/>
      <c r="AO579" s="107"/>
      <c r="AP579" s="107"/>
      <c r="AQ579" s="107"/>
      <c r="AR579" s="107"/>
      <c r="BO579"/>
      <c r="BP579" s="85"/>
      <c r="BQ579" s="85"/>
      <c r="BR579" s="107"/>
      <c r="BS579" s="107"/>
      <c r="BT579" s="107"/>
      <c r="BU579" s="107"/>
      <c r="BV579" s="107"/>
      <c r="CS579"/>
      <c r="CT579" s="85"/>
      <c r="CU579" s="85"/>
      <c r="CV579" s="107"/>
      <c r="CW579" s="107"/>
      <c r="CX579" s="107"/>
      <c r="CY579" s="107"/>
      <c r="CZ579" s="107"/>
      <c r="DP579"/>
      <c r="DQ579" s="85"/>
      <c r="DR579" s="85"/>
      <c r="DS579" s="107"/>
      <c r="DT579" s="107"/>
      <c r="DU579" s="107"/>
      <c r="DV579" s="107"/>
      <c r="DW579" s="107"/>
    </row>
    <row r="580" spans="1:127" ht="16.5">
      <c r="A580"/>
      <c r="B580"/>
      <c r="C580" s="85"/>
      <c r="D580" s="107"/>
      <c r="E580" s="107"/>
      <c r="F580" s="107"/>
      <c r="G580" s="107"/>
      <c r="H580" s="107"/>
      <c r="I580" s="340"/>
      <c r="J580" s="340"/>
      <c r="K580" s="340"/>
      <c r="L580" s="340"/>
      <c r="M580" s="340"/>
      <c r="N580" s="340"/>
      <c r="O580" s="340"/>
      <c r="P580" s="340"/>
      <c r="Q580" s="340"/>
      <c r="S580"/>
      <c r="T580"/>
      <c r="U580" s="85"/>
      <c r="V580" s="107"/>
      <c r="W580" s="107"/>
      <c r="X580" s="107"/>
      <c r="Y580" s="107"/>
      <c r="Z580" s="107"/>
      <c r="AK580"/>
      <c r="AL580" s="85"/>
      <c r="AM580" s="85"/>
      <c r="AN580" s="107"/>
      <c r="AO580" s="107"/>
      <c r="AP580" s="107"/>
      <c r="AQ580" s="107"/>
      <c r="AR580" s="107"/>
      <c r="BO580"/>
      <c r="BP580" s="85"/>
      <c r="BQ580" s="85"/>
      <c r="BR580" s="107"/>
      <c r="BS580" s="107"/>
      <c r="BT580" s="107"/>
      <c r="BU580" s="107"/>
      <c r="BV580" s="107"/>
      <c r="CS580"/>
      <c r="CT580" s="85"/>
      <c r="CU580" s="85"/>
      <c r="CV580" s="107"/>
      <c r="CW580" s="107"/>
      <c r="CX580" s="107"/>
      <c r="CY580" s="107"/>
      <c r="CZ580" s="107"/>
      <c r="DP580"/>
      <c r="DQ580" s="85"/>
      <c r="DR580" s="85"/>
      <c r="DS580" s="107"/>
      <c r="DT580" s="107"/>
      <c r="DU580" s="107"/>
      <c r="DV580" s="107"/>
      <c r="DW580" s="107"/>
    </row>
    <row r="581" spans="1:127" ht="16.5">
      <c r="A581"/>
      <c r="B581"/>
      <c r="C581" s="85"/>
      <c r="D581" s="107"/>
      <c r="E581" s="107"/>
      <c r="F581" s="107"/>
      <c r="G581" s="107"/>
      <c r="H581" s="107"/>
      <c r="I581" s="340"/>
      <c r="J581" s="340"/>
      <c r="K581" s="340"/>
      <c r="L581" s="340"/>
      <c r="M581" s="340"/>
      <c r="N581" s="340"/>
      <c r="O581" s="340"/>
      <c r="P581" s="340"/>
      <c r="Q581" s="340"/>
      <c r="S581"/>
      <c r="T581"/>
      <c r="U581" s="85"/>
      <c r="V581" s="107"/>
      <c r="W581" s="107"/>
      <c r="X581" s="107"/>
      <c r="Y581" s="107"/>
      <c r="Z581" s="107"/>
      <c r="AK581"/>
      <c r="AL581" s="85"/>
      <c r="AM581" s="85"/>
      <c r="AN581" s="107"/>
      <c r="AO581" s="107"/>
      <c r="AP581" s="107"/>
      <c r="AQ581" s="107"/>
      <c r="AR581" s="107"/>
      <c r="BO581"/>
      <c r="BP581" s="85"/>
      <c r="BQ581" s="85"/>
      <c r="BR581" s="107"/>
      <c r="BS581" s="107"/>
      <c r="BT581" s="107"/>
      <c r="BU581" s="107"/>
      <c r="BV581" s="107"/>
      <c r="CS581"/>
      <c r="CT581" s="85"/>
      <c r="CU581" s="85"/>
      <c r="CV581" s="107"/>
      <c r="CW581" s="107"/>
      <c r="CX581" s="107"/>
      <c r="CY581" s="107"/>
      <c r="CZ581" s="107"/>
      <c r="DP581"/>
      <c r="DQ581" s="85"/>
      <c r="DR581" s="85"/>
      <c r="DS581" s="107"/>
      <c r="DT581" s="107"/>
      <c r="DU581" s="107"/>
      <c r="DV581" s="107"/>
      <c r="DW581" s="107"/>
    </row>
    <row r="582" spans="1:127" ht="16.5">
      <c r="A582"/>
      <c r="B582"/>
      <c r="C582" s="85"/>
      <c r="D582" s="107"/>
      <c r="E582" s="107"/>
      <c r="F582" s="107"/>
      <c r="G582" s="107"/>
      <c r="H582" s="107"/>
      <c r="I582" s="340"/>
      <c r="J582" s="340"/>
      <c r="K582" s="340"/>
      <c r="L582" s="340"/>
      <c r="M582" s="340"/>
      <c r="N582" s="340"/>
      <c r="O582" s="340"/>
      <c r="P582" s="340"/>
      <c r="Q582" s="340"/>
      <c r="S582"/>
      <c r="T582"/>
      <c r="U582" s="85"/>
      <c r="V582" s="107"/>
      <c r="W582" s="107"/>
      <c r="X582" s="107"/>
      <c r="Y582" s="107"/>
      <c r="Z582" s="107"/>
      <c r="AK582"/>
      <c r="AL582" s="85"/>
      <c r="AM582" s="85"/>
      <c r="AN582" s="107"/>
      <c r="AO582" s="107"/>
      <c r="AP582" s="107"/>
      <c r="AQ582" s="107"/>
      <c r="AR582" s="107"/>
      <c r="BO582"/>
      <c r="BP582" s="85"/>
      <c r="BQ582" s="85"/>
      <c r="BR582" s="107"/>
      <c r="BS582" s="107"/>
      <c r="BT582" s="107"/>
      <c r="BU582" s="107"/>
      <c r="BV582" s="107"/>
      <c r="CS582"/>
      <c r="CT582" s="85"/>
      <c r="CU582" s="85"/>
      <c r="CV582" s="107"/>
      <c r="CW582" s="107"/>
      <c r="CX582" s="107"/>
      <c r="CY582" s="107"/>
      <c r="CZ582" s="107"/>
      <c r="DP582"/>
      <c r="DQ582" s="85"/>
      <c r="DR582" s="85"/>
      <c r="DS582" s="107"/>
      <c r="DT582" s="107"/>
      <c r="DU582" s="107"/>
      <c r="DV582" s="107"/>
      <c r="DW582" s="107"/>
    </row>
    <row r="583" spans="1:127" ht="16.5">
      <c r="A583"/>
      <c r="B583"/>
      <c r="C583" s="85"/>
      <c r="D583" s="107"/>
      <c r="E583" s="107"/>
      <c r="F583" s="107"/>
      <c r="G583" s="107"/>
      <c r="H583" s="107"/>
      <c r="I583" s="340"/>
      <c r="J583" s="340"/>
      <c r="K583" s="340"/>
      <c r="L583" s="340"/>
      <c r="M583" s="340"/>
      <c r="N583" s="340"/>
      <c r="O583" s="340"/>
      <c r="P583" s="340"/>
      <c r="Q583" s="340"/>
      <c r="S583"/>
      <c r="T583"/>
      <c r="U583" s="85"/>
      <c r="V583" s="107"/>
      <c r="W583" s="107"/>
      <c r="X583" s="107"/>
      <c r="Y583" s="107"/>
      <c r="Z583" s="107"/>
      <c r="AK583"/>
      <c r="AL583" s="85"/>
      <c r="AM583" s="85"/>
      <c r="AN583" s="107"/>
      <c r="AO583" s="107"/>
      <c r="AP583" s="107"/>
      <c r="AQ583" s="107"/>
      <c r="AR583" s="107"/>
      <c r="BO583"/>
      <c r="BP583" s="85"/>
      <c r="BQ583" s="85"/>
      <c r="BR583" s="107"/>
      <c r="BS583" s="107"/>
      <c r="BT583" s="107"/>
      <c r="BU583" s="107"/>
      <c r="BV583" s="107"/>
      <c r="CS583"/>
      <c r="CT583" s="85"/>
      <c r="CU583" s="85"/>
      <c r="CV583" s="107"/>
      <c r="CW583" s="107"/>
      <c r="CX583" s="107"/>
      <c r="CY583" s="107"/>
      <c r="CZ583" s="107"/>
      <c r="DP583"/>
      <c r="DQ583" s="85"/>
      <c r="DR583" s="85"/>
      <c r="DS583" s="107"/>
      <c r="DT583" s="107"/>
      <c r="DU583" s="107"/>
      <c r="DV583" s="107"/>
      <c r="DW583" s="107"/>
    </row>
    <row r="584" spans="1:127" ht="16.5">
      <c r="A584"/>
      <c r="B584"/>
      <c r="C584" s="85"/>
      <c r="D584" s="107"/>
      <c r="E584" s="107"/>
      <c r="F584" s="107"/>
      <c r="G584" s="107"/>
      <c r="H584" s="107"/>
      <c r="I584" s="340"/>
      <c r="J584" s="340"/>
      <c r="K584" s="340"/>
      <c r="L584" s="340"/>
      <c r="M584" s="340"/>
      <c r="N584" s="340"/>
      <c r="O584" s="340"/>
      <c r="P584" s="340"/>
      <c r="Q584" s="340"/>
      <c r="S584"/>
      <c r="T584"/>
      <c r="U584" s="85"/>
      <c r="V584" s="107"/>
      <c r="W584" s="107"/>
      <c r="X584" s="107"/>
      <c r="Y584" s="107"/>
      <c r="Z584" s="107"/>
      <c r="AK584"/>
      <c r="AL584" s="85"/>
      <c r="AM584" s="85"/>
      <c r="AN584" s="107"/>
      <c r="AO584" s="107"/>
      <c r="AP584" s="107"/>
      <c r="AQ584" s="107"/>
      <c r="AR584" s="107"/>
      <c r="BO584"/>
      <c r="BP584" s="85"/>
      <c r="BQ584" s="85"/>
      <c r="BR584" s="107"/>
      <c r="BS584" s="107"/>
      <c r="BT584" s="107"/>
      <c r="BU584" s="107"/>
      <c r="BV584" s="107"/>
      <c r="CS584"/>
      <c r="CT584" s="85"/>
      <c r="CU584" s="85"/>
      <c r="CV584" s="107"/>
      <c r="CW584" s="107"/>
      <c r="CX584" s="107"/>
      <c r="CY584" s="107"/>
      <c r="CZ584" s="107"/>
      <c r="DP584"/>
      <c r="DQ584" s="85"/>
      <c r="DR584" s="85"/>
      <c r="DS584" s="107"/>
      <c r="DT584" s="107"/>
      <c r="DU584" s="107"/>
      <c r="DV584" s="107"/>
      <c r="DW584" s="107"/>
    </row>
    <row r="585" spans="1:127" ht="16.5">
      <c r="A585"/>
      <c r="B585"/>
      <c r="C585" s="85"/>
      <c r="D585" s="107"/>
      <c r="E585" s="107"/>
      <c r="F585" s="107"/>
      <c r="G585" s="107"/>
      <c r="H585" s="107"/>
      <c r="I585" s="340"/>
      <c r="J585" s="340"/>
      <c r="K585" s="340"/>
      <c r="L585" s="340"/>
      <c r="M585" s="340"/>
      <c r="N585" s="340"/>
      <c r="O585" s="340"/>
      <c r="P585" s="340"/>
      <c r="Q585" s="340"/>
      <c r="S585"/>
      <c r="T585"/>
      <c r="U585" s="85"/>
      <c r="V585" s="107"/>
      <c r="W585" s="107"/>
      <c r="X585" s="107"/>
      <c r="Y585" s="107"/>
      <c r="Z585" s="107"/>
      <c r="AK585"/>
      <c r="AL585" s="85"/>
      <c r="AM585" s="85"/>
      <c r="AN585" s="107"/>
      <c r="AO585" s="107"/>
      <c r="AP585" s="107"/>
      <c r="AQ585" s="107"/>
      <c r="AR585" s="107"/>
      <c r="BO585"/>
      <c r="BP585" s="85"/>
      <c r="BQ585" s="85"/>
      <c r="BR585" s="107"/>
      <c r="BS585" s="107"/>
      <c r="BT585" s="107"/>
      <c r="BU585" s="107"/>
      <c r="BV585" s="107"/>
      <c r="CS585"/>
      <c r="CT585" s="85"/>
      <c r="CU585" s="85"/>
      <c r="CV585" s="107"/>
      <c r="CW585" s="107"/>
      <c r="CX585" s="107"/>
      <c r="CY585" s="107"/>
      <c r="CZ585" s="107"/>
      <c r="DP585"/>
      <c r="DQ585" s="85"/>
      <c r="DR585" s="85"/>
      <c r="DS585" s="107"/>
      <c r="DT585" s="107"/>
      <c r="DU585" s="107"/>
      <c r="DV585" s="107"/>
      <c r="DW585" s="107"/>
    </row>
    <row r="586" spans="1:127" ht="16.5">
      <c r="A586"/>
      <c r="B586"/>
      <c r="C586" s="85"/>
      <c r="D586" s="107"/>
      <c r="E586" s="107"/>
      <c r="F586" s="107"/>
      <c r="G586" s="107"/>
      <c r="H586" s="107"/>
      <c r="I586" s="340"/>
      <c r="J586" s="340"/>
      <c r="K586" s="340"/>
      <c r="L586" s="340"/>
      <c r="M586" s="340"/>
      <c r="N586" s="340"/>
      <c r="O586" s="340"/>
      <c r="P586" s="340"/>
      <c r="Q586" s="340"/>
      <c r="S586"/>
      <c r="T586"/>
      <c r="U586" s="85"/>
      <c r="V586" s="107"/>
      <c r="W586" s="107"/>
      <c r="X586" s="107"/>
      <c r="Y586" s="107"/>
      <c r="Z586" s="107"/>
      <c r="AK586"/>
      <c r="AL586" s="85"/>
      <c r="AM586" s="85"/>
      <c r="AN586" s="107"/>
      <c r="AO586" s="107"/>
      <c r="AP586" s="107"/>
      <c r="AQ586" s="107"/>
      <c r="AR586" s="107"/>
      <c r="BO586"/>
      <c r="BP586" s="85"/>
      <c r="BQ586" s="85"/>
      <c r="BR586" s="107"/>
      <c r="BS586" s="107"/>
      <c r="BT586" s="107"/>
      <c r="BU586" s="107"/>
      <c r="BV586" s="107"/>
      <c r="CS586"/>
      <c r="CT586" s="85"/>
      <c r="CU586" s="85"/>
      <c r="CV586" s="107"/>
      <c r="CW586" s="107"/>
      <c r="CX586" s="107"/>
      <c r="CY586" s="107"/>
      <c r="CZ586" s="107"/>
      <c r="DP586"/>
      <c r="DQ586" s="85"/>
      <c r="DR586" s="85"/>
      <c r="DS586" s="107"/>
      <c r="DT586" s="107"/>
      <c r="DU586" s="107"/>
      <c r="DV586" s="107"/>
      <c r="DW586" s="107"/>
    </row>
    <row r="587" spans="1:127" ht="16.5">
      <c r="A587"/>
      <c r="B587"/>
      <c r="C587" s="85"/>
      <c r="D587" s="107"/>
      <c r="E587" s="107"/>
      <c r="F587" s="107"/>
      <c r="G587" s="107"/>
      <c r="H587" s="107"/>
      <c r="I587" s="340"/>
      <c r="J587" s="340"/>
      <c r="K587" s="340"/>
      <c r="L587" s="340"/>
      <c r="M587" s="340"/>
      <c r="N587" s="340"/>
      <c r="O587" s="340"/>
      <c r="P587" s="340"/>
      <c r="Q587" s="340"/>
      <c r="S587"/>
      <c r="T587"/>
      <c r="U587" s="85"/>
      <c r="V587" s="107"/>
      <c r="W587" s="107"/>
      <c r="X587" s="107"/>
      <c r="Y587" s="107"/>
      <c r="Z587" s="107"/>
      <c r="AK587"/>
      <c r="AL587" s="85"/>
      <c r="AM587" s="85"/>
      <c r="AN587" s="107"/>
      <c r="AO587" s="107"/>
      <c r="AP587" s="107"/>
      <c r="AQ587" s="107"/>
      <c r="AR587" s="107"/>
      <c r="BO587"/>
      <c r="BP587" s="85"/>
      <c r="BQ587" s="85"/>
      <c r="BR587" s="107"/>
      <c r="BS587" s="107"/>
      <c r="BT587" s="107"/>
      <c r="BU587" s="107"/>
      <c r="BV587" s="107"/>
      <c r="CS587"/>
      <c r="CT587" s="85"/>
      <c r="CU587" s="85"/>
      <c r="CV587" s="107"/>
      <c r="CW587" s="107"/>
      <c r="CX587" s="107"/>
      <c r="CY587" s="107"/>
      <c r="CZ587" s="107"/>
      <c r="DP587"/>
      <c r="DQ587" s="85"/>
      <c r="DR587" s="85"/>
      <c r="DS587" s="107"/>
      <c r="DT587" s="107"/>
      <c r="DU587" s="107"/>
      <c r="DV587" s="107"/>
      <c r="DW587" s="107"/>
    </row>
    <row r="588" spans="1:127" ht="16.5">
      <c r="A588"/>
      <c r="B588"/>
      <c r="C588" s="85"/>
      <c r="D588" s="107"/>
      <c r="E588" s="107"/>
      <c r="F588" s="107"/>
      <c r="G588" s="107"/>
      <c r="H588" s="107"/>
      <c r="I588" s="340"/>
      <c r="J588" s="340"/>
      <c r="K588" s="340"/>
      <c r="L588" s="340"/>
      <c r="M588" s="340"/>
      <c r="N588" s="340"/>
      <c r="O588" s="340"/>
      <c r="P588" s="340"/>
      <c r="Q588" s="340"/>
      <c r="S588"/>
      <c r="T588"/>
      <c r="U588" s="85"/>
      <c r="V588" s="107"/>
      <c r="W588" s="107"/>
      <c r="X588" s="107"/>
      <c r="Y588" s="107"/>
      <c r="Z588" s="107"/>
      <c r="AK588"/>
      <c r="AL588" s="85"/>
      <c r="AM588" s="85"/>
      <c r="AN588" s="107"/>
      <c r="AO588" s="107"/>
      <c r="AP588" s="107"/>
      <c r="AQ588" s="107"/>
      <c r="AR588" s="107"/>
      <c r="BO588"/>
      <c r="BP588" s="85"/>
      <c r="BQ588" s="85"/>
      <c r="BR588" s="107"/>
      <c r="BS588" s="107"/>
      <c r="BT588" s="107"/>
      <c r="BU588" s="107"/>
      <c r="BV588" s="107"/>
      <c r="CS588"/>
      <c r="CT588" s="85"/>
      <c r="CU588" s="85"/>
      <c r="CV588" s="107"/>
      <c r="CW588" s="107"/>
      <c r="CX588" s="107"/>
      <c r="CY588" s="107"/>
      <c r="CZ588" s="107"/>
      <c r="DP588"/>
      <c r="DQ588" s="85"/>
      <c r="DR588" s="85"/>
      <c r="DS588" s="107"/>
      <c r="DT588" s="107"/>
      <c r="DU588" s="107"/>
      <c r="DV588" s="107"/>
      <c r="DW588" s="107"/>
    </row>
    <row r="589" spans="1:127" ht="16.5">
      <c r="A589"/>
      <c r="B589"/>
      <c r="C589" s="85"/>
      <c r="D589" s="107"/>
      <c r="E589" s="107"/>
      <c r="F589" s="107"/>
      <c r="G589" s="107"/>
      <c r="H589" s="107"/>
      <c r="I589" s="340"/>
      <c r="J589" s="340"/>
      <c r="K589" s="340"/>
      <c r="L589" s="340"/>
      <c r="M589" s="340"/>
      <c r="N589" s="340"/>
      <c r="O589" s="340"/>
      <c r="P589" s="340"/>
      <c r="Q589" s="340"/>
      <c r="S589"/>
      <c r="T589"/>
      <c r="U589" s="85"/>
      <c r="V589" s="107"/>
      <c r="W589" s="107"/>
      <c r="X589" s="107"/>
      <c r="Y589" s="107"/>
      <c r="Z589" s="107"/>
      <c r="AK589"/>
      <c r="AL589" s="85"/>
      <c r="AM589" s="85"/>
      <c r="AN589" s="107"/>
      <c r="AO589" s="107"/>
      <c r="AP589" s="107"/>
      <c r="AQ589" s="107"/>
      <c r="AR589" s="107"/>
      <c r="BO589"/>
      <c r="BP589" s="85"/>
      <c r="BQ589" s="85"/>
      <c r="BR589" s="107"/>
      <c r="BS589" s="107"/>
      <c r="BT589" s="107"/>
      <c r="BU589" s="107"/>
      <c r="BV589" s="107"/>
      <c r="CS589"/>
      <c r="CT589" s="85"/>
      <c r="CU589" s="85"/>
      <c r="CV589" s="107"/>
      <c r="CW589" s="107"/>
      <c r="CX589" s="107"/>
      <c r="CY589" s="107"/>
      <c r="CZ589" s="107"/>
      <c r="DP589"/>
      <c r="DQ589" s="85"/>
      <c r="DR589" s="85"/>
      <c r="DS589" s="107"/>
      <c r="DT589" s="107"/>
      <c r="DU589" s="107"/>
      <c r="DV589" s="107"/>
      <c r="DW589" s="107"/>
    </row>
    <row r="590" spans="1:127" ht="16.5">
      <c r="A590"/>
      <c r="B590"/>
      <c r="C590" s="85"/>
      <c r="D590" s="107"/>
      <c r="E590" s="107"/>
      <c r="F590" s="107"/>
      <c r="G590" s="107"/>
      <c r="H590" s="107"/>
      <c r="I590" s="340"/>
      <c r="J590" s="340"/>
      <c r="K590" s="340"/>
      <c r="L590" s="340"/>
      <c r="M590" s="340"/>
      <c r="N590" s="340"/>
      <c r="O590" s="340"/>
      <c r="P590" s="340"/>
      <c r="Q590" s="340"/>
      <c r="S590"/>
      <c r="T590"/>
      <c r="U590" s="85"/>
      <c r="V590" s="107"/>
      <c r="W590" s="107"/>
      <c r="X590" s="107"/>
      <c r="Y590" s="107"/>
      <c r="Z590" s="107"/>
      <c r="AK590"/>
      <c r="AL590" s="85"/>
      <c r="AM590" s="85"/>
      <c r="AN590" s="107"/>
      <c r="AO590" s="107"/>
      <c r="AP590" s="107"/>
      <c r="AQ590" s="107"/>
      <c r="AR590" s="107"/>
      <c r="BO590"/>
      <c r="BP590" s="85"/>
      <c r="BQ590" s="85"/>
      <c r="BR590" s="107"/>
      <c r="BS590" s="107"/>
      <c r="BT590" s="107"/>
      <c r="BU590" s="107"/>
      <c r="BV590" s="107"/>
      <c r="CS590"/>
      <c r="CT590" s="85"/>
      <c r="CU590" s="85"/>
      <c r="CV590" s="107"/>
      <c r="CW590" s="107"/>
      <c r="CX590" s="107"/>
      <c r="CY590" s="107"/>
      <c r="CZ590" s="107"/>
      <c r="DP590"/>
      <c r="DQ590" s="85"/>
      <c r="DR590" s="85"/>
      <c r="DS590" s="107"/>
      <c r="DT590" s="107"/>
      <c r="DU590" s="107"/>
      <c r="DV590" s="107"/>
      <c r="DW590" s="107"/>
    </row>
    <row r="591" spans="1:127" ht="16.5">
      <c r="A591"/>
      <c r="B591"/>
      <c r="C591" s="85"/>
      <c r="D591" s="107"/>
      <c r="E591" s="107"/>
      <c r="F591" s="107"/>
      <c r="G591" s="107"/>
      <c r="H591" s="107"/>
      <c r="I591" s="340"/>
      <c r="J591" s="340"/>
      <c r="K591" s="340"/>
      <c r="L591" s="340"/>
      <c r="M591" s="340"/>
      <c r="N591" s="340"/>
      <c r="O591" s="340"/>
      <c r="P591" s="340"/>
      <c r="Q591" s="340"/>
      <c r="S591"/>
      <c r="T591"/>
      <c r="U591" s="85"/>
      <c r="V591" s="107"/>
      <c r="W591" s="107"/>
      <c r="X591" s="107"/>
      <c r="Y591" s="107"/>
      <c r="Z591" s="107"/>
      <c r="AK591"/>
      <c r="AL591" s="85"/>
      <c r="AM591" s="85"/>
      <c r="AN591" s="107"/>
      <c r="AO591" s="107"/>
      <c r="AP591" s="107"/>
      <c r="AQ591" s="107"/>
      <c r="AR591" s="107"/>
      <c r="BO591"/>
      <c r="BP591" s="85"/>
      <c r="BQ591" s="85"/>
      <c r="BR591" s="107"/>
      <c r="BS591" s="107"/>
      <c r="BT591" s="107"/>
      <c r="BU591" s="107"/>
      <c r="BV591" s="107"/>
      <c r="CS591"/>
      <c r="CT591" s="85"/>
      <c r="CU591" s="85"/>
      <c r="CV591" s="107"/>
      <c r="CW591" s="107"/>
      <c r="CX591" s="107"/>
      <c r="CY591" s="107"/>
      <c r="CZ591" s="107"/>
      <c r="DP591"/>
      <c r="DQ591" s="85"/>
      <c r="DR591" s="85"/>
      <c r="DS591" s="107"/>
      <c r="DT591" s="107"/>
      <c r="DU591" s="107"/>
      <c r="DV591" s="107"/>
      <c r="DW591" s="107"/>
    </row>
    <row r="592" spans="1:127" ht="16.5">
      <c r="A592"/>
      <c r="B592"/>
      <c r="C592" s="85"/>
      <c r="D592" s="107"/>
      <c r="E592" s="107"/>
      <c r="F592" s="107"/>
      <c r="G592" s="107"/>
      <c r="H592" s="107"/>
      <c r="I592" s="340"/>
      <c r="J592" s="340"/>
      <c r="K592" s="340"/>
      <c r="L592" s="340"/>
      <c r="M592" s="340"/>
      <c r="N592" s="340"/>
      <c r="O592" s="340"/>
      <c r="P592" s="340"/>
      <c r="Q592" s="340"/>
      <c r="S592"/>
      <c r="T592"/>
      <c r="U592" s="85"/>
      <c r="V592" s="107"/>
      <c r="W592" s="107"/>
      <c r="X592" s="107"/>
      <c r="Y592" s="107"/>
      <c r="Z592" s="107"/>
      <c r="AK592"/>
      <c r="AL592" s="85"/>
      <c r="AM592" s="85"/>
      <c r="AN592" s="107"/>
      <c r="AO592" s="107"/>
      <c r="AP592" s="107"/>
      <c r="AQ592" s="107"/>
      <c r="AR592" s="107"/>
      <c r="BO592"/>
      <c r="BP592" s="85"/>
      <c r="BQ592" s="85"/>
      <c r="BR592" s="107"/>
      <c r="BS592" s="107"/>
      <c r="BT592" s="107"/>
      <c r="BU592" s="107"/>
      <c r="BV592" s="107"/>
      <c r="CS592"/>
      <c r="CT592" s="85"/>
      <c r="CU592" s="85"/>
      <c r="CV592" s="107"/>
      <c r="CW592" s="107"/>
      <c r="CX592" s="107"/>
      <c r="CY592" s="107"/>
      <c r="CZ592" s="107"/>
      <c r="DP592"/>
      <c r="DQ592" s="85"/>
      <c r="DR592" s="85"/>
      <c r="DS592" s="107"/>
      <c r="DT592" s="107"/>
      <c r="DU592" s="107"/>
      <c r="DV592" s="107"/>
      <c r="DW592" s="107"/>
    </row>
    <row r="593" spans="1:127" ht="16.5">
      <c r="A593"/>
      <c r="B593"/>
      <c r="C593" s="85"/>
      <c r="D593" s="107"/>
      <c r="E593" s="107"/>
      <c r="F593" s="107"/>
      <c r="G593" s="107"/>
      <c r="H593" s="107"/>
      <c r="I593" s="340"/>
      <c r="J593" s="340"/>
      <c r="K593" s="340"/>
      <c r="L593" s="340"/>
      <c r="M593" s="340"/>
      <c r="N593" s="340"/>
      <c r="O593" s="340"/>
      <c r="P593" s="340"/>
      <c r="Q593" s="340"/>
      <c r="S593"/>
      <c r="T593"/>
      <c r="U593" s="85"/>
      <c r="V593" s="107"/>
      <c r="W593" s="107"/>
      <c r="X593" s="107"/>
      <c r="Y593" s="107"/>
      <c r="Z593" s="107"/>
      <c r="AK593"/>
      <c r="AL593" s="85"/>
      <c r="AM593" s="85"/>
      <c r="AN593" s="107"/>
      <c r="AO593" s="107"/>
      <c r="AP593" s="107"/>
      <c r="AQ593" s="107"/>
      <c r="AR593" s="107"/>
      <c r="BO593"/>
      <c r="BP593" s="85"/>
      <c r="BQ593" s="85"/>
      <c r="BR593" s="107"/>
      <c r="BS593" s="107"/>
      <c r="BT593" s="107"/>
      <c r="BU593" s="107"/>
      <c r="BV593" s="107"/>
      <c r="CS593"/>
      <c r="CT593" s="85"/>
      <c r="CU593" s="85"/>
      <c r="CV593" s="107"/>
      <c r="CW593" s="107"/>
      <c r="CX593" s="107"/>
      <c r="CY593" s="107"/>
      <c r="CZ593" s="107"/>
      <c r="DP593"/>
      <c r="DQ593" s="85"/>
      <c r="DR593" s="85"/>
      <c r="DS593" s="107"/>
      <c r="DT593" s="107"/>
      <c r="DU593" s="107"/>
      <c r="DV593" s="107"/>
      <c r="DW593" s="107"/>
    </row>
    <row r="594" spans="1:127" ht="16.5">
      <c r="A594"/>
      <c r="B594"/>
      <c r="C594" s="85"/>
      <c r="D594" s="107"/>
      <c r="E594" s="107"/>
      <c r="F594" s="107"/>
      <c r="G594" s="107"/>
      <c r="H594" s="107"/>
      <c r="I594" s="340"/>
      <c r="J594" s="340"/>
      <c r="K594" s="340"/>
      <c r="L594" s="340"/>
      <c r="M594" s="340"/>
      <c r="N594" s="340"/>
      <c r="O594" s="340"/>
      <c r="P594" s="340"/>
      <c r="Q594" s="340"/>
      <c r="S594"/>
      <c r="T594"/>
      <c r="U594" s="85"/>
      <c r="V594" s="107"/>
      <c r="W594" s="107"/>
      <c r="X594" s="107"/>
      <c r="Y594" s="107"/>
      <c r="Z594" s="107"/>
      <c r="AK594"/>
      <c r="AL594" s="85"/>
      <c r="AM594" s="85"/>
      <c r="AN594" s="107"/>
      <c r="AO594" s="107"/>
      <c r="AP594" s="107"/>
      <c r="AQ594" s="107"/>
      <c r="AR594" s="107"/>
      <c r="BO594"/>
      <c r="BP594" s="85"/>
      <c r="BQ594" s="85"/>
      <c r="BR594" s="107"/>
      <c r="BS594" s="107"/>
      <c r="BT594" s="107"/>
      <c r="BU594" s="107"/>
      <c r="BV594" s="107"/>
      <c r="CS594"/>
      <c r="CT594" s="85"/>
      <c r="CU594" s="85"/>
      <c r="CV594" s="107"/>
      <c r="CW594" s="107"/>
      <c r="CX594" s="107"/>
      <c r="CY594" s="107"/>
      <c r="CZ594" s="107"/>
      <c r="DP594"/>
      <c r="DQ594" s="85"/>
      <c r="DR594" s="85"/>
      <c r="DS594" s="107"/>
      <c r="DT594" s="107"/>
      <c r="DU594" s="107"/>
      <c r="DV594" s="107"/>
      <c r="DW594" s="107"/>
    </row>
    <row r="595" spans="1:127" ht="16.5">
      <c r="A595"/>
      <c r="B595"/>
      <c r="C595" s="85"/>
      <c r="D595" s="107"/>
      <c r="E595" s="107"/>
      <c r="F595" s="107"/>
      <c r="G595" s="107"/>
      <c r="H595" s="107"/>
      <c r="I595" s="340"/>
      <c r="J595" s="340"/>
      <c r="K595" s="340"/>
      <c r="L595" s="340"/>
      <c r="M595" s="340"/>
      <c r="N595" s="340"/>
      <c r="O595" s="340"/>
      <c r="P595" s="340"/>
      <c r="Q595" s="340"/>
      <c r="S595"/>
      <c r="T595"/>
      <c r="U595" s="85"/>
      <c r="V595" s="107"/>
      <c r="W595" s="107"/>
      <c r="X595" s="107"/>
      <c r="Y595" s="107"/>
      <c r="Z595" s="107"/>
      <c r="AK595"/>
      <c r="AL595" s="85"/>
      <c r="AM595" s="85"/>
      <c r="AN595" s="107"/>
      <c r="AO595" s="107"/>
      <c r="AP595" s="107"/>
      <c r="AQ595" s="107"/>
      <c r="AR595" s="107"/>
      <c r="BO595"/>
      <c r="BP595" s="85"/>
      <c r="BQ595" s="85"/>
      <c r="BR595" s="107"/>
      <c r="BS595" s="107"/>
      <c r="BT595" s="107"/>
      <c r="BU595" s="107"/>
      <c r="BV595" s="107"/>
      <c r="CS595"/>
      <c r="CT595" s="85"/>
      <c r="CU595" s="85"/>
      <c r="CV595" s="107"/>
      <c r="CW595" s="107"/>
      <c r="CX595" s="107"/>
      <c r="CY595" s="107"/>
      <c r="CZ595" s="107"/>
      <c r="DP595"/>
      <c r="DQ595" s="85"/>
      <c r="DR595" s="85"/>
      <c r="DS595" s="107"/>
      <c r="DT595" s="107"/>
      <c r="DU595" s="107"/>
      <c r="DV595" s="107"/>
      <c r="DW595" s="107"/>
    </row>
    <row r="596" spans="1:127" ht="16.5">
      <c r="A596"/>
      <c r="B596"/>
      <c r="C596" s="85"/>
      <c r="D596" s="107"/>
      <c r="E596" s="107"/>
      <c r="F596" s="107"/>
      <c r="G596" s="107"/>
      <c r="H596" s="107"/>
      <c r="I596" s="340"/>
      <c r="J596" s="340"/>
      <c r="K596" s="340"/>
      <c r="L596" s="340"/>
      <c r="M596" s="340"/>
      <c r="N596" s="340"/>
      <c r="O596" s="340"/>
      <c r="P596" s="340"/>
      <c r="Q596" s="340"/>
      <c r="S596"/>
      <c r="T596"/>
      <c r="U596" s="85"/>
      <c r="V596" s="107"/>
      <c r="W596" s="107"/>
      <c r="X596" s="107"/>
      <c r="Y596" s="107"/>
      <c r="Z596" s="107"/>
      <c r="AK596"/>
      <c r="AL596" s="85"/>
      <c r="AM596" s="85"/>
      <c r="AN596" s="107"/>
      <c r="AO596" s="107"/>
      <c r="AP596" s="107"/>
      <c r="AQ596" s="107"/>
      <c r="AR596" s="107"/>
      <c r="BO596"/>
      <c r="BP596" s="85"/>
      <c r="BQ596" s="85"/>
      <c r="BR596" s="107"/>
      <c r="BS596" s="107"/>
      <c r="BT596" s="107"/>
      <c r="BU596" s="107"/>
      <c r="BV596" s="107"/>
      <c r="CS596"/>
      <c r="CT596" s="85"/>
      <c r="CU596" s="85"/>
      <c r="CV596" s="107"/>
      <c r="CW596" s="107"/>
      <c r="CX596" s="107"/>
      <c r="CY596" s="107"/>
      <c r="CZ596" s="107"/>
      <c r="DP596"/>
      <c r="DQ596" s="85"/>
      <c r="DR596" s="85"/>
      <c r="DS596" s="107"/>
      <c r="DT596" s="107"/>
      <c r="DU596" s="107"/>
      <c r="DV596" s="107"/>
      <c r="DW596" s="107"/>
    </row>
    <row r="597" spans="1:127" ht="16.5">
      <c r="AK597"/>
      <c r="AL597" s="85"/>
      <c r="AM597" s="85"/>
      <c r="AN597" s="107"/>
      <c r="AO597" s="107"/>
      <c r="AP597" s="107"/>
      <c r="AQ597" s="107"/>
      <c r="AR597" s="107"/>
      <c r="BO597"/>
      <c r="BP597" s="85"/>
      <c r="BQ597" s="85"/>
      <c r="BR597" s="107"/>
      <c r="BS597" s="107"/>
      <c r="BT597" s="107"/>
      <c r="BU597" s="107"/>
      <c r="BV597" s="107"/>
      <c r="CS597"/>
      <c r="CT597" s="85"/>
      <c r="CU597" s="85"/>
      <c r="CV597" s="107"/>
      <c r="CW597" s="107"/>
      <c r="CX597" s="107"/>
      <c r="CY597" s="107"/>
      <c r="CZ597" s="107"/>
      <c r="DP597"/>
      <c r="DQ597" s="85"/>
      <c r="DR597" s="85"/>
      <c r="DS597" s="107"/>
      <c r="DT597" s="107"/>
      <c r="DU597" s="107"/>
      <c r="DV597" s="107"/>
      <c r="DW597" s="107"/>
    </row>
    <row r="598" spans="1:127" ht="16.5">
      <c r="AK598"/>
      <c r="AL598" s="85"/>
      <c r="AM598" s="85"/>
      <c r="AN598" s="107"/>
      <c r="AO598" s="107"/>
      <c r="AP598" s="107"/>
      <c r="AQ598" s="107"/>
      <c r="AR598" s="107"/>
      <c r="BO598"/>
      <c r="BP598" s="85"/>
      <c r="BQ598" s="85"/>
      <c r="BR598" s="107"/>
      <c r="BS598" s="107"/>
      <c r="BT598" s="107"/>
      <c r="BU598" s="107"/>
      <c r="BV598" s="107"/>
      <c r="CS598"/>
      <c r="CT598" s="85"/>
      <c r="CU598" s="85"/>
      <c r="CV598" s="107"/>
      <c r="CW598" s="107"/>
      <c r="CX598" s="107"/>
      <c r="CY598" s="107"/>
      <c r="CZ598" s="107"/>
      <c r="DP598"/>
      <c r="DQ598" s="85"/>
      <c r="DR598" s="85"/>
      <c r="DS598" s="107"/>
      <c r="DT598" s="107"/>
      <c r="DU598" s="107"/>
      <c r="DV598" s="107"/>
      <c r="DW598" s="107"/>
    </row>
  </sheetData>
  <phoneticPr fontId="3" type="noConversion"/>
  <printOptions horizontalCentered="1"/>
  <pageMargins left="0" right="0" top="0.39370078740157483" bottom="0.39370078740157483" header="0" footer="0"/>
  <pageSetup paperSize="9" scale="32" orientation="portrait" r:id="rId7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P1084"/>
  <sheetViews>
    <sheetView showZeros="0" tabSelected="1" zoomScale="80" zoomScaleNormal="80" workbookViewId="0">
      <pane xSplit="1" ySplit="7" topLeftCell="AF220" activePane="bottomRight" state="frozen"/>
      <selection activeCell="I16" sqref="I16"/>
      <selection pane="topRight" activeCell="I16" sqref="I16"/>
      <selection pane="bottomLeft" activeCell="I16" sqref="I16"/>
      <selection pane="bottomRight" activeCell="AP3" sqref="AP3"/>
    </sheetView>
  </sheetViews>
  <sheetFormatPr defaultRowHeight="13.5" outlineLevelCol="1"/>
  <cols>
    <col min="1" max="1" width="12.5" style="8" customWidth="1"/>
    <col min="2" max="2" width="10" style="8" customWidth="1"/>
    <col min="3" max="3" width="29.25" style="8" customWidth="1"/>
    <col min="4" max="4" width="18.625" style="8" bestFit="1" customWidth="1"/>
    <col min="5" max="5" width="14.125" style="8" bestFit="1" customWidth="1"/>
    <col min="6" max="6" width="12" style="8" customWidth="1"/>
    <col min="7" max="7" width="16.75" style="8" customWidth="1"/>
    <col min="8" max="9" width="12.75" style="8" customWidth="1"/>
    <col min="10" max="10" width="15.625" style="8" customWidth="1" outlineLevel="1"/>
    <col min="11" max="11" width="22.125" style="8" customWidth="1"/>
    <col min="12" max="12" width="10.25" style="8" customWidth="1"/>
    <col min="13" max="13" width="17.625" style="8" customWidth="1"/>
    <col min="14" max="14" width="15.125" style="8" customWidth="1"/>
    <col min="15" max="15" width="12.75" style="8" customWidth="1"/>
    <col min="16" max="16" width="14.625" style="8" customWidth="1"/>
    <col min="17" max="17" width="12.75" style="8" customWidth="1"/>
    <col min="18" max="18" width="16.75" style="8" customWidth="1"/>
    <col min="19" max="19" width="6.125" style="8" customWidth="1"/>
    <col min="20" max="20" width="7" style="8" customWidth="1"/>
    <col min="21" max="21" width="6.125" style="8" customWidth="1"/>
    <col min="22" max="22" width="4.625" style="8" customWidth="1"/>
    <col min="23" max="23" width="49" style="8" customWidth="1" collapsed="1"/>
    <col min="24" max="24" width="12.75" style="8" customWidth="1"/>
    <col min="25" max="25" width="14.625" style="8" customWidth="1"/>
    <col min="26" max="26" width="12.75" style="8" customWidth="1"/>
    <col min="27" max="27" width="14.625" style="8" customWidth="1"/>
    <col min="28" max="28" width="12.75" style="8" customWidth="1"/>
    <col min="29" max="30" width="16.75" style="8" customWidth="1"/>
    <col min="31" max="31" width="13.125" style="8" customWidth="1" collapsed="1"/>
    <col min="32" max="32" width="15.75" style="8" customWidth="1"/>
    <col min="33" max="33" width="10.25" style="8" customWidth="1"/>
    <col min="34" max="34" width="14" style="8" customWidth="1"/>
    <col min="35" max="35" width="14.625" style="8" customWidth="1"/>
    <col min="36" max="36" width="9.375" style="8" customWidth="1"/>
    <col min="37" max="38" width="14.625" style="8" customWidth="1"/>
    <col min="39" max="39" width="12.75" style="8" customWidth="1"/>
    <col min="40" max="41" width="16.75" style="8" customWidth="1"/>
    <col min="42" max="16384" width="9" style="8"/>
  </cols>
  <sheetData>
    <row r="1" spans="1:42" s="62" customFormat="1" ht="20.25">
      <c r="A1" s="62" t="s">
        <v>1354</v>
      </c>
      <c r="G1" s="361" t="s">
        <v>2069</v>
      </c>
      <c r="H1" s="359">
        <v>356</v>
      </c>
      <c r="I1" s="359">
        <v>310</v>
      </c>
      <c r="K1" s="62" t="s">
        <v>1918</v>
      </c>
      <c r="W1" s="62" t="s">
        <v>1465</v>
      </c>
      <c r="AE1" s="62" t="s">
        <v>1464</v>
      </c>
      <c r="AL1" s="361" t="s">
        <v>2069</v>
      </c>
      <c r="AM1" s="359">
        <v>356</v>
      </c>
      <c r="AN1" s="359">
        <v>356</v>
      </c>
    </row>
    <row r="2" spans="1:42" s="14" customFormat="1" ht="17.25">
      <c r="A2" s="8"/>
      <c r="B2" s="8"/>
      <c r="C2" s="8"/>
      <c r="D2" s="8"/>
      <c r="G2" s="361" t="s">
        <v>2070</v>
      </c>
      <c r="H2" s="360">
        <v>263</v>
      </c>
      <c r="I2" s="360">
        <v>91</v>
      </c>
      <c r="K2" s="161" t="s">
        <v>45</v>
      </c>
      <c r="L2" s="162" t="s">
        <v>1217</v>
      </c>
      <c r="M2" s="8"/>
      <c r="N2" s="8"/>
      <c r="P2" s="352">
        <v>41752</v>
      </c>
      <c r="W2" s="161" t="s">
        <v>45</v>
      </c>
      <c r="X2" s="162" t="s">
        <v>1217</v>
      </c>
      <c r="Y2" s="8"/>
      <c r="Z2" s="8"/>
      <c r="AE2" s="161" t="s">
        <v>45</v>
      </c>
      <c r="AF2" s="162" t="s">
        <v>1217</v>
      </c>
      <c r="AG2" s="8"/>
      <c r="AH2" s="8"/>
      <c r="AK2" s="352">
        <v>41780</v>
      </c>
      <c r="AL2" s="361" t="s">
        <v>2271</v>
      </c>
      <c r="AM2" s="360">
        <v>373</v>
      </c>
      <c r="AN2" s="360">
        <v>302</v>
      </c>
    </row>
    <row r="3" spans="1:42" s="14" customFormat="1" ht="17.25">
      <c r="A3" s="8" t="s">
        <v>882</v>
      </c>
      <c r="B3" s="8"/>
      <c r="C3" s="8"/>
      <c r="D3" s="8"/>
      <c r="G3" s="361" t="s">
        <v>2071</v>
      </c>
      <c r="H3" s="360">
        <v>11</v>
      </c>
      <c r="I3" s="360">
        <v>0</v>
      </c>
      <c r="K3" s="8" t="s">
        <v>882</v>
      </c>
      <c r="L3" s="8"/>
      <c r="M3" s="8"/>
      <c r="N3" s="8" t="s">
        <v>2031</v>
      </c>
      <c r="W3" s="8" t="s">
        <v>882</v>
      </c>
      <c r="X3" s="8"/>
      <c r="Y3" s="8"/>
      <c r="Z3" s="8"/>
      <c r="AE3" s="8" t="s">
        <v>882</v>
      </c>
      <c r="AF3" s="8"/>
      <c r="AG3" s="8"/>
      <c r="AH3" s="8"/>
      <c r="AK3" s="391">
        <f>GETPIVOTDATA(" 중국원단사용수",$AE$4)/GETPIVOTDATA(" 원단총수",$AE$4)</f>
        <v>0.68562300319488823</v>
      </c>
      <c r="AL3" s="361" t="s">
        <v>2270</v>
      </c>
      <c r="AM3" s="360">
        <v>31</v>
      </c>
      <c r="AN3" s="360">
        <v>2</v>
      </c>
    </row>
    <row r="4" spans="1:42" s="14" customFormat="1" ht="16.5" hidden="1">
      <c r="A4" s="38"/>
      <c r="B4" s="39"/>
      <c r="C4" s="39"/>
      <c r="D4" s="39"/>
      <c r="E4" s="39"/>
      <c r="F4" s="39"/>
      <c r="G4" s="39"/>
      <c r="H4" s="40" t="s">
        <v>0</v>
      </c>
      <c r="I4" s="41"/>
      <c r="J4" s="8"/>
      <c r="K4" s="38"/>
      <c r="L4" s="39"/>
      <c r="M4" s="39"/>
      <c r="N4" s="40" t="s">
        <v>0</v>
      </c>
      <c r="O4" s="39"/>
      <c r="P4" s="39"/>
      <c r="Q4" s="39"/>
      <c r="R4" s="41"/>
      <c r="S4"/>
      <c r="T4" s="8"/>
      <c r="U4"/>
      <c r="V4" s="8"/>
      <c r="W4" s="38"/>
      <c r="X4" s="40" t="s">
        <v>0</v>
      </c>
      <c r="Y4" s="39"/>
      <c r="Z4" s="39"/>
      <c r="AA4" s="39"/>
      <c r="AB4" s="39"/>
      <c r="AC4" s="41"/>
      <c r="AD4"/>
      <c r="AE4" s="38"/>
      <c r="AF4" s="39"/>
      <c r="AG4" s="39"/>
      <c r="AH4" s="40" t="s">
        <v>0</v>
      </c>
      <c r="AI4" s="39"/>
      <c r="AJ4" s="39"/>
      <c r="AK4" s="39"/>
      <c r="AL4" s="39"/>
      <c r="AM4" s="39"/>
      <c r="AN4" s="41"/>
      <c r="AO4"/>
    </row>
    <row r="5" spans="1:42" s="44" customFormat="1" ht="16.5">
      <c r="A5" s="42" t="s">
        <v>777</v>
      </c>
      <c r="B5" s="42" t="s">
        <v>42</v>
      </c>
      <c r="C5" s="42" t="s">
        <v>795</v>
      </c>
      <c r="D5" s="42" t="s">
        <v>5</v>
      </c>
      <c r="E5" s="42" t="s">
        <v>796</v>
      </c>
      <c r="F5" s="42" t="s">
        <v>797</v>
      </c>
      <c r="G5" s="40" t="s">
        <v>1393</v>
      </c>
      <c r="H5" s="42" t="s">
        <v>1</v>
      </c>
      <c r="I5" s="43" t="s">
        <v>2</v>
      </c>
      <c r="J5" s="8"/>
      <c r="K5" s="362" t="s">
        <v>42</v>
      </c>
      <c r="L5" s="146" t="s">
        <v>883</v>
      </c>
      <c r="M5" s="146" t="s">
        <v>5</v>
      </c>
      <c r="N5" s="146" t="s">
        <v>1</v>
      </c>
      <c r="O5" s="147" t="s">
        <v>2</v>
      </c>
      <c r="P5" s="159" t="s">
        <v>889</v>
      </c>
      <c r="Q5" s="147" t="s">
        <v>881</v>
      </c>
      <c r="R5" s="160" t="s">
        <v>890</v>
      </c>
      <c r="S5"/>
      <c r="T5" s="8"/>
      <c r="U5"/>
      <c r="V5" s="8"/>
      <c r="W5" s="146" t="s">
        <v>5</v>
      </c>
      <c r="X5" s="146" t="s">
        <v>1</v>
      </c>
      <c r="Y5" s="159" t="s">
        <v>886</v>
      </c>
      <c r="Z5" s="147" t="s">
        <v>2</v>
      </c>
      <c r="AA5" s="159" t="s">
        <v>889</v>
      </c>
      <c r="AB5" s="147" t="s">
        <v>881</v>
      </c>
      <c r="AC5" s="160" t="s">
        <v>890</v>
      </c>
      <c r="AD5"/>
      <c r="AE5" s="40" t="s">
        <v>1129</v>
      </c>
      <c r="AF5" s="146" t="s">
        <v>5</v>
      </c>
      <c r="AG5" s="146" t="s">
        <v>42</v>
      </c>
      <c r="AH5" s="38" t="s">
        <v>1555</v>
      </c>
      <c r="AI5" s="139" t="s">
        <v>886</v>
      </c>
      <c r="AJ5" s="355" t="s">
        <v>1356</v>
      </c>
      <c r="AK5" s="355" t="s">
        <v>1357</v>
      </c>
      <c r="AL5" s="139" t="s">
        <v>889</v>
      </c>
      <c r="AM5" s="139" t="s">
        <v>881</v>
      </c>
      <c r="AN5" s="348" t="s">
        <v>890</v>
      </c>
      <c r="AO5"/>
    </row>
    <row r="6" spans="1:42" s="44" customFormat="1" ht="16.5">
      <c r="A6" s="38" t="s">
        <v>41</v>
      </c>
      <c r="B6" s="38" t="s">
        <v>25</v>
      </c>
      <c r="C6" s="38" t="s">
        <v>1954</v>
      </c>
      <c r="D6" s="38" t="s">
        <v>1497</v>
      </c>
      <c r="E6" s="45">
        <v>41730</v>
      </c>
      <c r="F6" s="46">
        <v>41739</v>
      </c>
      <c r="G6" s="38">
        <v>1</v>
      </c>
      <c r="H6" s="47">
        <v>1</v>
      </c>
      <c r="I6" s="48">
        <v>1</v>
      </c>
      <c r="J6" s="8" t="str">
        <f>K6&amp;L6&amp;M6</f>
        <v>BANOVFOREMOST</v>
      </c>
      <c r="K6" s="38" t="s">
        <v>38</v>
      </c>
      <c r="L6" s="38" t="s">
        <v>40</v>
      </c>
      <c r="M6" s="38" t="s">
        <v>6</v>
      </c>
      <c r="N6" s="63">
        <v>5</v>
      </c>
      <c r="O6" s="141">
        <v>5</v>
      </c>
      <c r="P6" s="152">
        <v>5</v>
      </c>
      <c r="Q6" s="141">
        <v>0</v>
      </c>
      <c r="R6" s="155">
        <v>0</v>
      </c>
      <c r="S6"/>
      <c r="T6" s="8"/>
      <c r="U6"/>
      <c r="V6" s="8"/>
      <c r="W6" s="38" t="s">
        <v>44</v>
      </c>
      <c r="X6" s="63">
        <v>112.5</v>
      </c>
      <c r="Y6" s="150">
        <v>116</v>
      </c>
      <c r="Z6" s="141">
        <v>113</v>
      </c>
      <c r="AA6" s="152">
        <v>116</v>
      </c>
      <c r="AB6" s="141">
        <v>-0.5</v>
      </c>
      <c r="AC6" s="155">
        <v>0</v>
      </c>
      <c r="AD6"/>
      <c r="AE6" s="38" t="s">
        <v>40</v>
      </c>
      <c r="AF6" s="38" t="s">
        <v>6</v>
      </c>
      <c r="AG6" s="38" t="s">
        <v>38</v>
      </c>
      <c r="AH6" s="71">
        <v>5</v>
      </c>
      <c r="AI6" s="350">
        <v>5</v>
      </c>
      <c r="AJ6" s="152">
        <v>19</v>
      </c>
      <c r="AK6" s="152">
        <v>14</v>
      </c>
      <c r="AL6" s="350">
        <v>5</v>
      </c>
      <c r="AM6" s="350">
        <v>0</v>
      </c>
      <c r="AN6" s="349">
        <v>0</v>
      </c>
      <c r="AO6"/>
    </row>
    <row r="7" spans="1:42" ht="16.5">
      <c r="A7" s="49"/>
      <c r="B7" s="49"/>
      <c r="C7" s="38" t="s">
        <v>1955</v>
      </c>
      <c r="D7" s="38" t="s">
        <v>1497</v>
      </c>
      <c r="E7" s="45">
        <v>41730</v>
      </c>
      <c r="F7" s="46">
        <v>41739</v>
      </c>
      <c r="G7" s="38">
        <v>0.5</v>
      </c>
      <c r="H7" s="47">
        <v>1</v>
      </c>
      <c r="I7" s="48">
        <v>1</v>
      </c>
      <c r="J7" s="8" t="str">
        <f t="shared" ref="J7:J70" si="0">K7&amp;L7&amp;M7</f>
        <v>BRO동일모자</v>
      </c>
      <c r="K7" s="49"/>
      <c r="L7" s="38" t="s">
        <v>779</v>
      </c>
      <c r="M7" s="38" t="s">
        <v>44</v>
      </c>
      <c r="N7" s="63">
        <v>1</v>
      </c>
      <c r="O7" s="141">
        <v>1</v>
      </c>
      <c r="P7" s="152">
        <v>1</v>
      </c>
      <c r="Q7" s="141">
        <v>0</v>
      </c>
      <c r="R7" s="155">
        <v>0</v>
      </c>
      <c r="S7"/>
      <c r="U7"/>
      <c r="W7" s="65" t="s">
        <v>48</v>
      </c>
      <c r="X7" s="66">
        <v>58.5</v>
      </c>
      <c r="Y7" s="151">
        <v>60</v>
      </c>
      <c r="Z7" s="76">
        <v>50.5</v>
      </c>
      <c r="AA7" s="153">
        <v>52</v>
      </c>
      <c r="AB7" s="76">
        <v>8</v>
      </c>
      <c r="AC7" s="156">
        <v>8</v>
      </c>
      <c r="AD7"/>
      <c r="AE7" s="49"/>
      <c r="AF7" s="49"/>
      <c r="AG7" s="65" t="s">
        <v>28</v>
      </c>
      <c r="AH7" s="72">
        <v>5</v>
      </c>
      <c r="AI7" s="353">
        <v>5</v>
      </c>
      <c r="AJ7" s="153">
        <v>18</v>
      </c>
      <c r="AK7" s="153">
        <v>11</v>
      </c>
      <c r="AL7" s="353">
        <v>5</v>
      </c>
      <c r="AM7" s="353">
        <v>0</v>
      </c>
      <c r="AN7" s="354">
        <v>0</v>
      </c>
      <c r="AO7"/>
    </row>
    <row r="8" spans="1:42" ht="16.5">
      <c r="A8" s="49"/>
      <c r="B8" s="50" t="s">
        <v>1553</v>
      </c>
      <c r="C8" s="51"/>
      <c r="D8" s="51"/>
      <c r="E8" s="51"/>
      <c r="F8" s="51"/>
      <c r="G8" s="51"/>
      <c r="H8" s="52">
        <v>2</v>
      </c>
      <c r="I8" s="53">
        <v>2</v>
      </c>
      <c r="J8" s="8" t="str">
        <f t="shared" si="0"/>
        <v>ELS동일모자</v>
      </c>
      <c r="K8" s="49"/>
      <c r="L8" s="38" t="s">
        <v>3</v>
      </c>
      <c r="M8" s="38" t="s">
        <v>44</v>
      </c>
      <c r="N8" s="63">
        <v>1</v>
      </c>
      <c r="O8" s="141">
        <v>1</v>
      </c>
      <c r="P8" s="152">
        <v>1</v>
      </c>
      <c r="Q8" s="141">
        <v>0</v>
      </c>
      <c r="R8" s="155">
        <v>0</v>
      </c>
      <c r="S8"/>
      <c r="U8"/>
      <c r="W8" s="65" t="s">
        <v>6</v>
      </c>
      <c r="X8" s="66">
        <v>224.00000000000006</v>
      </c>
      <c r="Y8" s="151">
        <v>244</v>
      </c>
      <c r="Z8" s="76">
        <v>198.5</v>
      </c>
      <c r="AA8" s="153">
        <v>212</v>
      </c>
      <c r="AB8" s="76">
        <v>25.500000000000057</v>
      </c>
      <c r="AC8" s="156">
        <v>32</v>
      </c>
      <c r="AD8"/>
      <c r="AE8" s="49"/>
      <c r="AF8" s="49"/>
      <c r="AG8" s="65" t="s">
        <v>60</v>
      </c>
      <c r="AH8" s="72">
        <v>1</v>
      </c>
      <c r="AI8" s="353">
        <v>1</v>
      </c>
      <c r="AJ8" s="153">
        <v>3</v>
      </c>
      <c r="AK8" s="153">
        <v>2</v>
      </c>
      <c r="AL8" s="353">
        <v>1</v>
      </c>
      <c r="AM8" s="353">
        <v>0</v>
      </c>
      <c r="AN8" s="354">
        <v>0</v>
      </c>
      <c r="AO8"/>
    </row>
    <row r="9" spans="1:42" ht="16.5">
      <c r="A9" s="49"/>
      <c r="B9" s="38" t="s">
        <v>26</v>
      </c>
      <c r="C9" s="38" t="s">
        <v>1718</v>
      </c>
      <c r="D9" s="38" t="s">
        <v>1401</v>
      </c>
      <c r="E9" s="45">
        <v>41701</v>
      </c>
      <c r="F9" s="46">
        <v>41719</v>
      </c>
      <c r="G9" s="38">
        <v>1</v>
      </c>
      <c r="H9" s="47">
        <v>1</v>
      </c>
      <c r="I9" s="48">
        <v>1</v>
      </c>
      <c r="J9" s="8" t="str">
        <f t="shared" si="0"/>
        <v>JILFOREMOST</v>
      </c>
      <c r="K9" s="49"/>
      <c r="L9" s="38" t="s">
        <v>32</v>
      </c>
      <c r="M9" s="38" t="s">
        <v>6</v>
      </c>
      <c r="N9" s="63">
        <v>16</v>
      </c>
      <c r="O9" s="141">
        <v>16</v>
      </c>
      <c r="P9" s="152">
        <v>16</v>
      </c>
      <c r="Q9" s="141">
        <v>0</v>
      </c>
      <c r="R9" s="155">
        <v>0</v>
      </c>
      <c r="S9"/>
      <c r="U9"/>
      <c r="W9" s="65" t="s">
        <v>792</v>
      </c>
      <c r="X9" s="66">
        <v>89</v>
      </c>
      <c r="Y9" s="151">
        <v>98</v>
      </c>
      <c r="Z9" s="76">
        <v>61</v>
      </c>
      <c r="AA9" s="153">
        <v>70</v>
      </c>
      <c r="AB9" s="76">
        <v>28</v>
      </c>
      <c r="AC9" s="156">
        <v>28</v>
      </c>
      <c r="AD9"/>
      <c r="AE9" s="49"/>
      <c r="AF9" s="50" t="s">
        <v>879</v>
      </c>
      <c r="AG9" s="51"/>
      <c r="AH9" s="73">
        <v>11</v>
      </c>
      <c r="AI9" s="157">
        <v>11</v>
      </c>
      <c r="AJ9" s="152">
        <v>40</v>
      </c>
      <c r="AK9" s="152">
        <v>27</v>
      </c>
      <c r="AL9" s="157">
        <v>11</v>
      </c>
      <c r="AM9" s="157">
        <v>0</v>
      </c>
      <c r="AN9" s="158">
        <v>0</v>
      </c>
      <c r="AO9"/>
    </row>
    <row r="10" spans="1:42" ht="16.5">
      <c r="A10" s="49"/>
      <c r="B10" s="50" t="s">
        <v>1462</v>
      </c>
      <c r="C10" s="51"/>
      <c r="D10" s="51"/>
      <c r="E10" s="51"/>
      <c r="F10" s="51"/>
      <c r="G10" s="51"/>
      <c r="H10" s="52">
        <v>1</v>
      </c>
      <c r="I10" s="53">
        <v>1</v>
      </c>
      <c r="J10" s="8" t="str">
        <f t="shared" si="0"/>
        <v>SMB동일모자</v>
      </c>
      <c r="K10" s="49"/>
      <c r="L10" s="38" t="s">
        <v>47</v>
      </c>
      <c r="M10" s="38" t="s">
        <v>44</v>
      </c>
      <c r="N10" s="63">
        <v>7</v>
      </c>
      <c r="O10" s="141">
        <v>7</v>
      </c>
      <c r="P10" s="152">
        <v>7</v>
      </c>
      <c r="Q10" s="141">
        <v>0</v>
      </c>
      <c r="R10" s="155">
        <v>0</v>
      </c>
      <c r="S10"/>
      <c r="U10"/>
      <c r="W10" s="65" t="s">
        <v>1218</v>
      </c>
      <c r="X10" s="66"/>
      <c r="Y10" s="151"/>
      <c r="Z10" s="76"/>
      <c r="AA10" s="153"/>
      <c r="AB10" s="76">
        <v>0</v>
      </c>
      <c r="AC10" s="156">
        <v>0</v>
      </c>
      <c r="AD10"/>
      <c r="AE10" s="38" t="s">
        <v>53</v>
      </c>
      <c r="AF10" s="38" t="s">
        <v>44</v>
      </c>
      <c r="AG10" s="38" t="s">
        <v>38</v>
      </c>
      <c r="AH10" s="71">
        <v>1.5</v>
      </c>
      <c r="AI10" s="350">
        <v>2</v>
      </c>
      <c r="AJ10" s="152">
        <v>6</v>
      </c>
      <c r="AK10" s="152">
        <v>6</v>
      </c>
      <c r="AL10" s="350">
        <v>2</v>
      </c>
      <c r="AM10" s="350">
        <v>-0.5</v>
      </c>
      <c r="AN10" s="349">
        <v>0</v>
      </c>
      <c r="AO10"/>
      <c r="AP10" s="8" t="s">
        <v>1919</v>
      </c>
    </row>
    <row r="11" spans="1:42" ht="16.5">
      <c r="A11" s="49"/>
      <c r="B11" s="38" t="s">
        <v>24</v>
      </c>
      <c r="C11" s="38" t="s">
        <v>1788</v>
      </c>
      <c r="D11" s="38" t="s">
        <v>1409</v>
      </c>
      <c r="E11" s="45">
        <v>41709</v>
      </c>
      <c r="F11" s="46">
        <v>41722</v>
      </c>
      <c r="G11" s="38">
        <v>1</v>
      </c>
      <c r="H11" s="47">
        <v>1</v>
      </c>
      <c r="I11" s="48">
        <v>1</v>
      </c>
      <c r="J11" s="8" t="str">
        <f t="shared" si="0"/>
        <v>성진</v>
      </c>
      <c r="K11" s="49"/>
      <c r="L11" s="49"/>
      <c r="M11" s="65" t="s">
        <v>48</v>
      </c>
      <c r="N11" s="66">
        <v>8.5</v>
      </c>
      <c r="O11" s="76">
        <v>8.5</v>
      </c>
      <c r="P11" s="153">
        <v>9</v>
      </c>
      <c r="Q11" s="76">
        <v>0</v>
      </c>
      <c r="R11" s="156">
        <v>0</v>
      </c>
      <c r="S11"/>
      <c r="U11"/>
      <c r="W11" s="65" t="s">
        <v>1120</v>
      </c>
      <c r="X11" s="66">
        <v>25.833333333333329</v>
      </c>
      <c r="Y11" s="151">
        <v>35</v>
      </c>
      <c r="Z11" s="76">
        <v>9.5</v>
      </c>
      <c r="AA11" s="153">
        <v>13</v>
      </c>
      <c r="AB11" s="76">
        <v>16.333333333333329</v>
      </c>
      <c r="AC11" s="156">
        <v>22</v>
      </c>
      <c r="AD11"/>
      <c r="AE11" s="49"/>
      <c r="AF11" s="49"/>
      <c r="AG11" s="65" t="s">
        <v>35</v>
      </c>
      <c r="AH11" s="72">
        <v>2</v>
      </c>
      <c r="AI11" s="353">
        <v>2</v>
      </c>
      <c r="AJ11" s="153">
        <v>6</v>
      </c>
      <c r="AK11" s="153">
        <v>6</v>
      </c>
      <c r="AL11" s="353">
        <v>2</v>
      </c>
      <c r="AM11" s="353">
        <v>0</v>
      </c>
      <c r="AN11" s="354">
        <v>0</v>
      </c>
      <c r="AO11"/>
    </row>
    <row r="12" spans="1:42" ht="16.5">
      <c r="A12" s="49"/>
      <c r="B12" s="49"/>
      <c r="C12" s="38" t="s">
        <v>1857</v>
      </c>
      <c r="D12" s="38" t="s">
        <v>897</v>
      </c>
      <c r="E12" s="45">
        <v>41715</v>
      </c>
      <c r="F12" s="46">
        <v>41722</v>
      </c>
      <c r="G12" s="38">
        <v>1</v>
      </c>
      <c r="H12" s="47">
        <v>1</v>
      </c>
      <c r="I12" s="48">
        <v>1</v>
      </c>
      <c r="J12" s="8" t="str">
        <f t="shared" si="0"/>
        <v>QF</v>
      </c>
      <c r="K12" s="49"/>
      <c r="L12" s="49"/>
      <c r="M12" s="65" t="s">
        <v>792</v>
      </c>
      <c r="N12" s="66">
        <v>5</v>
      </c>
      <c r="O12" s="76">
        <v>5</v>
      </c>
      <c r="P12" s="153">
        <v>5</v>
      </c>
      <c r="Q12" s="76">
        <v>0</v>
      </c>
      <c r="R12" s="156">
        <v>0</v>
      </c>
      <c r="S12"/>
      <c r="U12"/>
      <c r="W12" s="65" t="s">
        <v>1305</v>
      </c>
      <c r="X12" s="66">
        <v>5</v>
      </c>
      <c r="Y12" s="151">
        <v>6</v>
      </c>
      <c r="Z12" s="76">
        <v>5</v>
      </c>
      <c r="AA12" s="153">
        <v>6</v>
      </c>
      <c r="AB12" s="76">
        <v>0</v>
      </c>
      <c r="AC12" s="156">
        <v>0</v>
      </c>
      <c r="AD12"/>
      <c r="AE12" s="49"/>
      <c r="AF12" s="49"/>
      <c r="AG12" s="65" t="s">
        <v>50</v>
      </c>
      <c r="AH12" s="72">
        <v>2</v>
      </c>
      <c r="AI12" s="353">
        <v>2</v>
      </c>
      <c r="AJ12" s="153">
        <v>3</v>
      </c>
      <c r="AK12" s="153">
        <v>3</v>
      </c>
      <c r="AL12" s="353">
        <v>2</v>
      </c>
      <c r="AM12" s="353">
        <v>0</v>
      </c>
      <c r="AN12" s="354">
        <v>0</v>
      </c>
      <c r="AO12"/>
    </row>
    <row r="13" spans="1:42" ht="16.5">
      <c r="A13" s="49"/>
      <c r="B13" s="49"/>
      <c r="C13" s="38" t="s">
        <v>1858</v>
      </c>
      <c r="D13" s="38" t="s">
        <v>897</v>
      </c>
      <c r="E13" s="45">
        <v>41715</v>
      </c>
      <c r="F13" s="46">
        <v>41722</v>
      </c>
      <c r="G13" s="38">
        <v>1</v>
      </c>
      <c r="H13" s="47">
        <v>1</v>
      </c>
      <c r="I13" s="48">
        <v>1</v>
      </c>
      <c r="J13" s="8" t="str">
        <f t="shared" si="0"/>
        <v>캡보이2</v>
      </c>
      <c r="K13" s="49"/>
      <c r="L13" s="49"/>
      <c r="M13" s="65" t="s">
        <v>1305</v>
      </c>
      <c r="N13" s="66">
        <v>1.5</v>
      </c>
      <c r="O13" s="76">
        <v>1.5</v>
      </c>
      <c r="P13" s="153">
        <v>2</v>
      </c>
      <c r="Q13" s="76">
        <v>0</v>
      </c>
      <c r="R13" s="156">
        <v>0</v>
      </c>
      <c r="S13"/>
      <c r="U13"/>
      <c r="W13" s="65" t="s">
        <v>49</v>
      </c>
      <c r="X13" s="66">
        <v>40.5</v>
      </c>
      <c r="Y13" s="151">
        <v>42</v>
      </c>
      <c r="Z13" s="76">
        <v>34.5</v>
      </c>
      <c r="AA13" s="153">
        <v>36</v>
      </c>
      <c r="AB13" s="76">
        <v>6</v>
      </c>
      <c r="AC13" s="156">
        <v>6</v>
      </c>
      <c r="AD13"/>
      <c r="AE13" s="49"/>
      <c r="AF13" s="50" t="s">
        <v>877</v>
      </c>
      <c r="AG13" s="51"/>
      <c r="AH13" s="73">
        <v>5.5</v>
      </c>
      <c r="AI13" s="157">
        <v>6</v>
      </c>
      <c r="AJ13" s="152">
        <v>15</v>
      </c>
      <c r="AK13" s="152">
        <v>15</v>
      </c>
      <c r="AL13" s="157">
        <v>6</v>
      </c>
      <c r="AM13" s="157">
        <v>-0.5</v>
      </c>
      <c r="AN13" s="158">
        <v>0</v>
      </c>
      <c r="AO13"/>
    </row>
    <row r="14" spans="1:42" ht="16.5">
      <c r="A14" s="49"/>
      <c r="B14" s="49"/>
      <c r="C14" s="38" t="s">
        <v>1859</v>
      </c>
      <c r="D14" s="38" t="s">
        <v>897</v>
      </c>
      <c r="E14" s="45">
        <v>41715</v>
      </c>
      <c r="F14" s="46">
        <v>41722</v>
      </c>
      <c r="G14" s="38">
        <v>1</v>
      </c>
      <c r="H14" s="47">
        <v>1</v>
      </c>
      <c r="I14" s="48">
        <v>1</v>
      </c>
      <c r="J14" s="8" t="str">
        <f t="shared" si="0"/>
        <v>VBLFOREMOST</v>
      </c>
      <c r="K14" s="49"/>
      <c r="L14" s="38" t="s">
        <v>39</v>
      </c>
      <c r="M14" s="38" t="s">
        <v>6</v>
      </c>
      <c r="N14" s="63">
        <v>6</v>
      </c>
      <c r="O14" s="141">
        <v>6</v>
      </c>
      <c r="P14" s="152">
        <v>6</v>
      </c>
      <c r="Q14" s="141">
        <v>0</v>
      </c>
      <c r="R14" s="155">
        <v>0</v>
      </c>
      <c r="S14"/>
      <c r="U14"/>
      <c r="W14" s="65" t="s">
        <v>1365</v>
      </c>
      <c r="X14" s="66">
        <v>15</v>
      </c>
      <c r="Y14" s="151">
        <v>23</v>
      </c>
      <c r="Z14" s="76">
        <v>15</v>
      </c>
      <c r="AA14" s="153">
        <v>23</v>
      </c>
      <c r="AB14" s="76">
        <v>0</v>
      </c>
      <c r="AC14" s="156">
        <v>0</v>
      </c>
      <c r="AD14"/>
      <c r="AE14" s="49"/>
      <c r="AF14" s="38" t="s">
        <v>6</v>
      </c>
      <c r="AG14" s="38" t="s">
        <v>38</v>
      </c>
      <c r="AH14" s="71">
        <v>3</v>
      </c>
      <c r="AI14" s="350">
        <v>3</v>
      </c>
      <c r="AJ14" s="152"/>
      <c r="AK14" s="152"/>
      <c r="AL14" s="350">
        <v>3</v>
      </c>
      <c r="AM14" s="350">
        <v>3</v>
      </c>
      <c r="AN14" s="349">
        <v>3</v>
      </c>
      <c r="AO14"/>
    </row>
    <row r="15" spans="1:42" ht="16.5">
      <c r="A15" s="49"/>
      <c r="B15" s="49"/>
      <c r="C15" s="38" t="s">
        <v>1860</v>
      </c>
      <c r="D15" s="38" t="s">
        <v>897</v>
      </c>
      <c r="E15" s="45">
        <v>41715</v>
      </c>
      <c r="F15" s="46">
        <v>41723</v>
      </c>
      <c r="G15" s="38">
        <v>1</v>
      </c>
      <c r="H15" s="47">
        <v>1</v>
      </c>
      <c r="I15" s="48">
        <v>1</v>
      </c>
      <c r="J15" s="8" t="str">
        <f t="shared" si="0"/>
        <v>WTR동일모자</v>
      </c>
      <c r="K15" s="49"/>
      <c r="L15" s="38" t="s">
        <v>46</v>
      </c>
      <c r="M15" s="38" t="s">
        <v>44</v>
      </c>
      <c r="N15" s="63">
        <v>3</v>
      </c>
      <c r="O15" s="141">
        <v>3</v>
      </c>
      <c r="P15" s="152">
        <v>3</v>
      </c>
      <c r="Q15" s="141">
        <v>0</v>
      </c>
      <c r="R15" s="155">
        <v>0</v>
      </c>
      <c r="S15"/>
      <c r="U15"/>
      <c r="W15" s="65" t="s">
        <v>1401</v>
      </c>
      <c r="X15" s="66">
        <v>32</v>
      </c>
      <c r="Y15" s="151">
        <v>32</v>
      </c>
      <c r="Z15" s="76">
        <v>32</v>
      </c>
      <c r="AA15" s="153">
        <v>32</v>
      </c>
      <c r="AB15" s="76">
        <v>0</v>
      </c>
      <c r="AC15" s="156">
        <v>0</v>
      </c>
      <c r="AD15"/>
      <c r="AE15" s="49"/>
      <c r="AF15" s="49"/>
      <c r="AG15" s="65" t="s">
        <v>33</v>
      </c>
      <c r="AH15" s="72">
        <v>1.5</v>
      </c>
      <c r="AI15" s="353">
        <v>2</v>
      </c>
      <c r="AJ15" s="153"/>
      <c r="AK15" s="153"/>
      <c r="AL15" s="353">
        <v>2</v>
      </c>
      <c r="AM15" s="353">
        <v>1.5</v>
      </c>
      <c r="AN15" s="354">
        <v>2</v>
      </c>
      <c r="AO15"/>
    </row>
    <row r="16" spans="1:42" ht="16.5">
      <c r="A16" s="49"/>
      <c r="B16" s="49"/>
      <c r="C16" s="38" t="s">
        <v>1861</v>
      </c>
      <c r="D16" s="38" t="s">
        <v>897</v>
      </c>
      <c r="E16" s="45">
        <v>41715</v>
      </c>
      <c r="F16" s="46">
        <v>41722</v>
      </c>
      <c r="G16" s="38">
        <v>1</v>
      </c>
      <c r="H16" s="47">
        <v>1</v>
      </c>
      <c r="I16" s="48">
        <v>1</v>
      </c>
      <c r="J16" s="8" t="str">
        <f t="shared" si="0"/>
        <v>FOREMOST</v>
      </c>
      <c r="K16" s="49"/>
      <c r="L16" s="49"/>
      <c r="M16" s="65" t="s">
        <v>6</v>
      </c>
      <c r="N16" s="66">
        <v>2</v>
      </c>
      <c r="O16" s="76">
        <v>2</v>
      </c>
      <c r="P16" s="153">
        <v>2</v>
      </c>
      <c r="Q16" s="76">
        <v>0</v>
      </c>
      <c r="R16" s="156">
        <v>0</v>
      </c>
      <c r="S16"/>
      <c r="U16"/>
      <c r="W16" s="65" t="s">
        <v>1409</v>
      </c>
      <c r="X16" s="66">
        <v>37</v>
      </c>
      <c r="Y16" s="151">
        <v>37</v>
      </c>
      <c r="Z16" s="76">
        <v>31</v>
      </c>
      <c r="AA16" s="153">
        <v>31</v>
      </c>
      <c r="AB16" s="76">
        <v>6</v>
      </c>
      <c r="AC16" s="156">
        <v>6</v>
      </c>
      <c r="AD16"/>
      <c r="AE16" s="49"/>
      <c r="AF16" s="50" t="s">
        <v>879</v>
      </c>
      <c r="AG16" s="51"/>
      <c r="AH16" s="73">
        <v>4.5</v>
      </c>
      <c r="AI16" s="157">
        <v>5</v>
      </c>
      <c r="AJ16" s="152"/>
      <c r="AK16" s="152"/>
      <c r="AL16" s="157">
        <v>5</v>
      </c>
      <c r="AM16" s="157">
        <v>4.5</v>
      </c>
      <c r="AN16" s="158">
        <v>5</v>
      </c>
      <c r="AO16"/>
    </row>
    <row r="17" spans="1:41" ht="16.5">
      <c r="A17" s="49"/>
      <c r="B17" s="50" t="s">
        <v>1554</v>
      </c>
      <c r="C17" s="51"/>
      <c r="D17" s="51"/>
      <c r="E17" s="51"/>
      <c r="F17" s="51"/>
      <c r="G17" s="51"/>
      <c r="H17" s="52">
        <v>6</v>
      </c>
      <c r="I17" s="53">
        <v>6</v>
      </c>
      <c r="J17" s="8" t="str">
        <f t="shared" si="0"/>
        <v>JOI동일모자</v>
      </c>
      <c r="K17" s="49"/>
      <c r="L17" s="38" t="s">
        <v>51</v>
      </c>
      <c r="M17" s="38" t="s">
        <v>44</v>
      </c>
      <c r="N17" s="63">
        <v>7</v>
      </c>
      <c r="O17" s="141">
        <v>7</v>
      </c>
      <c r="P17" s="152">
        <v>7</v>
      </c>
      <c r="Q17" s="141">
        <v>0</v>
      </c>
      <c r="R17" s="155">
        <v>0</v>
      </c>
      <c r="S17"/>
      <c r="U17"/>
      <c r="W17" s="65" t="s">
        <v>1415</v>
      </c>
      <c r="X17" s="66">
        <v>60</v>
      </c>
      <c r="Y17" s="151">
        <v>65</v>
      </c>
      <c r="Z17" s="76">
        <v>49</v>
      </c>
      <c r="AA17" s="153">
        <v>52</v>
      </c>
      <c r="AB17" s="76">
        <v>11</v>
      </c>
      <c r="AC17" s="156">
        <v>13</v>
      </c>
      <c r="AD17"/>
      <c r="AE17" s="38" t="s">
        <v>779</v>
      </c>
      <c r="AF17" s="38" t="s">
        <v>44</v>
      </c>
      <c r="AG17" s="38" t="s">
        <v>38</v>
      </c>
      <c r="AH17" s="71">
        <v>1</v>
      </c>
      <c r="AI17" s="350">
        <v>1</v>
      </c>
      <c r="AJ17" s="152">
        <v>2</v>
      </c>
      <c r="AK17" s="152">
        <v>2</v>
      </c>
      <c r="AL17" s="350">
        <v>1</v>
      </c>
      <c r="AM17" s="350">
        <v>0</v>
      </c>
      <c r="AN17" s="349">
        <v>0</v>
      </c>
      <c r="AO17"/>
    </row>
    <row r="18" spans="1:41" ht="16.5">
      <c r="A18" s="49"/>
      <c r="B18" s="38" t="s">
        <v>27</v>
      </c>
      <c r="C18" s="38" t="s">
        <v>1785</v>
      </c>
      <c r="D18" s="38" t="s">
        <v>1401</v>
      </c>
      <c r="E18" s="45">
        <v>41709</v>
      </c>
      <c r="F18" s="46">
        <v>41719</v>
      </c>
      <c r="G18" s="38">
        <v>1</v>
      </c>
      <c r="H18" s="47">
        <v>1</v>
      </c>
      <c r="I18" s="48">
        <v>1</v>
      </c>
      <c r="J18" s="8" t="str">
        <f t="shared" si="0"/>
        <v>BMD동일모자</v>
      </c>
      <c r="K18" s="49"/>
      <c r="L18" s="38" t="s">
        <v>53</v>
      </c>
      <c r="M18" s="38" t="s">
        <v>44</v>
      </c>
      <c r="N18" s="63">
        <v>1.5</v>
      </c>
      <c r="O18" s="141">
        <v>2</v>
      </c>
      <c r="P18" s="152">
        <v>2</v>
      </c>
      <c r="Q18" s="141">
        <v>-0.5</v>
      </c>
      <c r="R18" s="155">
        <v>0</v>
      </c>
      <c r="S18"/>
      <c r="U18"/>
      <c r="W18" s="65" t="s">
        <v>1434</v>
      </c>
      <c r="X18" s="66">
        <v>4.0000000000000009</v>
      </c>
      <c r="Y18" s="151">
        <v>9</v>
      </c>
      <c r="Z18" s="76">
        <v>5</v>
      </c>
      <c r="AA18" s="153">
        <v>9</v>
      </c>
      <c r="AB18" s="76">
        <v>-0.99999999999999911</v>
      </c>
      <c r="AC18" s="156">
        <v>0</v>
      </c>
      <c r="AD18"/>
      <c r="AE18" s="49"/>
      <c r="AF18" s="49"/>
      <c r="AG18" s="65" t="s">
        <v>35</v>
      </c>
      <c r="AH18" s="72">
        <v>9</v>
      </c>
      <c r="AI18" s="353">
        <v>9</v>
      </c>
      <c r="AJ18" s="153">
        <v>33</v>
      </c>
      <c r="AK18" s="153">
        <v>24</v>
      </c>
      <c r="AL18" s="353">
        <v>9</v>
      </c>
      <c r="AM18" s="353">
        <v>0</v>
      </c>
      <c r="AN18" s="354">
        <v>0</v>
      </c>
      <c r="AO18"/>
    </row>
    <row r="19" spans="1:41" ht="16.5">
      <c r="A19" s="49"/>
      <c r="B19" s="49"/>
      <c r="C19" s="38" t="s">
        <v>1786</v>
      </c>
      <c r="D19" s="38" t="s">
        <v>1497</v>
      </c>
      <c r="E19" s="45">
        <v>41709</v>
      </c>
      <c r="F19" s="46">
        <v>41719</v>
      </c>
      <c r="G19" s="38">
        <v>1</v>
      </c>
      <c r="H19" s="47">
        <v>1</v>
      </c>
      <c r="I19" s="48">
        <v>1</v>
      </c>
      <c r="J19" s="8" t="str">
        <f t="shared" si="0"/>
        <v>FOREMOST</v>
      </c>
      <c r="K19" s="49"/>
      <c r="L19" s="49"/>
      <c r="M19" s="65" t="s">
        <v>6</v>
      </c>
      <c r="N19" s="66">
        <v>3</v>
      </c>
      <c r="O19" s="76">
        <v>0</v>
      </c>
      <c r="P19" s="153">
        <v>0</v>
      </c>
      <c r="Q19" s="76">
        <v>3</v>
      </c>
      <c r="R19" s="156">
        <v>3</v>
      </c>
      <c r="S19"/>
      <c r="U19"/>
      <c r="W19" s="65" t="s">
        <v>1484</v>
      </c>
      <c r="X19" s="66">
        <v>3</v>
      </c>
      <c r="Y19" s="151">
        <v>6</v>
      </c>
      <c r="Z19" s="76">
        <v>3</v>
      </c>
      <c r="AA19" s="153">
        <v>6</v>
      </c>
      <c r="AB19" s="76">
        <v>0</v>
      </c>
      <c r="AC19" s="156">
        <v>0</v>
      </c>
      <c r="AD19"/>
      <c r="AE19" s="49"/>
      <c r="AF19" s="49"/>
      <c r="AG19" s="65" t="s">
        <v>33</v>
      </c>
      <c r="AH19" s="72">
        <v>1</v>
      </c>
      <c r="AI19" s="353">
        <v>1</v>
      </c>
      <c r="AJ19" s="153">
        <v>4</v>
      </c>
      <c r="AK19" s="153">
        <v>3</v>
      </c>
      <c r="AL19" s="353">
        <v>1</v>
      </c>
      <c r="AM19" s="353">
        <v>0</v>
      </c>
      <c r="AN19" s="354">
        <v>0</v>
      </c>
      <c r="AO19"/>
    </row>
    <row r="20" spans="1:41" ht="16.5">
      <c r="A20" s="49"/>
      <c r="B20" s="49"/>
      <c r="C20" s="38" t="s">
        <v>1787</v>
      </c>
      <c r="D20" s="38" t="s">
        <v>1497</v>
      </c>
      <c r="E20" s="45">
        <v>41709</v>
      </c>
      <c r="F20" s="46">
        <v>41725</v>
      </c>
      <c r="G20" s="38">
        <v>1</v>
      </c>
      <c r="H20" s="47">
        <v>1</v>
      </c>
      <c r="I20" s="48">
        <v>1</v>
      </c>
      <c r="J20" s="8" t="str">
        <f t="shared" si="0"/>
        <v>POL동일모자</v>
      </c>
      <c r="K20" s="49"/>
      <c r="L20" s="38" t="s">
        <v>1677</v>
      </c>
      <c r="M20" s="38" t="s">
        <v>44</v>
      </c>
      <c r="N20" s="63">
        <v>6</v>
      </c>
      <c r="O20" s="141">
        <v>6</v>
      </c>
      <c r="P20" s="152">
        <v>6</v>
      </c>
      <c r="Q20" s="141">
        <v>0</v>
      </c>
      <c r="R20" s="155">
        <v>0</v>
      </c>
      <c r="S20"/>
      <c r="U20"/>
      <c r="W20" s="65" t="s">
        <v>1497</v>
      </c>
      <c r="X20" s="66">
        <v>18</v>
      </c>
      <c r="Y20" s="151">
        <v>18</v>
      </c>
      <c r="Z20" s="76">
        <v>18</v>
      </c>
      <c r="AA20" s="153">
        <v>18</v>
      </c>
      <c r="AB20" s="76">
        <v>0</v>
      </c>
      <c r="AC20" s="156">
        <v>0</v>
      </c>
      <c r="AD20"/>
      <c r="AE20" s="49"/>
      <c r="AF20" s="50" t="s">
        <v>877</v>
      </c>
      <c r="AG20" s="51"/>
      <c r="AH20" s="73">
        <v>11</v>
      </c>
      <c r="AI20" s="157">
        <v>11</v>
      </c>
      <c r="AJ20" s="152">
        <v>39</v>
      </c>
      <c r="AK20" s="152">
        <v>29</v>
      </c>
      <c r="AL20" s="157">
        <v>11</v>
      </c>
      <c r="AM20" s="157">
        <v>0</v>
      </c>
      <c r="AN20" s="158">
        <v>0</v>
      </c>
      <c r="AO20"/>
    </row>
    <row r="21" spans="1:41" ht="16.5">
      <c r="A21" s="49"/>
      <c r="B21" s="49"/>
      <c r="C21" s="38" t="s">
        <v>1862</v>
      </c>
      <c r="D21" s="38" t="s">
        <v>897</v>
      </c>
      <c r="E21" s="45">
        <v>41715</v>
      </c>
      <c r="F21" s="46">
        <v>41722</v>
      </c>
      <c r="G21" s="38">
        <v>1</v>
      </c>
      <c r="H21" s="47">
        <v>1</v>
      </c>
      <c r="I21" s="48">
        <v>1</v>
      </c>
      <c r="J21" s="8" t="str">
        <f t="shared" si="0"/>
        <v>BA 요약</v>
      </c>
      <c r="K21" s="50" t="s">
        <v>853</v>
      </c>
      <c r="L21" s="51"/>
      <c r="M21" s="51"/>
      <c r="N21" s="145">
        <v>73.5</v>
      </c>
      <c r="O21" s="143">
        <v>71</v>
      </c>
      <c r="P21" s="152">
        <v>72</v>
      </c>
      <c r="Q21" s="143">
        <v>2.5</v>
      </c>
      <c r="R21" s="155">
        <v>3</v>
      </c>
      <c r="S21"/>
      <c r="U21"/>
      <c r="W21" s="65" t="s">
        <v>897</v>
      </c>
      <c r="X21" s="66">
        <v>22</v>
      </c>
      <c r="Y21" s="151">
        <v>22</v>
      </c>
      <c r="Z21" s="76">
        <v>21</v>
      </c>
      <c r="AA21" s="153">
        <v>21</v>
      </c>
      <c r="AB21" s="76">
        <v>1</v>
      </c>
      <c r="AC21" s="156">
        <v>1</v>
      </c>
      <c r="AD21"/>
      <c r="AE21" s="38" t="s">
        <v>3</v>
      </c>
      <c r="AF21" s="38" t="s">
        <v>44</v>
      </c>
      <c r="AG21" s="38" t="s">
        <v>38</v>
      </c>
      <c r="AH21" s="71">
        <v>1</v>
      </c>
      <c r="AI21" s="350">
        <v>1</v>
      </c>
      <c r="AJ21" s="152">
        <v>4</v>
      </c>
      <c r="AK21" s="152">
        <v>0</v>
      </c>
      <c r="AL21" s="350">
        <v>1</v>
      </c>
      <c r="AM21" s="350">
        <v>0</v>
      </c>
      <c r="AN21" s="349">
        <v>0</v>
      </c>
      <c r="AO21"/>
    </row>
    <row r="22" spans="1:41" ht="16.5">
      <c r="A22" s="49"/>
      <c r="B22" s="49"/>
      <c r="C22" s="38" t="s">
        <v>1863</v>
      </c>
      <c r="D22" s="38" t="s">
        <v>897</v>
      </c>
      <c r="E22" s="45">
        <v>41715</v>
      </c>
      <c r="F22" s="46">
        <v>41722</v>
      </c>
      <c r="G22" s="38">
        <v>1</v>
      </c>
      <c r="H22" s="47">
        <v>1</v>
      </c>
      <c r="I22" s="48">
        <v>1</v>
      </c>
      <c r="J22" s="8" t="str">
        <f t="shared" si="0"/>
        <v>BPELS바이칼</v>
      </c>
      <c r="K22" s="38" t="s">
        <v>31</v>
      </c>
      <c r="L22" s="38" t="s">
        <v>3</v>
      </c>
      <c r="M22" s="38" t="s">
        <v>1837</v>
      </c>
      <c r="N22" s="63">
        <v>8</v>
      </c>
      <c r="O22" s="141">
        <v>8</v>
      </c>
      <c r="P22" s="152">
        <v>8</v>
      </c>
      <c r="Q22" s="141">
        <v>0</v>
      </c>
      <c r="R22" s="155">
        <v>0</v>
      </c>
      <c r="S22"/>
      <c r="U22"/>
      <c r="W22" s="65" t="s">
        <v>1830</v>
      </c>
      <c r="X22" s="66">
        <v>2</v>
      </c>
      <c r="Y22" s="151">
        <v>4</v>
      </c>
      <c r="Z22" s="76">
        <v>2</v>
      </c>
      <c r="AA22" s="153">
        <v>4</v>
      </c>
      <c r="AB22" s="76">
        <v>0</v>
      </c>
      <c r="AC22" s="156">
        <v>0</v>
      </c>
      <c r="AD22"/>
      <c r="AE22" s="49"/>
      <c r="AF22" s="49"/>
      <c r="AG22" s="65" t="s">
        <v>35</v>
      </c>
      <c r="AH22" s="72">
        <v>11</v>
      </c>
      <c r="AI22" s="353">
        <v>11</v>
      </c>
      <c r="AJ22" s="153">
        <v>50</v>
      </c>
      <c r="AK22" s="153">
        <v>31</v>
      </c>
      <c r="AL22" s="353">
        <v>11</v>
      </c>
      <c r="AM22" s="353">
        <v>0</v>
      </c>
      <c r="AN22" s="354">
        <v>0</v>
      </c>
      <c r="AO22"/>
    </row>
    <row r="23" spans="1:41" ht="16.5">
      <c r="A23" s="49"/>
      <c r="B23" s="49"/>
      <c r="C23" s="38" t="s">
        <v>1864</v>
      </c>
      <c r="D23" s="38" t="s">
        <v>897</v>
      </c>
      <c r="E23" s="45">
        <v>41715</v>
      </c>
      <c r="F23" s="46">
        <v>41722</v>
      </c>
      <c r="G23" s="38">
        <v>1</v>
      </c>
      <c r="H23" s="47">
        <v>1</v>
      </c>
      <c r="I23" s="48">
        <v>1</v>
      </c>
      <c r="J23" s="8" t="str">
        <f t="shared" si="0"/>
        <v>JOIKIDS FIRST TOYS</v>
      </c>
      <c r="K23" s="49"/>
      <c r="L23" s="38" t="s">
        <v>51</v>
      </c>
      <c r="M23" s="38" t="s">
        <v>1120</v>
      </c>
      <c r="N23" s="63">
        <v>3</v>
      </c>
      <c r="O23" s="141">
        <v>0</v>
      </c>
      <c r="P23" s="152">
        <v>0</v>
      </c>
      <c r="Q23" s="141">
        <v>3</v>
      </c>
      <c r="R23" s="155">
        <v>3</v>
      </c>
      <c r="S23"/>
      <c r="U23"/>
      <c r="W23" s="65" t="s">
        <v>1837</v>
      </c>
      <c r="X23" s="66">
        <v>23</v>
      </c>
      <c r="Y23" s="151">
        <v>23</v>
      </c>
      <c r="Z23" s="76">
        <v>10</v>
      </c>
      <c r="AA23" s="153">
        <v>10</v>
      </c>
      <c r="AB23" s="76">
        <v>13</v>
      </c>
      <c r="AC23" s="156">
        <v>13</v>
      </c>
      <c r="AD23"/>
      <c r="AE23" s="49"/>
      <c r="AF23" s="49"/>
      <c r="AG23" s="65" t="s">
        <v>28</v>
      </c>
      <c r="AH23" s="72">
        <v>3</v>
      </c>
      <c r="AI23" s="353">
        <v>3</v>
      </c>
      <c r="AJ23" s="153">
        <v>15</v>
      </c>
      <c r="AK23" s="153">
        <v>9</v>
      </c>
      <c r="AL23" s="353">
        <v>3</v>
      </c>
      <c r="AM23" s="353">
        <v>0</v>
      </c>
      <c r="AN23" s="354">
        <v>0</v>
      </c>
      <c r="AO23"/>
    </row>
    <row r="24" spans="1:41" ht="16.5">
      <c r="A24" s="49"/>
      <c r="B24" s="49"/>
      <c r="C24" s="38" t="s">
        <v>1865</v>
      </c>
      <c r="D24" s="38" t="s">
        <v>897</v>
      </c>
      <c r="E24" s="45">
        <v>41715</v>
      </c>
      <c r="F24" s="46">
        <v>41723</v>
      </c>
      <c r="G24" s="38">
        <v>1</v>
      </c>
      <c r="H24" s="47">
        <v>1</v>
      </c>
      <c r="I24" s="48">
        <v>1</v>
      </c>
      <c r="J24" s="8" t="str">
        <f t="shared" si="0"/>
        <v>URB바이칼</v>
      </c>
      <c r="K24" s="49"/>
      <c r="L24" s="38" t="s">
        <v>1101</v>
      </c>
      <c r="M24" s="38" t="s">
        <v>1837</v>
      </c>
      <c r="N24" s="63">
        <v>4</v>
      </c>
      <c r="O24" s="141">
        <v>0</v>
      </c>
      <c r="P24" s="152">
        <v>0</v>
      </c>
      <c r="Q24" s="141">
        <v>4</v>
      </c>
      <c r="R24" s="155">
        <v>4</v>
      </c>
      <c r="S24"/>
      <c r="U24"/>
      <c r="W24" s="65" t="s">
        <v>1855</v>
      </c>
      <c r="X24" s="66">
        <v>2</v>
      </c>
      <c r="Y24" s="151">
        <v>2</v>
      </c>
      <c r="Z24" s="76">
        <v>2</v>
      </c>
      <c r="AA24" s="153">
        <v>2</v>
      </c>
      <c r="AB24" s="76">
        <v>0</v>
      </c>
      <c r="AC24" s="156">
        <v>0</v>
      </c>
      <c r="AD24"/>
      <c r="AE24" s="49"/>
      <c r="AF24" s="49"/>
      <c r="AG24" s="65" t="s">
        <v>50</v>
      </c>
      <c r="AH24" s="72">
        <v>4</v>
      </c>
      <c r="AI24" s="353">
        <v>4</v>
      </c>
      <c r="AJ24" s="153">
        <v>10</v>
      </c>
      <c r="AK24" s="153">
        <v>6</v>
      </c>
      <c r="AL24" s="353">
        <v>4</v>
      </c>
      <c r="AM24" s="353">
        <v>0</v>
      </c>
      <c r="AN24" s="354">
        <v>0</v>
      </c>
      <c r="AO24"/>
    </row>
    <row r="25" spans="1:41" ht="16.5">
      <c r="A25" s="49"/>
      <c r="B25" s="49"/>
      <c r="C25" s="38" t="s">
        <v>1866</v>
      </c>
      <c r="D25" s="38" t="s">
        <v>897</v>
      </c>
      <c r="E25" s="45">
        <v>41715</v>
      </c>
      <c r="F25" s="46">
        <v>41722</v>
      </c>
      <c r="G25" s="38">
        <v>1</v>
      </c>
      <c r="H25" s="47">
        <v>1</v>
      </c>
      <c r="I25" s="48">
        <v>1</v>
      </c>
      <c r="J25" s="8" t="str">
        <f t="shared" si="0"/>
        <v>DPS바이칼</v>
      </c>
      <c r="K25" s="49"/>
      <c r="L25" s="38" t="s">
        <v>1772</v>
      </c>
      <c r="M25" s="38" t="s">
        <v>1837</v>
      </c>
      <c r="N25" s="63">
        <v>9</v>
      </c>
      <c r="O25" s="141">
        <v>0</v>
      </c>
      <c r="P25" s="152">
        <v>0</v>
      </c>
      <c r="Q25" s="141">
        <v>9</v>
      </c>
      <c r="R25" s="155">
        <v>9</v>
      </c>
      <c r="S25"/>
      <c r="U25"/>
      <c r="W25" s="65" t="s">
        <v>2113</v>
      </c>
      <c r="X25" s="66">
        <v>2</v>
      </c>
      <c r="Y25" s="151">
        <v>4</v>
      </c>
      <c r="Z25" s="76">
        <v>2</v>
      </c>
      <c r="AA25" s="153">
        <v>4</v>
      </c>
      <c r="AB25" s="76">
        <v>0</v>
      </c>
      <c r="AC25" s="156">
        <v>0</v>
      </c>
      <c r="AD25"/>
      <c r="AE25" s="49"/>
      <c r="AF25" s="49"/>
      <c r="AG25" s="65" t="s">
        <v>2116</v>
      </c>
      <c r="AH25" s="72">
        <v>8</v>
      </c>
      <c r="AI25" s="353">
        <v>8</v>
      </c>
      <c r="AJ25" s="153">
        <v>16</v>
      </c>
      <c r="AK25" s="153">
        <v>12</v>
      </c>
      <c r="AL25" s="353">
        <v>8</v>
      </c>
      <c r="AM25" s="353">
        <v>0</v>
      </c>
      <c r="AN25" s="354">
        <v>0</v>
      </c>
      <c r="AO25"/>
    </row>
    <row r="26" spans="1:41" ht="16.5">
      <c r="A26" s="49"/>
      <c r="B26" s="49"/>
      <c r="C26" s="38" t="s">
        <v>1867</v>
      </c>
      <c r="D26" s="38" t="s">
        <v>897</v>
      </c>
      <c r="E26" s="45">
        <v>41715</v>
      </c>
      <c r="F26" s="46">
        <v>41723</v>
      </c>
      <c r="G26" s="38">
        <v>1</v>
      </c>
      <c r="H26" s="47">
        <v>1</v>
      </c>
      <c r="I26" s="48">
        <v>1</v>
      </c>
      <c r="J26" s="8" t="str">
        <f t="shared" si="0"/>
        <v>BP 요약</v>
      </c>
      <c r="K26" s="50" t="s">
        <v>1915</v>
      </c>
      <c r="L26" s="51"/>
      <c r="M26" s="51"/>
      <c r="N26" s="145">
        <v>24</v>
      </c>
      <c r="O26" s="143">
        <v>8</v>
      </c>
      <c r="P26" s="152">
        <v>8</v>
      </c>
      <c r="Q26" s="143">
        <v>16</v>
      </c>
      <c r="R26" s="155">
        <v>16</v>
      </c>
      <c r="S26"/>
      <c r="U26"/>
      <c r="W26" s="65" t="s">
        <v>2195</v>
      </c>
      <c r="X26" s="66">
        <v>0.66666666666666663</v>
      </c>
      <c r="Y26" s="151">
        <v>2</v>
      </c>
      <c r="Z26" s="76">
        <v>0</v>
      </c>
      <c r="AA26" s="153">
        <v>0</v>
      </c>
      <c r="AB26" s="76">
        <v>0.66666666666666663</v>
      </c>
      <c r="AC26" s="156">
        <v>2</v>
      </c>
      <c r="AD26"/>
      <c r="AE26" s="49"/>
      <c r="AF26" s="50" t="s">
        <v>877</v>
      </c>
      <c r="AG26" s="51"/>
      <c r="AH26" s="73">
        <v>27</v>
      </c>
      <c r="AI26" s="157">
        <v>27</v>
      </c>
      <c r="AJ26" s="152">
        <v>95</v>
      </c>
      <c r="AK26" s="152">
        <v>58</v>
      </c>
      <c r="AL26" s="157">
        <v>27</v>
      </c>
      <c r="AM26" s="157">
        <v>0</v>
      </c>
      <c r="AN26" s="158">
        <v>0</v>
      </c>
      <c r="AO26"/>
    </row>
    <row r="27" spans="1:41" ht="16.5">
      <c r="A27" s="49"/>
      <c r="B27" s="49"/>
      <c r="C27" s="38" t="s">
        <v>1868</v>
      </c>
      <c r="D27" s="38" t="s">
        <v>897</v>
      </c>
      <c r="E27" s="45">
        <v>41715</v>
      </c>
      <c r="F27" s="46">
        <v>41722</v>
      </c>
      <c r="G27" s="38">
        <v>1</v>
      </c>
      <c r="H27" s="47">
        <v>1</v>
      </c>
      <c r="I27" s="48">
        <v>1</v>
      </c>
      <c r="J27" s="8" t="str">
        <f t="shared" si="0"/>
        <v>ERBRO동일모자</v>
      </c>
      <c r="K27" s="38" t="s">
        <v>35</v>
      </c>
      <c r="L27" s="38" t="s">
        <v>779</v>
      </c>
      <c r="M27" s="38" t="s">
        <v>44</v>
      </c>
      <c r="N27" s="63">
        <v>9</v>
      </c>
      <c r="O27" s="141">
        <v>9</v>
      </c>
      <c r="P27" s="152">
        <v>9</v>
      </c>
      <c r="Q27" s="141">
        <v>0</v>
      </c>
      <c r="R27" s="155">
        <v>0</v>
      </c>
      <c r="S27"/>
      <c r="U27"/>
      <c r="W27" s="58" t="s">
        <v>4</v>
      </c>
      <c r="X27" s="69">
        <v>776</v>
      </c>
      <c r="Y27" s="142">
        <v>848</v>
      </c>
      <c r="Z27" s="142">
        <v>662</v>
      </c>
      <c r="AA27" s="149">
        <v>717</v>
      </c>
      <c r="AB27" s="142">
        <v>114.00000000000011</v>
      </c>
      <c r="AC27" s="154">
        <v>131</v>
      </c>
      <c r="AD27"/>
      <c r="AE27" s="49"/>
      <c r="AF27" s="38" t="s">
        <v>48</v>
      </c>
      <c r="AG27" s="38" t="s">
        <v>35</v>
      </c>
      <c r="AH27" s="71">
        <v>3</v>
      </c>
      <c r="AI27" s="350">
        <v>3</v>
      </c>
      <c r="AJ27" s="152">
        <v>9</v>
      </c>
      <c r="AK27" s="152">
        <v>6</v>
      </c>
      <c r="AL27" s="350">
        <v>3</v>
      </c>
      <c r="AM27" s="350">
        <v>0</v>
      </c>
      <c r="AN27" s="349">
        <v>0</v>
      </c>
      <c r="AO27"/>
    </row>
    <row r="28" spans="1:41" ht="16.5">
      <c r="A28" s="49"/>
      <c r="B28" s="49"/>
      <c r="C28" s="38" t="s">
        <v>1869</v>
      </c>
      <c r="D28" s="38" t="s">
        <v>1409</v>
      </c>
      <c r="E28" s="45">
        <v>41715</v>
      </c>
      <c r="F28" s="46">
        <v>41740</v>
      </c>
      <c r="G28" s="38">
        <v>0</v>
      </c>
      <c r="H28" s="47">
        <v>1</v>
      </c>
      <c r="I28" s="48">
        <v>0</v>
      </c>
      <c r="J28" s="8" t="str">
        <f t="shared" si="0"/>
        <v>ELS동일모자</v>
      </c>
      <c r="K28" s="49"/>
      <c r="L28" s="38" t="s">
        <v>3</v>
      </c>
      <c r="M28" s="38" t="s">
        <v>44</v>
      </c>
      <c r="N28" s="63">
        <v>11</v>
      </c>
      <c r="O28" s="141">
        <v>11</v>
      </c>
      <c r="P28" s="152">
        <v>11</v>
      </c>
      <c r="Q28" s="141">
        <v>0</v>
      </c>
      <c r="R28" s="155">
        <v>0</v>
      </c>
      <c r="S28"/>
      <c r="U28"/>
      <c r="W28"/>
      <c r="X28"/>
      <c r="Y28"/>
      <c r="Z28"/>
      <c r="AA28"/>
      <c r="AB28"/>
      <c r="AC28"/>
      <c r="AD28"/>
      <c r="AE28" s="49"/>
      <c r="AF28" s="49"/>
      <c r="AG28" s="65" t="s">
        <v>50</v>
      </c>
      <c r="AH28" s="72">
        <v>9</v>
      </c>
      <c r="AI28" s="353">
        <v>9</v>
      </c>
      <c r="AJ28" s="153">
        <v>24</v>
      </c>
      <c r="AK28" s="153">
        <v>13</v>
      </c>
      <c r="AL28" s="353">
        <v>9</v>
      </c>
      <c r="AM28" s="353">
        <v>0</v>
      </c>
      <c r="AN28" s="354">
        <v>0</v>
      </c>
      <c r="AO28"/>
    </row>
    <row r="29" spans="1:41" ht="16.5">
      <c r="A29" s="49"/>
      <c r="B29" s="49"/>
      <c r="C29" s="38" t="s">
        <v>1870</v>
      </c>
      <c r="D29" s="38" t="s">
        <v>1409</v>
      </c>
      <c r="E29" s="45">
        <v>41715</v>
      </c>
      <c r="F29" s="46">
        <v>41723</v>
      </c>
      <c r="G29" s="38">
        <v>1</v>
      </c>
      <c r="H29" s="47">
        <v>1</v>
      </c>
      <c r="I29" s="48">
        <v>1</v>
      </c>
      <c r="J29" s="8" t="str">
        <f t="shared" si="0"/>
        <v>성진</v>
      </c>
      <c r="K29" s="49"/>
      <c r="L29" s="49"/>
      <c r="M29" s="65" t="s">
        <v>48</v>
      </c>
      <c r="N29" s="66">
        <v>3</v>
      </c>
      <c r="O29" s="76">
        <v>3</v>
      </c>
      <c r="P29" s="153">
        <v>3</v>
      </c>
      <c r="Q29" s="76">
        <v>0</v>
      </c>
      <c r="R29" s="156">
        <v>0</v>
      </c>
      <c r="S29"/>
      <c r="U29"/>
      <c r="W29"/>
      <c r="X29"/>
      <c r="Y29"/>
      <c r="Z29"/>
      <c r="AA29"/>
      <c r="AB29"/>
      <c r="AC29"/>
      <c r="AD29"/>
      <c r="AE29" s="49"/>
      <c r="AF29" s="49"/>
      <c r="AG29" s="65" t="s">
        <v>2116</v>
      </c>
      <c r="AH29" s="72">
        <v>3</v>
      </c>
      <c r="AI29" s="353">
        <v>3</v>
      </c>
      <c r="AJ29" s="153">
        <v>7</v>
      </c>
      <c r="AK29" s="153">
        <v>4</v>
      </c>
      <c r="AL29" s="353">
        <v>3</v>
      </c>
      <c r="AM29" s="353">
        <v>3</v>
      </c>
      <c r="AN29" s="354">
        <v>3</v>
      </c>
      <c r="AO29"/>
    </row>
    <row r="30" spans="1:41" ht="16.5">
      <c r="A30" s="49"/>
      <c r="B30" s="49"/>
      <c r="C30" s="38" t="s">
        <v>1871</v>
      </c>
      <c r="D30" s="38" t="s">
        <v>1409</v>
      </c>
      <c r="E30" s="45">
        <v>41715</v>
      </c>
      <c r="F30" s="46">
        <v>41740</v>
      </c>
      <c r="G30" s="38">
        <v>0</v>
      </c>
      <c r="H30" s="47">
        <v>1</v>
      </c>
      <c r="I30" s="48">
        <v>0</v>
      </c>
      <c r="J30" s="8" t="str">
        <f t="shared" si="0"/>
        <v>FOREMOST</v>
      </c>
      <c r="K30" s="49"/>
      <c r="L30" s="49"/>
      <c r="M30" s="65" t="s">
        <v>6</v>
      </c>
      <c r="N30" s="66">
        <v>1</v>
      </c>
      <c r="O30" s="76">
        <v>1</v>
      </c>
      <c r="P30" s="153">
        <v>1</v>
      </c>
      <c r="Q30" s="76">
        <v>0</v>
      </c>
      <c r="R30" s="156">
        <v>0</v>
      </c>
      <c r="S30"/>
      <c r="U30"/>
      <c r="W30"/>
      <c r="X30"/>
      <c r="Y30"/>
      <c r="Z30"/>
      <c r="AA30"/>
      <c r="AB30"/>
      <c r="AC30"/>
      <c r="AD30"/>
      <c r="AE30" s="49"/>
      <c r="AF30" s="50" t="s">
        <v>878</v>
      </c>
      <c r="AG30" s="51"/>
      <c r="AH30" s="73">
        <v>15</v>
      </c>
      <c r="AI30" s="157">
        <v>15</v>
      </c>
      <c r="AJ30" s="152">
        <v>40</v>
      </c>
      <c r="AK30" s="152">
        <v>23</v>
      </c>
      <c r="AL30" s="157">
        <v>15</v>
      </c>
      <c r="AM30" s="157">
        <v>3</v>
      </c>
      <c r="AN30" s="158">
        <v>3</v>
      </c>
      <c r="AO30"/>
    </row>
    <row r="31" spans="1:41" ht="16.5">
      <c r="A31" s="49"/>
      <c r="B31" s="49"/>
      <c r="C31" s="38" t="s">
        <v>1872</v>
      </c>
      <c r="D31" s="38" t="s">
        <v>1409</v>
      </c>
      <c r="E31" s="45">
        <v>41715</v>
      </c>
      <c r="F31" s="46">
        <v>41726</v>
      </c>
      <c r="G31" s="38">
        <v>0</v>
      </c>
      <c r="H31" s="47">
        <v>1</v>
      </c>
      <c r="I31" s="48">
        <v>0</v>
      </c>
      <c r="J31" s="8" t="str">
        <f t="shared" si="0"/>
        <v>QF</v>
      </c>
      <c r="K31" s="49"/>
      <c r="L31" s="49"/>
      <c r="M31" s="65" t="s">
        <v>792</v>
      </c>
      <c r="N31" s="66">
        <v>2</v>
      </c>
      <c r="O31" s="76">
        <v>2</v>
      </c>
      <c r="P31" s="153">
        <v>2</v>
      </c>
      <c r="Q31" s="76">
        <v>0</v>
      </c>
      <c r="R31" s="156">
        <v>0</v>
      </c>
      <c r="S31"/>
      <c r="U31"/>
      <c r="W31"/>
      <c r="X31"/>
      <c r="Y31"/>
      <c r="Z31"/>
      <c r="AA31"/>
      <c r="AB31"/>
      <c r="AC31"/>
      <c r="AD31"/>
      <c r="AE31" s="49"/>
      <c r="AF31" s="38" t="s">
        <v>6</v>
      </c>
      <c r="AG31" s="38" t="s">
        <v>35</v>
      </c>
      <c r="AH31" s="71">
        <v>1</v>
      </c>
      <c r="AI31" s="350">
        <v>1</v>
      </c>
      <c r="AJ31" s="152">
        <v>3</v>
      </c>
      <c r="AK31" s="152">
        <v>1</v>
      </c>
      <c r="AL31" s="350">
        <v>1</v>
      </c>
      <c r="AM31" s="350">
        <v>0</v>
      </c>
      <c r="AN31" s="349">
        <v>0</v>
      </c>
      <c r="AO31"/>
    </row>
    <row r="32" spans="1:41" ht="16.5">
      <c r="A32" s="49"/>
      <c r="B32" s="49"/>
      <c r="C32" s="38" t="s">
        <v>1873</v>
      </c>
      <c r="D32" s="38" t="s">
        <v>1409</v>
      </c>
      <c r="E32" s="45">
        <v>41715</v>
      </c>
      <c r="F32" s="46">
        <v>41740</v>
      </c>
      <c r="G32" s="38">
        <v>0</v>
      </c>
      <c r="H32" s="47">
        <v>1</v>
      </c>
      <c r="I32" s="48">
        <v>0</v>
      </c>
      <c r="J32" s="8" t="str">
        <f t="shared" si="0"/>
        <v>JILFOREMOST</v>
      </c>
      <c r="K32" s="49"/>
      <c r="L32" s="38" t="s">
        <v>32</v>
      </c>
      <c r="M32" s="38" t="s">
        <v>6</v>
      </c>
      <c r="N32" s="63">
        <v>50.5</v>
      </c>
      <c r="O32" s="141">
        <v>49.5</v>
      </c>
      <c r="P32" s="152">
        <v>52</v>
      </c>
      <c r="Q32" s="141">
        <v>1</v>
      </c>
      <c r="R32" s="155">
        <v>1</v>
      </c>
      <c r="S32"/>
      <c r="U32"/>
      <c r="W32"/>
      <c r="X32"/>
      <c r="Y32"/>
      <c r="Z32"/>
      <c r="AA32"/>
      <c r="AB32"/>
      <c r="AC32"/>
      <c r="AD32"/>
      <c r="AE32" s="49"/>
      <c r="AF32" s="49"/>
      <c r="AG32" s="65" t="s">
        <v>28</v>
      </c>
      <c r="AH32" s="72">
        <v>13</v>
      </c>
      <c r="AI32" s="353">
        <v>13</v>
      </c>
      <c r="AJ32" s="153">
        <v>38</v>
      </c>
      <c r="AK32" s="153">
        <v>33</v>
      </c>
      <c r="AL32" s="353">
        <v>13</v>
      </c>
      <c r="AM32" s="353">
        <v>6</v>
      </c>
      <c r="AN32" s="354">
        <v>6</v>
      </c>
      <c r="AO32"/>
    </row>
    <row r="33" spans="1:41" ht="16.5">
      <c r="A33" s="49"/>
      <c r="B33" s="49"/>
      <c r="C33" s="38" t="s">
        <v>1874</v>
      </c>
      <c r="D33" s="38" t="s">
        <v>1409</v>
      </c>
      <c r="E33" s="45">
        <v>41715</v>
      </c>
      <c r="F33" s="46">
        <v>41740</v>
      </c>
      <c r="G33" s="38">
        <v>0</v>
      </c>
      <c r="H33" s="47">
        <v>1</v>
      </c>
      <c r="I33" s="48">
        <v>0</v>
      </c>
      <c r="J33" s="8" t="str">
        <f t="shared" si="0"/>
        <v>KIDS FIRST TOYS</v>
      </c>
      <c r="K33" s="49"/>
      <c r="L33" s="49"/>
      <c r="M33" s="65" t="s">
        <v>1120</v>
      </c>
      <c r="N33" s="66">
        <v>1</v>
      </c>
      <c r="O33" s="76">
        <v>1</v>
      </c>
      <c r="P33" s="153">
        <v>1</v>
      </c>
      <c r="Q33" s="76">
        <v>0</v>
      </c>
      <c r="R33" s="156">
        <v>0</v>
      </c>
      <c r="S33"/>
      <c r="U33"/>
      <c r="W33"/>
      <c r="X33"/>
      <c r="Y33"/>
      <c r="Z33"/>
      <c r="AA33"/>
      <c r="AB33"/>
      <c r="AC33"/>
      <c r="AD33"/>
      <c r="AE33" s="49"/>
      <c r="AF33" s="49"/>
      <c r="AG33" s="65" t="s">
        <v>56</v>
      </c>
      <c r="AH33" s="72">
        <v>9</v>
      </c>
      <c r="AI33" s="353">
        <v>9</v>
      </c>
      <c r="AJ33" s="153">
        <v>20</v>
      </c>
      <c r="AK33" s="153">
        <v>20</v>
      </c>
      <c r="AL33" s="353">
        <v>9</v>
      </c>
      <c r="AM33" s="353">
        <v>0</v>
      </c>
      <c r="AN33" s="354">
        <v>0</v>
      </c>
      <c r="AO33"/>
    </row>
    <row r="34" spans="1:41" ht="16.5">
      <c r="A34" s="49"/>
      <c r="B34" s="49"/>
      <c r="C34" s="38" t="s">
        <v>1875</v>
      </c>
      <c r="D34" s="38" t="s">
        <v>1409</v>
      </c>
      <c r="E34" s="45">
        <v>41715</v>
      </c>
      <c r="F34" s="46">
        <v>41723</v>
      </c>
      <c r="G34" s="38">
        <v>1</v>
      </c>
      <c r="H34" s="47">
        <v>1</v>
      </c>
      <c r="I34" s="48">
        <v>1</v>
      </c>
      <c r="J34" s="8" t="str">
        <f t="shared" si="0"/>
        <v>Y&amp;Y</v>
      </c>
      <c r="K34" s="49"/>
      <c r="L34" s="49"/>
      <c r="M34" s="65" t="s">
        <v>1415</v>
      </c>
      <c r="N34" s="66">
        <v>15</v>
      </c>
      <c r="O34" s="76">
        <v>14</v>
      </c>
      <c r="P34" s="153">
        <v>14</v>
      </c>
      <c r="Q34" s="76">
        <v>1</v>
      </c>
      <c r="R34" s="156">
        <v>1</v>
      </c>
      <c r="S34"/>
      <c r="U34"/>
      <c r="W34"/>
      <c r="X34"/>
      <c r="Y34"/>
      <c r="Z34"/>
      <c r="AA34"/>
      <c r="AB34"/>
      <c r="AC34"/>
      <c r="AD34"/>
      <c r="AE34" s="49"/>
      <c r="AF34" s="49"/>
      <c r="AG34" s="65" t="s">
        <v>60</v>
      </c>
      <c r="AH34" s="72">
        <v>2</v>
      </c>
      <c r="AI34" s="353">
        <v>2</v>
      </c>
      <c r="AJ34" s="153">
        <v>5</v>
      </c>
      <c r="AK34" s="153">
        <v>4</v>
      </c>
      <c r="AL34" s="353">
        <v>2</v>
      </c>
      <c r="AM34" s="353">
        <v>0</v>
      </c>
      <c r="AN34" s="354">
        <v>0</v>
      </c>
      <c r="AO34"/>
    </row>
    <row r="35" spans="1:41" ht="16.5">
      <c r="A35" s="49"/>
      <c r="B35" s="49"/>
      <c r="C35" s="38" t="s">
        <v>1876</v>
      </c>
      <c r="D35" s="38" t="s">
        <v>1409</v>
      </c>
      <c r="E35" s="45">
        <v>41715</v>
      </c>
      <c r="F35" s="46">
        <v>41723</v>
      </c>
      <c r="G35" s="38">
        <v>1</v>
      </c>
      <c r="H35" s="47">
        <v>1</v>
      </c>
      <c r="I35" s="48">
        <v>1</v>
      </c>
      <c r="J35" s="8" t="str">
        <f t="shared" si="0"/>
        <v>ORIENT</v>
      </c>
      <c r="K35" s="49"/>
      <c r="L35" s="49"/>
      <c r="M35" s="65" t="s">
        <v>1484</v>
      </c>
      <c r="N35" s="66">
        <v>2.5</v>
      </c>
      <c r="O35" s="76">
        <v>2.5</v>
      </c>
      <c r="P35" s="153">
        <v>5</v>
      </c>
      <c r="Q35" s="76">
        <v>0</v>
      </c>
      <c r="R35" s="156">
        <v>0</v>
      </c>
      <c r="S35"/>
      <c r="U35"/>
      <c r="W35"/>
      <c r="X35"/>
      <c r="Y35"/>
      <c r="Z35"/>
      <c r="AA35"/>
      <c r="AB35"/>
      <c r="AC35"/>
      <c r="AD35"/>
      <c r="AE35" s="49"/>
      <c r="AF35" s="50" t="s">
        <v>879</v>
      </c>
      <c r="AG35" s="51"/>
      <c r="AH35" s="73">
        <v>25</v>
      </c>
      <c r="AI35" s="157">
        <v>25</v>
      </c>
      <c r="AJ35" s="152">
        <v>66</v>
      </c>
      <c r="AK35" s="152">
        <v>58</v>
      </c>
      <c r="AL35" s="157">
        <v>25</v>
      </c>
      <c r="AM35" s="157">
        <v>6</v>
      </c>
      <c r="AN35" s="158">
        <v>6</v>
      </c>
      <c r="AO35"/>
    </row>
    <row r="36" spans="1:41" ht="16.5">
      <c r="A36" s="49"/>
      <c r="B36" s="49"/>
      <c r="C36" s="38" t="s">
        <v>1877</v>
      </c>
      <c r="D36" s="38" t="s">
        <v>1409</v>
      </c>
      <c r="E36" s="45">
        <v>41715</v>
      </c>
      <c r="F36" s="46">
        <v>41740</v>
      </c>
      <c r="G36" s="38">
        <v>0</v>
      </c>
      <c r="H36" s="47">
        <v>1</v>
      </c>
      <c r="I36" s="48">
        <v>0</v>
      </c>
      <c r="J36" s="8" t="str">
        <f t="shared" si="0"/>
        <v>SMB동일모자</v>
      </c>
      <c r="K36" s="49"/>
      <c r="L36" s="38" t="s">
        <v>47</v>
      </c>
      <c r="M36" s="38" t="s">
        <v>44</v>
      </c>
      <c r="N36" s="63">
        <v>12.5</v>
      </c>
      <c r="O36" s="141">
        <v>12.5</v>
      </c>
      <c r="P36" s="152">
        <v>13</v>
      </c>
      <c r="Q36" s="141">
        <v>0</v>
      </c>
      <c r="R36" s="155">
        <v>0</v>
      </c>
      <c r="S36"/>
      <c r="U36"/>
      <c r="W36"/>
      <c r="X36"/>
      <c r="Y36"/>
      <c r="Z36"/>
      <c r="AA36"/>
      <c r="AB36"/>
      <c r="AC36"/>
      <c r="AD36"/>
      <c r="AE36" s="49"/>
      <c r="AF36" s="38" t="s">
        <v>792</v>
      </c>
      <c r="AG36" s="38" t="s">
        <v>35</v>
      </c>
      <c r="AH36" s="71">
        <v>2</v>
      </c>
      <c r="AI36" s="350">
        <v>2</v>
      </c>
      <c r="AJ36" s="152">
        <v>9</v>
      </c>
      <c r="AK36" s="152">
        <v>7</v>
      </c>
      <c r="AL36" s="350">
        <v>2</v>
      </c>
      <c r="AM36" s="350">
        <v>0</v>
      </c>
      <c r="AN36" s="349">
        <v>0</v>
      </c>
      <c r="AO36"/>
    </row>
    <row r="37" spans="1:41" ht="16.5">
      <c r="A37" s="49"/>
      <c r="B37" s="50" t="s">
        <v>1463</v>
      </c>
      <c r="C37" s="51"/>
      <c r="D37" s="51"/>
      <c r="E37" s="51"/>
      <c r="F37" s="51"/>
      <c r="G37" s="51"/>
      <c r="H37" s="52">
        <v>19</v>
      </c>
      <c r="I37" s="53">
        <v>13</v>
      </c>
      <c r="J37" s="8" t="str">
        <f t="shared" si="0"/>
        <v>성진</v>
      </c>
      <c r="K37" s="49"/>
      <c r="L37" s="49"/>
      <c r="M37" s="65" t="s">
        <v>48</v>
      </c>
      <c r="N37" s="66">
        <v>5</v>
      </c>
      <c r="O37" s="76">
        <v>5</v>
      </c>
      <c r="P37" s="153">
        <v>5</v>
      </c>
      <c r="Q37" s="76">
        <v>0</v>
      </c>
      <c r="R37" s="156">
        <v>0</v>
      </c>
      <c r="S37"/>
      <c r="U37"/>
      <c r="W37"/>
      <c r="X37"/>
      <c r="Y37"/>
      <c r="Z37"/>
      <c r="AA37"/>
      <c r="AB37"/>
      <c r="AC37"/>
      <c r="AD37"/>
      <c r="AE37" s="49"/>
      <c r="AF37" s="49"/>
      <c r="AG37" s="65" t="s">
        <v>50</v>
      </c>
      <c r="AH37" s="72">
        <v>5</v>
      </c>
      <c r="AI37" s="353">
        <v>5</v>
      </c>
      <c r="AJ37" s="153">
        <v>10</v>
      </c>
      <c r="AK37" s="153">
        <v>7</v>
      </c>
      <c r="AL37" s="353">
        <v>5</v>
      </c>
      <c r="AM37" s="353">
        <v>3</v>
      </c>
      <c r="AN37" s="354">
        <v>3</v>
      </c>
      <c r="AO37"/>
    </row>
    <row r="38" spans="1:41" ht="16.5">
      <c r="A38" s="49"/>
      <c r="B38" s="38" t="s">
        <v>1789</v>
      </c>
      <c r="C38" s="38" t="s">
        <v>1790</v>
      </c>
      <c r="D38" s="38" t="s">
        <v>1409</v>
      </c>
      <c r="E38" s="45">
        <v>41709</v>
      </c>
      <c r="F38" s="46">
        <v>41722</v>
      </c>
      <c r="G38" s="38">
        <v>1</v>
      </c>
      <c r="H38" s="47">
        <v>1</v>
      </c>
      <c r="I38" s="48">
        <v>1</v>
      </c>
      <c r="J38" s="8" t="str">
        <f t="shared" si="0"/>
        <v>FOREMOST</v>
      </c>
      <c r="K38" s="49"/>
      <c r="L38" s="49"/>
      <c r="M38" s="65" t="s">
        <v>6</v>
      </c>
      <c r="N38" s="66">
        <v>2</v>
      </c>
      <c r="O38" s="76">
        <v>2</v>
      </c>
      <c r="P38" s="153">
        <v>2</v>
      </c>
      <c r="Q38" s="76">
        <v>0</v>
      </c>
      <c r="R38" s="156">
        <v>0</v>
      </c>
      <c r="S38"/>
      <c r="U38"/>
      <c r="W38"/>
      <c r="X38"/>
      <c r="Y38"/>
      <c r="Z38"/>
      <c r="AA38"/>
      <c r="AB38"/>
      <c r="AC38"/>
      <c r="AD38"/>
      <c r="AE38" s="49"/>
      <c r="AF38" s="49"/>
      <c r="AG38" s="65" t="s">
        <v>2116</v>
      </c>
      <c r="AH38" s="72">
        <v>1</v>
      </c>
      <c r="AI38" s="353">
        <v>1</v>
      </c>
      <c r="AJ38" s="153">
        <v>2</v>
      </c>
      <c r="AK38" s="153">
        <v>2</v>
      </c>
      <c r="AL38" s="353">
        <v>1</v>
      </c>
      <c r="AM38" s="353">
        <v>1</v>
      </c>
      <c r="AN38" s="354">
        <v>1</v>
      </c>
      <c r="AO38"/>
    </row>
    <row r="39" spans="1:41" ht="16.5">
      <c r="A39" s="49"/>
      <c r="B39" s="49"/>
      <c r="C39" s="38" t="s">
        <v>1791</v>
      </c>
      <c r="D39" s="38" t="s">
        <v>1409</v>
      </c>
      <c r="E39" s="45">
        <v>41709</v>
      </c>
      <c r="F39" s="46">
        <v>41722</v>
      </c>
      <c r="G39" s="38">
        <v>1</v>
      </c>
      <c r="H39" s="47">
        <v>1</v>
      </c>
      <c r="I39" s="48">
        <v>1</v>
      </c>
      <c r="J39" s="8" t="str">
        <f t="shared" si="0"/>
        <v>QF</v>
      </c>
      <c r="K39" s="49"/>
      <c r="L39" s="49"/>
      <c r="M39" s="65" t="s">
        <v>792</v>
      </c>
      <c r="N39" s="66">
        <v>9</v>
      </c>
      <c r="O39" s="76">
        <v>9</v>
      </c>
      <c r="P39" s="153">
        <v>9</v>
      </c>
      <c r="Q39" s="76">
        <v>0</v>
      </c>
      <c r="R39" s="156">
        <v>0</v>
      </c>
      <c r="S39"/>
      <c r="U39"/>
      <c r="W39"/>
      <c r="X39"/>
      <c r="Y39"/>
      <c r="Z39"/>
      <c r="AA39"/>
      <c r="AB39"/>
      <c r="AC39"/>
      <c r="AD39"/>
      <c r="AE39" s="49"/>
      <c r="AF39" s="50" t="s">
        <v>880</v>
      </c>
      <c r="AG39" s="51"/>
      <c r="AH39" s="73">
        <v>8</v>
      </c>
      <c r="AI39" s="157">
        <v>8</v>
      </c>
      <c r="AJ39" s="152">
        <v>21</v>
      </c>
      <c r="AK39" s="152">
        <v>16</v>
      </c>
      <c r="AL39" s="157">
        <v>8</v>
      </c>
      <c r="AM39" s="157">
        <v>4</v>
      </c>
      <c r="AN39" s="158">
        <v>4</v>
      </c>
      <c r="AO39"/>
    </row>
    <row r="40" spans="1:41" ht="16.5">
      <c r="A40" s="49"/>
      <c r="B40" s="49"/>
      <c r="C40" s="38" t="s">
        <v>1792</v>
      </c>
      <c r="D40" s="38" t="s">
        <v>1497</v>
      </c>
      <c r="E40" s="45">
        <v>41709</v>
      </c>
      <c r="F40" s="46">
        <v>41725</v>
      </c>
      <c r="G40" s="38">
        <v>1</v>
      </c>
      <c r="H40" s="47">
        <v>1</v>
      </c>
      <c r="I40" s="48">
        <v>1</v>
      </c>
      <c r="J40" s="8" t="str">
        <f t="shared" si="0"/>
        <v>캡보이2</v>
      </c>
      <c r="K40" s="49"/>
      <c r="L40" s="49"/>
      <c r="M40" s="65" t="s">
        <v>1305</v>
      </c>
      <c r="N40" s="66">
        <v>2.5</v>
      </c>
      <c r="O40" s="76">
        <v>2.5</v>
      </c>
      <c r="P40" s="153">
        <v>3</v>
      </c>
      <c r="Q40" s="76">
        <v>0</v>
      </c>
      <c r="R40" s="156">
        <v>0</v>
      </c>
      <c r="S40"/>
      <c r="U40"/>
      <c r="W40"/>
      <c r="X40"/>
      <c r="Y40"/>
      <c r="Z40"/>
      <c r="AA40"/>
      <c r="AB40"/>
      <c r="AC40"/>
      <c r="AD40"/>
      <c r="AE40" s="49"/>
      <c r="AF40" s="38" t="s">
        <v>1415</v>
      </c>
      <c r="AG40" s="38" t="s">
        <v>56</v>
      </c>
      <c r="AH40" s="71">
        <v>5</v>
      </c>
      <c r="AI40" s="350">
        <v>5</v>
      </c>
      <c r="AJ40" s="152">
        <v>12</v>
      </c>
      <c r="AK40" s="152">
        <v>11</v>
      </c>
      <c r="AL40" s="350">
        <v>5</v>
      </c>
      <c r="AM40" s="350">
        <v>5</v>
      </c>
      <c r="AN40" s="349">
        <v>5</v>
      </c>
      <c r="AO40"/>
    </row>
    <row r="41" spans="1:41" ht="16.5">
      <c r="A41" s="49"/>
      <c r="B41" s="49"/>
      <c r="C41" s="38" t="s">
        <v>1793</v>
      </c>
      <c r="D41" s="38" t="s">
        <v>1409</v>
      </c>
      <c r="E41" s="45">
        <v>41709</v>
      </c>
      <c r="F41" s="46">
        <v>41722</v>
      </c>
      <c r="G41" s="38">
        <v>1</v>
      </c>
      <c r="H41" s="47">
        <v>1</v>
      </c>
      <c r="I41" s="48">
        <v>1</v>
      </c>
      <c r="J41" s="8" t="str">
        <f t="shared" si="0"/>
        <v>WTR동일모자</v>
      </c>
      <c r="K41" s="49"/>
      <c r="L41" s="38" t="s">
        <v>46</v>
      </c>
      <c r="M41" s="38" t="s">
        <v>44</v>
      </c>
      <c r="N41" s="63">
        <v>6</v>
      </c>
      <c r="O41" s="141">
        <v>6</v>
      </c>
      <c r="P41" s="152">
        <v>7</v>
      </c>
      <c r="Q41" s="141">
        <v>0</v>
      </c>
      <c r="R41" s="155">
        <v>0</v>
      </c>
      <c r="S41"/>
      <c r="U41"/>
      <c r="W41"/>
      <c r="X41"/>
      <c r="Y41"/>
      <c r="Z41"/>
      <c r="AA41"/>
      <c r="AB41"/>
      <c r="AC41"/>
      <c r="AD41"/>
      <c r="AE41" s="49"/>
      <c r="AF41" s="50" t="s">
        <v>1460</v>
      </c>
      <c r="AG41" s="51"/>
      <c r="AH41" s="73">
        <v>5</v>
      </c>
      <c r="AI41" s="157">
        <v>5</v>
      </c>
      <c r="AJ41" s="152">
        <v>12</v>
      </c>
      <c r="AK41" s="152">
        <v>11</v>
      </c>
      <c r="AL41" s="157">
        <v>5</v>
      </c>
      <c r="AM41" s="157">
        <v>5</v>
      </c>
      <c r="AN41" s="158">
        <v>5</v>
      </c>
      <c r="AO41"/>
    </row>
    <row r="42" spans="1:41" ht="16.5">
      <c r="A42" s="49"/>
      <c r="B42" s="49"/>
      <c r="C42" s="38" t="s">
        <v>1952</v>
      </c>
      <c r="D42" s="38" t="s">
        <v>1409</v>
      </c>
      <c r="E42" s="45">
        <v>41722</v>
      </c>
      <c r="F42" s="46">
        <v>41736</v>
      </c>
      <c r="G42" s="38">
        <v>1</v>
      </c>
      <c r="H42" s="47">
        <v>1</v>
      </c>
      <c r="I42" s="48">
        <v>1</v>
      </c>
      <c r="J42" s="8" t="str">
        <f t="shared" si="0"/>
        <v>FOREMOST</v>
      </c>
      <c r="K42" s="49"/>
      <c r="L42" s="49"/>
      <c r="M42" s="65" t="s">
        <v>6</v>
      </c>
      <c r="N42" s="66">
        <v>2</v>
      </c>
      <c r="O42" s="76">
        <v>2</v>
      </c>
      <c r="P42" s="153">
        <v>3</v>
      </c>
      <c r="Q42" s="76">
        <v>0</v>
      </c>
      <c r="R42" s="156">
        <v>0</v>
      </c>
      <c r="S42"/>
      <c r="U42"/>
      <c r="W42"/>
      <c r="X42"/>
      <c r="Y42"/>
      <c r="Z42"/>
      <c r="AA42"/>
      <c r="AB42"/>
      <c r="AC42"/>
      <c r="AD42"/>
      <c r="AE42" s="38" t="s">
        <v>30</v>
      </c>
      <c r="AF42" s="38" t="s">
        <v>1837</v>
      </c>
      <c r="AG42" s="38" t="s">
        <v>31</v>
      </c>
      <c r="AH42" s="71">
        <v>8</v>
      </c>
      <c r="AI42" s="350">
        <v>8</v>
      </c>
      <c r="AJ42" s="152">
        <v>35</v>
      </c>
      <c r="AK42" s="152">
        <v>12</v>
      </c>
      <c r="AL42" s="350">
        <v>8</v>
      </c>
      <c r="AM42" s="350">
        <v>0</v>
      </c>
      <c r="AN42" s="349">
        <v>0</v>
      </c>
      <c r="AO42"/>
    </row>
    <row r="43" spans="1:41" ht="16.5">
      <c r="A43" s="49"/>
      <c r="B43" s="49"/>
      <c r="C43" s="38" t="s">
        <v>1953</v>
      </c>
      <c r="D43" s="38" t="s">
        <v>1409</v>
      </c>
      <c r="E43" s="45">
        <v>41722</v>
      </c>
      <c r="F43" s="46">
        <v>41736</v>
      </c>
      <c r="G43" s="38">
        <v>1</v>
      </c>
      <c r="H43" s="47">
        <v>1</v>
      </c>
      <c r="I43" s="48">
        <v>1</v>
      </c>
      <c r="J43" s="8" t="str">
        <f t="shared" si="0"/>
        <v>BMD동일모자</v>
      </c>
      <c r="K43" s="49"/>
      <c r="L43" s="38" t="s">
        <v>53</v>
      </c>
      <c r="M43" s="38" t="s">
        <v>44</v>
      </c>
      <c r="N43" s="63">
        <v>2</v>
      </c>
      <c r="O43" s="141">
        <v>2</v>
      </c>
      <c r="P43" s="152">
        <v>2</v>
      </c>
      <c r="Q43" s="141">
        <v>0</v>
      </c>
      <c r="R43" s="155">
        <v>0</v>
      </c>
      <c r="S43"/>
      <c r="U43"/>
      <c r="W43"/>
      <c r="X43"/>
      <c r="Y43"/>
      <c r="Z43"/>
      <c r="AA43"/>
      <c r="AB43"/>
      <c r="AC43"/>
      <c r="AD43"/>
      <c r="AE43" s="49"/>
      <c r="AF43" s="49"/>
      <c r="AG43" s="65" t="s">
        <v>1835</v>
      </c>
      <c r="AH43" s="72">
        <v>2</v>
      </c>
      <c r="AI43" s="353">
        <v>2</v>
      </c>
      <c r="AJ43" s="153">
        <v>4</v>
      </c>
      <c r="AK43" s="153"/>
      <c r="AL43" s="353">
        <v>2</v>
      </c>
      <c r="AM43" s="353">
        <v>0</v>
      </c>
      <c r="AN43" s="354">
        <v>0</v>
      </c>
      <c r="AO43"/>
    </row>
    <row r="44" spans="1:41" ht="16.5">
      <c r="A44" s="49"/>
      <c r="B44" s="50" t="s">
        <v>1825</v>
      </c>
      <c r="C44" s="51"/>
      <c r="D44" s="51"/>
      <c r="E44" s="51"/>
      <c r="F44" s="51"/>
      <c r="G44" s="51"/>
      <c r="H44" s="52">
        <v>6</v>
      </c>
      <c r="I44" s="53">
        <v>6</v>
      </c>
      <c r="J44" s="8" t="str">
        <f t="shared" si="0"/>
        <v>POL동일모자</v>
      </c>
      <c r="K44" s="49"/>
      <c r="L44" s="38" t="s">
        <v>1677</v>
      </c>
      <c r="M44" s="38" t="s">
        <v>44</v>
      </c>
      <c r="N44" s="63">
        <v>2</v>
      </c>
      <c r="O44" s="141">
        <v>2</v>
      </c>
      <c r="P44" s="152">
        <v>2</v>
      </c>
      <c r="Q44" s="141">
        <v>0</v>
      </c>
      <c r="R44" s="155">
        <v>0</v>
      </c>
      <c r="S44"/>
      <c r="U44"/>
      <c r="W44"/>
      <c r="X44"/>
      <c r="Y44"/>
      <c r="Z44"/>
      <c r="AA44"/>
      <c r="AB44"/>
      <c r="AC44"/>
      <c r="AD44"/>
      <c r="AE44" s="49"/>
      <c r="AF44" s="50" t="s">
        <v>1913</v>
      </c>
      <c r="AG44" s="51"/>
      <c r="AH44" s="73">
        <v>10</v>
      </c>
      <c r="AI44" s="157">
        <v>10</v>
      </c>
      <c r="AJ44" s="152">
        <v>39</v>
      </c>
      <c r="AK44" s="152">
        <v>12</v>
      </c>
      <c r="AL44" s="157">
        <v>10</v>
      </c>
      <c r="AM44" s="157">
        <v>0</v>
      </c>
      <c r="AN44" s="158">
        <v>0</v>
      </c>
      <c r="AO44"/>
    </row>
    <row r="45" spans="1:41" ht="16.5">
      <c r="A45" s="49"/>
      <c r="B45" s="38" t="s">
        <v>1878</v>
      </c>
      <c r="C45" s="38" t="s">
        <v>1879</v>
      </c>
      <c r="D45" s="38" t="s">
        <v>1409</v>
      </c>
      <c r="E45" s="45">
        <v>41715</v>
      </c>
      <c r="F45" s="46">
        <v>41722</v>
      </c>
      <c r="G45" s="38">
        <v>1</v>
      </c>
      <c r="H45" s="47">
        <v>1</v>
      </c>
      <c r="I45" s="48">
        <v>1</v>
      </c>
      <c r="J45" s="8" t="str">
        <f t="shared" si="0"/>
        <v>DPSQF</v>
      </c>
      <c r="K45" s="49"/>
      <c r="L45" s="38" t="s">
        <v>1772</v>
      </c>
      <c r="M45" s="38" t="s">
        <v>792</v>
      </c>
      <c r="N45" s="63">
        <v>5</v>
      </c>
      <c r="O45" s="141">
        <v>4</v>
      </c>
      <c r="P45" s="152">
        <v>4</v>
      </c>
      <c r="Q45" s="141">
        <v>1</v>
      </c>
      <c r="R45" s="155">
        <v>1</v>
      </c>
      <c r="S45"/>
      <c r="U45"/>
      <c r="W45"/>
      <c r="X45"/>
      <c r="Y45"/>
      <c r="Z45"/>
      <c r="AA45"/>
      <c r="AB45"/>
      <c r="AC45"/>
      <c r="AD45"/>
      <c r="AE45" s="38" t="s">
        <v>41</v>
      </c>
      <c r="AF45" s="38" t="s">
        <v>1401</v>
      </c>
      <c r="AG45" s="38" t="s">
        <v>25</v>
      </c>
      <c r="AH45" s="71">
        <v>3</v>
      </c>
      <c r="AI45" s="350">
        <v>3</v>
      </c>
      <c r="AJ45" s="152"/>
      <c r="AK45" s="152"/>
      <c r="AL45" s="350">
        <v>3</v>
      </c>
      <c r="AM45" s="350">
        <v>0</v>
      </c>
      <c r="AN45" s="349">
        <v>0</v>
      </c>
      <c r="AO45"/>
    </row>
    <row r="46" spans="1:41" ht="16.5">
      <c r="A46" s="49"/>
      <c r="B46" s="50" t="s">
        <v>1917</v>
      </c>
      <c r="C46" s="51"/>
      <c r="D46" s="51"/>
      <c r="E46" s="51"/>
      <c r="F46" s="51"/>
      <c r="G46" s="51"/>
      <c r="H46" s="52">
        <v>1</v>
      </c>
      <c r="I46" s="53">
        <v>1</v>
      </c>
      <c r="J46" s="8" t="str">
        <f t="shared" si="0"/>
        <v>캡보이</v>
      </c>
      <c r="K46" s="49"/>
      <c r="L46" s="49"/>
      <c r="M46" s="65" t="s">
        <v>49</v>
      </c>
      <c r="N46" s="66">
        <v>2</v>
      </c>
      <c r="O46" s="76">
        <v>0</v>
      </c>
      <c r="P46" s="153">
        <v>0</v>
      </c>
      <c r="Q46" s="76">
        <v>2</v>
      </c>
      <c r="R46" s="156">
        <v>2</v>
      </c>
      <c r="S46"/>
      <c r="U46"/>
      <c r="W46"/>
      <c r="X46"/>
      <c r="Y46"/>
      <c r="Z46"/>
      <c r="AA46"/>
      <c r="AB46"/>
      <c r="AC46"/>
      <c r="AD46"/>
      <c r="AE46" s="49"/>
      <c r="AF46" s="49"/>
      <c r="AG46" s="65" t="s">
        <v>26</v>
      </c>
      <c r="AH46" s="72">
        <v>8</v>
      </c>
      <c r="AI46" s="353">
        <v>8</v>
      </c>
      <c r="AJ46" s="153"/>
      <c r="AK46" s="153"/>
      <c r="AL46" s="353">
        <v>8</v>
      </c>
      <c r="AM46" s="353">
        <v>0</v>
      </c>
      <c r="AN46" s="354">
        <v>0</v>
      </c>
      <c r="AO46"/>
    </row>
    <row r="47" spans="1:41" ht="16.5">
      <c r="A47" s="49"/>
      <c r="B47" s="38" t="s">
        <v>1946</v>
      </c>
      <c r="C47" s="38" t="s">
        <v>1947</v>
      </c>
      <c r="D47" s="38" t="s">
        <v>1409</v>
      </c>
      <c r="E47" s="45">
        <v>41719</v>
      </c>
      <c r="F47" s="46">
        <v>41736</v>
      </c>
      <c r="G47" s="38">
        <v>1</v>
      </c>
      <c r="H47" s="47">
        <v>1</v>
      </c>
      <c r="I47" s="48">
        <v>1</v>
      </c>
      <c r="J47" s="8" t="str">
        <f t="shared" si="0"/>
        <v>ER 요약</v>
      </c>
      <c r="K47" s="50" t="s">
        <v>1347</v>
      </c>
      <c r="L47" s="51"/>
      <c r="M47" s="51"/>
      <c r="N47" s="145">
        <v>145</v>
      </c>
      <c r="O47" s="143">
        <v>140</v>
      </c>
      <c r="P47" s="152">
        <v>148</v>
      </c>
      <c r="Q47" s="143">
        <v>5</v>
      </c>
      <c r="R47" s="155">
        <v>5</v>
      </c>
      <c r="S47"/>
      <c r="U47"/>
      <c r="W47"/>
      <c r="X47"/>
      <c r="Y47"/>
      <c r="Z47"/>
      <c r="AA47"/>
      <c r="AB47"/>
      <c r="AC47"/>
      <c r="AD47"/>
      <c r="AE47" s="49"/>
      <c r="AF47" s="49"/>
      <c r="AG47" s="65" t="s">
        <v>24</v>
      </c>
      <c r="AH47" s="72">
        <v>1</v>
      </c>
      <c r="AI47" s="353">
        <v>1</v>
      </c>
      <c r="AJ47" s="153"/>
      <c r="AK47" s="153"/>
      <c r="AL47" s="353">
        <v>1</v>
      </c>
      <c r="AM47" s="353">
        <v>0</v>
      </c>
      <c r="AN47" s="354">
        <v>0</v>
      </c>
      <c r="AO47"/>
    </row>
    <row r="48" spans="1:41" ht="16.5">
      <c r="A48" s="49"/>
      <c r="B48" s="49"/>
      <c r="C48" s="38" t="s">
        <v>1948</v>
      </c>
      <c r="D48" s="38" t="s">
        <v>1409</v>
      </c>
      <c r="E48" s="45">
        <v>41719</v>
      </c>
      <c r="F48" s="46">
        <v>41736</v>
      </c>
      <c r="G48" s="38">
        <v>1</v>
      </c>
      <c r="H48" s="47">
        <v>1</v>
      </c>
      <c r="I48" s="48">
        <v>1</v>
      </c>
      <c r="J48" s="8" t="str">
        <f t="shared" si="0"/>
        <v>FEJILFOREMOST</v>
      </c>
      <c r="K48" s="38" t="s">
        <v>37</v>
      </c>
      <c r="L48" s="38" t="s">
        <v>32</v>
      </c>
      <c r="M48" s="38" t="s">
        <v>6</v>
      </c>
      <c r="N48" s="63">
        <v>1</v>
      </c>
      <c r="O48" s="141">
        <v>1</v>
      </c>
      <c r="P48" s="152">
        <v>1</v>
      </c>
      <c r="Q48" s="141">
        <v>0</v>
      </c>
      <c r="R48" s="155">
        <v>0</v>
      </c>
      <c r="S48"/>
      <c r="U48"/>
      <c r="W48"/>
      <c r="X48"/>
      <c r="Y48"/>
      <c r="Z48"/>
      <c r="AA48"/>
      <c r="AB48"/>
      <c r="AC48"/>
      <c r="AD48"/>
      <c r="AE48" s="49"/>
      <c r="AF48" s="49"/>
      <c r="AG48" s="65" t="s">
        <v>27</v>
      </c>
      <c r="AH48" s="72">
        <v>5</v>
      </c>
      <c r="AI48" s="353">
        <v>5</v>
      </c>
      <c r="AJ48" s="153"/>
      <c r="AK48" s="153"/>
      <c r="AL48" s="353">
        <v>5</v>
      </c>
      <c r="AM48" s="353">
        <v>0</v>
      </c>
      <c r="AN48" s="354">
        <v>0</v>
      </c>
      <c r="AO48"/>
    </row>
    <row r="49" spans="1:41" ht="16.5">
      <c r="A49" s="49"/>
      <c r="B49" s="49"/>
      <c r="C49" s="38" t="s">
        <v>1949</v>
      </c>
      <c r="D49" s="38" t="s">
        <v>1409</v>
      </c>
      <c r="E49" s="45">
        <v>41719</v>
      </c>
      <c r="F49" s="46">
        <v>41736</v>
      </c>
      <c r="G49" s="38">
        <v>1</v>
      </c>
      <c r="H49" s="47">
        <v>1</v>
      </c>
      <c r="I49" s="48">
        <v>1</v>
      </c>
      <c r="J49" s="8" t="str">
        <f t="shared" si="0"/>
        <v>FE 요약</v>
      </c>
      <c r="K49" s="50" t="s">
        <v>1826</v>
      </c>
      <c r="L49" s="51"/>
      <c r="M49" s="51"/>
      <c r="N49" s="145">
        <v>1</v>
      </c>
      <c r="O49" s="143">
        <v>1</v>
      </c>
      <c r="P49" s="152">
        <v>1</v>
      </c>
      <c r="Q49" s="143">
        <v>0</v>
      </c>
      <c r="R49" s="155">
        <v>0</v>
      </c>
      <c r="S49"/>
      <c r="U49"/>
      <c r="W49"/>
      <c r="X49"/>
      <c r="Y49"/>
      <c r="Z49"/>
      <c r="AA49"/>
      <c r="AB49"/>
      <c r="AC49"/>
      <c r="AD49"/>
      <c r="AE49" s="49"/>
      <c r="AF49" s="49"/>
      <c r="AG49" s="65" t="s">
        <v>1946</v>
      </c>
      <c r="AH49" s="72">
        <v>1</v>
      </c>
      <c r="AI49" s="353">
        <v>1</v>
      </c>
      <c r="AJ49" s="153"/>
      <c r="AK49" s="153"/>
      <c r="AL49" s="353">
        <v>1</v>
      </c>
      <c r="AM49" s="353">
        <v>0</v>
      </c>
      <c r="AN49" s="354">
        <v>0</v>
      </c>
      <c r="AO49"/>
    </row>
    <row r="50" spans="1:41" ht="16.5">
      <c r="A50" s="49"/>
      <c r="B50" s="49"/>
      <c r="C50" s="38" t="s">
        <v>1950</v>
      </c>
      <c r="D50" s="38" t="s">
        <v>1409</v>
      </c>
      <c r="E50" s="45">
        <v>41719</v>
      </c>
      <c r="F50" s="46">
        <v>41736</v>
      </c>
      <c r="G50" s="38">
        <v>1</v>
      </c>
      <c r="H50" s="47">
        <v>1</v>
      </c>
      <c r="I50" s="48">
        <v>1</v>
      </c>
      <c r="J50" s="8" t="str">
        <f t="shared" si="0"/>
        <v>HPELS대경</v>
      </c>
      <c r="K50" s="38" t="s">
        <v>25</v>
      </c>
      <c r="L50" s="38" t="s">
        <v>3</v>
      </c>
      <c r="M50" s="38" t="s">
        <v>1401</v>
      </c>
      <c r="N50" s="63">
        <v>3</v>
      </c>
      <c r="O50" s="141">
        <v>3</v>
      </c>
      <c r="P50" s="152">
        <v>3</v>
      </c>
      <c r="Q50" s="141">
        <v>0</v>
      </c>
      <c r="R50" s="155">
        <v>0</v>
      </c>
      <c r="S50"/>
      <c r="U50"/>
      <c r="W50"/>
      <c r="X50"/>
      <c r="Y50"/>
      <c r="Z50"/>
      <c r="AA50"/>
      <c r="AB50"/>
      <c r="AC50"/>
      <c r="AD50"/>
      <c r="AE50" s="49"/>
      <c r="AF50" s="49"/>
      <c r="AG50" s="65" t="s">
        <v>1976</v>
      </c>
      <c r="AH50" s="72">
        <v>1</v>
      </c>
      <c r="AI50" s="353">
        <v>1</v>
      </c>
      <c r="AJ50" s="153"/>
      <c r="AK50" s="153"/>
      <c r="AL50" s="353">
        <v>1</v>
      </c>
      <c r="AM50" s="353">
        <v>0</v>
      </c>
      <c r="AN50" s="354">
        <v>0</v>
      </c>
      <c r="AO50"/>
    </row>
    <row r="51" spans="1:41" ht="16.5">
      <c r="A51" s="49"/>
      <c r="B51" s="49"/>
      <c r="C51" s="38" t="s">
        <v>1951</v>
      </c>
      <c r="D51" s="38" t="s">
        <v>1401</v>
      </c>
      <c r="E51" s="45">
        <v>41719</v>
      </c>
      <c r="F51" s="46">
        <v>41743</v>
      </c>
      <c r="G51" s="38">
        <v>1</v>
      </c>
      <c r="H51" s="47">
        <v>1</v>
      </c>
      <c r="I51" s="48">
        <v>1</v>
      </c>
      <c r="J51" s="8" t="str">
        <f t="shared" si="0"/>
        <v>아트인드림</v>
      </c>
      <c r="K51" s="49"/>
      <c r="L51" s="49"/>
      <c r="M51" s="65" t="s">
        <v>1409</v>
      </c>
      <c r="N51" s="66">
        <v>1</v>
      </c>
      <c r="O51" s="76">
        <v>1</v>
      </c>
      <c r="P51" s="153">
        <v>1</v>
      </c>
      <c r="Q51" s="76">
        <v>0</v>
      </c>
      <c r="R51" s="156">
        <v>0</v>
      </c>
      <c r="S51"/>
      <c r="U51"/>
      <c r="W51"/>
      <c r="X51"/>
      <c r="Y51"/>
      <c r="Z51"/>
      <c r="AA51"/>
      <c r="AB51"/>
      <c r="AC51"/>
      <c r="AD51"/>
      <c r="AE51" s="49"/>
      <c r="AF51" s="50" t="s">
        <v>1458</v>
      </c>
      <c r="AG51" s="51"/>
      <c r="AH51" s="73">
        <v>19</v>
      </c>
      <c r="AI51" s="157">
        <v>19</v>
      </c>
      <c r="AJ51" s="152"/>
      <c r="AK51" s="152"/>
      <c r="AL51" s="157">
        <v>19</v>
      </c>
      <c r="AM51" s="157">
        <v>0</v>
      </c>
      <c r="AN51" s="158">
        <v>0</v>
      </c>
      <c r="AO51"/>
    </row>
    <row r="52" spans="1:41" ht="16.5">
      <c r="A52" s="49"/>
      <c r="B52" s="50" t="s">
        <v>1957</v>
      </c>
      <c r="C52" s="51"/>
      <c r="D52" s="51"/>
      <c r="E52" s="51"/>
      <c r="F52" s="51"/>
      <c r="G52" s="51"/>
      <c r="H52" s="52">
        <v>5</v>
      </c>
      <c r="I52" s="53">
        <v>5</v>
      </c>
      <c r="J52" s="8" t="str">
        <f t="shared" si="0"/>
        <v>EVERGREEN</v>
      </c>
      <c r="K52" s="49"/>
      <c r="L52" s="49"/>
      <c r="M52" s="65" t="s">
        <v>1497</v>
      </c>
      <c r="N52" s="66">
        <v>2</v>
      </c>
      <c r="O52" s="76">
        <v>2</v>
      </c>
      <c r="P52" s="153">
        <v>2</v>
      </c>
      <c r="Q52" s="76">
        <v>0</v>
      </c>
      <c r="R52" s="156">
        <v>0</v>
      </c>
      <c r="S52"/>
      <c r="U52"/>
      <c r="W52"/>
      <c r="X52"/>
      <c r="Y52"/>
      <c r="Z52"/>
      <c r="AA52"/>
      <c r="AB52"/>
      <c r="AC52"/>
      <c r="AD52"/>
      <c r="AE52" s="49"/>
      <c r="AF52" s="38" t="s">
        <v>1409</v>
      </c>
      <c r="AG52" s="38" t="s">
        <v>25</v>
      </c>
      <c r="AH52" s="71">
        <v>1</v>
      </c>
      <c r="AI52" s="350">
        <v>1</v>
      </c>
      <c r="AJ52" s="152"/>
      <c r="AK52" s="152"/>
      <c r="AL52" s="350">
        <v>1</v>
      </c>
      <c r="AM52" s="350">
        <v>0</v>
      </c>
      <c r="AN52" s="349">
        <v>0</v>
      </c>
      <c r="AO52"/>
    </row>
    <row r="53" spans="1:41" ht="16.5">
      <c r="A53" s="49"/>
      <c r="B53" s="38" t="s">
        <v>1976</v>
      </c>
      <c r="C53" s="38" t="s">
        <v>1944</v>
      </c>
      <c r="D53" s="38" t="s">
        <v>1401</v>
      </c>
      <c r="E53" s="45">
        <v>41718</v>
      </c>
      <c r="F53" s="46">
        <v>41737</v>
      </c>
      <c r="G53" s="38">
        <v>1</v>
      </c>
      <c r="H53" s="47">
        <v>1</v>
      </c>
      <c r="I53" s="48">
        <v>1</v>
      </c>
      <c r="J53" s="8" t="str">
        <f t="shared" si="0"/>
        <v>piafield</v>
      </c>
      <c r="K53" s="49"/>
      <c r="L53" s="49"/>
      <c r="M53" s="65" t="s">
        <v>897</v>
      </c>
      <c r="N53" s="66">
        <v>1</v>
      </c>
      <c r="O53" s="76">
        <v>1</v>
      </c>
      <c r="P53" s="153">
        <v>1</v>
      </c>
      <c r="Q53" s="76">
        <v>0</v>
      </c>
      <c r="R53" s="156">
        <v>0</v>
      </c>
      <c r="S53"/>
      <c r="U53"/>
      <c r="W53"/>
      <c r="X53"/>
      <c r="Y53"/>
      <c r="Z53"/>
      <c r="AA53"/>
      <c r="AB53"/>
      <c r="AC53"/>
      <c r="AD53"/>
      <c r="AE53" s="49"/>
      <c r="AF53" s="49"/>
      <c r="AG53" s="65" t="s">
        <v>24</v>
      </c>
      <c r="AH53" s="72">
        <v>4</v>
      </c>
      <c r="AI53" s="353">
        <v>4</v>
      </c>
      <c r="AJ53" s="153"/>
      <c r="AK53" s="153"/>
      <c r="AL53" s="353">
        <v>4</v>
      </c>
      <c r="AM53" s="353">
        <v>0</v>
      </c>
      <c r="AN53" s="354">
        <v>0</v>
      </c>
      <c r="AO53"/>
    </row>
    <row r="54" spans="1:41" ht="16.5">
      <c r="A54" s="49"/>
      <c r="B54" s="50" t="s">
        <v>2030</v>
      </c>
      <c r="C54" s="51"/>
      <c r="D54" s="51"/>
      <c r="E54" s="51"/>
      <c r="F54" s="51"/>
      <c r="G54" s="51"/>
      <c r="H54" s="52">
        <v>1</v>
      </c>
      <c r="I54" s="53">
        <v>1</v>
      </c>
      <c r="J54" s="8" t="str">
        <f t="shared" si="0"/>
        <v>PLA대경</v>
      </c>
      <c r="K54" s="49"/>
      <c r="L54" s="38" t="s">
        <v>61</v>
      </c>
      <c r="M54" s="38" t="s">
        <v>1401</v>
      </c>
      <c r="N54" s="63">
        <v>2</v>
      </c>
      <c r="O54" s="141">
        <v>2</v>
      </c>
      <c r="P54" s="152">
        <v>2</v>
      </c>
      <c r="Q54" s="141">
        <v>0</v>
      </c>
      <c r="R54" s="155">
        <v>0</v>
      </c>
      <c r="S54"/>
      <c r="U54"/>
      <c r="W54"/>
      <c r="X54"/>
      <c r="Y54"/>
      <c r="Z54"/>
      <c r="AA54"/>
      <c r="AB54"/>
      <c r="AC54"/>
      <c r="AD54"/>
      <c r="AE54" s="49"/>
      <c r="AF54" s="49"/>
      <c r="AG54" s="65" t="s">
        <v>27</v>
      </c>
      <c r="AH54" s="72">
        <v>13</v>
      </c>
      <c r="AI54" s="353">
        <v>13</v>
      </c>
      <c r="AJ54" s="153"/>
      <c r="AK54" s="153"/>
      <c r="AL54" s="353">
        <v>13</v>
      </c>
      <c r="AM54" s="353">
        <v>6</v>
      </c>
      <c r="AN54" s="354">
        <v>6</v>
      </c>
      <c r="AO54"/>
    </row>
    <row r="55" spans="1:41" ht="16.5">
      <c r="A55" s="54" t="s">
        <v>1454</v>
      </c>
      <c r="B55" s="55"/>
      <c r="C55" s="55"/>
      <c r="D55" s="55"/>
      <c r="E55" s="55"/>
      <c r="F55" s="55"/>
      <c r="G55" s="55"/>
      <c r="H55" s="56">
        <v>41</v>
      </c>
      <c r="I55" s="57">
        <v>35</v>
      </c>
      <c r="J55" s="8" t="str">
        <f t="shared" si="0"/>
        <v>EVERGREEN</v>
      </c>
      <c r="K55" s="49"/>
      <c r="L55" s="49"/>
      <c r="M55" s="65" t="s">
        <v>1497</v>
      </c>
      <c r="N55" s="66">
        <v>2</v>
      </c>
      <c r="O55" s="76">
        <v>2</v>
      </c>
      <c r="P55" s="153">
        <v>2</v>
      </c>
      <c r="Q55" s="76">
        <v>0</v>
      </c>
      <c r="R55" s="156">
        <v>0</v>
      </c>
      <c r="S55"/>
      <c r="U55"/>
      <c r="W55"/>
      <c r="X55"/>
      <c r="Y55"/>
      <c r="Z55"/>
      <c r="AA55"/>
      <c r="AB55"/>
      <c r="AC55"/>
      <c r="AD55"/>
      <c r="AE55" s="49"/>
      <c r="AF55" s="49"/>
      <c r="AG55" s="65" t="s">
        <v>1789</v>
      </c>
      <c r="AH55" s="72">
        <v>5</v>
      </c>
      <c r="AI55" s="353">
        <v>5</v>
      </c>
      <c r="AJ55" s="153"/>
      <c r="AK55" s="153"/>
      <c r="AL55" s="353">
        <v>5</v>
      </c>
      <c r="AM55" s="353">
        <v>0</v>
      </c>
      <c r="AN55" s="354">
        <v>0</v>
      </c>
      <c r="AO55"/>
    </row>
    <row r="56" spans="1:41" ht="16.5">
      <c r="A56" s="38" t="s">
        <v>30</v>
      </c>
      <c r="B56" s="38" t="s">
        <v>31</v>
      </c>
      <c r="C56" s="38" t="s">
        <v>1840</v>
      </c>
      <c r="D56" s="38" t="s">
        <v>1837</v>
      </c>
      <c r="E56" s="45">
        <v>41712</v>
      </c>
      <c r="F56" s="46">
        <v>41715</v>
      </c>
      <c r="G56" s="38">
        <v>1</v>
      </c>
      <c r="H56" s="47">
        <v>1</v>
      </c>
      <c r="I56" s="48">
        <v>1</v>
      </c>
      <c r="J56" s="8" t="str">
        <f t="shared" si="0"/>
        <v>URB대경</v>
      </c>
      <c r="K56" s="49"/>
      <c r="L56" s="38" t="s">
        <v>1101</v>
      </c>
      <c r="M56" s="38" t="s">
        <v>1401</v>
      </c>
      <c r="N56" s="63">
        <v>1</v>
      </c>
      <c r="O56" s="141">
        <v>1</v>
      </c>
      <c r="P56" s="152">
        <v>1</v>
      </c>
      <c r="Q56" s="141">
        <v>0</v>
      </c>
      <c r="R56" s="155">
        <v>0</v>
      </c>
      <c r="S56"/>
      <c r="U56"/>
      <c r="W56"/>
      <c r="X56"/>
      <c r="Y56"/>
      <c r="Z56"/>
      <c r="AA56"/>
      <c r="AB56"/>
      <c r="AC56"/>
      <c r="AD56"/>
      <c r="AE56" s="49"/>
      <c r="AF56" s="49"/>
      <c r="AG56" s="65" t="s">
        <v>1878</v>
      </c>
      <c r="AH56" s="72">
        <v>1</v>
      </c>
      <c r="AI56" s="353">
        <v>1</v>
      </c>
      <c r="AJ56" s="153"/>
      <c r="AK56" s="153"/>
      <c r="AL56" s="353">
        <v>1</v>
      </c>
      <c r="AM56" s="353">
        <v>0</v>
      </c>
      <c r="AN56" s="354">
        <v>0</v>
      </c>
      <c r="AO56"/>
    </row>
    <row r="57" spans="1:41" ht="16.5">
      <c r="A57" s="49"/>
      <c r="B57" s="49"/>
      <c r="C57" s="38" t="s">
        <v>1842</v>
      </c>
      <c r="D57" s="38" t="s">
        <v>1837</v>
      </c>
      <c r="E57" s="45">
        <v>41715</v>
      </c>
      <c r="F57" s="46">
        <v>41730</v>
      </c>
      <c r="G57" s="38">
        <v>1</v>
      </c>
      <c r="H57" s="47">
        <v>1</v>
      </c>
      <c r="I57" s="48">
        <v>1</v>
      </c>
      <c r="J57" s="8" t="str">
        <f t="shared" si="0"/>
        <v>아트인드림</v>
      </c>
      <c r="K57" s="49"/>
      <c r="L57" s="49"/>
      <c r="M57" s="65" t="s">
        <v>1409</v>
      </c>
      <c r="N57" s="66">
        <v>1</v>
      </c>
      <c r="O57" s="76">
        <v>1</v>
      </c>
      <c r="P57" s="153">
        <v>1</v>
      </c>
      <c r="Q57" s="76">
        <v>0</v>
      </c>
      <c r="R57" s="156">
        <v>0</v>
      </c>
      <c r="S57"/>
      <c r="U57"/>
      <c r="W57"/>
      <c r="X57"/>
      <c r="Y57"/>
      <c r="Z57"/>
      <c r="AA57"/>
      <c r="AB57"/>
      <c r="AC57"/>
      <c r="AD57"/>
      <c r="AE57" s="49"/>
      <c r="AF57" s="49"/>
      <c r="AG57" s="65" t="s">
        <v>1946</v>
      </c>
      <c r="AH57" s="72">
        <v>4</v>
      </c>
      <c r="AI57" s="353">
        <v>4</v>
      </c>
      <c r="AJ57" s="153"/>
      <c r="AK57" s="153"/>
      <c r="AL57" s="353">
        <v>4</v>
      </c>
      <c r="AM57" s="353">
        <v>0</v>
      </c>
      <c r="AN57" s="354">
        <v>0</v>
      </c>
      <c r="AO57"/>
    </row>
    <row r="58" spans="1:41" ht="16.5">
      <c r="A58" s="49"/>
      <c r="B58" s="49"/>
      <c r="C58" s="38" t="s">
        <v>1843</v>
      </c>
      <c r="D58" s="38" t="s">
        <v>1837</v>
      </c>
      <c r="E58" s="45">
        <v>41715</v>
      </c>
      <c r="F58" s="46">
        <v>41730</v>
      </c>
      <c r="G58" s="38">
        <v>1</v>
      </c>
      <c r="H58" s="47">
        <v>1</v>
      </c>
      <c r="I58" s="48">
        <v>1</v>
      </c>
      <c r="J58" s="8" t="str">
        <f t="shared" si="0"/>
        <v>HP 요약</v>
      </c>
      <c r="K58" s="50" t="s">
        <v>1553</v>
      </c>
      <c r="L58" s="51"/>
      <c r="M58" s="51"/>
      <c r="N58" s="145">
        <v>13</v>
      </c>
      <c r="O58" s="143">
        <v>13</v>
      </c>
      <c r="P58" s="152">
        <v>13</v>
      </c>
      <c r="Q58" s="143">
        <v>0</v>
      </c>
      <c r="R58" s="155">
        <v>0</v>
      </c>
      <c r="S58"/>
      <c r="U58"/>
      <c r="W58"/>
      <c r="X58"/>
      <c r="Y58"/>
      <c r="Z58"/>
      <c r="AA58"/>
      <c r="AB58"/>
      <c r="AC58"/>
      <c r="AD58"/>
      <c r="AE58" s="49"/>
      <c r="AF58" s="50" t="s">
        <v>1459</v>
      </c>
      <c r="AG58" s="51"/>
      <c r="AH58" s="73">
        <v>28</v>
      </c>
      <c r="AI58" s="157">
        <v>28</v>
      </c>
      <c r="AJ58" s="152"/>
      <c r="AK58" s="152"/>
      <c r="AL58" s="157">
        <v>28</v>
      </c>
      <c r="AM58" s="157">
        <v>6</v>
      </c>
      <c r="AN58" s="158">
        <v>6</v>
      </c>
      <c r="AO58"/>
    </row>
    <row r="59" spans="1:41" ht="16.5">
      <c r="A59" s="49"/>
      <c r="B59" s="49"/>
      <c r="C59" s="38" t="s">
        <v>1844</v>
      </c>
      <c r="D59" s="38" t="s">
        <v>1837</v>
      </c>
      <c r="E59" s="45">
        <v>41715</v>
      </c>
      <c r="F59" s="46">
        <v>41730</v>
      </c>
      <c r="G59" s="38">
        <v>1</v>
      </c>
      <c r="H59" s="47">
        <v>1</v>
      </c>
      <c r="I59" s="48">
        <v>1</v>
      </c>
      <c r="J59" s="8" t="str">
        <f t="shared" si="0"/>
        <v>HUJILFOREMOST</v>
      </c>
      <c r="K59" s="38" t="s">
        <v>36</v>
      </c>
      <c r="L59" s="38" t="s">
        <v>32</v>
      </c>
      <c r="M59" s="38" t="s">
        <v>6</v>
      </c>
      <c r="N59" s="63">
        <v>4</v>
      </c>
      <c r="O59" s="141">
        <v>2</v>
      </c>
      <c r="P59" s="152">
        <v>2</v>
      </c>
      <c r="Q59" s="141">
        <v>2</v>
      </c>
      <c r="R59" s="155">
        <v>2</v>
      </c>
      <c r="S59"/>
      <c r="U59"/>
      <c r="W59"/>
      <c r="X59"/>
      <c r="Y59"/>
      <c r="Z59"/>
      <c r="AA59"/>
      <c r="AB59"/>
      <c r="AC59"/>
      <c r="AD59"/>
      <c r="AE59" s="49"/>
      <c r="AF59" s="38" t="s">
        <v>1497</v>
      </c>
      <c r="AG59" s="38" t="s">
        <v>25</v>
      </c>
      <c r="AH59" s="71">
        <v>2</v>
      </c>
      <c r="AI59" s="350">
        <v>2</v>
      </c>
      <c r="AJ59" s="152"/>
      <c r="AK59" s="152"/>
      <c r="AL59" s="350">
        <v>3</v>
      </c>
      <c r="AM59" s="350">
        <v>0</v>
      </c>
      <c r="AN59" s="349">
        <v>0</v>
      </c>
      <c r="AO59"/>
    </row>
    <row r="60" spans="1:41" ht="16.5">
      <c r="A60" s="49"/>
      <c r="B60" s="49"/>
      <c r="C60" s="38" t="s">
        <v>1845</v>
      </c>
      <c r="D60" s="38" t="s">
        <v>1837</v>
      </c>
      <c r="E60" s="45">
        <v>41715</v>
      </c>
      <c r="F60" s="46">
        <v>41740</v>
      </c>
      <c r="G60" s="38">
        <v>1</v>
      </c>
      <c r="H60" s="47">
        <v>1</v>
      </c>
      <c r="I60" s="48">
        <v>1</v>
      </c>
      <c r="J60" s="8" t="str">
        <f t="shared" si="0"/>
        <v>HU 요약</v>
      </c>
      <c r="K60" s="50" t="s">
        <v>857</v>
      </c>
      <c r="L60" s="51"/>
      <c r="M60" s="51"/>
      <c r="N60" s="145">
        <v>4</v>
      </c>
      <c r="O60" s="143">
        <v>2</v>
      </c>
      <c r="P60" s="152">
        <v>2</v>
      </c>
      <c r="Q60" s="143">
        <v>2</v>
      </c>
      <c r="R60" s="155">
        <v>2</v>
      </c>
      <c r="S60"/>
      <c r="U60"/>
      <c r="W60"/>
      <c r="X60"/>
      <c r="Y60"/>
      <c r="Z60"/>
      <c r="AA60"/>
      <c r="AB60"/>
      <c r="AC60"/>
      <c r="AD60"/>
      <c r="AE60" s="49"/>
      <c r="AF60" s="49"/>
      <c r="AG60" s="65" t="s">
        <v>24</v>
      </c>
      <c r="AH60" s="72">
        <v>3</v>
      </c>
      <c r="AI60" s="353">
        <v>3</v>
      </c>
      <c r="AJ60" s="153"/>
      <c r="AK60" s="153"/>
      <c r="AL60" s="353">
        <v>3</v>
      </c>
      <c r="AM60" s="353">
        <v>0</v>
      </c>
      <c r="AN60" s="354">
        <v>0</v>
      </c>
      <c r="AO60"/>
    </row>
    <row r="61" spans="1:41" ht="16.5">
      <c r="A61" s="49"/>
      <c r="B61" s="49"/>
      <c r="C61" s="38" t="s">
        <v>1846</v>
      </c>
      <c r="D61" s="38" t="s">
        <v>1837</v>
      </c>
      <c r="E61" s="45">
        <v>41715</v>
      </c>
      <c r="F61" s="46">
        <v>41740</v>
      </c>
      <c r="G61" s="38">
        <v>1</v>
      </c>
      <c r="H61" s="47">
        <v>1</v>
      </c>
      <c r="I61" s="48">
        <v>1</v>
      </c>
      <c r="J61" s="8" t="str">
        <f t="shared" si="0"/>
        <v>JPELS대경</v>
      </c>
      <c r="K61" s="38" t="s">
        <v>26</v>
      </c>
      <c r="L61" s="38" t="s">
        <v>3</v>
      </c>
      <c r="M61" s="38" t="s">
        <v>1401</v>
      </c>
      <c r="N61" s="63">
        <v>8</v>
      </c>
      <c r="O61" s="141">
        <v>8</v>
      </c>
      <c r="P61" s="152">
        <v>8</v>
      </c>
      <c r="Q61" s="141">
        <v>0</v>
      </c>
      <c r="R61" s="155">
        <v>0</v>
      </c>
      <c r="S61"/>
      <c r="U61"/>
      <c r="W61"/>
      <c r="X61"/>
      <c r="Y61"/>
      <c r="Z61"/>
      <c r="AA61"/>
      <c r="AB61"/>
      <c r="AC61"/>
      <c r="AD61"/>
      <c r="AE61" s="49"/>
      <c r="AF61" s="49"/>
      <c r="AG61" s="65" t="s">
        <v>27</v>
      </c>
      <c r="AH61" s="72">
        <v>4</v>
      </c>
      <c r="AI61" s="353">
        <v>4</v>
      </c>
      <c r="AJ61" s="153"/>
      <c r="AK61" s="153"/>
      <c r="AL61" s="353">
        <v>4</v>
      </c>
      <c r="AM61" s="353">
        <v>0</v>
      </c>
      <c r="AN61" s="354">
        <v>0</v>
      </c>
      <c r="AO61"/>
    </row>
    <row r="62" spans="1:41" ht="16.5">
      <c r="A62" s="49"/>
      <c r="B62" s="50" t="s">
        <v>1915</v>
      </c>
      <c r="C62" s="51"/>
      <c r="D62" s="51"/>
      <c r="E62" s="51"/>
      <c r="F62" s="51"/>
      <c r="G62" s="51"/>
      <c r="H62" s="52">
        <v>6</v>
      </c>
      <c r="I62" s="53">
        <v>6</v>
      </c>
      <c r="J62" s="8" t="str">
        <f t="shared" si="0"/>
        <v>PLA대경</v>
      </c>
      <c r="K62" s="49"/>
      <c r="L62" s="38" t="s">
        <v>61</v>
      </c>
      <c r="M62" s="38" t="s">
        <v>1401</v>
      </c>
      <c r="N62" s="63">
        <v>3</v>
      </c>
      <c r="O62" s="141">
        <v>3</v>
      </c>
      <c r="P62" s="152">
        <v>3</v>
      </c>
      <c r="Q62" s="141">
        <v>0</v>
      </c>
      <c r="R62" s="155">
        <v>0</v>
      </c>
      <c r="S62"/>
      <c r="U62"/>
      <c r="W62"/>
      <c r="X62"/>
      <c r="Y62"/>
      <c r="Z62"/>
      <c r="AA62"/>
      <c r="AB62"/>
      <c r="AC62"/>
      <c r="AD62"/>
      <c r="AE62" s="49"/>
      <c r="AF62" s="49"/>
      <c r="AG62" s="65" t="s">
        <v>1789</v>
      </c>
      <c r="AH62" s="72">
        <v>1</v>
      </c>
      <c r="AI62" s="353">
        <v>1</v>
      </c>
      <c r="AJ62" s="153"/>
      <c r="AK62" s="153"/>
      <c r="AL62" s="353">
        <v>1</v>
      </c>
      <c r="AM62" s="353">
        <v>0</v>
      </c>
      <c r="AN62" s="354">
        <v>0</v>
      </c>
      <c r="AO62"/>
    </row>
    <row r="63" spans="1:41" ht="16.5">
      <c r="A63" s="49"/>
      <c r="B63" s="38" t="s">
        <v>1835</v>
      </c>
      <c r="C63" s="38" t="s">
        <v>1836</v>
      </c>
      <c r="D63" s="38" t="s">
        <v>1837</v>
      </c>
      <c r="E63" s="45">
        <v>41708</v>
      </c>
      <c r="F63" s="46">
        <v>41712</v>
      </c>
      <c r="G63" s="38">
        <v>1</v>
      </c>
      <c r="H63" s="47">
        <v>1</v>
      </c>
      <c r="I63" s="48">
        <v>1</v>
      </c>
      <c r="J63" s="8" t="str">
        <f t="shared" si="0"/>
        <v>유건</v>
      </c>
      <c r="K63" s="49"/>
      <c r="L63" s="49"/>
      <c r="M63" s="65" t="s">
        <v>1855</v>
      </c>
      <c r="N63" s="66">
        <v>2</v>
      </c>
      <c r="O63" s="76">
        <v>2</v>
      </c>
      <c r="P63" s="153">
        <v>2</v>
      </c>
      <c r="Q63" s="76">
        <v>0</v>
      </c>
      <c r="R63" s="156">
        <v>0</v>
      </c>
      <c r="S63"/>
      <c r="U63"/>
      <c r="W63"/>
      <c r="X63"/>
      <c r="Y63"/>
      <c r="Z63"/>
      <c r="AA63"/>
      <c r="AB63"/>
      <c r="AC63"/>
      <c r="AD63"/>
      <c r="AE63" s="49"/>
      <c r="AF63" s="50" t="s">
        <v>1552</v>
      </c>
      <c r="AG63" s="51"/>
      <c r="AH63" s="73">
        <v>10</v>
      </c>
      <c r="AI63" s="157">
        <v>10</v>
      </c>
      <c r="AJ63" s="152"/>
      <c r="AK63" s="152"/>
      <c r="AL63" s="157">
        <v>11</v>
      </c>
      <c r="AM63" s="157">
        <v>0</v>
      </c>
      <c r="AN63" s="158">
        <v>0</v>
      </c>
      <c r="AO63"/>
    </row>
    <row r="64" spans="1:41" ht="16.5">
      <c r="A64" s="49"/>
      <c r="B64" s="49"/>
      <c r="C64" s="38" t="s">
        <v>1839</v>
      </c>
      <c r="D64" s="38" t="s">
        <v>1837</v>
      </c>
      <c r="E64" s="45">
        <v>41708</v>
      </c>
      <c r="F64" s="46">
        <v>41712</v>
      </c>
      <c r="G64" s="38">
        <v>1</v>
      </c>
      <c r="H64" s="47">
        <v>1</v>
      </c>
      <c r="I64" s="48">
        <v>1</v>
      </c>
      <c r="J64" s="8" t="str">
        <f t="shared" si="0"/>
        <v>VBL대경</v>
      </c>
      <c r="K64" s="49"/>
      <c r="L64" s="38" t="s">
        <v>39</v>
      </c>
      <c r="M64" s="38" t="s">
        <v>1401</v>
      </c>
      <c r="N64" s="63">
        <v>1</v>
      </c>
      <c r="O64" s="141">
        <v>1</v>
      </c>
      <c r="P64" s="152">
        <v>1</v>
      </c>
      <c r="Q64" s="141">
        <v>0</v>
      </c>
      <c r="R64" s="155">
        <v>0</v>
      </c>
      <c r="S64"/>
      <c r="U64"/>
      <c r="W64"/>
      <c r="X64"/>
      <c r="Y64"/>
      <c r="Z64"/>
      <c r="AA64"/>
      <c r="AB64"/>
      <c r="AC64"/>
      <c r="AD64"/>
      <c r="AE64" s="49"/>
      <c r="AF64" s="38" t="s">
        <v>897</v>
      </c>
      <c r="AG64" s="38" t="s">
        <v>25</v>
      </c>
      <c r="AH64" s="71">
        <v>1</v>
      </c>
      <c r="AI64" s="350">
        <v>1</v>
      </c>
      <c r="AJ64" s="152"/>
      <c r="AK64" s="152"/>
      <c r="AL64" s="350">
        <v>1</v>
      </c>
      <c r="AM64" s="350">
        <v>0</v>
      </c>
      <c r="AN64" s="349">
        <v>0</v>
      </c>
      <c r="AO64"/>
    </row>
    <row r="65" spans="1:41" ht="16.5">
      <c r="A65" s="49"/>
      <c r="B65" s="50" t="s">
        <v>1916</v>
      </c>
      <c r="C65" s="51"/>
      <c r="D65" s="51"/>
      <c r="E65" s="51"/>
      <c r="F65" s="51"/>
      <c r="G65" s="51"/>
      <c r="H65" s="52">
        <v>2</v>
      </c>
      <c r="I65" s="53">
        <v>2</v>
      </c>
      <c r="J65" s="8" t="str">
        <f t="shared" si="0"/>
        <v>URB대경</v>
      </c>
      <c r="K65" s="49"/>
      <c r="L65" s="38" t="s">
        <v>1101</v>
      </c>
      <c r="M65" s="38" t="s">
        <v>1401</v>
      </c>
      <c r="N65" s="63">
        <v>2</v>
      </c>
      <c r="O65" s="141">
        <v>2</v>
      </c>
      <c r="P65" s="152">
        <v>2</v>
      </c>
      <c r="Q65" s="141">
        <v>0</v>
      </c>
      <c r="R65" s="155">
        <v>0</v>
      </c>
      <c r="S65"/>
      <c r="U65"/>
      <c r="W65"/>
      <c r="X65"/>
      <c r="Y65"/>
      <c r="Z65"/>
      <c r="AA65"/>
      <c r="AB65"/>
      <c r="AC65"/>
      <c r="AD65"/>
      <c r="AE65" s="49"/>
      <c r="AF65" s="49"/>
      <c r="AG65" s="65" t="s">
        <v>24</v>
      </c>
      <c r="AH65" s="72">
        <v>6</v>
      </c>
      <c r="AI65" s="353">
        <v>6</v>
      </c>
      <c r="AJ65" s="153"/>
      <c r="AK65" s="153"/>
      <c r="AL65" s="353">
        <v>6</v>
      </c>
      <c r="AM65" s="353">
        <v>0</v>
      </c>
      <c r="AN65" s="354">
        <v>0</v>
      </c>
      <c r="AO65"/>
    </row>
    <row r="66" spans="1:41" ht="16.5">
      <c r="A66" s="54" t="s">
        <v>1907</v>
      </c>
      <c r="B66" s="55"/>
      <c r="C66" s="55"/>
      <c r="D66" s="55"/>
      <c r="E66" s="55"/>
      <c r="F66" s="55"/>
      <c r="G66" s="55"/>
      <c r="H66" s="56">
        <v>8</v>
      </c>
      <c r="I66" s="57">
        <v>8</v>
      </c>
      <c r="J66" s="8" t="str">
        <f t="shared" si="0"/>
        <v>JP 요약</v>
      </c>
      <c r="K66" s="50" t="s">
        <v>1462</v>
      </c>
      <c r="L66" s="51"/>
      <c r="M66" s="51"/>
      <c r="N66" s="145">
        <v>16</v>
      </c>
      <c r="O66" s="143">
        <v>16</v>
      </c>
      <c r="P66" s="152">
        <v>16</v>
      </c>
      <c r="Q66" s="143">
        <v>0</v>
      </c>
      <c r="R66" s="155">
        <v>0</v>
      </c>
      <c r="S66"/>
      <c r="U66"/>
      <c r="W66"/>
      <c r="X66"/>
      <c r="Y66"/>
      <c r="Z66"/>
      <c r="AA66"/>
      <c r="AB66"/>
      <c r="AC66"/>
      <c r="AD66"/>
      <c r="AE66" s="49"/>
      <c r="AF66" s="49"/>
      <c r="AG66" s="65" t="s">
        <v>27</v>
      </c>
      <c r="AH66" s="72">
        <v>9</v>
      </c>
      <c r="AI66" s="353">
        <v>9</v>
      </c>
      <c r="AJ66" s="153"/>
      <c r="AK66" s="153"/>
      <c r="AL66" s="353">
        <v>9</v>
      </c>
      <c r="AM66" s="353">
        <v>0</v>
      </c>
      <c r="AN66" s="354">
        <v>0</v>
      </c>
      <c r="AO66"/>
    </row>
    <row r="67" spans="1:41" ht="16.5">
      <c r="A67" s="38" t="s">
        <v>786</v>
      </c>
      <c r="B67" s="38" t="s">
        <v>25</v>
      </c>
      <c r="C67" s="38" t="s">
        <v>1848</v>
      </c>
      <c r="D67" s="38" t="s">
        <v>1497</v>
      </c>
      <c r="E67" s="45">
        <v>41712</v>
      </c>
      <c r="F67" s="46">
        <v>41725</v>
      </c>
      <c r="G67" s="38">
        <v>1</v>
      </c>
      <c r="H67" s="47">
        <v>1</v>
      </c>
      <c r="I67" s="48">
        <v>1</v>
      </c>
      <c r="J67" s="8" t="str">
        <f t="shared" si="0"/>
        <v>MIBRO동일모자</v>
      </c>
      <c r="K67" s="38" t="s">
        <v>33</v>
      </c>
      <c r="L67" s="38" t="s">
        <v>779</v>
      </c>
      <c r="M67" s="38" t="s">
        <v>44</v>
      </c>
      <c r="N67" s="63">
        <v>1</v>
      </c>
      <c r="O67" s="141">
        <v>1</v>
      </c>
      <c r="P67" s="152">
        <v>1</v>
      </c>
      <c r="Q67" s="141">
        <v>0</v>
      </c>
      <c r="R67" s="155">
        <v>0</v>
      </c>
      <c r="S67"/>
      <c r="U67"/>
      <c r="W67"/>
      <c r="X67"/>
      <c r="Y67"/>
      <c r="Z67"/>
      <c r="AA67"/>
      <c r="AB67"/>
      <c r="AC67"/>
      <c r="AD67"/>
      <c r="AE67" s="49"/>
      <c r="AF67" s="50" t="s">
        <v>1744</v>
      </c>
      <c r="AG67" s="51"/>
      <c r="AH67" s="73">
        <v>16</v>
      </c>
      <c r="AI67" s="157">
        <v>16</v>
      </c>
      <c r="AJ67" s="152"/>
      <c r="AK67" s="152"/>
      <c r="AL67" s="157">
        <v>16</v>
      </c>
      <c r="AM67" s="157">
        <v>0</v>
      </c>
      <c r="AN67" s="158">
        <v>0</v>
      </c>
      <c r="AO67"/>
    </row>
    <row r="68" spans="1:41" ht="16.5">
      <c r="A68" s="49"/>
      <c r="B68" s="49"/>
      <c r="C68" s="38" t="s">
        <v>1891</v>
      </c>
      <c r="D68" s="38" t="s">
        <v>1497</v>
      </c>
      <c r="E68" s="45">
        <v>41717</v>
      </c>
      <c r="F68" s="46">
        <v>41733</v>
      </c>
      <c r="G68" s="38">
        <v>1</v>
      </c>
      <c r="H68" s="47">
        <v>1</v>
      </c>
      <c r="I68" s="48">
        <v>1</v>
      </c>
      <c r="J68" s="8" t="str">
        <f t="shared" si="0"/>
        <v>HCU동일모자</v>
      </c>
      <c r="K68" s="49"/>
      <c r="L68" s="38" t="s">
        <v>57</v>
      </c>
      <c r="M68" s="38" t="s">
        <v>44</v>
      </c>
      <c r="N68" s="63">
        <v>13</v>
      </c>
      <c r="O68" s="141">
        <v>13</v>
      </c>
      <c r="P68" s="152">
        <v>13</v>
      </c>
      <c r="Q68" s="141">
        <v>0</v>
      </c>
      <c r="R68" s="155">
        <v>0</v>
      </c>
      <c r="S68"/>
      <c r="U68"/>
      <c r="W68"/>
      <c r="X68"/>
      <c r="Y68"/>
      <c r="Z68"/>
      <c r="AA68"/>
      <c r="AB68"/>
      <c r="AC68"/>
      <c r="AD68"/>
      <c r="AE68" s="38" t="s">
        <v>58</v>
      </c>
      <c r="AF68" s="38" t="s">
        <v>6</v>
      </c>
      <c r="AG68" s="38" t="s">
        <v>55</v>
      </c>
      <c r="AH68" s="71">
        <v>4</v>
      </c>
      <c r="AI68" s="350">
        <v>4</v>
      </c>
      <c r="AJ68" s="152">
        <v>14</v>
      </c>
      <c r="AK68" s="152">
        <v>14</v>
      </c>
      <c r="AL68" s="350">
        <v>4</v>
      </c>
      <c r="AM68" s="350">
        <v>0</v>
      </c>
      <c r="AN68" s="349">
        <v>0</v>
      </c>
      <c r="AO68"/>
    </row>
    <row r="69" spans="1:41" ht="16.5">
      <c r="A69" s="49"/>
      <c r="B69" s="49"/>
      <c r="C69" s="38" t="s">
        <v>1892</v>
      </c>
      <c r="D69" s="38" t="s">
        <v>1401</v>
      </c>
      <c r="E69" s="45">
        <v>41716</v>
      </c>
      <c r="F69" s="46">
        <v>41737</v>
      </c>
      <c r="G69" s="38">
        <v>1</v>
      </c>
      <c r="H69" s="47">
        <v>1</v>
      </c>
      <c r="I69" s="48">
        <v>1</v>
      </c>
      <c r="J69" s="8" t="str">
        <f t="shared" si="0"/>
        <v>JIL동일모자</v>
      </c>
      <c r="K69" s="49"/>
      <c r="L69" s="38" t="s">
        <v>32</v>
      </c>
      <c r="M69" s="38" t="s">
        <v>44</v>
      </c>
      <c r="N69" s="63">
        <v>1</v>
      </c>
      <c r="O69" s="141">
        <v>1</v>
      </c>
      <c r="P69" s="152">
        <v>2</v>
      </c>
      <c r="Q69" s="141">
        <v>0</v>
      </c>
      <c r="R69" s="155">
        <v>0</v>
      </c>
      <c r="S69"/>
      <c r="U69"/>
      <c r="W69"/>
      <c r="X69"/>
      <c r="Y69"/>
      <c r="Z69"/>
      <c r="AA69"/>
      <c r="AB69"/>
      <c r="AC69"/>
      <c r="AD69"/>
      <c r="AE69" s="49"/>
      <c r="AF69" s="50" t="s">
        <v>879</v>
      </c>
      <c r="AG69" s="51"/>
      <c r="AH69" s="73">
        <v>4</v>
      </c>
      <c r="AI69" s="157">
        <v>4</v>
      </c>
      <c r="AJ69" s="152">
        <v>14</v>
      </c>
      <c r="AK69" s="152">
        <v>14</v>
      </c>
      <c r="AL69" s="157">
        <v>4</v>
      </c>
      <c r="AM69" s="157">
        <v>0</v>
      </c>
      <c r="AN69" s="158">
        <v>0</v>
      </c>
      <c r="AO69"/>
    </row>
    <row r="70" spans="1:41" ht="16.5">
      <c r="A70" s="49"/>
      <c r="B70" s="49"/>
      <c r="C70" s="38" t="s">
        <v>2066</v>
      </c>
      <c r="D70" s="38" t="s">
        <v>1401</v>
      </c>
      <c r="E70" s="45">
        <v>41736</v>
      </c>
      <c r="F70" s="46">
        <v>41743</v>
      </c>
      <c r="G70" s="38">
        <v>1</v>
      </c>
      <c r="H70" s="47">
        <v>1</v>
      </c>
      <c r="I70" s="48">
        <v>1</v>
      </c>
      <c r="J70" s="8" t="str">
        <f t="shared" si="0"/>
        <v>FOREMOST</v>
      </c>
      <c r="K70" s="49"/>
      <c r="L70" s="49"/>
      <c r="M70" s="65" t="s">
        <v>6</v>
      </c>
      <c r="N70" s="66">
        <v>8</v>
      </c>
      <c r="O70" s="76">
        <v>8</v>
      </c>
      <c r="P70" s="153">
        <v>9</v>
      </c>
      <c r="Q70" s="76">
        <v>0</v>
      </c>
      <c r="R70" s="156">
        <v>0</v>
      </c>
      <c r="S70"/>
      <c r="U70"/>
      <c r="W70"/>
      <c r="X70"/>
      <c r="Y70"/>
      <c r="Z70"/>
      <c r="AA70"/>
      <c r="AB70"/>
      <c r="AC70"/>
      <c r="AD70"/>
      <c r="AE70" s="38" t="s">
        <v>57</v>
      </c>
      <c r="AF70" s="38" t="s">
        <v>44</v>
      </c>
      <c r="AG70" s="38" t="s">
        <v>33</v>
      </c>
      <c r="AH70" s="71">
        <v>13</v>
      </c>
      <c r="AI70" s="350">
        <v>13</v>
      </c>
      <c r="AJ70" s="152">
        <v>41</v>
      </c>
      <c r="AK70" s="152">
        <v>24</v>
      </c>
      <c r="AL70" s="350">
        <v>13</v>
      </c>
      <c r="AM70" s="350">
        <v>0</v>
      </c>
      <c r="AN70" s="349">
        <v>0</v>
      </c>
      <c r="AO70"/>
    </row>
    <row r="71" spans="1:41" ht="16.5">
      <c r="A71" s="49"/>
      <c r="B71" s="50" t="s">
        <v>1553</v>
      </c>
      <c r="C71" s="51"/>
      <c r="D71" s="51"/>
      <c r="E71" s="51"/>
      <c r="F71" s="51"/>
      <c r="G71" s="51"/>
      <c r="H71" s="52">
        <v>4</v>
      </c>
      <c r="I71" s="53">
        <v>4</v>
      </c>
      <c r="J71" s="8" t="str">
        <f t="shared" ref="J71:J126" si="1">K71&amp;L71&amp;M71</f>
        <v>BMDFOREMOST</v>
      </c>
      <c r="K71" s="49"/>
      <c r="L71" s="38" t="s">
        <v>53</v>
      </c>
      <c r="M71" s="38" t="s">
        <v>6</v>
      </c>
      <c r="N71" s="63">
        <v>1.5</v>
      </c>
      <c r="O71" s="141">
        <v>0</v>
      </c>
      <c r="P71" s="152">
        <v>0</v>
      </c>
      <c r="Q71" s="141">
        <v>1.5</v>
      </c>
      <c r="R71" s="155">
        <v>2</v>
      </c>
      <c r="S71"/>
      <c r="U71"/>
      <c r="W71"/>
      <c r="X71"/>
      <c r="Y71"/>
      <c r="Z71"/>
      <c r="AA71"/>
      <c r="AB71"/>
      <c r="AC71"/>
      <c r="AD71"/>
      <c r="AE71" s="49"/>
      <c r="AF71" s="50" t="s">
        <v>877</v>
      </c>
      <c r="AG71" s="51"/>
      <c r="AH71" s="73">
        <v>13</v>
      </c>
      <c r="AI71" s="157">
        <v>13</v>
      </c>
      <c r="AJ71" s="152">
        <v>41</v>
      </c>
      <c r="AK71" s="152">
        <v>24</v>
      </c>
      <c r="AL71" s="157">
        <v>13</v>
      </c>
      <c r="AM71" s="157">
        <v>0</v>
      </c>
      <c r="AN71" s="158">
        <v>0</v>
      </c>
      <c r="AO71"/>
    </row>
    <row r="72" spans="1:41" ht="16.5">
      <c r="A72" s="49"/>
      <c r="B72" s="38" t="s">
        <v>26</v>
      </c>
      <c r="C72" s="38" t="s">
        <v>1854</v>
      </c>
      <c r="D72" s="38" t="s">
        <v>1855</v>
      </c>
      <c r="E72" s="45">
        <v>41715</v>
      </c>
      <c r="F72" s="46">
        <v>41719</v>
      </c>
      <c r="G72" s="38">
        <v>1</v>
      </c>
      <c r="H72" s="47">
        <v>1</v>
      </c>
      <c r="I72" s="48">
        <v>1</v>
      </c>
      <c r="J72" s="8" t="str">
        <f t="shared" si="1"/>
        <v>MI 요약</v>
      </c>
      <c r="K72" s="50" t="s">
        <v>854</v>
      </c>
      <c r="L72" s="51"/>
      <c r="M72" s="51"/>
      <c r="N72" s="145">
        <v>24.5</v>
      </c>
      <c r="O72" s="143">
        <v>23</v>
      </c>
      <c r="P72" s="152">
        <v>25</v>
      </c>
      <c r="Q72" s="143">
        <v>1.5</v>
      </c>
      <c r="R72" s="155">
        <v>2</v>
      </c>
      <c r="S72"/>
      <c r="U72"/>
      <c r="W72"/>
      <c r="X72"/>
      <c r="Y72"/>
      <c r="Z72"/>
      <c r="AA72"/>
      <c r="AB72"/>
      <c r="AC72"/>
      <c r="AD72"/>
      <c r="AE72" s="38" t="s">
        <v>32</v>
      </c>
      <c r="AF72" s="38" t="s">
        <v>44</v>
      </c>
      <c r="AG72" s="38" t="s">
        <v>33</v>
      </c>
      <c r="AH72" s="71">
        <v>1</v>
      </c>
      <c r="AI72" s="350">
        <v>2</v>
      </c>
      <c r="AJ72" s="152">
        <v>6</v>
      </c>
      <c r="AK72" s="152">
        <v>1</v>
      </c>
      <c r="AL72" s="350">
        <v>2</v>
      </c>
      <c r="AM72" s="350">
        <v>0</v>
      </c>
      <c r="AN72" s="349">
        <v>0</v>
      </c>
      <c r="AO72"/>
    </row>
    <row r="73" spans="1:41" ht="16.5">
      <c r="A73" s="49"/>
      <c r="B73" s="49"/>
      <c r="C73" s="38" t="s">
        <v>1856</v>
      </c>
      <c r="D73" s="38" t="s">
        <v>1855</v>
      </c>
      <c r="E73" s="45">
        <v>41715</v>
      </c>
      <c r="F73" s="46">
        <v>41719</v>
      </c>
      <c r="G73" s="38">
        <v>1</v>
      </c>
      <c r="H73" s="47">
        <v>1</v>
      </c>
      <c r="I73" s="48">
        <v>1</v>
      </c>
      <c r="J73" s="8" t="str">
        <f t="shared" si="1"/>
        <v>THELS대경</v>
      </c>
      <c r="K73" s="38" t="s">
        <v>24</v>
      </c>
      <c r="L73" s="38" t="s">
        <v>3</v>
      </c>
      <c r="M73" s="38" t="s">
        <v>1401</v>
      </c>
      <c r="N73" s="63">
        <v>1</v>
      </c>
      <c r="O73" s="141">
        <v>1</v>
      </c>
      <c r="P73" s="152">
        <v>1</v>
      </c>
      <c r="Q73" s="141">
        <v>0</v>
      </c>
      <c r="R73" s="155">
        <v>0</v>
      </c>
      <c r="S73"/>
      <c r="U73"/>
      <c r="W73"/>
      <c r="X73"/>
      <c r="Y73"/>
      <c r="Z73"/>
      <c r="AA73"/>
      <c r="AB73"/>
      <c r="AC73"/>
      <c r="AD73"/>
      <c r="AE73" s="49"/>
      <c r="AF73" s="50" t="s">
        <v>877</v>
      </c>
      <c r="AG73" s="51"/>
      <c r="AH73" s="73">
        <v>1</v>
      </c>
      <c r="AI73" s="157">
        <v>2</v>
      </c>
      <c r="AJ73" s="152">
        <v>6</v>
      </c>
      <c r="AK73" s="152">
        <v>1</v>
      </c>
      <c r="AL73" s="157">
        <v>2</v>
      </c>
      <c r="AM73" s="157">
        <v>0</v>
      </c>
      <c r="AN73" s="158">
        <v>0</v>
      </c>
      <c r="AO73"/>
    </row>
    <row r="74" spans="1:41" ht="16.5">
      <c r="A74" s="49"/>
      <c r="B74" s="49"/>
      <c r="C74" s="38" t="s">
        <v>1902</v>
      </c>
      <c r="D74" s="38" t="s">
        <v>1401</v>
      </c>
      <c r="E74" s="45">
        <v>41716</v>
      </c>
      <c r="F74" s="46">
        <v>41737</v>
      </c>
      <c r="G74" s="38">
        <v>1</v>
      </c>
      <c r="H74" s="47">
        <v>1</v>
      </c>
      <c r="I74" s="48">
        <v>1</v>
      </c>
      <c r="J74" s="8" t="str">
        <f t="shared" si="1"/>
        <v>아트인드림</v>
      </c>
      <c r="K74" s="49"/>
      <c r="L74" s="49"/>
      <c r="M74" s="65" t="s">
        <v>1409</v>
      </c>
      <c r="N74" s="66">
        <v>4</v>
      </c>
      <c r="O74" s="76">
        <v>4</v>
      </c>
      <c r="P74" s="153">
        <v>4</v>
      </c>
      <c r="Q74" s="76">
        <v>0</v>
      </c>
      <c r="R74" s="156">
        <v>0</v>
      </c>
      <c r="S74"/>
      <c r="U74"/>
      <c r="W74"/>
      <c r="X74"/>
      <c r="Y74"/>
      <c r="Z74"/>
      <c r="AA74"/>
      <c r="AB74"/>
      <c r="AC74"/>
      <c r="AD74"/>
      <c r="AE74" s="49"/>
      <c r="AF74" s="38" t="s">
        <v>6</v>
      </c>
      <c r="AG74" s="38" t="s">
        <v>38</v>
      </c>
      <c r="AH74" s="71">
        <v>16</v>
      </c>
      <c r="AI74" s="350">
        <v>16</v>
      </c>
      <c r="AJ74" s="152">
        <v>39</v>
      </c>
      <c r="AK74" s="152">
        <v>22</v>
      </c>
      <c r="AL74" s="350">
        <v>16</v>
      </c>
      <c r="AM74" s="350">
        <v>0</v>
      </c>
      <c r="AN74" s="349">
        <v>0</v>
      </c>
      <c r="AO74"/>
    </row>
    <row r="75" spans="1:41" ht="16.5">
      <c r="A75" s="49"/>
      <c r="B75" s="49"/>
      <c r="C75" s="38" t="s">
        <v>1903</v>
      </c>
      <c r="D75" s="38" t="s">
        <v>1401</v>
      </c>
      <c r="E75" s="45">
        <v>41716</v>
      </c>
      <c r="F75" s="46">
        <v>41737</v>
      </c>
      <c r="G75" s="38">
        <v>1</v>
      </c>
      <c r="H75" s="47">
        <v>1</v>
      </c>
      <c r="I75" s="48">
        <v>1</v>
      </c>
      <c r="J75" s="8" t="str">
        <f t="shared" si="1"/>
        <v>EVERGREEN</v>
      </c>
      <c r="K75" s="49"/>
      <c r="L75" s="49"/>
      <c r="M75" s="65" t="s">
        <v>1497</v>
      </c>
      <c r="N75" s="66">
        <v>3</v>
      </c>
      <c r="O75" s="76">
        <v>3</v>
      </c>
      <c r="P75" s="153">
        <v>3</v>
      </c>
      <c r="Q75" s="76">
        <v>0</v>
      </c>
      <c r="R75" s="156">
        <v>0</v>
      </c>
      <c r="S75"/>
      <c r="U75"/>
      <c r="W75"/>
      <c r="X75"/>
      <c r="Y75"/>
      <c r="Z75"/>
      <c r="AA75"/>
      <c r="AB75"/>
      <c r="AC75"/>
      <c r="AD75"/>
      <c r="AE75" s="49"/>
      <c r="AF75" s="49"/>
      <c r="AG75" s="65" t="s">
        <v>35</v>
      </c>
      <c r="AH75" s="72">
        <v>50.5</v>
      </c>
      <c r="AI75" s="353">
        <v>53</v>
      </c>
      <c r="AJ75" s="153">
        <v>98</v>
      </c>
      <c r="AK75" s="153">
        <v>74</v>
      </c>
      <c r="AL75" s="353">
        <v>53</v>
      </c>
      <c r="AM75" s="353">
        <v>1</v>
      </c>
      <c r="AN75" s="354">
        <v>1</v>
      </c>
      <c r="AO75"/>
    </row>
    <row r="76" spans="1:41" ht="16.5">
      <c r="A76" s="49"/>
      <c r="B76" s="49"/>
      <c r="C76" s="38" t="s">
        <v>1904</v>
      </c>
      <c r="D76" s="38" t="s">
        <v>1401</v>
      </c>
      <c r="E76" s="45">
        <v>41716</v>
      </c>
      <c r="F76" s="46">
        <v>41737</v>
      </c>
      <c r="G76" s="38">
        <v>1</v>
      </c>
      <c r="H76" s="47">
        <v>1</v>
      </c>
      <c r="I76" s="48">
        <v>1</v>
      </c>
      <c r="J76" s="8" t="str">
        <f t="shared" si="1"/>
        <v>piafield</v>
      </c>
      <c r="K76" s="49"/>
      <c r="L76" s="49"/>
      <c r="M76" s="65" t="s">
        <v>897</v>
      </c>
      <c r="N76" s="66">
        <v>6</v>
      </c>
      <c r="O76" s="76">
        <v>6</v>
      </c>
      <c r="P76" s="153">
        <v>6</v>
      </c>
      <c r="Q76" s="76">
        <v>0</v>
      </c>
      <c r="R76" s="156">
        <v>0</v>
      </c>
      <c r="S76"/>
      <c r="U76"/>
      <c r="W76"/>
      <c r="X76"/>
      <c r="Y76"/>
      <c r="Z76"/>
      <c r="AA76"/>
      <c r="AB76"/>
      <c r="AC76"/>
      <c r="AD76"/>
      <c r="AE76" s="49"/>
      <c r="AF76" s="49"/>
      <c r="AG76" s="65" t="s">
        <v>37</v>
      </c>
      <c r="AH76" s="72">
        <v>1</v>
      </c>
      <c r="AI76" s="353">
        <v>1</v>
      </c>
      <c r="AJ76" s="153">
        <v>2</v>
      </c>
      <c r="AK76" s="153">
        <v>2</v>
      </c>
      <c r="AL76" s="353">
        <v>1</v>
      </c>
      <c r="AM76" s="353">
        <v>0</v>
      </c>
      <c r="AN76" s="354">
        <v>0</v>
      </c>
      <c r="AO76"/>
    </row>
    <row r="77" spans="1:41" ht="16.5">
      <c r="A77" s="49"/>
      <c r="B77" s="50" t="s">
        <v>1462</v>
      </c>
      <c r="C77" s="51"/>
      <c r="D77" s="51"/>
      <c r="E77" s="51"/>
      <c r="F77" s="51"/>
      <c r="G77" s="51"/>
      <c r="H77" s="52">
        <v>5</v>
      </c>
      <c r="I77" s="53">
        <v>5</v>
      </c>
      <c r="J77" s="8" t="str">
        <f t="shared" si="1"/>
        <v>PLA아트인드림</v>
      </c>
      <c r="K77" s="49"/>
      <c r="L77" s="38" t="s">
        <v>61</v>
      </c>
      <c r="M77" s="38" t="s">
        <v>1409</v>
      </c>
      <c r="N77" s="63">
        <v>1</v>
      </c>
      <c r="O77" s="141">
        <v>1</v>
      </c>
      <c r="P77" s="152">
        <v>1</v>
      </c>
      <c r="Q77" s="141">
        <v>0</v>
      </c>
      <c r="R77" s="155">
        <v>0</v>
      </c>
      <c r="S77"/>
      <c r="U77"/>
      <c r="W77"/>
      <c r="X77"/>
      <c r="Y77"/>
      <c r="Z77"/>
      <c r="AA77"/>
      <c r="AB77"/>
      <c r="AC77"/>
      <c r="AD77"/>
      <c r="AE77" s="49"/>
      <c r="AF77" s="49"/>
      <c r="AG77" s="65" t="s">
        <v>36</v>
      </c>
      <c r="AH77" s="72">
        <v>4</v>
      </c>
      <c r="AI77" s="353">
        <v>4</v>
      </c>
      <c r="AJ77" s="153">
        <v>6</v>
      </c>
      <c r="AK77" s="153">
        <v>3</v>
      </c>
      <c r="AL77" s="353">
        <v>4</v>
      </c>
      <c r="AM77" s="353">
        <v>2</v>
      </c>
      <c r="AN77" s="354">
        <v>2</v>
      </c>
      <c r="AO77"/>
    </row>
    <row r="78" spans="1:41" ht="16.5">
      <c r="A78" s="49"/>
      <c r="B78" s="38" t="s">
        <v>24</v>
      </c>
      <c r="C78" s="38" t="s">
        <v>1849</v>
      </c>
      <c r="D78" s="38" t="s">
        <v>1497</v>
      </c>
      <c r="E78" s="45">
        <v>41712</v>
      </c>
      <c r="F78" s="46">
        <v>41725</v>
      </c>
      <c r="G78" s="38">
        <v>1</v>
      </c>
      <c r="H78" s="47">
        <v>1</v>
      </c>
      <c r="I78" s="48">
        <v>1</v>
      </c>
      <c r="J78" s="8" t="str">
        <f t="shared" si="1"/>
        <v>EVERGREEN</v>
      </c>
      <c r="K78" s="49"/>
      <c r="L78" s="49"/>
      <c r="M78" s="65" t="s">
        <v>1497</v>
      </c>
      <c r="N78" s="66">
        <v>3</v>
      </c>
      <c r="O78" s="76">
        <v>3</v>
      </c>
      <c r="P78" s="153">
        <v>3</v>
      </c>
      <c r="Q78" s="76">
        <v>0</v>
      </c>
      <c r="R78" s="156">
        <v>0</v>
      </c>
      <c r="S78"/>
      <c r="U78"/>
      <c r="W78"/>
      <c r="X78"/>
      <c r="Y78"/>
      <c r="Z78"/>
      <c r="AA78"/>
      <c r="AB78"/>
      <c r="AC78"/>
      <c r="AD78"/>
      <c r="AE78" s="49"/>
      <c r="AF78" s="49"/>
      <c r="AG78" s="65" t="s">
        <v>33</v>
      </c>
      <c r="AH78" s="72">
        <v>8</v>
      </c>
      <c r="AI78" s="353">
        <v>9</v>
      </c>
      <c r="AJ78" s="153">
        <v>31</v>
      </c>
      <c r="AK78" s="153">
        <v>9</v>
      </c>
      <c r="AL78" s="353">
        <v>9</v>
      </c>
      <c r="AM78" s="353">
        <v>0</v>
      </c>
      <c r="AN78" s="354">
        <v>0</v>
      </c>
      <c r="AO78"/>
    </row>
    <row r="79" spans="1:41" ht="16.5">
      <c r="A79" s="49"/>
      <c r="B79" s="49"/>
      <c r="C79" s="38" t="s">
        <v>1850</v>
      </c>
      <c r="D79" s="38" t="s">
        <v>1497</v>
      </c>
      <c r="E79" s="45">
        <v>41712</v>
      </c>
      <c r="F79" s="46">
        <v>41700</v>
      </c>
      <c r="G79" s="38">
        <v>1</v>
      </c>
      <c r="H79" s="47">
        <v>1</v>
      </c>
      <c r="I79" s="48">
        <v>1</v>
      </c>
      <c r="J79" s="8" t="str">
        <f t="shared" si="1"/>
        <v>URB대경</v>
      </c>
      <c r="K79" s="49"/>
      <c r="L79" s="38" t="s">
        <v>1101</v>
      </c>
      <c r="M79" s="38" t="s">
        <v>1401</v>
      </c>
      <c r="N79" s="63">
        <v>1</v>
      </c>
      <c r="O79" s="141">
        <v>1</v>
      </c>
      <c r="P79" s="152">
        <v>1</v>
      </c>
      <c r="Q79" s="141">
        <v>0</v>
      </c>
      <c r="R79" s="155">
        <v>0</v>
      </c>
      <c r="S79"/>
      <c r="U79"/>
      <c r="W79"/>
      <c r="X79"/>
      <c r="Y79"/>
      <c r="Z79"/>
      <c r="AA79"/>
      <c r="AB79"/>
      <c r="AC79"/>
      <c r="AD79"/>
      <c r="AE79" s="49"/>
      <c r="AF79" s="49"/>
      <c r="AG79" s="65" t="s">
        <v>28</v>
      </c>
      <c r="AH79" s="72">
        <v>17</v>
      </c>
      <c r="AI79" s="353">
        <v>17</v>
      </c>
      <c r="AJ79" s="153">
        <v>33</v>
      </c>
      <c r="AK79" s="153">
        <v>17</v>
      </c>
      <c r="AL79" s="353">
        <v>17</v>
      </c>
      <c r="AM79" s="353">
        <v>8</v>
      </c>
      <c r="AN79" s="354">
        <v>8</v>
      </c>
      <c r="AO79"/>
    </row>
    <row r="80" spans="1:41" ht="16.5">
      <c r="A80" s="49"/>
      <c r="B80" s="49"/>
      <c r="C80" s="38" t="s">
        <v>1880</v>
      </c>
      <c r="D80" s="38" t="s">
        <v>1409</v>
      </c>
      <c r="E80" s="45">
        <v>41716</v>
      </c>
      <c r="F80" s="46">
        <v>41723</v>
      </c>
      <c r="G80" s="38">
        <v>1</v>
      </c>
      <c r="H80" s="47">
        <v>1</v>
      </c>
      <c r="I80" s="48">
        <v>1</v>
      </c>
      <c r="J80" s="8" t="str">
        <f t="shared" si="1"/>
        <v>아트인드림</v>
      </c>
      <c r="K80" s="49"/>
      <c r="L80" s="49"/>
      <c r="M80" s="65" t="s">
        <v>1409</v>
      </c>
      <c r="N80" s="66">
        <v>1</v>
      </c>
      <c r="O80" s="76">
        <v>1</v>
      </c>
      <c r="P80" s="153">
        <v>1</v>
      </c>
      <c r="Q80" s="76">
        <v>0</v>
      </c>
      <c r="R80" s="156">
        <v>0</v>
      </c>
      <c r="S80"/>
      <c r="U80"/>
      <c r="W80"/>
      <c r="X80"/>
      <c r="Y80"/>
      <c r="Z80"/>
      <c r="AA80"/>
      <c r="AB80"/>
      <c r="AC80"/>
      <c r="AD80"/>
      <c r="AE80" s="49"/>
      <c r="AF80" s="49"/>
      <c r="AG80" s="65" t="s">
        <v>56</v>
      </c>
      <c r="AH80" s="72">
        <v>22</v>
      </c>
      <c r="AI80" s="353">
        <v>26</v>
      </c>
      <c r="AJ80" s="153">
        <v>33</v>
      </c>
      <c r="AK80" s="153">
        <v>33</v>
      </c>
      <c r="AL80" s="353">
        <v>26</v>
      </c>
      <c r="AM80" s="353">
        <v>-0.5</v>
      </c>
      <c r="AN80" s="354">
        <v>1</v>
      </c>
      <c r="AO80"/>
    </row>
    <row r="81" spans="1:41" ht="16.5">
      <c r="A81" s="49"/>
      <c r="B81" s="49"/>
      <c r="C81" s="38" t="s">
        <v>1881</v>
      </c>
      <c r="D81" s="38" t="s">
        <v>1497</v>
      </c>
      <c r="E81" s="45">
        <v>41717</v>
      </c>
      <c r="F81" s="46">
        <v>41733</v>
      </c>
      <c r="G81" s="38">
        <v>1</v>
      </c>
      <c r="H81" s="47">
        <v>1</v>
      </c>
      <c r="I81" s="48">
        <v>1</v>
      </c>
      <c r="J81" s="8" t="str">
        <f t="shared" si="1"/>
        <v>TH 요약</v>
      </c>
      <c r="K81" s="50" t="s">
        <v>1554</v>
      </c>
      <c r="L81" s="51"/>
      <c r="M81" s="51"/>
      <c r="N81" s="145">
        <v>20</v>
      </c>
      <c r="O81" s="143">
        <v>20</v>
      </c>
      <c r="P81" s="152">
        <v>20</v>
      </c>
      <c r="Q81" s="143">
        <v>0</v>
      </c>
      <c r="R81" s="155">
        <v>0</v>
      </c>
      <c r="S81"/>
      <c r="U81"/>
      <c r="W81"/>
      <c r="X81"/>
      <c r="Y81"/>
      <c r="Z81"/>
      <c r="AA81"/>
      <c r="AB81"/>
      <c r="AC81"/>
      <c r="AD81"/>
      <c r="AE81" s="49"/>
      <c r="AF81" s="49"/>
      <c r="AG81" s="65" t="s">
        <v>60</v>
      </c>
      <c r="AH81" s="72">
        <v>5</v>
      </c>
      <c r="AI81" s="353">
        <v>5</v>
      </c>
      <c r="AJ81" s="153">
        <v>12</v>
      </c>
      <c r="AK81" s="153">
        <v>7</v>
      </c>
      <c r="AL81" s="353">
        <v>5</v>
      </c>
      <c r="AM81" s="353">
        <v>0</v>
      </c>
      <c r="AN81" s="354">
        <v>0</v>
      </c>
      <c r="AO81"/>
    </row>
    <row r="82" spans="1:41" ht="16.5">
      <c r="A82" s="49"/>
      <c r="B82" s="50" t="s">
        <v>1554</v>
      </c>
      <c r="C82" s="51"/>
      <c r="D82" s="51"/>
      <c r="E82" s="51"/>
      <c r="F82" s="51"/>
      <c r="G82" s="51"/>
      <c r="H82" s="52">
        <v>4</v>
      </c>
      <c r="I82" s="53">
        <v>4</v>
      </c>
      <c r="J82" s="8" t="str">
        <f t="shared" si="1"/>
        <v>TLELS대경</v>
      </c>
      <c r="K82" s="38" t="s">
        <v>27</v>
      </c>
      <c r="L82" s="38" t="s">
        <v>3</v>
      </c>
      <c r="M82" s="38" t="s">
        <v>1401</v>
      </c>
      <c r="N82" s="63">
        <v>5</v>
      </c>
      <c r="O82" s="141">
        <v>5</v>
      </c>
      <c r="P82" s="152">
        <v>5</v>
      </c>
      <c r="Q82" s="141">
        <v>0</v>
      </c>
      <c r="R82" s="155">
        <v>0</v>
      </c>
      <c r="S82"/>
      <c r="U82"/>
      <c r="W82"/>
      <c r="X82"/>
      <c r="Y82"/>
      <c r="Z82"/>
      <c r="AA82"/>
      <c r="AB82"/>
      <c r="AC82"/>
      <c r="AD82"/>
      <c r="AE82" s="49"/>
      <c r="AF82" s="50" t="s">
        <v>879</v>
      </c>
      <c r="AG82" s="51"/>
      <c r="AH82" s="372">
        <v>123.5</v>
      </c>
      <c r="AI82" s="373">
        <v>131</v>
      </c>
      <c r="AJ82" s="368">
        <v>254</v>
      </c>
      <c r="AK82" s="368">
        <v>167</v>
      </c>
      <c r="AL82" s="157">
        <v>131</v>
      </c>
      <c r="AM82" s="373">
        <v>10.5</v>
      </c>
      <c r="AN82" s="158">
        <v>12</v>
      </c>
      <c r="AO82"/>
    </row>
    <row r="83" spans="1:41" ht="16.5">
      <c r="A83" s="49"/>
      <c r="B83" s="38" t="s">
        <v>27</v>
      </c>
      <c r="C83" s="38" t="s">
        <v>1851</v>
      </c>
      <c r="D83" s="38" t="s">
        <v>1497</v>
      </c>
      <c r="E83" s="45">
        <v>41712</v>
      </c>
      <c r="F83" s="46">
        <v>41725</v>
      </c>
      <c r="G83" s="38">
        <v>1</v>
      </c>
      <c r="H83" s="47">
        <v>1</v>
      </c>
      <c r="I83" s="48">
        <v>1</v>
      </c>
      <c r="J83" s="8" t="str">
        <f t="shared" si="1"/>
        <v>아트인드림</v>
      </c>
      <c r="K83" s="49"/>
      <c r="L83" s="49"/>
      <c r="M83" s="65" t="s">
        <v>1409</v>
      </c>
      <c r="N83" s="66">
        <v>13</v>
      </c>
      <c r="O83" s="76">
        <v>7</v>
      </c>
      <c r="P83" s="153">
        <v>7</v>
      </c>
      <c r="Q83" s="76">
        <v>6</v>
      </c>
      <c r="R83" s="156">
        <v>6</v>
      </c>
      <c r="S83"/>
      <c r="U83"/>
      <c r="W83"/>
      <c r="X83"/>
      <c r="Y83"/>
      <c r="Z83"/>
      <c r="AA83"/>
      <c r="AB83"/>
      <c r="AC83"/>
      <c r="AD83"/>
      <c r="AE83" s="49"/>
      <c r="AF83" s="38" t="s">
        <v>1120</v>
      </c>
      <c r="AG83" s="38" t="s">
        <v>35</v>
      </c>
      <c r="AH83" s="71">
        <v>1</v>
      </c>
      <c r="AI83" s="350">
        <v>1</v>
      </c>
      <c r="AJ83" s="152">
        <v>1</v>
      </c>
      <c r="AK83" s="152">
        <v>1</v>
      </c>
      <c r="AL83" s="350">
        <v>1</v>
      </c>
      <c r="AM83" s="350">
        <v>0</v>
      </c>
      <c r="AN83" s="349">
        <v>0</v>
      </c>
      <c r="AO83"/>
    </row>
    <row r="84" spans="1:41" ht="16.5">
      <c r="A84" s="49"/>
      <c r="B84" s="49"/>
      <c r="C84" s="38" t="s">
        <v>1852</v>
      </c>
      <c r="D84" s="38" t="s">
        <v>897</v>
      </c>
      <c r="E84" s="45">
        <v>41712</v>
      </c>
      <c r="F84" s="46">
        <v>41722</v>
      </c>
      <c r="G84" s="38">
        <v>1</v>
      </c>
      <c r="H84" s="47">
        <v>1</v>
      </c>
      <c r="I84" s="48">
        <v>1</v>
      </c>
      <c r="J84" s="8" t="str">
        <f t="shared" si="1"/>
        <v>EVERGREEN</v>
      </c>
      <c r="K84" s="49"/>
      <c r="L84" s="49"/>
      <c r="M84" s="65" t="s">
        <v>1497</v>
      </c>
      <c r="N84" s="66">
        <v>4</v>
      </c>
      <c r="O84" s="76">
        <v>4</v>
      </c>
      <c r="P84" s="153">
        <v>4</v>
      </c>
      <c r="Q84" s="76">
        <v>0</v>
      </c>
      <c r="R84" s="156">
        <v>0</v>
      </c>
      <c r="S84"/>
      <c r="U84"/>
      <c r="W84"/>
      <c r="X84"/>
      <c r="Y84"/>
      <c r="Z84"/>
      <c r="AA84"/>
      <c r="AB84"/>
      <c r="AC84"/>
      <c r="AD84"/>
      <c r="AE84" s="49"/>
      <c r="AF84" s="50" t="s">
        <v>1121</v>
      </c>
      <c r="AG84" s="51"/>
      <c r="AH84" s="372">
        <v>1</v>
      </c>
      <c r="AI84" s="373">
        <v>1</v>
      </c>
      <c r="AJ84" s="368">
        <v>1</v>
      </c>
      <c r="AK84" s="368">
        <v>1</v>
      </c>
      <c r="AL84" s="157">
        <v>1</v>
      </c>
      <c r="AM84" s="373">
        <v>0</v>
      </c>
      <c r="AN84" s="158">
        <v>0</v>
      </c>
      <c r="AO84"/>
    </row>
    <row r="85" spans="1:41" ht="16.5">
      <c r="A85" s="49"/>
      <c r="B85" s="49"/>
      <c r="C85" s="38" t="s">
        <v>1853</v>
      </c>
      <c r="D85" s="38" t="s">
        <v>897</v>
      </c>
      <c r="E85" s="45">
        <v>41717</v>
      </c>
      <c r="F85" s="46">
        <v>41743</v>
      </c>
      <c r="G85" s="38">
        <v>1</v>
      </c>
      <c r="H85" s="47">
        <v>1</v>
      </c>
      <c r="I85" s="48">
        <v>1</v>
      </c>
      <c r="J85" s="8" t="str">
        <f t="shared" si="1"/>
        <v>piafield</v>
      </c>
      <c r="K85" s="49"/>
      <c r="L85" s="49"/>
      <c r="M85" s="65" t="s">
        <v>897</v>
      </c>
      <c r="N85" s="66">
        <v>9</v>
      </c>
      <c r="O85" s="76">
        <v>9</v>
      </c>
      <c r="P85" s="153">
        <v>9</v>
      </c>
      <c r="Q85" s="76">
        <v>0</v>
      </c>
      <c r="R85" s="156">
        <v>0</v>
      </c>
      <c r="S85"/>
      <c r="U85"/>
      <c r="W85"/>
      <c r="X85"/>
      <c r="Y85"/>
      <c r="Z85"/>
      <c r="AA85"/>
      <c r="AB85"/>
      <c r="AC85"/>
      <c r="AD85"/>
      <c r="AE85" s="49"/>
      <c r="AF85" s="38" t="s">
        <v>1415</v>
      </c>
      <c r="AG85" s="38" t="s">
        <v>35</v>
      </c>
      <c r="AH85" s="71">
        <v>15</v>
      </c>
      <c r="AI85" s="350">
        <v>15</v>
      </c>
      <c r="AJ85" s="152">
        <v>15</v>
      </c>
      <c r="AK85" s="152">
        <v>15</v>
      </c>
      <c r="AL85" s="350">
        <v>15</v>
      </c>
      <c r="AM85" s="350">
        <v>1</v>
      </c>
      <c r="AN85" s="349">
        <v>1</v>
      </c>
      <c r="AO85"/>
    </row>
    <row r="86" spans="1:41" ht="16.5">
      <c r="A86" s="49"/>
      <c r="B86" s="49"/>
      <c r="C86" s="38" t="s">
        <v>1886</v>
      </c>
      <c r="D86" s="38" t="s">
        <v>1401</v>
      </c>
      <c r="E86" s="45">
        <v>41716</v>
      </c>
      <c r="F86" s="46">
        <v>41737</v>
      </c>
      <c r="G86" s="38">
        <v>1</v>
      </c>
      <c r="H86" s="47">
        <v>1</v>
      </c>
      <c r="I86" s="48">
        <v>1</v>
      </c>
      <c r="J86" s="8" t="str">
        <f t="shared" si="1"/>
        <v>PLA대경</v>
      </c>
      <c r="K86" s="49"/>
      <c r="L86" s="38" t="s">
        <v>61</v>
      </c>
      <c r="M86" s="38" t="s">
        <v>1401</v>
      </c>
      <c r="N86" s="63">
        <v>2</v>
      </c>
      <c r="O86" s="141">
        <v>2</v>
      </c>
      <c r="P86" s="152">
        <v>2</v>
      </c>
      <c r="Q86" s="141">
        <v>0</v>
      </c>
      <c r="R86" s="155">
        <v>0</v>
      </c>
      <c r="S86"/>
      <c r="U86"/>
      <c r="W86"/>
      <c r="X86"/>
      <c r="Y86"/>
      <c r="Z86"/>
      <c r="AA86"/>
      <c r="AB86"/>
      <c r="AC86"/>
      <c r="AD86"/>
      <c r="AE86" s="49"/>
      <c r="AF86" s="49"/>
      <c r="AG86" s="65" t="s">
        <v>56</v>
      </c>
      <c r="AH86" s="72">
        <v>28</v>
      </c>
      <c r="AI86" s="353">
        <v>33</v>
      </c>
      <c r="AJ86" s="153">
        <v>29</v>
      </c>
      <c r="AK86" s="153">
        <v>29</v>
      </c>
      <c r="AL86" s="353">
        <v>33</v>
      </c>
      <c r="AM86" s="353">
        <v>2</v>
      </c>
      <c r="AN86" s="354">
        <v>4</v>
      </c>
      <c r="AO86"/>
    </row>
    <row r="87" spans="1:41" ht="16.5">
      <c r="A87" s="49"/>
      <c r="B87" s="49"/>
      <c r="C87" s="38" t="s">
        <v>1887</v>
      </c>
      <c r="D87" s="38" t="s">
        <v>1497</v>
      </c>
      <c r="E87" s="45">
        <v>41717</v>
      </c>
      <c r="F87" s="46">
        <v>41733</v>
      </c>
      <c r="G87" s="38">
        <v>1</v>
      </c>
      <c r="H87" s="47">
        <v>1</v>
      </c>
      <c r="I87" s="48">
        <v>1</v>
      </c>
      <c r="J87" s="8" t="str">
        <f t="shared" si="1"/>
        <v>EVERGREEN</v>
      </c>
      <c r="K87" s="49"/>
      <c r="L87" s="49"/>
      <c r="M87" s="65" t="s">
        <v>1497</v>
      </c>
      <c r="N87" s="66">
        <v>3</v>
      </c>
      <c r="O87" s="76">
        <v>3</v>
      </c>
      <c r="P87" s="153">
        <v>3</v>
      </c>
      <c r="Q87" s="76">
        <v>0</v>
      </c>
      <c r="R87" s="156">
        <v>0</v>
      </c>
      <c r="S87"/>
      <c r="U87"/>
      <c r="W87"/>
      <c r="X87"/>
      <c r="Y87"/>
      <c r="Z87"/>
      <c r="AA87"/>
      <c r="AB87"/>
      <c r="AC87"/>
      <c r="AD87"/>
      <c r="AE87" s="49"/>
      <c r="AF87" s="50" t="s">
        <v>1460</v>
      </c>
      <c r="AG87" s="51"/>
      <c r="AH87" s="372">
        <v>43</v>
      </c>
      <c r="AI87" s="373">
        <v>48</v>
      </c>
      <c r="AJ87" s="368">
        <v>44</v>
      </c>
      <c r="AK87" s="368">
        <v>44</v>
      </c>
      <c r="AL87" s="157">
        <v>48</v>
      </c>
      <c r="AM87" s="373">
        <v>3</v>
      </c>
      <c r="AN87" s="158">
        <v>5</v>
      </c>
      <c r="AO87"/>
    </row>
    <row r="88" spans="1:41" ht="16.5">
      <c r="A88" s="49"/>
      <c r="B88" s="49"/>
      <c r="C88" s="38" t="s">
        <v>1888</v>
      </c>
      <c r="D88" s="38" t="s">
        <v>1497</v>
      </c>
      <c r="E88" s="45">
        <v>41717</v>
      </c>
      <c r="F88" s="46">
        <v>41733</v>
      </c>
      <c r="G88" s="38">
        <v>1</v>
      </c>
      <c r="H88" s="47">
        <v>1</v>
      </c>
      <c r="I88" s="48">
        <v>1</v>
      </c>
      <c r="J88" s="8" t="str">
        <f t="shared" si="1"/>
        <v>piafield</v>
      </c>
      <c r="K88" s="49"/>
      <c r="L88" s="49"/>
      <c r="M88" s="65" t="s">
        <v>897</v>
      </c>
      <c r="N88" s="66">
        <v>2</v>
      </c>
      <c r="O88" s="76">
        <v>2</v>
      </c>
      <c r="P88" s="153">
        <v>2</v>
      </c>
      <c r="Q88" s="76">
        <v>0</v>
      </c>
      <c r="R88" s="156">
        <v>0</v>
      </c>
      <c r="S88"/>
      <c r="U88"/>
      <c r="W88"/>
      <c r="X88"/>
      <c r="Y88"/>
      <c r="Z88"/>
      <c r="AA88"/>
      <c r="AB88"/>
      <c r="AC88"/>
      <c r="AD88"/>
      <c r="AE88" s="49"/>
      <c r="AF88" s="38" t="s">
        <v>1434</v>
      </c>
      <c r="AG88" s="38" t="s">
        <v>56</v>
      </c>
      <c r="AH88" s="71">
        <v>2</v>
      </c>
      <c r="AI88" s="350">
        <v>3</v>
      </c>
      <c r="AJ88" s="152">
        <v>3</v>
      </c>
      <c r="AK88" s="152">
        <v>3</v>
      </c>
      <c r="AL88" s="350">
        <v>3</v>
      </c>
      <c r="AM88" s="350">
        <v>0</v>
      </c>
      <c r="AN88" s="349">
        <v>0</v>
      </c>
      <c r="AO88"/>
    </row>
    <row r="89" spans="1:41" ht="16.5">
      <c r="A89" s="49"/>
      <c r="B89" s="49"/>
      <c r="C89" s="38" t="s">
        <v>2067</v>
      </c>
      <c r="D89" s="38" t="s">
        <v>1401</v>
      </c>
      <c r="E89" s="45">
        <v>41736</v>
      </c>
      <c r="F89" s="46">
        <v>41743</v>
      </c>
      <c r="G89" s="38">
        <v>1</v>
      </c>
      <c r="H89" s="47">
        <v>1</v>
      </c>
      <c r="I89" s="48">
        <v>1</v>
      </c>
      <c r="J89" s="8" t="str">
        <f t="shared" si="1"/>
        <v>VBL아트인드림</v>
      </c>
      <c r="K89" s="49"/>
      <c r="L89" s="38" t="s">
        <v>39</v>
      </c>
      <c r="M89" s="38" t="s">
        <v>1409</v>
      </c>
      <c r="N89" s="63">
        <v>3</v>
      </c>
      <c r="O89" s="141">
        <v>3</v>
      </c>
      <c r="P89" s="152">
        <v>3</v>
      </c>
      <c r="Q89" s="141">
        <v>0</v>
      </c>
      <c r="R89" s="155">
        <v>0</v>
      </c>
      <c r="S89"/>
      <c r="U89"/>
      <c r="W89"/>
      <c r="X89"/>
      <c r="Y89"/>
      <c r="Z89"/>
      <c r="AA89"/>
      <c r="AB89"/>
      <c r="AC89"/>
      <c r="AD89"/>
      <c r="AE89" s="49"/>
      <c r="AF89" s="50" t="s">
        <v>1461</v>
      </c>
      <c r="AG89" s="51"/>
      <c r="AH89" s="372">
        <v>2</v>
      </c>
      <c r="AI89" s="373">
        <v>3</v>
      </c>
      <c r="AJ89" s="368">
        <v>3</v>
      </c>
      <c r="AK89" s="368">
        <v>3</v>
      </c>
      <c r="AL89" s="157">
        <v>3</v>
      </c>
      <c r="AM89" s="373">
        <v>0</v>
      </c>
      <c r="AN89" s="158">
        <v>0</v>
      </c>
      <c r="AO89"/>
    </row>
    <row r="90" spans="1:41" ht="16.5">
      <c r="A90" s="49"/>
      <c r="B90" s="50" t="s">
        <v>1463</v>
      </c>
      <c r="C90" s="51"/>
      <c r="D90" s="51"/>
      <c r="E90" s="51"/>
      <c r="F90" s="51"/>
      <c r="G90" s="51"/>
      <c r="H90" s="52">
        <v>7</v>
      </c>
      <c r="I90" s="53">
        <v>7</v>
      </c>
      <c r="J90" s="8" t="str">
        <f t="shared" si="1"/>
        <v>URB대경</v>
      </c>
      <c r="K90" s="49"/>
      <c r="L90" s="38" t="s">
        <v>1101</v>
      </c>
      <c r="M90" s="38" t="s">
        <v>1401</v>
      </c>
      <c r="N90" s="63">
        <v>1</v>
      </c>
      <c r="O90" s="141">
        <v>1</v>
      </c>
      <c r="P90" s="152">
        <v>1</v>
      </c>
      <c r="Q90" s="141">
        <v>0</v>
      </c>
      <c r="R90" s="155">
        <v>0</v>
      </c>
      <c r="S90"/>
      <c r="U90"/>
      <c r="W90"/>
      <c r="X90"/>
      <c r="Y90"/>
      <c r="Z90"/>
      <c r="AA90"/>
      <c r="AB90"/>
      <c r="AC90"/>
      <c r="AD90"/>
      <c r="AE90" s="49"/>
      <c r="AF90" s="38" t="s">
        <v>1484</v>
      </c>
      <c r="AG90" s="38" t="s">
        <v>35</v>
      </c>
      <c r="AH90" s="71">
        <v>2.5</v>
      </c>
      <c r="AI90" s="350">
        <v>5</v>
      </c>
      <c r="AJ90" s="152">
        <v>5</v>
      </c>
      <c r="AK90" s="152">
        <v>5</v>
      </c>
      <c r="AL90" s="350">
        <v>5</v>
      </c>
      <c r="AM90" s="350">
        <v>0</v>
      </c>
      <c r="AN90" s="349">
        <v>0</v>
      </c>
      <c r="AO90"/>
    </row>
    <row r="91" spans="1:41" ht="16.5">
      <c r="A91" s="49"/>
      <c r="B91" s="38" t="s">
        <v>1789</v>
      </c>
      <c r="C91" s="38" t="s">
        <v>1882</v>
      </c>
      <c r="D91" s="38" t="s">
        <v>897</v>
      </c>
      <c r="E91" s="45">
        <v>41717</v>
      </c>
      <c r="F91" s="46">
        <v>41743</v>
      </c>
      <c r="G91" s="38">
        <v>1</v>
      </c>
      <c r="H91" s="47">
        <v>1</v>
      </c>
      <c r="I91" s="48">
        <v>1</v>
      </c>
      <c r="J91" s="8" t="str">
        <f t="shared" si="1"/>
        <v>아트인드림</v>
      </c>
      <c r="K91" s="49"/>
      <c r="L91" s="49"/>
      <c r="M91" s="65" t="s">
        <v>1409</v>
      </c>
      <c r="N91" s="66">
        <v>1</v>
      </c>
      <c r="O91" s="76">
        <v>1</v>
      </c>
      <c r="P91" s="153">
        <v>1</v>
      </c>
      <c r="Q91" s="76">
        <v>0</v>
      </c>
      <c r="R91" s="156">
        <v>0</v>
      </c>
      <c r="S91"/>
      <c r="U91"/>
      <c r="W91"/>
      <c r="X91"/>
      <c r="Y91"/>
      <c r="Z91"/>
      <c r="AA91"/>
      <c r="AB91"/>
      <c r="AC91"/>
      <c r="AD91"/>
      <c r="AE91" s="49"/>
      <c r="AF91" s="49"/>
      <c r="AG91" s="65" t="s">
        <v>56</v>
      </c>
      <c r="AH91" s="72">
        <v>0.5</v>
      </c>
      <c r="AI91" s="353">
        <v>1</v>
      </c>
      <c r="AJ91" s="153">
        <v>1</v>
      </c>
      <c r="AK91" s="153">
        <v>1</v>
      </c>
      <c r="AL91" s="353">
        <v>1</v>
      </c>
      <c r="AM91" s="353">
        <v>0</v>
      </c>
      <c r="AN91" s="354">
        <v>0</v>
      </c>
      <c r="AO91"/>
    </row>
    <row r="92" spans="1:41" ht="16.5">
      <c r="A92" s="49"/>
      <c r="B92" s="49"/>
      <c r="C92" s="38" t="s">
        <v>1883</v>
      </c>
      <c r="D92" s="38" t="s">
        <v>897</v>
      </c>
      <c r="E92" s="45">
        <v>41717</v>
      </c>
      <c r="F92" s="46">
        <v>41740</v>
      </c>
      <c r="G92" s="38">
        <v>0</v>
      </c>
      <c r="H92" s="47">
        <v>1</v>
      </c>
      <c r="I92" s="48">
        <v>0</v>
      </c>
      <c r="J92" s="8" t="str">
        <f t="shared" si="1"/>
        <v>TL 요약</v>
      </c>
      <c r="K92" s="50" t="s">
        <v>1463</v>
      </c>
      <c r="L92" s="51"/>
      <c r="M92" s="51"/>
      <c r="N92" s="145">
        <v>43</v>
      </c>
      <c r="O92" s="143">
        <v>37</v>
      </c>
      <c r="P92" s="152">
        <v>37</v>
      </c>
      <c r="Q92" s="143">
        <v>6</v>
      </c>
      <c r="R92" s="155">
        <v>6</v>
      </c>
      <c r="S92"/>
      <c r="U92"/>
      <c r="W92"/>
      <c r="X92"/>
      <c r="Y92"/>
      <c r="Z92"/>
      <c r="AA92"/>
      <c r="AB92"/>
      <c r="AC92"/>
      <c r="AD92"/>
      <c r="AE92" s="49"/>
      <c r="AF92" s="50" t="s">
        <v>1551</v>
      </c>
      <c r="AG92" s="51"/>
      <c r="AH92" s="372">
        <v>3</v>
      </c>
      <c r="AI92" s="373">
        <v>6</v>
      </c>
      <c r="AJ92" s="368">
        <v>6</v>
      </c>
      <c r="AK92" s="368">
        <v>6</v>
      </c>
      <c r="AL92" s="157">
        <v>6</v>
      </c>
      <c r="AM92" s="373">
        <v>0</v>
      </c>
      <c r="AN92" s="158">
        <v>0</v>
      </c>
      <c r="AO92"/>
    </row>
    <row r="93" spans="1:41" ht="16.5">
      <c r="A93" s="49"/>
      <c r="B93" s="49"/>
      <c r="C93" s="38" t="s">
        <v>1884</v>
      </c>
      <c r="D93" s="38" t="s">
        <v>897</v>
      </c>
      <c r="E93" s="45">
        <v>41717</v>
      </c>
      <c r="F93" s="46">
        <v>41743</v>
      </c>
      <c r="G93" s="38">
        <v>1</v>
      </c>
      <c r="H93" s="47">
        <v>1</v>
      </c>
      <c r="I93" s="48">
        <v>1</v>
      </c>
      <c r="J93" s="8" t="str">
        <f t="shared" si="1"/>
        <v>TPNOVFOREMOST</v>
      </c>
      <c r="K93" s="38" t="s">
        <v>28</v>
      </c>
      <c r="L93" s="38" t="s">
        <v>40</v>
      </c>
      <c r="M93" s="38" t="s">
        <v>6</v>
      </c>
      <c r="N93" s="63">
        <v>5</v>
      </c>
      <c r="O93" s="141">
        <v>5</v>
      </c>
      <c r="P93" s="152">
        <v>5</v>
      </c>
      <c r="Q93" s="141">
        <v>0</v>
      </c>
      <c r="R93" s="155">
        <v>0</v>
      </c>
      <c r="S93"/>
      <c r="U93"/>
      <c r="W93"/>
      <c r="X93"/>
      <c r="Y93"/>
      <c r="Z93"/>
      <c r="AA93"/>
      <c r="AB93"/>
      <c r="AC93"/>
      <c r="AD93"/>
      <c r="AE93" s="38" t="s">
        <v>51</v>
      </c>
      <c r="AF93" s="38" t="s">
        <v>44</v>
      </c>
      <c r="AG93" s="38" t="s">
        <v>38</v>
      </c>
      <c r="AH93" s="366">
        <v>7</v>
      </c>
      <c r="AI93" s="367">
        <v>7</v>
      </c>
      <c r="AJ93" s="368">
        <v>48</v>
      </c>
      <c r="AK93" s="368">
        <v>35</v>
      </c>
      <c r="AL93" s="350">
        <v>7</v>
      </c>
      <c r="AM93" s="367">
        <v>0</v>
      </c>
      <c r="AN93" s="349">
        <v>0</v>
      </c>
      <c r="AO93"/>
    </row>
    <row r="94" spans="1:41" ht="16.5">
      <c r="A94" s="49"/>
      <c r="B94" s="49"/>
      <c r="C94" s="38" t="s">
        <v>1885</v>
      </c>
      <c r="D94" s="38" t="s">
        <v>897</v>
      </c>
      <c r="E94" s="45">
        <v>41717</v>
      </c>
      <c r="F94" s="46">
        <v>41743</v>
      </c>
      <c r="G94" s="38">
        <v>1</v>
      </c>
      <c r="H94" s="47">
        <v>1</v>
      </c>
      <c r="I94" s="48">
        <v>1</v>
      </c>
      <c r="J94" s="8" t="str">
        <f t="shared" si="1"/>
        <v>ELS동일모자</v>
      </c>
      <c r="K94" s="49"/>
      <c r="L94" s="38" t="s">
        <v>3</v>
      </c>
      <c r="M94" s="38" t="s">
        <v>44</v>
      </c>
      <c r="N94" s="63">
        <v>3</v>
      </c>
      <c r="O94" s="141">
        <v>3</v>
      </c>
      <c r="P94" s="152">
        <v>3</v>
      </c>
      <c r="Q94" s="141">
        <v>0</v>
      </c>
      <c r="R94" s="155">
        <v>0</v>
      </c>
      <c r="S94"/>
      <c r="U94"/>
      <c r="W94"/>
      <c r="X94"/>
      <c r="Y94"/>
      <c r="Z94"/>
      <c r="AA94"/>
      <c r="AB94"/>
      <c r="AC94"/>
      <c r="AD94"/>
      <c r="AE94" s="49"/>
      <c r="AF94" s="50" t="s">
        <v>877</v>
      </c>
      <c r="AG94" s="51"/>
      <c r="AH94" s="372">
        <v>7</v>
      </c>
      <c r="AI94" s="373">
        <v>7</v>
      </c>
      <c r="AJ94" s="368">
        <v>48</v>
      </c>
      <c r="AK94" s="368">
        <v>35</v>
      </c>
      <c r="AL94" s="157">
        <v>7</v>
      </c>
      <c r="AM94" s="373">
        <v>0</v>
      </c>
      <c r="AN94" s="158">
        <v>0</v>
      </c>
      <c r="AO94"/>
    </row>
    <row r="95" spans="1:41" ht="16.5">
      <c r="A95" s="49"/>
      <c r="B95" s="49"/>
      <c r="C95" s="38" t="s">
        <v>1889</v>
      </c>
      <c r="D95" s="38" t="s">
        <v>1409</v>
      </c>
      <c r="E95" s="45">
        <v>41716</v>
      </c>
      <c r="F95" s="46">
        <v>41723</v>
      </c>
      <c r="G95" s="38">
        <v>1</v>
      </c>
      <c r="H95" s="47">
        <v>1</v>
      </c>
      <c r="I95" s="48">
        <v>1</v>
      </c>
      <c r="J95" s="8" t="str">
        <f t="shared" si="1"/>
        <v>FOREMOST</v>
      </c>
      <c r="K95" s="49"/>
      <c r="L95" s="49"/>
      <c r="M95" s="65" t="s">
        <v>6</v>
      </c>
      <c r="N95" s="66">
        <v>13</v>
      </c>
      <c r="O95" s="76">
        <v>7</v>
      </c>
      <c r="P95" s="153">
        <v>7</v>
      </c>
      <c r="Q95" s="76">
        <v>6</v>
      </c>
      <c r="R95" s="156">
        <v>6</v>
      </c>
      <c r="S95"/>
      <c r="U95"/>
      <c r="W95"/>
      <c r="X95"/>
      <c r="Y95"/>
      <c r="Z95"/>
      <c r="AA95"/>
      <c r="AB95"/>
      <c r="AC95"/>
      <c r="AD95"/>
      <c r="AE95" s="49"/>
      <c r="AF95" s="38" t="s">
        <v>6</v>
      </c>
      <c r="AG95" s="38" t="s">
        <v>56</v>
      </c>
      <c r="AH95" s="366">
        <v>9.1666666666666679</v>
      </c>
      <c r="AI95" s="367">
        <v>13</v>
      </c>
      <c r="AJ95" s="368">
        <v>49</v>
      </c>
      <c r="AK95" s="368">
        <v>41</v>
      </c>
      <c r="AL95" s="350">
        <v>13</v>
      </c>
      <c r="AM95" s="367">
        <v>3.1666666666666679</v>
      </c>
      <c r="AN95" s="349">
        <v>5</v>
      </c>
      <c r="AO95"/>
    </row>
    <row r="96" spans="1:41" ht="16.5">
      <c r="A96" s="49"/>
      <c r="B96" s="49"/>
      <c r="C96" s="38" t="s">
        <v>1890</v>
      </c>
      <c r="D96" s="38" t="s">
        <v>1409</v>
      </c>
      <c r="E96" s="45">
        <v>41716</v>
      </c>
      <c r="F96" s="46">
        <v>41723</v>
      </c>
      <c r="G96" s="38">
        <v>1</v>
      </c>
      <c r="H96" s="47">
        <v>1</v>
      </c>
      <c r="I96" s="48">
        <v>1</v>
      </c>
      <c r="J96" s="8" t="str">
        <f t="shared" si="1"/>
        <v>JILFOREMOST</v>
      </c>
      <c r="K96" s="49"/>
      <c r="L96" s="38" t="s">
        <v>32</v>
      </c>
      <c r="M96" s="38" t="s">
        <v>6</v>
      </c>
      <c r="N96" s="63">
        <v>17</v>
      </c>
      <c r="O96" s="141">
        <v>9</v>
      </c>
      <c r="P96" s="152">
        <v>9</v>
      </c>
      <c r="Q96" s="141">
        <v>8</v>
      </c>
      <c r="R96" s="155">
        <v>8</v>
      </c>
      <c r="S96"/>
      <c r="U96"/>
      <c r="W96"/>
      <c r="X96"/>
      <c r="Y96"/>
      <c r="Z96"/>
      <c r="AA96"/>
      <c r="AB96"/>
      <c r="AC96"/>
      <c r="AD96"/>
      <c r="AE96" s="49"/>
      <c r="AF96" s="49"/>
      <c r="AG96" s="65" t="s">
        <v>60</v>
      </c>
      <c r="AH96" s="369">
        <v>1</v>
      </c>
      <c r="AI96" s="370">
        <v>1</v>
      </c>
      <c r="AJ96" s="371">
        <v>3</v>
      </c>
      <c r="AK96" s="371">
        <v>3</v>
      </c>
      <c r="AL96" s="353">
        <v>1</v>
      </c>
      <c r="AM96" s="370">
        <v>0</v>
      </c>
      <c r="AN96" s="354">
        <v>0</v>
      </c>
      <c r="AO96"/>
    </row>
    <row r="97" spans="1:41" ht="16.5">
      <c r="A97" s="49"/>
      <c r="B97" s="50" t="s">
        <v>1825</v>
      </c>
      <c r="C97" s="51"/>
      <c r="D97" s="51"/>
      <c r="E97" s="51"/>
      <c r="F97" s="51"/>
      <c r="G97" s="51"/>
      <c r="H97" s="52">
        <v>6</v>
      </c>
      <c r="I97" s="53">
        <v>5</v>
      </c>
      <c r="J97" s="8" t="str">
        <f t="shared" si="1"/>
        <v>VBLFOREMOST</v>
      </c>
      <c r="K97" s="49"/>
      <c r="L97" s="38" t="s">
        <v>39</v>
      </c>
      <c r="M97" s="38" t="s">
        <v>6</v>
      </c>
      <c r="N97" s="63">
        <v>7</v>
      </c>
      <c r="O97" s="141">
        <v>7</v>
      </c>
      <c r="P97" s="152">
        <v>7</v>
      </c>
      <c r="Q97" s="141">
        <v>0</v>
      </c>
      <c r="R97" s="155">
        <v>0</v>
      </c>
      <c r="S97"/>
      <c r="U97"/>
      <c r="W97"/>
      <c r="X97"/>
      <c r="Y97"/>
      <c r="Z97"/>
      <c r="AA97"/>
      <c r="AB97"/>
      <c r="AC97"/>
      <c r="AD97"/>
      <c r="AE97" s="49"/>
      <c r="AF97" s="50" t="s">
        <v>879</v>
      </c>
      <c r="AG97" s="51"/>
      <c r="AH97" s="372">
        <v>10.166666666666668</v>
      </c>
      <c r="AI97" s="373">
        <v>14</v>
      </c>
      <c r="AJ97" s="368">
        <v>52</v>
      </c>
      <c r="AK97" s="368">
        <v>44</v>
      </c>
      <c r="AL97" s="157">
        <v>14</v>
      </c>
      <c r="AM97" s="373">
        <v>3.1666666666666679</v>
      </c>
      <c r="AN97" s="158">
        <v>5</v>
      </c>
      <c r="AO97"/>
    </row>
    <row r="98" spans="1:41" ht="16.5">
      <c r="A98" s="54" t="s">
        <v>1908</v>
      </c>
      <c r="B98" s="55"/>
      <c r="C98" s="55"/>
      <c r="D98" s="55"/>
      <c r="E98" s="55"/>
      <c r="F98" s="55"/>
      <c r="G98" s="55"/>
      <c r="H98" s="56">
        <v>26</v>
      </c>
      <c r="I98" s="57">
        <v>25</v>
      </c>
      <c r="J98" s="8" t="str">
        <f t="shared" si="1"/>
        <v>WTRFOREMOST</v>
      </c>
      <c r="K98" s="49"/>
      <c r="L98" s="38" t="s">
        <v>46</v>
      </c>
      <c r="M98" s="38" t="s">
        <v>6</v>
      </c>
      <c r="N98" s="63">
        <v>2</v>
      </c>
      <c r="O98" s="141">
        <v>2</v>
      </c>
      <c r="P98" s="152">
        <v>2</v>
      </c>
      <c r="Q98" s="141">
        <v>0</v>
      </c>
      <c r="R98" s="155">
        <v>0</v>
      </c>
      <c r="S98"/>
      <c r="U98"/>
      <c r="W98"/>
      <c r="X98"/>
      <c r="Y98"/>
      <c r="Z98"/>
      <c r="AA98"/>
      <c r="AB98"/>
      <c r="AC98"/>
      <c r="AD98"/>
      <c r="AE98" s="49"/>
      <c r="AF98" s="38" t="s">
        <v>1120</v>
      </c>
      <c r="AG98" s="38" t="s">
        <v>28</v>
      </c>
      <c r="AH98" s="366">
        <v>2</v>
      </c>
      <c r="AI98" s="367">
        <v>2</v>
      </c>
      <c r="AJ98" s="368">
        <v>9</v>
      </c>
      <c r="AK98" s="368">
        <v>9</v>
      </c>
      <c r="AL98" s="350">
        <v>2</v>
      </c>
      <c r="AM98" s="367">
        <v>0</v>
      </c>
      <c r="AN98" s="349">
        <v>0</v>
      </c>
      <c r="AO98"/>
    </row>
    <row r="99" spans="1:41" ht="16.5">
      <c r="A99" s="38" t="s">
        <v>787</v>
      </c>
      <c r="B99" s="38" t="s">
        <v>55</v>
      </c>
      <c r="C99" s="38" t="s">
        <v>1746</v>
      </c>
      <c r="D99" s="38" t="s">
        <v>6</v>
      </c>
      <c r="E99" s="45">
        <v>41701</v>
      </c>
      <c r="F99" s="46">
        <v>41757</v>
      </c>
      <c r="G99" s="38">
        <v>1</v>
      </c>
      <c r="H99" s="47">
        <v>1</v>
      </c>
      <c r="I99" s="48">
        <v>1</v>
      </c>
      <c r="J99" s="8" t="str">
        <f t="shared" si="1"/>
        <v>JOIKIDS FIRST TOYS</v>
      </c>
      <c r="K99" s="49"/>
      <c r="L99" s="38" t="s">
        <v>51</v>
      </c>
      <c r="M99" s="38" t="s">
        <v>1120</v>
      </c>
      <c r="N99" s="63">
        <v>2</v>
      </c>
      <c r="O99" s="141">
        <v>2</v>
      </c>
      <c r="P99" s="152">
        <v>2</v>
      </c>
      <c r="Q99" s="141">
        <v>0</v>
      </c>
      <c r="R99" s="155">
        <v>0</v>
      </c>
      <c r="S99"/>
      <c r="U99"/>
      <c r="W99"/>
      <c r="X99"/>
      <c r="Y99"/>
      <c r="Z99"/>
      <c r="AA99"/>
      <c r="AB99"/>
      <c r="AC99"/>
      <c r="AD99"/>
      <c r="AE99" s="49"/>
      <c r="AF99" s="49"/>
      <c r="AG99" s="65" t="s">
        <v>56</v>
      </c>
      <c r="AH99" s="369">
        <v>2.5</v>
      </c>
      <c r="AI99" s="370">
        <v>5</v>
      </c>
      <c r="AJ99" s="371">
        <v>15</v>
      </c>
      <c r="AK99" s="371">
        <v>15</v>
      </c>
      <c r="AL99" s="353">
        <v>5</v>
      </c>
      <c r="AM99" s="370">
        <v>1.5</v>
      </c>
      <c r="AN99" s="354">
        <v>3</v>
      </c>
      <c r="AO99"/>
    </row>
    <row r="100" spans="1:41" ht="16.5">
      <c r="A100" s="49"/>
      <c r="B100" s="50" t="s">
        <v>1349</v>
      </c>
      <c r="C100" s="51"/>
      <c r="D100" s="51"/>
      <c r="E100" s="51"/>
      <c r="F100" s="51"/>
      <c r="G100" s="51"/>
      <c r="H100" s="52">
        <v>1</v>
      </c>
      <c r="I100" s="53">
        <v>1</v>
      </c>
      <c r="J100" s="8" t="str">
        <f t="shared" si="1"/>
        <v>URBQF</v>
      </c>
      <c r="K100" s="49"/>
      <c r="L100" s="38" t="s">
        <v>1101</v>
      </c>
      <c r="M100" s="38" t="s">
        <v>792</v>
      </c>
      <c r="N100" s="63">
        <v>2</v>
      </c>
      <c r="O100" s="141">
        <v>2</v>
      </c>
      <c r="P100" s="152">
        <v>4</v>
      </c>
      <c r="Q100" s="141">
        <v>0</v>
      </c>
      <c r="R100" s="155">
        <v>0</v>
      </c>
      <c r="S100"/>
      <c r="U100"/>
      <c r="W100"/>
      <c r="X100"/>
      <c r="Y100"/>
      <c r="Z100"/>
      <c r="AA100"/>
      <c r="AB100"/>
      <c r="AC100"/>
      <c r="AD100"/>
      <c r="AE100" s="49"/>
      <c r="AF100" s="49"/>
      <c r="AG100" s="65" t="s">
        <v>60</v>
      </c>
      <c r="AH100" s="369">
        <v>1</v>
      </c>
      <c r="AI100" s="370">
        <v>1</v>
      </c>
      <c r="AJ100" s="371">
        <v>2</v>
      </c>
      <c r="AK100" s="371">
        <v>2</v>
      </c>
      <c r="AL100" s="353">
        <v>1</v>
      </c>
      <c r="AM100" s="370">
        <v>0</v>
      </c>
      <c r="AN100" s="354">
        <v>0</v>
      </c>
      <c r="AO100"/>
    </row>
    <row r="101" spans="1:41" ht="16.5">
      <c r="A101" s="49"/>
      <c r="B101" s="38" t="s">
        <v>379</v>
      </c>
      <c r="C101" s="38" t="s">
        <v>2180</v>
      </c>
      <c r="D101" s="38" t="s">
        <v>1415</v>
      </c>
      <c r="E101" s="45">
        <v>41758</v>
      </c>
      <c r="F101" s="46">
        <v>41786</v>
      </c>
      <c r="G101" s="38">
        <v>0</v>
      </c>
      <c r="H101" s="47">
        <v>1</v>
      </c>
      <c r="I101" s="48">
        <v>0</v>
      </c>
      <c r="J101" s="8" t="str">
        <f t="shared" si="1"/>
        <v>J&amp;F</v>
      </c>
      <c r="K101" s="49"/>
      <c r="L101" s="49"/>
      <c r="M101" s="65" t="s">
        <v>1365</v>
      </c>
      <c r="N101" s="66">
        <v>2</v>
      </c>
      <c r="O101" s="76">
        <v>2</v>
      </c>
      <c r="P101" s="153">
        <v>4</v>
      </c>
      <c r="Q101" s="76">
        <v>0</v>
      </c>
      <c r="R101" s="156">
        <v>0</v>
      </c>
      <c r="S101"/>
      <c r="U101"/>
      <c r="W101"/>
      <c r="X101"/>
      <c r="Y101"/>
      <c r="Z101"/>
      <c r="AA101"/>
      <c r="AB101"/>
      <c r="AC101"/>
      <c r="AD101"/>
      <c r="AE101" s="49"/>
      <c r="AF101" s="50" t="s">
        <v>1121</v>
      </c>
      <c r="AG101" s="51"/>
      <c r="AH101" s="372">
        <v>5.5</v>
      </c>
      <c r="AI101" s="373">
        <v>8</v>
      </c>
      <c r="AJ101" s="368">
        <v>26</v>
      </c>
      <c r="AK101" s="368">
        <v>26</v>
      </c>
      <c r="AL101" s="157">
        <v>8</v>
      </c>
      <c r="AM101" s="373">
        <v>1.5</v>
      </c>
      <c r="AN101" s="158">
        <v>3</v>
      </c>
      <c r="AO101"/>
    </row>
    <row r="102" spans="1:41" ht="16.5">
      <c r="A102" s="49"/>
      <c r="B102" s="49"/>
      <c r="C102" s="38" t="s">
        <v>2181</v>
      </c>
      <c r="D102" s="38" t="s">
        <v>6</v>
      </c>
      <c r="E102" s="45">
        <v>41758</v>
      </c>
      <c r="F102" s="46">
        <v>41786</v>
      </c>
      <c r="G102" s="38">
        <v>0</v>
      </c>
      <c r="H102" s="47">
        <v>1</v>
      </c>
      <c r="I102" s="48">
        <v>0</v>
      </c>
      <c r="J102" s="8" t="str">
        <f t="shared" si="1"/>
        <v>DPSFOREMOST</v>
      </c>
      <c r="K102" s="49"/>
      <c r="L102" s="38" t="s">
        <v>1772</v>
      </c>
      <c r="M102" s="38" t="s">
        <v>6</v>
      </c>
      <c r="N102" s="63">
        <v>4</v>
      </c>
      <c r="O102" s="141">
        <v>4</v>
      </c>
      <c r="P102" s="152">
        <v>4</v>
      </c>
      <c r="Q102" s="141">
        <v>0</v>
      </c>
      <c r="R102" s="155">
        <v>0</v>
      </c>
      <c r="S102"/>
      <c r="U102"/>
      <c r="W102"/>
      <c r="X102"/>
      <c r="Y102"/>
      <c r="Z102"/>
      <c r="AA102"/>
      <c r="AB102"/>
      <c r="AC102"/>
      <c r="AD102"/>
      <c r="AE102" s="49"/>
      <c r="AF102" s="38" t="s">
        <v>1434</v>
      </c>
      <c r="AG102" s="38" t="s">
        <v>56</v>
      </c>
      <c r="AH102" s="366">
        <v>0.66666666666666663</v>
      </c>
      <c r="AI102" s="367">
        <v>2</v>
      </c>
      <c r="AJ102" s="368"/>
      <c r="AK102" s="368"/>
      <c r="AL102" s="350">
        <v>2</v>
      </c>
      <c r="AM102" s="367">
        <v>-0.33333333333333337</v>
      </c>
      <c r="AN102" s="349">
        <v>0</v>
      </c>
      <c r="AO102"/>
    </row>
    <row r="103" spans="1:41" ht="16.5">
      <c r="A103" s="49"/>
      <c r="B103" s="49"/>
      <c r="C103" s="38" t="s">
        <v>2182</v>
      </c>
      <c r="D103" s="38" t="s">
        <v>6</v>
      </c>
      <c r="E103" s="45">
        <v>41758</v>
      </c>
      <c r="F103" s="46">
        <v>41786</v>
      </c>
      <c r="G103" s="38">
        <v>0</v>
      </c>
      <c r="H103" s="47">
        <v>1</v>
      </c>
      <c r="I103" s="48">
        <v>0</v>
      </c>
      <c r="J103" s="8" t="str">
        <f t="shared" si="1"/>
        <v>TP 요약</v>
      </c>
      <c r="K103" s="50" t="s">
        <v>1348</v>
      </c>
      <c r="L103" s="51"/>
      <c r="M103" s="51"/>
      <c r="N103" s="145">
        <v>57</v>
      </c>
      <c r="O103" s="143">
        <v>43</v>
      </c>
      <c r="P103" s="152">
        <v>47</v>
      </c>
      <c r="Q103" s="143">
        <v>14</v>
      </c>
      <c r="R103" s="155">
        <v>14</v>
      </c>
      <c r="S103"/>
      <c r="U103"/>
      <c r="W103"/>
      <c r="X103"/>
      <c r="Y103"/>
      <c r="Z103"/>
      <c r="AA103"/>
      <c r="AB103"/>
      <c r="AC103"/>
      <c r="AD103"/>
      <c r="AE103" s="49"/>
      <c r="AF103" s="50" t="s">
        <v>1461</v>
      </c>
      <c r="AG103" s="51"/>
      <c r="AH103" s="372">
        <v>0.66666666666666663</v>
      </c>
      <c r="AI103" s="373">
        <v>2</v>
      </c>
      <c r="AJ103" s="368"/>
      <c r="AK103" s="368"/>
      <c r="AL103" s="157">
        <v>2</v>
      </c>
      <c r="AM103" s="373">
        <v>-0.33333333333333337</v>
      </c>
      <c r="AN103" s="158">
        <v>0</v>
      </c>
      <c r="AO103"/>
    </row>
    <row r="104" spans="1:41" ht="16.5">
      <c r="A104" s="49"/>
      <c r="B104" s="49"/>
      <c r="C104" s="38" t="s">
        <v>2183</v>
      </c>
      <c r="D104" s="38" t="s">
        <v>6</v>
      </c>
      <c r="E104" s="45">
        <v>41758</v>
      </c>
      <c r="F104" s="46">
        <v>41786</v>
      </c>
      <c r="G104" s="38">
        <v>0</v>
      </c>
      <c r="H104" s="47">
        <v>1</v>
      </c>
      <c r="I104" s="48">
        <v>0</v>
      </c>
      <c r="J104" s="8" t="str">
        <f t="shared" si="1"/>
        <v>(비어 있음)(비어 있음)(비어 있음)</v>
      </c>
      <c r="K104" s="38" t="s">
        <v>1218</v>
      </c>
      <c r="L104" s="38" t="s">
        <v>1218</v>
      </c>
      <c r="M104" s="38" t="s">
        <v>1218</v>
      </c>
      <c r="N104" s="63"/>
      <c r="O104" s="141"/>
      <c r="P104" s="152"/>
      <c r="Q104" s="141">
        <v>0</v>
      </c>
      <c r="R104" s="155">
        <v>0</v>
      </c>
      <c r="S104"/>
      <c r="U104"/>
      <c r="W104"/>
      <c r="X104"/>
      <c r="Y104"/>
      <c r="Z104"/>
      <c r="AA104"/>
      <c r="AB104"/>
      <c r="AC104"/>
      <c r="AD104"/>
      <c r="AE104" s="49"/>
      <c r="AF104" s="38" t="s">
        <v>2195</v>
      </c>
      <c r="AG104" s="38" t="s">
        <v>56</v>
      </c>
      <c r="AH104" s="366">
        <v>0.66666666666666663</v>
      </c>
      <c r="AI104" s="367">
        <v>2</v>
      </c>
      <c r="AJ104" s="368"/>
      <c r="AK104" s="368"/>
      <c r="AL104" s="350">
        <v>2</v>
      </c>
      <c r="AM104" s="367">
        <v>0.66666666666666663</v>
      </c>
      <c r="AN104" s="349">
        <v>2</v>
      </c>
      <c r="AO104"/>
    </row>
    <row r="105" spans="1:41" ht="16.5">
      <c r="A105" s="49"/>
      <c r="B105" s="50" t="s">
        <v>2268</v>
      </c>
      <c r="C105" s="51"/>
      <c r="D105" s="51"/>
      <c r="E105" s="51"/>
      <c r="F105" s="51"/>
      <c r="G105" s="51"/>
      <c r="H105" s="52">
        <v>4</v>
      </c>
      <c r="I105" s="53">
        <v>0</v>
      </c>
      <c r="J105" s="8" t="str">
        <f t="shared" si="1"/>
        <v>(비어 있음) 요약</v>
      </c>
      <c r="K105" s="50" t="s">
        <v>1219</v>
      </c>
      <c r="L105" s="51"/>
      <c r="M105" s="51"/>
      <c r="N105" s="145"/>
      <c r="O105" s="143"/>
      <c r="P105" s="152"/>
      <c r="Q105" s="143">
        <v>0</v>
      </c>
      <c r="R105" s="155">
        <v>0</v>
      </c>
      <c r="S105"/>
      <c r="U105"/>
      <c r="W105"/>
      <c r="X105"/>
      <c r="Y105"/>
      <c r="Z105"/>
      <c r="AA105"/>
      <c r="AB105"/>
      <c r="AC105"/>
      <c r="AD105"/>
      <c r="AE105" s="49"/>
      <c r="AF105" s="50" t="s">
        <v>2269</v>
      </c>
      <c r="AG105" s="51"/>
      <c r="AH105" s="372">
        <v>0.66666666666666663</v>
      </c>
      <c r="AI105" s="373">
        <v>2</v>
      </c>
      <c r="AJ105" s="368"/>
      <c r="AK105" s="368"/>
      <c r="AL105" s="157">
        <v>2</v>
      </c>
      <c r="AM105" s="373">
        <v>0.66666666666666663</v>
      </c>
      <c r="AN105" s="158">
        <v>2</v>
      </c>
      <c r="AO105"/>
    </row>
    <row r="106" spans="1:41" ht="16.5">
      <c r="A106" s="54" t="s">
        <v>2026</v>
      </c>
      <c r="B106" s="55"/>
      <c r="C106" s="55"/>
      <c r="D106" s="55"/>
      <c r="E106" s="55"/>
      <c r="F106" s="55"/>
      <c r="G106" s="55"/>
      <c r="H106" s="56">
        <v>5</v>
      </c>
      <c r="I106" s="57">
        <v>1</v>
      </c>
      <c r="J106" s="8" t="str">
        <f t="shared" si="1"/>
        <v>FIELS동일모자</v>
      </c>
      <c r="K106" s="38" t="s">
        <v>50</v>
      </c>
      <c r="L106" s="38" t="s">
        <v>3</v>
      </c>
      <c r="M106" s="38" t="s">
        <v>44</v>
      </c>
      <c r="N106" s="63">
        <v>4</v>
      </c>
      <c r="O106" s="141">
        <v>4</v>
      </c>
      <c r="P106" s="152">
        <v>4</v>
      </c>
      <c r="Q106" s="141">
        <v>0</v>
      </c>
      <c r="R106" s="155">
        <v>0</v>
      </c>
      <c r="S106"/>
      <c r="U106"/>
      <c r="W106"/>
      <c r="X106"/>
      <c r="Y106"/>
      <c r="Z106"/>
      <c r="AA106"/>
      <c r="AB106"/>
      <c r="AC106"/>
      <c r="AD106"/>
      <c r="AE106" s="38" t="s">
        <v>1095</v>
      </c>
      <c r="AF106" s="38" t="s">
        <v>1120</v>
      </c>
      <c r="AG106" s="38" t="s">
        <v>31</v>
      </c>
      <c r="AH106" s="366">
        <v>3</v>
      </c>
      <c r="AI106" s="367">
        <v>3</v>
      </c>
      <c r="AJ106" s="368">
        <v>18</v>
      </c>
      <c r="AK106" s="368">
        <v>17</v>
      </c>
      <c r="AL106" s="350">
        <v>3</v>
      </c>
      <c r="AM106" s="367">
        <v>3</v>
      </c>
      <c r="AN106" s="349">
        <v>3</v>
      </c>
      <c r="AO106"/>
    </row>
    <row r="107" spans="1:41" ht="16.5">
      <c r="A107" s="38" t="s">
        <v>52</v>
      </c>
      <c r="B107" s="38" t="s">
        <v>358</v>
      </c>
      <c r="C107" s="38" t="s">
        <v>1971</v>
      </c>
      <c r="D107" s="38" t="s">
        <v>1120</v>
      </c>
      <c r="E107" s="45">
        <v>41722</v>
      </c>
      <c r="F107" s="46">
        <v>41779</v>
      </c>
      <c r="G107" s="38">
        <v>0</v>
      </c>
      <c r="H107" s="47">
        <v>1</v>
      </c>
      <c r="I107" s="48">
        <v>0</v>
      </c>
      <c r="J107" s="8" t="str">
        <f t="shared" si="1"/>
        <v>성진</v>
      </c>
      <c r="K107" s="49"/>
      <c r="L107" s="49"/>
      <c r="M107" s="65" t="s">
        <v>48</v>
      </c>
      <c r="N107" s="66">
        <v>9</v>
      </c>
      <c r="O107" s="76">
        <v>9</v>
      </c>
      <c r="P107" s="153">
        <v>9</v>
      </c>
      <c r="Q107" s="76">
        <v>0</v>
      </c>
      <c r="R107" s="156">
        <v>0</v>
      </c>
      <c r="S107"/>
      <c r="U107"/>
      <c r="W107"/>
      <c r="X107"/>
      <c r="Y107"/>
      <c r="Z107"/>
      <c r="AA107"/>
      <c r="AB107"/>
      <c r="AC107"/>
      <c r="AD107"/>
      <c r="AE107" s="49"/>
      <c r="AF107" s="50" t="s">
        <v>1121</v>
      </c>
      <c r="AG107" s="51"/>
      <c r="AH107" s="372">
        <v>3</v>
      </c>
      <c r="AI107" s="373">
        <v>3</v>
      </c>
      <c r="AJ107" s="368">
        <v>18</v>
      </c>
      <c r="AK107" s="368">
        <v>17</v>
      </c>
      <c r="AL107" s="157">
        <v>3</v>
      </c>
      <c r="AM107" s="373">
        <v>3</v>
      </c>
      <c r="AN107" s="158">
        <v>3</v>
      </c>
      <c r="AO107"/>
    </row>
    <row r="108" spans="1:41" ht="16.5">
      <c r="A108" s="49"/>
      <c r="B108" s="50" t="s">
        <v>2029</v>
      </c>
      <c r="C108" s="51"/>
      <c r="D108" s="51"/>
      <c r="E108" s="51"/>
      <c r="F108" s="51"/>
      <c r="G108" s="51"/>
      <c r="H108" s="52">
        <v>1</v>
      </c>
      <c r="I108" s="53">
        <v>0</v>
      </c>
      <c r="J108" s="8" t="str">
        <f t="shared" si="1"/>
        <v>QF</v>
      </c>
      <c r="K108" s="49"/>
      <c r="L108" s="49"/>
      <c r="M108" s="65" t="s">
        <v>792</v>
      </c>
      <c r="N108" s="66">
        <v>5</v>
      </c>
      <c r="O108" s="76">
        <v>2</v>
      </c>
      <c r="P108" s="153">
        <v>2</v>
      </c>
      <c r="Q108" s="76">
        <v>3</v>
      </c>
      <c r="R108" s="156">
        <v>3</v>
      </c>
      <c r="S108"/>
      <c r="U108"/>
      <c r="W108"/>
      <c r="X108"/>
      <c r="Y108"/>
      <c r="Z108"/>
      <c r="AA108"/>
      <c r="AB108"/>
      <c r="AC108"/>
      <c r="AD108"/>
      <c r="AE108" s="38" t="s">
        <v>52</v>
      </c>
      <c r="AF108" s="38" t="s">
        <v>6</v>
      </c>
      <c r="AG108" s="38" t="s">
        <v>249</v>
      </c>
      <c r="AH108" s="366">
        <v>6</v>
      </c>
      <c r="AI108" s="367">
        <v>10</v>
      </c>
      <c r="AJ108" s="368">
        <v>43</v>
      </c>
      <c r="AK108" s="368">
        <v>43</v>
      </c>
      <c r="AL108" s="350">
        <v>10</v>
      </c>
      <c r="AM108" s="367">
        <v>-1.5</v>
      </c>
      <c r="AN108" s="349">
        <v>0</v>
      </c>
      <c r="AO108"/>
    </row>
    <row r="109" spans="1:41" ht="16.5">
      <c r="A109" s="49"/>
      <c r="B109" s="38" t="s">
        <v>249</v>
      </c>
      <c r="C109" s="38" t="s">
        <v>1961</v>
      </c>
      <c r="D109" s="38" t="s">
        <v>6</v>
      </c>
      <c r="E109" s="45">
        <v>41722</v>
      </c>
      <c r="F109" s="46">
        <v>41768</v>
      </c>
      <c r="G109" s="38">
        <v>1</v>
      </c>
      <c r="H109" s="47">
        <v>0.5</v>
      </c>
      <c r="I109" s="48">
        <v>1</v>
      </c>
      <c r="J109" s="8" t="str">
        <f t="shared" si="1"/>
        <v>PLA성진</v>
      </c>
      <c r="K109" s="49"/>
      <c r="L109" s="38" t="s">
        <v>61</v>
      </c>
      <c r="M109" s="38" t="s">
        <v>48</v>
      </c>
      <c r="N109" s="63">
        <v>16</v>
      </c>
      <c r="O109" s="141">
        <v>11</v>
      </c>
      <c r="P109" s="152">
        <v>11</v>
      </c>
      <c r="Q109" s="141">
        <v>5</v>
      </c>
      <c r="R109" s="155">
        <v>5</v>
      </c>
      <c r="S109"/>
      <c r="U109"/>
      <c r="W109"/>
      <c r="X109"/>
      <c r="Y109"/>
      <c r="Z109"/>
      <c r="AA109"/>
      <c r="AB109"/>
      <c r="AC109"/>
      <c r="AD109"/>
      <c r="AE109" s="49"/>
      <c r="AF109" s="50" t="s">
        <v>879</v>
      </c>
      <c r="AG109" s="51"/>
      <c r="AH109" s="372">
        <v>6</v>
      </c>
      <c r="AI109" s="373">
        <v>10</v>
      </c>
      <c r="AJ109" s="368">
        <v>43</v>
      </c>
      <c r="AK109" s="368">
        <v>43</v>
      </c>
      <c r="AL109" s="157">
        <v>10</v>
      </c>
      <c r="AM109" s="373">
        <v>-1.5</v>
      </c>
      <c r="AN109" s="158">
        <v>0</v>
      </c>
      <c r="AO109"/>
    </row>
    <row r="110" spans="1:41" ht="16.5">
      <c r="A110" s="49"/>
      <c r="B110" s="49"/>
      <c r="C110" s="49"/>
      <c r="D110" s="38" t="s">
        <v>1120</v>
      </c>
      <c r="E110" s="45">
        <v>41724</v>
      </c>
      <c r="F110" s="46">
        <v>41779</v>
      </c>
      <c r="G110" s="38">
        <v>0</v>
      </c>
      <c r="H110" s="47">
        <v>0.5</v>
      </c>
      <c r="I110" s="48">
        <v>0</v>
      </c>
      <c r="J110" s="8" t="str">
        <f t="shared" si="1"/>
        <v>SMB동일모자</v>
      </c>
      <c r="K110" s="49"/>
      <c r="L110" s="38" t="s">
        <v>47</v>
      </c>
      <c r="M110" s="38" t="s">
        <v>44</v>
      </c>
      <c r="N110" s="63">
        <v>4.5</v>
      </c>
      <c r="O110" s="141">
        <v>4.5</v>
      </c>
      <c r="P110" s="152">
        <v>5</v>
      </c>
      <c r="Q110" s="141">
        <v>0</v>
      </c>
      <c r="R110" s="155">
        <v>0</v>
      </c>
      <c r="S110"/>
      <c r="U110"/>
      <c r="W110"/>
      <c r="X110"/>
      <c r="Y110"/>
      <c r="Z110"/>
      <c r="AA110"/>
      <c r="AB110"/>
      <c r="AC110"/>
      <c r="AD110"/>
      <c r="AE110" s="49"/>
      <c r="AF110" s="38" t="s">
        <v>1120</v>
      </c>
      <c r="AG110" s="38" t="s">
        <v>358</v>
      </c>
      <c r="AH110" s="366">
        <v>1</v>
      </c>
      <c r="AI110" s="367">
        <v>1</v>
      </c>
      <c r="AJ110" s="368">
        <v>5</v>
      </c>
      <c r="AK110" s="368">
        <v>5</v>
      </c>
      <c r="AL110" s="350">
        <v>1</v>
      </c>
      <c r="AM110" s="367">
        <v>1</v>
      </c>
      <c r="AN110" s="349">
        <v>1</v>
      </c>
      <c r="AO110"/>
    </row>
    <row r="111" spans="1:41" ht="16.5">
      <c r="A111" s="49"/>
      <c r="B111" s="49"/>
      <c r="C111" s="38" t="s">
        <v>1962</v>
      </c>
      <c r="D111" s="38" t="s">
        <v>6</v>
      </c>
      <c r="E111" s="45">
        <v>41722</v>
      </c>
      <c r="F111" s="46">
        <v>41753</v>
      </c>
      <c r="G111" s="38">
        <v>1</v>
      </c>
      <c r="H111" s="47">
        <v>0.5</v>
      </c>
      <c r="I111" s="48">
        <v>1</v>
      </c>
      <c r="J111" s="8" t="str">
        <f t="shared" si="1"/>
        <v>성진</v>
      </c>
      <c r="K111" s="49"/>
      <c r="L111" s="49"/>
      <c r="M111" s="65" t="s">
        <v>48</v>
      </c>
      <c r="N111" s="66">
        <v>4</v>
      </c>
      <c r="O111" s="76">
        <v>4</v>
      </c>
      <c r="P111" s="153">
        <v>4</v>
      </c>
      <c r="Q111" s="76">
        <v>0</v>
      </c>
      <c r="R111" s="156">
        <v>0</v>
      </c>
      <c r="S111"/>
      <c r="U111"/>
      <c r="W111"/>
      <c r="X111"/>
      <c r="Y111"/>
      <c r="Z111"/>
      <c r="AA111"/>
      <c r="AB111"/>
      <c r="AC111"/>
      <c r="AD111"/>
      <c r="AE111" s="49"/>
      <c r="AF111" s="49"/>
      <c r="AG111" s="65" t="s">
        <v>249</v>
      </c>
      <c r="AH111" s="369">
        <v>12</v>
      </c>
      <c r="AI111" s="370">
        <v>16</v>
      </c>
      <c r="AJ111" s="371">
        <v>74</v>
      </c>
      <c r="AK111" s="371">
        <v>71</v>
      </c>
      <c r="AL111" s="353">
        <v>16</v>
      </c>
      <c r="AM111" s="370">
        <v>9.5</v>
      </c>
      <c r="AN111" s="354">
        <v>11</v>
      </c>
      <c r="AO111"/>
    </row>
    <row r="112" spans="1:41" ht="16.5">
      <c r="A112" s="49"/>
      <c r="B112" s="49"/>
      <c r="C112" s="49"/>
      <c r="D112" s="38" t="s">
        <v>1120</v>
      </c>
      <c r="E112" s="45">
        <v>41724</v>
      </c>
      <c r="F112" s="46">
        <v>41779</v>
      </c>
      <c r="G112" s="38">
        <v>0</v>
      </c>
      <c r="H112" s="47">
        <v>0.5</v>
      </c>
      <c r="I112" s="48">
        <v>0</v>
      </c>
      <c r="J112" s="8" t="str">
        <f t="shared" si="1"/>
        <v>QF</v>
      </c>
      <c r="K112" s="49"/>
      <c r="L112" s="49"/>
      <c r="M112" s="65" t="s">
        <v>792</v>
      </c>
      <c r="N112" s="66">
        <v>14.5</v>
      </c>
      <c r="O112" s="76">
        <v>14.5</v>
      </c>
      <c r="P112" s="153">
        <v>15</v>
      </c>
      <c r="Q112" s="76">
        <v>0</v>
      </c>
      <c r="R112" s="156">
        <v>0</v>
      </c>
      <c r="S112"/>
      <c r="U112"/>
      <c r="W112"/>
      <c r="X112"/>
      <c r="Y112"/>
      <c r="Z112"/>
      <c r="AA112"/>
      <c r="AB112"/>
      <c r="AC112"/>
      <c r="AD112"/>
      <c r="AE112" s="49"/>
      <c r="AF112" s="50" t="s">
        <v>1121</v>
      </c>
      <c r="AG112" s="51"/>
      <c r="AH112" s="372">
        <v>13</v>
      </c>
      <c r="AI112" s="373">
        <v>17</v>
      </c>
      <c r="AJ112" s="368">
        <v>79</v>
      </c>
      <c r="AK112" s="368">
        <v>76</v>
      </c>
      <c r="AL112" s="157">
        <v>17</v>
      </c>
      <c r="AM112" s="373">
        <v>10.5</v>
      </c>
      <c r="AN112" s="158">
        <v>12</v>
      </c>
      <c r="AO112"/>
    </row>
    <row r="113" spans="1:41" ht="16.5">
      <c r="A113" s="49"/>
      <c r="B113" s="49"/>
      <c r="C113" s="38" t="s">
        <v>1963</v>
      </c>
      <c r="D113" s="38" t="s">
        <v>6</v>
      </c>
      <c r="E113" s="45">
        <v>41722</v>
      </c>
      <c r="F113" s="46">
        <v>41753</v>
      </c>
      <c r="G113" s="38">
        <v>1</v>
      </c>
      <c r="H113" s="47">
        <v>0.5</v>
      </c>
      <c r="I113" s="48">
        <v>1</v>
      </c>
      <c r="J113" s="8" t="str">
        <f t="shared" si="1"/>
        <v>캡보이2</v>
      </c>
      <c r="K113" s="49"/>
      <c r="L113" s="49"/>
      <c r="M113" s="65" t="s">
        <v>1305</v>
      </c>
      <c r="N113" s="66">
        <v>1</v>
      </c>
      <c r="O113" s="76">
        <v>1</v>
      </c>
      <c r="P113" s="153">
        <v>1</v>
      </c>
      <c r="Q113" s="76">
        <v>0</v>
      </c>
      <c r="R113" s="156">
        <v>0</v>
      </c>
      <c r="S113"/>
      <c r="U113"/>
      <c r="W113"/>
      <c r="X113"/>
      <c r="Y113"/>
      <c r="Z113"/>
      <c r="AA113"/>
      <c r="AB113"/>
      <c r="AC113"/>
      <c r="AD113"/>
      <c r="AE113" s="38" t="s">
        <v>1096</v>
      </c>
      <c r="AF113" s="38" t="s">
        <v>48</v>
      </c>
      <c r="AG113" s="38" t="s">
        <v>50</v>
      </c>
      <c r="AH113" s="366">
        <v>10</v>
      </c>
      <c r="AI113" s="367">
        <v>11</v>
      </c>
      <c r="AJ113" s="368"/>
      <c r="AK113" s="368"/>
      <c r="AL113" s="350">
        <v>11</v>
      </c>
      <c r="AM113" s="367">
        <v>0</v>
      </c>
      <c r="AN113" s="349">
        <v>0</v>
      </c>
      <c r="AO113"/>
    </row>
    <row r="114" spans="1:41" ht="16.5">
      <c r="A114" s="49"/>
      <c r="B114" s="49"/>
      <c r="C114" s="49"/>
      <c r="D114" s="38" t="s">
        <v>1120</v>
      </c>
      <c r="E114" s="45">
        <v>41724</v>
      </c>
      <c r="F114" s="46">
        <v>41779</v>
      </c>
      <c r="G114" s="38">
        <v>0</v>
      </c>
      <c r="H114" s="47">
        <v>0.5</v>
      </c>
      <c r="I114" s="48">
        <v>0</v>
      </c>
      <c r="J114" s="8" t="str">
        <f t="shared" si="1"/>
        <v>BMD동일모자</v>
      </c>
      <c r="K114" s="49"/>
      <c r="L114" s="38" t="s">
        <v>53</v>
      </c>
      <c r="M114" s="38" t="s">
        <v>44</v>
      </c>
      <c r="N114" s="63">
        <v>2</v>
      </c>
      <c r="O114" s="141">
        <v>2</v>
      </c>
      <c r="P114" s="152">
        <v>2</v>
      </c>
      <c r="Q114" s="141">
        <v>0</v>
      </c>
      <c r="R114" s="155">
        <v>0</v>
      </c>
      <c r="S114"/>
      <c r="U114"/>
      <c r="W114"/>
      <c r="X114"/>
      <c r="Y114"/>
      <c r="Z114"/>
      <c r="AA114"/>
      <c r="AB114"/>
      <c r="AC114"/>
      <c r="AD114"/>
      <c r="AE114" s="49"/>
      <c r="AF114" s="50" t="s">
        <v>878</v>
      </c>
      <c r="AG114" s="51"/>
      <c r="AH114" s="372">
        <v>10</v>
      </c>
      <c r="AI114" s="373">
        <v>11</v>
      </c>
      <c r="AJ114" s="368"/>
      <c r="AK114" s="368"/>
      <c r="AL114" s="157">
        <v>11</v>
      </c>
      <c r="AM114" s="373">
        <v>0</v>
      </c>
      <c r="AN114" s="158">
        <v>0</v>
      </c>
      <c r="AO114"/>
    </row>
    <row r="115" spans="1:41" ht="16.5">
      <c r="A115" s="49"/>
      <c r="B115" s="49"/>
      <c r="C115" s="38" t="s">
        <v>1964</v>
      </c>
      <c r="D115" s="38" t="s">
        <v>1120</v>
      </c>
      <c r="E115" s="45">
        <v>41722</v>
      </c>
      <c r="F115" s="46">
        <v>41779</v>
      </c>
      <c r="G115" s="38">
        <v>0</v>
      </c>
      <c r="H115" s="47">
        <v>1</v>
      </c>
      <c r="I115" s="48">
        <v>0</v>
      </c>
      <c r="J115" s="8" t="str">
        <f t="shared" si="1"/>
        <v>URBQF</v>
      </c>
      <c r="K115" s="49"/>
      <c r="L115" s="38" t="s">
        <v>1101</v>
      </c>
      <c r="M115" s="38" t="s">
        <v>792</v>
      </c>
      <c r="N115" s="63">
        <v>6</v>
      </c>
      <c r="O115" s="141">
        <v>6</v>
      </c>
      <c r="P115" s="152">
        <v>12</v>
      </c>
      <c r="Q115" s="141">
        <v>0</v>
      </c>
      <c r="R115" s="155">
        <v>0</v>
      </c>
      <c r="S115"/>
      <c r="U115"/>
      <c r="W115"/>
      <c r="X115"/>
      <c r="Y115"/>
      <c r="Z115"/>
      <c r="AA115"/>
      <c r="AB115"/>
      <c r="AC115"/>
      <c r="AD115"/>
      <c r="AE115" s="49"/>
      <c r="AF115" s="38" t="s">
        <v>49</v>
      </c>
      <c r="AG115" s="38" t="s">
        <v>50</v>
      </c>
      <c r="AH115" s="366">
        <v>5</v>
      </c>
      <c r="AI115" s="367">
        <v>6</v>
      </c>
      <c r="AJ115" s="368"/>
      <c r="AK115" s="368"/>
      <c r="AL115" s="350">
        <v>6</v>
      </c>
      <c r="AM115" s="367">
        <v>1</v>
      </c>
      <c r="AN115" s="349">
        <v>1</v>
      </c>
      <c r="AO115"/>
    </row>
    <row r="116" spans="1:41" ht="16.5">
      <c r="A116" s="49"/>
      <c r="B116" s="49"/>
      <c r="C116" s="38" t="s">
        <v>1965</v>
      </c>
      <c r="D116" s="38" t="s">
        <v>1120</v>
      </c>
      <c r="E116" s="45">
        <v>41722</v>
      </c>
      <c r="F116" s="46">
        <v>41779</v>
      </c>
      <c r="G116" s="38">
        <v>0</v>
      </c>
      <c r="H116" s="47">
        <v>1</v>
      </c>
      <c r="I116" s="48">
        <v>0</v>
      </c>
      <c r="J116" s="8" t="str">
        <f t="shared" si="1"/>
        <v>캡보이</v>
      </c>
      <c r="K116" s="49"/>
      <c r="L116" s="49"/>
      <c r="M116" s="65" t="s">
        <v>49</v>
      </c>
      <c r="N116" s="66">
        <v>6</v>
      </c>
      <c r="O116" s="76">
        <v>6</v>
      </c>
      <c r="P116" s="153">
        <v>6</v>
      </c>
      <c r="Q116" s="76">
        <v>0</v>
      </c>
      <c r="R116" s="156">
        <v>0</v>
      </c>
      <c r="S116"/>
      <c r="U116"/>
      <c r="W116"/>
      <c r="X116"/>
      <c r="Y116"/>
      <c r="Z116"/>
      <c r="AA116"/>
      <c r="AB116"/>
      <c r="AC116"/>
      <c r="AD116"/>
      <c r="AE116" s="49"/>
      <c r="AF116" s="50" t="s">
        <v>1371</v>
      </c>
      <c r="AG116" s="51"/>
      <c r="AH116" s="372">
        <v>5</v>
      </c>
      <c r="AI116" s="373">
        <v>6</v>
      </c>
      <c r="AJ116" s="368"/>
      <c r="AK116" s="368"/>
      <c r="AL116" s="157">
        <v>6</v>
      </c>
      <c r="AM116" s="373">
        <v>1</v>
      </c>
      <c r="AN116" s="158">
        <v>1</v>
      </c>
      <c r="AO116"/>
    </row>
    <row r="117" spans="1:41" ht="16.5">
      <c r="A117" s="49"/>
      <c r="B117" s="49"/>
      <c r="C117" s="38" t="s">
        <v>1966</v>
      </c>
      <c r="D117" s="38" t="s">
        <v>1120</v>
      </c>
      <c r="E117" s="45">
        <v>41722</v>
      </c>
      <c r="F117" s="46">
        <v>41779</v>
      </c>
      <c r="G117" s="38">
        <v>0</v>
      </c>
      <c r="H117" s="47">
        <v>1</v>
      </c>
      <c r="I117" s="48">
        <v>0</v>
      </c>
      <c r="J117" s="8" t="str">
        <f t="shared" si="1"/>
        <v>J&amp;F</v>
      </c>
      <c r="K117" s="49"/>
      <c r="L117" s="49"/>
      <c r="M117" s="65" t="s">
        <v>1365</v>
      </c>
      <c r="N117" s="66">
        <v>6</v>
      </c>
      <c r="O117" s="76">
        <v>6</v>
      </c>
      <c r="P117" s="153">
        <v>12</v>
      </c>
      <c r="Q117" s="76">
        <v>0</v>
      </c>
      <c r="R117" s="156">
        <v>0</v>
      </c>
      <c r="S117"/>
      <c r="U117"/>
      <c r="W117"/>
      <c r="X117"/>
      <c r="Y117"/>
      <c r="Z117"/>
      <c r="AA117"/>
      <c r="AB117"/>
      <c r="AC117"/>
      <c r="AD117"/>
      <c r="AE117" s="38" t="s">
        <v>61</v>
      </c>
      <c r="AF117" s="38" t="s">
        <v>48</v>
      </c>
      <c r="AG117" s="38" t="s">
        <v>50</v>
      </c>
      <c r="AH117" s="366">
        <v>16</v>
      </c>
      <c r="AI117" s="367">
        <v>16</v>
      </c>
      <c r="AJ117" s="368"/>
      <c r="AK117" s="368"/>
      <c r="AL117" s="350">
        <v>16</v>
      </c>
      <c r="AM117" s="367">
        <v>5</v>
      </c>
      <c r="AN117" s="349">
        <v>5</v>
      </c>
      <c r="AO117"/>
    </row>
    <row r="118" spans="1:41" ht="16.5">
      <c r="A118" s="49"/>
      <c r="B118" s="49"/>
      <c r="C118" s="38" t="s">
        <v>1967</v>
      </c>
      <c r="D118" s="38" t="s">
        <v>1120</v>
      </c>
      <c r="E118" s="45">
        <v>41722</v>
      </c>
      <c r="F118" s="46">
        <v>41779</v>
      </c>
      <c r="G118" s="38">
        <v>0</v>
      </c>
      <c r="H118" s="47">
        <v>1</v>
      </c>
      <c r="I118" s="48">
        <v>0</v>
      </c>
      <c r="J118" s="8" t="str">
        <f t="shared" si="1"/>
        <v>NAA성진</v>
      </c>
      <c r="K118" s="49"/>
      <c r="L118" s="38" t="s">
        <v>1096</v>
      </c>
      <c r="M118" s="38" t="s">
        <v>48</v>
      </c>
      <c r="N118" s="63">
        <v>10</v>
      </c>
      <c r="O118" s="141">
        <v>10</v>
      </c>
      <c r="P118" s="152">
        <v>11</v>
      </c>
      <c r="Q118" s="141">
        <v>0</v>
      </c>
      <c r="R118" s="155">
        <v>0</v>
      </c>
      <c r="S118"/>
      <c r="U118"/>
      <c r="W118"/>
      <c r="X118"/>
      <c r="Y118"/>
      <c r="Z118"/>
      <c r="AA118"/>
      <c r="AB118"/>
      <c r="AC118"/>
      <c r="AD118"/>
      <c r="AE118" s="49"/>
      <c r="AF118" s="50" t="s">
        <v>878</v>
      </c>
      <c r="AG118" s="51"/>
      <c r="AH118" s="372">
        <v>16</v>
      </c>
      <c r="AI118" s="373">
        <v>16</v>
      </c>
      <c r="AJ118" s="368"/>
      <c r="AK118" s="368"/>
      <c r="AL118" s="157">
        <v>16</v>
      </c>
      <c r="AM118" s="373">
        <v>5</v>
      </c>
      <c r="AN118" s="158">
        <v>5</v>
      </c>
      <c r="AO118"/>
    </row>
    <row r="119" spans="1:41" ht="16.5">
      <c r="A119" s="49"/>
      <c r="B119" s="49"/>
      <c r="C119" s="38" t="s">
        <v>1968</v>
      </c>
      <c r="D119" s="38" t="s">
        <v>1120</v>
      </c>
      <c r="E119" s="45">
        <v>41722</v>
      </c>
      <c r="F119" s="46">
        <v>41779</v>
      </c>
      <c r="G119" s="38">
        <v>0</v>
      </c>
      <c r="H119" s="47">
        <v>1</v>
      </c>
      <c r="I119" s="48">
        <v>0</v>
      </c>
      <c r="J119" s="8" t="str">
        <f t="shared" si="1"/>
        <v>캡보이</v>
      </c>
      <c r="K119" s="49"/>
      <c r="L119" s="49"/>
      <c r="M119" s="65" t="s">
        <v>49</v>
      </c>
      <c r="N119" s="66">
        <v>5</v>
      </c>
      <c r="O119" s="76">
        <v>4</v>
      </c>
      <c r="P119" s="153">
        <v>5</v>
      </c>
      <c r="Q119" s="76">
        <v>1</v>
      </c>
      <c r="R119" s="156">
        <v>1</v>
      </c>
      <c r="S119"/>
      <c r="U119"/>
      <c r="W119"/>
      <c r="X119"/>
      <c r="Y119"/>
      <c r="Z119"/>
      <c r="AA119"/>
      <c r="AB119"/>
      <c r="AC119"/>
      <c r="AD119"/>
      <c r="AE119" s="38" t="s">
        <v>786</v>
      </c>
      <c r="AF119" s="38" t="s">
        <v>1401</v>
      </c>
      <c r="AG119" s="38" t="s">
        <v>25</v>
      </c>
      <c r="AH119" s="366">
        <v>2</v>
      </c>
      <c r="AI119" s="367">
        <v>2</v>
      </c>
      <c r="AJ119" s="368"/>
      <c r="AK119" s="368"/>
      <c r="AL119" s="350">
        <v>2</v>
      </c>
      <c r="AM119" s="367">
        <v>0</v>
      </c>
      <c r="AN119" s="349">
        <v>0</v>
      </c>
      <c r="AO119"/>
    </row>
    <row r="120" spans="1:41" ht="16.5">
      <c r="A120" s="49"/>
      <c r="B120" s="49"/>
      <c r="C120" s="38" t="s">
        <v>1969</v>
      </c>
      <c r="D120" s="38" t="s">
        <v>1120</v>
      </c>
      <c r="E120" s="45">
        <v>41722</v>
      </c>
      <c r="F120" s="46">
        <v>41779</v>
      </c>
      <c r="G120" s="38">
        <v>0</v>
      </c>
      <c r="H120" s="47">
        <v>1</v>
      </c>
      <c r="I120" s="48">
        <v>0</v>
      </c>
      <c r="J120" s="8" t="str">
        <f t="shared" si="1"/>
        <v>MR.REAL GOODMAN동일모자</v>
      </c>
      <c r="K120" s="49"/>
      <c r="L120" s="38" t="s">
        <v>2006</v>
      </c>
      <c r="M120" s="38" t="s">
        <v>44</v>
      </c>
      <c r="N120" s="63">
        <v>7</v>
      </c>
      <c r="O120" s="141">
        <v>7</v>
      </c>
      <c r="P120" s="152">
        <v>7</v>
      </c>
      <c r="Q120" s="141">
        <v>0</v>
      </c>
      <c r="R120" s="155">
        <v>0</v>
      </c>
      <c r="S120"/>
      <c r="U120"/>
      <c r="W120"/>
      <c r="X120"/>
      <c r="Y120"/>
      <c r="Z120"/>
      <c r="AA120"/>
      <c r="AB120"/>
      <c r="AC120"/>
      <c r="AD120"/>
      <c r="AE120" s="49"/>
      <c r="AF120" s="49"/>
      <c r="AG120" s="65" t="s">
        <v>26</v>
      </c>
      <c r="AH120" s="369">
        <v>3</v>
      </c>
      <c r="AI120" s="370">
        <v>3</v>
      </c>
      <c r="AJ120" s="371"/>
      <c r="AK120" s="371"/>
      <c r="AL120" s="353">
        <v>3</v>
      </c>
      <c r="AM120" s="370">
        <v>0</v>
      </c>
      <c r="AN120" s="354">
        <v>0</v>
      </c>
      <c r="AO120"/>
    </row>
    <row r="121" spans="1:41" ht="16.5">
      <c r="A121" s="49"/>
      <c r="B121" s="49"/>
      <c r="C121" s="38" t="s">
        <v>1970</v>
      </c>
      <c r="D121" s="38" t="s">
        <v>1120</v>
      </c>
      <c r="E121" s="45">
        <v>41722</v>
      </c>
      <c r="F121" s="46">
        <v>41779</v>
      </c>
      <c r="G121" s="38">
        <v>0</v>
      </c>
      <c r="H121" s="47">
        <v>1</v>
      </c>
      <c r="I121" s="48">
        <v>0</v>
      </c>
      <c r="J121" s="8" t="str">
        <f t="shared" si="1"/>
        <v>캡보이</v>
      </c>
      <c r="K121" s="49"/>
      <c r="L121" s="49"/>
      <c r="M121" s="65" t="s">
        <v>49</v>
      </c>
      <c r="N121" s="66">
        <v>8</v>
      </c>
      <c r="O121" s="76">
        <v>8</v>
      </c>
      <c r="P121" s="153">
        <v>8</v>
      </c>
      <c r="Q121" s="76">
        <v>0</v>
      </c>
      <c r="R121" s="156">
        <v>0</v>
      </c>
      <c r="S121"/>
      <c r="U121"/>
      <c r="W121"/>
      <c r="X121"/>
      <c r="Y121"/>
      <c r="Z121"/>
      <c r="AA121"/>
      <c r="AB121"/>
      <c r="AC121"/>
      <c r="AD121"/>
      <c r="AE121" s="49"/>
      <c r="AF121" s="49"/>
      <c r="AG121" s="65" t="s">
        <v>27</v>
      </c>
      <c r="AH121" s="369">
        <v>2</v>
      </c>
      <c r="AI121" s="370">
        <v>2</v>
      </c>
      <c r="AJ121" s="371"/>
      <c r="AK121" s="371"/>
      <c r="AL121" s="353">
        <v>2</v>
      </c>
      <c r="AM121" s="370">
        <v>0</v>
      </c>
      <c r="AN121" s="354">
        <v>0</v>
      </c>
      <c r="AO121"/>
    </row>
    <row r="122" spans="1:41" ht="16.5">
      <c r="A122" s="49"/>
      <c r="B122" s="49"/>
      <c r="C122" s="38" t="s">
        <v>1975</v>
      </c>
      <c r="D122" s="38" t="s">
        <v>1120</v>
      </c>
      <c r="E122" s="45">
        <v>41722</v>
      </c>
      <c r="F122" s="46">
        <v>41779</v>
      </c>
      <c r="G122" s="38">
        <v>0</v>
      </c>
      <c r="H122" s="47">
        <v>1</v>
      </c>
      <c r="I122" s="48">
        <v>0</v>
      </c>
      <c r="J122" s="8" t="str">
        <f t="shared" si="1"/>
        <v>J&amp;F</v>
      </c>
      <c r="K122" s="49"/>
      <c r="L122" s="49"/>
      <c r="M122" s="65" t="s">
        <v>1365</v>
      </c>
      <c r="N122" s="66">
        <v>3</v>
      </c>
      <c r="O122" s="76">
        <v>3</v>
      </c>
      <c r="P122" s="153">
        <v>3</v>
      </c>
      <c r="Q122" s="76">
        <v>0</v>
      </c>
      <c r="R122" s="156">
        <v>0</v>
      </c>
      <c r="S122"/>
      <c r="U122"/>
      <c r="W122"/>
      <c r="X122"/>
      <c r="Y122"/>
      <c r="Z122"/>
      <c r="AA122"/>
      <c r="AB122"/>
      <c r="AC122"/>
      <c r="AD122"/>
      <c r="AE122" s="49"/>
      <c r="AF122" s="50" t="s">
        <v>1458</v>
      </c>
      <c r="AG122" s="51"/>
      <c r="AH122" s="372">
        <v>7</v>
      </c>
      <c r="AI122" s="373">
        <v>7</v>
      </c>
      <c r="AJ122" s="368"/>
      <c r="AK122" s="368"/>
      <c r="AL122" s="157">
        <v>7</v>
      </c>
      <c r="AM122" s="373">
        <v>0</v>
      </c>
      <c r="AN122" s="158">
        <v>0</v>
      </c>
      <c r="AO122"/>
    </row>
    <row r="123" spans="1:41" ht="16.5">
      <c r="A123" s="49"/>
      <c r="B123" s="50" t="s">
        <v>1118</v>
      </c>
      <c r="C123" s="51"/>
      <c r="D123" s="51"/>
      <c r="E123" s="51"/>
      <c r="F123" s="51"/>
      <c r="G123" s="51"/>
      <c r="H123" s="52">
        <v>11</v>
      </c>
      <c r="I123" s="53">
        <v>3</v>
      </c>
      <c r="J123" s="8" t="str">
        <f t="shared" si="1"/>
        <v>JAY.PARK캡보이</v>
      </c>
      <c r="K123" s="49"/>
      <c r="L123" s="38" t="s">
        <v>1477</v>
      </c>
      <c r="M123" s="38" t="s">
        <v>49</v>
      </c>
      <c r="N123" s="63">
        <v>5</v>
      </c>
      <c r="O123" s="141">
        <v>5</v>
      </c>
      <c r="P123" s="152">
        <v>5</v>
      </c>
      <c r="Q123" s="141">
        <v>0</v>
      </c>
      <c r="R123" s="155">
        <v>0</v>
      </c>
      <c r="S123"/>
      <c r="U123"/>
      <c r="W123"/>
      <c r="X123"/>
      <c r="Y123"/>
      <c r="Z123"/>
      <c r="AA123"/>
      <c r="AB123"/>
      <c r="AC123"/>
      <c r="AD123"/>
      <c r="AE123" s="49"/>
      <c r="AF123" s="38" t="s">
        <v>1409</v>
      </c>
      <c r="AG123" s="38" t="s">
        <v>24</v>
      </c>
      <c r="AH123" s="366">
        <v>1</v>
      </c>
      <c r="AI123" s="367">
        <v>1</v>
      </c>
      <c r="AJ123" s="368"/>
      <c r="AK123" s="368"/>
      <c r="AL123" s="350">
        <v>1</v>
      </c>
      <c r="AM123" s="367">
        <v>0</v>
      </c>
      <c r="AN123" s="349">
        <v>0</v>
      </c>
      <c r="AO123"/>
    </row>
    <row r="124" spans="1:41" ht="16.5">
      <c r="A124" s="54" t="s">
        <v>1117</v>
      </c>
      <c r="B124" s="55"/>
      <c r="C124" s="55"/>
      <c r="D124" s="55"/>
      <c r="E124" s="55"/>
      <c r="F124" s="55"/>
      <c r="G124" s="55"/>
      <c r="H124" s="56">
        <v>12</v>
      </c>
      <c r="I124" s="57">
        <v>3</v>
      </c>
      <c r="J124" s="8" t="str">
        <f t="shared" si="1"/>
        <v>KONGHYOJIN캡보이</v>
      </c>
      <c r="K124" s="49"/>
      <c r="L124" s="38" t="s">
        <v>1557</v>
      </c>
      <c r="M124" s="38" t="s">
        <v>49</v>
      </c>
      <c r="N124" s="63">
        <v>6</v>
      </c>
      <c r="O124" s="141">
        <v>6</v>
      </c>
      <c r="P124" s="152">
        <v>6</v>
      </c>
      <c r="Q124" s="141">
        <v>0</v>
      </c>
      <c r="R124" s="155">
        <v>0</v>
      </c>
      <c r="S124"/>
      <c r="U124"/>
      <c r="W124"/>
      <c r="X124"/>
      <c r="Y124"/>
      <c r="Z124"/>
      <c r="AA124"/>
      <c r="AB124"/>
      <c r="AC124"/>
      <c r="AD124"/>
      <c r="AE124" s="49"/>
      <c r="AF124" s="49"/>
      <c r="AG124" s="65" t="s">
        <v>1789</v>
      </c>
      <c r="AH124" s="369">
        <v>2</v>
      </c>
      <c r="AI124" s="370">
        <v>2</v>
      </c>
      <c r="AJ124" s="371"/>
      <c r="AK124" s="371"/>
      <c r="AL124" s="353">
        <v>2</v>
      </c>
      <c r="AM124" s="370">
        <v>0</v>
      </c>
      <c r="AN124" s="354">
        <v>0</v>
      </c>
      <c r="AO124"/>
    </row>
    <row r="125" spans="1:41" ht="16.5">
      <c r="A125" s="38" t="s">
        <v>32</v>
      </c>
      <c r="B125" s="38" t="s">
        <v>38</v>
      </c>
      <c r="C125" s="38" t="s">
        <v>1766</v>
      </c>
      <c r="D125" s="38" t="s">
        <v>6</v>
      </c>
      <c r="E125" s="45">
        <v>41705</v>
      </c>
      <c r="F125" s="46">
        <v>41725</v>
      </c>
      <c r="G125" s="38">
        <v>1</v>
      </c>
      <c r="H125" s="47">
        <v>1</v>
      </c>
      <c r="I125" s="48">
        <v>1</v>
      </c>
      <c r="J125" s="8" t="str">
        <f t="shared" si="1"/>
        <v>YGFQF</v>
      </c>
      <c r="K125" s="49"/>
      <c r="L125" s="38" t="s">
        <v>1102</v>
      </c>
      <c r="M125" s="38" t="s">
        <v>792</v>
      </c>
      <c r="N125" s="63">
        <v>9.5</v>
      </c>
      <c r="O125" s="141">
        <v>9.5</v>
      </c>
      <c r="P125" s="152">
        <v>10</v>
      </c>
      <c r="Q125" s="141">
        <v>0</v>
      </c>
      <c r="R125" s="155">
        <v>0</v>
      </c>
      <c r="S125"/>
      <c r="U125"/>
      <c r="W125"/>
      <c r="X125"/>
      <c r="Y125"/>
      <c r="Z125"/>
      <c r="AA125"/>
      <c r="AB125"/>
      <c r="AC125"/>
      <c r="AD125"/>
      <c r="AE125" s="49"/>
      <c r="AF125" s="50" t="s">
        <v>1459</v>
      </c>
      <c r="AG125" s="51"/>
      <c r="AH125" s="372">
        <v>3</v>
      </c>
      <c r="AI125" s="373">
        <v>3</v>
      </c>
      <c r="AJ125" s="368"/>
      <c r="AK125" s="368"/>
      <c r="AL125" s="157">
        <v>3</v>
      </c>
      <c r="AM125" s="373">
        <v>0</v>
      </c>
      <c r="AN125" s="158">
        <v>0</v>
      </c>
      <c r="AO125"/>
    </row>
    <row r="126" spans="1:41" ht="16.5">
      <c r="A126" s="49"/>
      <c r="B126" s="49"/>
      <c r="C126" s="38" t="s">
        <v>2098</v>
      </c>
      <c r="D126" s="38" t="s">
        <v>6</v>
      </c>
      <c r="E126" s="45">
        <v>41739</v>
      </c>
      <c r="F126" s="46">
        <v>41758</v>
      </c>
      <c r="G126" s="38">
        <v>1</v>
      </c>
      <c r="H126" s="47">
        <v>1</v>
      </c>
      <c r="I126" s="48">
        <v>1</v>
      </c>
      <c r="J126" s="8" t="str">
        <f t="shared" si="1"/>
        <v>캡보이</v>
      </c>
      <c r="K126" s="49"/>
      <c r="L126" s="49"/>
      <c r="M126" s="65" t="s">
        <v>49</v>
      </c>
      <c r="N126" s="66">
        <v>3</v>
      </c>
      <c r="O126" s="76">
        <v>3</v>
      </c>
      <c r="P126" s="153">
        <v>3</v>
      </c>
      <c r="Q126" s="76">
        <v>0</v>
      </c>
      <c r="R126" s="156">
        <v>0</v>
      </c>
      <c r="S126"/>
      <c r="U126"/>
      <c r="W126"/>
      <c r="X126"/>
      <c r="Y126"/>
      <c r="Z126"/>
      <c r="AA126"/>
      <c r="AB126"/>
      <c r="AC126"/>
      <c r="AD126"/>
      <c r="AE126" s="49"/>
      <c r="AF126" s="38" t="s">
        <v>1497</v>
      </c>
      <c r="AG126" s="38" t="s">
        <v>25</v>
      </c>
      <c r="AH126" s="366">
        <v>2</v>
      </c>
      <c r="AI126" s="367">
        <v>2</v>
      </c>
      <c r="AJ126" s="368"/>
      <c r="AK126" s="368"/>
      <c r="AL126" s="350">
        <v>2</v>
      </c>
      <c r="AM126" s="367">
        <v>0</v>
      </c>
      <c r="AN126" s="349">
        <v>0</v>
      </c>
      <c r="AO126"/>
    </row>
    <row r="127" spans="1:41" ht="16.5">
      <c r="A127" s="49"/>
      <c r="B127" s="49"/>
      <c r="C127" s="38" t="s">
        <v>2099</v>
      </c>
      <c r="D127" s="38" t="s">
        <v>6</v>
      </c>
      <c r="E127" s="45">
        <v>41739</v>
      </c>
      <c r="F127" s="46">
        <v>41758</v>
      </c>
      <c r="G127" s="38">
        <v>1</v>
      </c>
      <c r="H127" s="47">
        <v>1</v>
      </c>
      <c r="I127" s="48">
        <v>1</v>
      </c>
      <c r="K127" s="49"/>
      <c r="L127" s="49"/>
      <c r="M127" s="65" t="s">
        <v>1365</v>
      </c>
      <c r="N127" s="66">
        <v>4</v>
      </c>
      <c r="O127" s="76">
        <v>4</v>
      </c>
      <c r="P127" s="153">
        <v>4</v>
      </c>
      <c r="Q127" s="76">
        <v>0</v>
      </c>
      <c r="R127" s="156">
        <v>0</v>
      </c>
      <c r="S127"/>
      <c r="U127"/>
      <c r="W127"/>
      <c r="X127"/>
      <c r="Y127"/>
      <c r="Z127"/>
      <c r="AA127"/>
      <c r="AB127"/>
      <c r="AC127"/>
      <c r="AD127"/>
      <c r="AE127" s="49"/>
      <c r="AF127" s="49"/>
      <c r="AG127" s="65" t="s">
        <v>24</v>
      </c>
      <c r="AH127" s="369">
        <v>3</v>
      </c>
      <c r="AI127" s="370">
        <v>3</v>
      </c>
      <c r="AJ127" s="371"/>
      <c r="AK127" s="371"/>
      <c r="AL127" s="353">
        <v>3</v>
      </c>
      <c r="AM127" s="370">
        <v>0</v>
      </c>
      <c r="AN127" s="354">
        <v>0</v>
      </c>
      <c r="AO127"/>
    </row>
    <row r="128" spans="1:41" ht="16.5">
      <c r="A128" s="49"/>
      <c r="B128" s="49"/>
      <c r="C128" s="38" t="s">
        <v>2100</v>
      </c>
      <c r="D128" s="38" t="s">
        <v>6</v>
      </c>
      <c r="E128" s="45">
        <v>41739</v>
      </c>
      <c r="F128" s="46">
        <v>41761</v>
      </c>
      <c r="G128" s="38">
        <v>1</v>
      </c>
      <c r="H128" s="47">
        <v>1</v>
      </c>
      <c r="I128" s="48">
        <v>1</v>
      </c>
      <c r="K128" s="49"/>
      <c r="L128" s="38" t="s">
        <v>1772</v>
      </c>
      <c r="M128" s="38" t="s">
        <v>792</v>
      </c>
      <c r="N128" s="63">
        <v>1</v>
      </c>
      <c r="O128" s="141">
        <v>0</v>
      </c>
      <c r="P128" s="152">
        <v>0</v>
      </c>
      <c r="Q128" s="141">
        <v>1</v>
      </c>
      <c r="R128" s="155">
        <v>1</v>
      </c>
      <c r="S128"/>
      <c r="U128"/>
      <c r="W128"/>
      <c r="X128"/>
      <c r="Y128"/>
      <c r="Z128"/>
      <c r="AA128"/>
      <c r="AB128"/>
      <c r="AC128"/>
      <c r="AD128"/>
      <c r="AE128" s="49"/>
      <c r="AF128" s="49"/>
      <c r="AG128" s="65" t="s">
        <v>27</v>
      </c>
      <c r="AH128" s="369">
        <v>3</v>
      </c>
      <c r="AI128" s="370">
        <v>3</v>
      </c>
      <c r="AJ128" s="371"/>
      <c r="AK128" s="371"/>
      <c r="AL128" s="353">
        <v>3</v>
      </c>
      <c r="AM128" s="370">
        <v>0</v>
      </c>
      <c r="AN128" s="354">
        <v>0</v>
      </c>
      <c r="AO128"/>
    </row>
    <row r="129" spans="1:41" ht="16.5">
      <c r="A129" s="49"/>
      <c r="B129" s="49"/>
      <c r="C129" s="38" t="s">
        <v>2101</v>
      </c>
      <c r="D129" s="38" t="s">
        <v>6</v>
      </c>
      <c r="E129" s="45">
        <v>41739</v>
      </c>
      <c r="F129" s="46">
        <v>41761</v>
      </c>
      <c r="G129" s="38">
        <v>1</v>
      </c>
      <c r="H129" s="47">
        <v>1</v>
      </c>
      <c r="I129" s="48">
        <v>1</v>
      </c>
      <c r="K129" s="50" t="s">
        <v>855</v>
      </c>
      <c r="L129" s="51"/>
      <c r="M129" s="51"/>
      <c r="N129" s="145">
        <v>139.5</v>
      </c>
      <c r="O129" s="143">
        <v>129.5</v>
      </c>
      <c r="P129" s="152">
        <v>145</v>
      </c>
      <c r="Q129" s="143">
        <v>10</v>
      </c>
      <c r="R129" s="155">
        <v>10</v>
      </c>
      <c r="S129"/>
      <c r="U129"/>
      <c r="W129"/>
      <c r="X129"/>
      <c r="Y129"/>
      <c r="Z129"/>
      <c r="AA129"/>
      <c r="AB129"/>
      <c r="AC129"/>
      <c r="AD129"/>
      <c r="AE129" s="49"/>
      <c r="AF129" s="50" t="s">
        <v>1552</v>
      </c>
      <c r="AG129" s="51"/>
      <c r="AH129" s="372">
        <v>8</v>
      </c>
      <c r="AI129" s="373">
        <v>8</v>
      </c>
      <c r="AJ129" s="368"/>
      <c r="AK129" s="368"/>
      <c r="AL129" s="157">
        <v>8</v>
      </c>
      <c r="AM129" s="373">
        <v>0</v>
      </c>
      <c r="AN129" s="158">
        <v>0</v>
      </c>
      <c r="AO129"/>
    </row>
    <row r="130" spans="1:41" ht="16.5">
      <c r="A130" s="49"/>
      <c r="B130" s="49"/>
      <c r="C130" s="38" t="s">
        <v>2102</v>
      </c>
      <c r="D130" s="38" t="s">
        <v>6</v>
      </c>
      <c r="E130" s="45">
        <v>41747</v>
      </c>
      <c r="F130" s="46">
        <v>41761</v>
      </c>
      <c r="G130" s="38">
        <v>1</v>
      </c>
      <c r="H130" s="47">
        <v>1</v>
      </c>
      <c r="I130" s="48">
        <v>1</v>
      </c>
      <c r="K130" s="38" t="s">
        <v>55</v>
      </c>
      <c r="L130" s="38" t="s">
        <v>3</v>
      </c>
      <c r="M130" s="38" t="s">
        <v>6</v>
      </c>
      <c r="N130" s="63">
        <v>4</v>
      </c>
      <c r="O130" s="141">
        <v>4</v>
      </c>
      <c r="P130" s="152">
        <v>4</v>
      </c>
      <c r="Q130" s="141">
        <v>0</v>
      </c>
      <c r="R130" s="155">
        <v>0</v>
      </c>
      <c r="S130"/>
      <c r="U130"/>
      <c r="W130"/>
      <c r="X130"/>
      <c r="Y130"/>
      <c r="Z130"/>
      <c r="AA130"/>
      <c r="AB130"/>
      <c r="AC130"/>
      <c r="AD130"/>
      <c r="AE130" s="49"/>
      <c r="AF130" s="38" t="s">
        <v>897</v>
      </c>
      <c r="AG130" s="38" t="s">
        <v>27</v>
      </c>
      <c r="AH130" s="366">
        <v>2</v>
      </c>
      <c r="AI130" s="367">
        <v>2</v>
      </c>
      <c r="AJ130" s="368"/>
      <c r="AK130" s="368"/>
      <c r="AL130" s="350">
        <v>2</v>
      </c>
      <c r="AM130" s="367">
        <v>0</v>
      </c>
      <c r="AN130" s="349">
        <v>0</v>
      </c>
      <c r="AO130"/>
    </row>
    <row r="131" spans="1:41" ht="16.5">
      <c r="A131" s="49"/>
      <c r="B131" s="49"/>
      <c r="C131" s="38" t="s">
        <v>2103</v>
      </c>
      <c r="D131" s="38" t="s">
        <v>6</v>
      </c>
      <c r="E131" s="45">
        <v>41747</v>
      </c>
      <c r="F131" s="46">
        <v>41761</v>
      </c>
      <c r="G131" s="38">
        <v>1</v>
      </c>
      <c r="H131" s="47">
        <v>1</v>
      </c>
      <c r="I131" s="48">
        <v>1</v>
      </c>
      <c r="K131" s="49"/>
      <c r="L131" s="38" t="s">
        <v>32</v>
      </c>
      <c r="M131" s="38" t="s">
        <v>6</v>
      </c>
      <c r="N131" s="63">
        <v>1</v>
      </c>
      <c r="O131" s="141">
        <v>1</v>
      </c>
      <c r="P131" s="152">
        <v>1</v>
      </c>
      <c r="Q131" s="141">
        <v>0</v>
      </c>
      <c r="R131" s="155">
        <v>0</v>
      </c>
      <c r="S131"/>
      <c r="U131"/>
      <c r="W131"/>
      <c r="X131"/>
      <c r="Y131"/>
      <c r="Z131"/>
      <c r="AA131"/>
      <c r="AB131"/>
      <c r="AC131"/>
      <c r="AD131"/>
      <c r="AE131" s="49"/>
      <c r="AF131" s="49"/>
      <c r="AG131" s="65" t="s">
        <v>1789</v>
      </c>
      <c r="AH131" s="369">
        <v>4</v>
      </c>
      <c r="AI131" s="370">
        <v>4</v>
      </c>
      <c r="AJ131" s="371"/>
      <c r="AK131" s="371"/>
      <c r="AL131" s="353">
        <v>4</v>
      </c>
      <c r="AM131" s="370">
        <v>1</v>
      </c>
      <c r="AN131" s="354">
        <v>1</v>
      </c>
      <c r="AO131"/>
    </row>
    <row r="132" spans="1:41" ht="16.5">
      <c r="A132" s="49"/>
      <c r="B132" s="50" t="s">
        <v>853</v>
      </c>
      <c r="C132" s="51"/>
      <c r="D132" s="51"/>
      <c r="E132" s="51"/>
      <c r="F132" s="51"/>
      <c r="G132" s="51"/>
      <c r="H132" s="52">
        <v>7</v>
      </c>
      <c r="I132" s="53">
        <v>7</v>
      </c>
      <c r="K132" s="50" t="s">
        <v>1349</v>
      </c>
      <c r="L132" s="51"/>
      <c r="M132" s="51"/>
      <c r="N132" s="145">
        <v>5</v>
      </c>
      <c r="O132" s="143">
        <v>5</v>
      </c>
      <c r="P132" s="152">
        <v>5</v>
      </c>
      <c r="Q132" s="143">
        <v>0</v>
      </c>
      <c r="R132" s="155">
        <v>0</v>
      </c>
      <c r="S132"/>
      <c r="U132"/>
      <c r="W132"/>
      <c r="X132"/>
      <c r="Y132"/>
      <c r="Z132"/>
      <c r="AA132"/>
      <c r="AB132"/>
      <c r="AC132"/>
      <c r="AD132"/>
      <c r="AE132" s="49"/>
      <c r="AF132" s="50" t="s">
        <v>1744</v>
      </c>
      <c r="AG132" s="51"/>
      <c r="AH132" s="372">
        <v>6</v>
      </c>
      <c r="AI132" s="373">
        <v>6</v>
      </c>
      <c r="AJ132" s="368"/>
      <c r="AK132" s="368"/>
      <c r="AL132" s="157">
        <v>6</v>
      </c>
      <c r="AM132" s="373">
        <v>1</v>
      </c>
      <c r="AN132" s="158">
        <v>1</v>
      </c>
      <c r="AO132"/>
    </row>
    <row r="133" spans="1:41" ht="16.5">
      <c r="A133" s="49"/>
      <c r="B133" s="38" t="s">
        <v>35</v>
      </c>
      <c r="C133" s="38" t="s">
        <v>1747</v>
      </c>
      <c r="D133" s="38" t="s">
        <v>6</v>
      </c>
      <c r="E133" s="45">
        <v>41701</v>
      </c>
      <c r="F133" s="46">
        <v>41729</v>
      </c>
      <c r="G133" s="38">
        <v>0</v>
      </c>
      <c r="H133" s="47">
        <v>1</v>
      </c>
      <c r="I133" s="48">
        <v>0</v>
      </c>
      <c r="K133" s="38" t="s">
        <v>56</v>
      </c>
      <c r="L133" s="38" t="s">
        <v>3</v>
      </c>
      <c r="M133" s="38" t="s">
        <v>6</v>
      </c>
      <c r="N133" s="63">
        <v>9</v>
      </c>
      <c r="O133" s="141">
        <v>9</v>
      </c>
      <c r="P133" s="152">
        <v>9</v>
      </c>
      <c r="Q133" s="141">
        <v>0</v>
      </c>
      <c r="R133" s="155">
        <v>0</v>
      </c>
      <c r="S133"/>
      <c r="U133"/>
      <c r="W133"/>
      <c r="X133"/>
      <c r="Y133"/>
      <c r="Z133"/>
      <c r="AA133"/>
      <c r="AB133"/>
      <c r="AC133"/>
      <c r="AD133"/>
      <c r="AE133" s="49"/>
      <c r="AF133" s="38" t="s">
        <v>1855</v>
      </c>
      <c r="AG133" s="38" t="s">
        <v>26</v>
      </c>
      <c r="AH133" s="366">
        <v>2</v>
      </c>
      <c r="AI133" s="367">
        <v>2</v>
      </c>
      <c r="AJ133" s="368"/>
      <c r="AK133" s="368"/>
      <c r="AL133" s="350">
        <v>2</v>
      </c>
      <c r="AM133" s="367">
        <v>0</v>
      </c>
      <c r="AN133" s="349">
        <v>0</v>
      </c>
      <c r="AO133"/>
    </row>
    <row r="134" spans="1:41" ht="16.5">
      <c r="A134" s="49"/>
      <c r="B134" s="49"/>
      <c r="C134" s="38" t="s">
        <v>1748</v>
      </c>
      <c r="D134" s="38" t="s">
        <v>6</v>
      </c>
      <c r="E134" s="45">
        <v>41701</v>
      </c>
      <c r="F134" s="46">
        <v>41730</v>
      </c>
      <c r="G134" s="38">
        <v>1</v>
      </c>
      <c r="H134" s="47">
        <v>1</v>
      </c>
      <c r="I134" s="48">
        <v>1</v>
      </c>
      <c r="K134" s="49"/>
      <c r="L134" s="49"/>
      <c r="M134" s="65" t="s">
        <v>1415</v>
      </c>
      <c r="N134" s="66">
        <v>5</v>
      </c>
      <c r="O134" s="76">
        <v>0</v>
      </c>
      <c r="P134" s="153">
        <v>0</v>
      </c>
      <c r="Q134" s="76">
        <v>5</v>
      </c>
      <c r="R134" s="156">
        <v>5</v>
      </c>
      <c r="S134"/>
      <c r="U134"/>
      <c r="W134"/>
      <c r="X134"/>
      <c r="Y134"/>
      <c r="Z134"/>
      <c r="AA134"/>
      <c r="AB134"/>
      <c r="AC134"/>
      <c r="AD134"/>
      <c r="AE134" s="49"/>
      <c r="AF134" s="50" t="s">
        <v>1914</v>
      </c>
      <c r="AG134" s="51"/>
      <c r="AH134" s="372">
        <v>2</v>
      </c>
      <c r="AI134" s="373">
        <v>2</v>
      </c>
      <c r="AJ134" s="368"/>
      <c r="AK134" s="368"/>
      <c r="AL134" s="157">
        <v>2</v>
      </c>
      <c r="AM134" s="373">
        <v>0</v>
      </c>
      <c r="AN134" s="158">
        <v>0</v>
      </c>
      <c r="AO134"/>
    </row>
    <row r="135" spans="1:41" ht="16.5">
      <c r="A135" s="49"/>
      <c r="B135" s="49"/>
      <c r="C135" s="38" t="s">
        <v>1749</v>
      </c>
      <c r="D135" s="38" t="s">
        <v>6</v>
      </c>
      <c r="E135" s="45">
        <v>41701</v>
      </c>
      <c r="F135" s="46">
        <v>41736</v>
      </c>
      <c r="G135" s="38">
        <v>1</v>
      </c>
      <c r="H135" s="47">
        <v>1</v>
      </c>
      <c r="I135" s="48">
        <v>1</v>
      </c>
      <c r="K135" s="49"/>
      <c r="L135" s="38" t="s">
        <v>32</v>
      </c>
      <c r="M135" s="38" t="s">
        <v>6</v>
      </c>
      <c r="N135" s="63">
        <v>22.5</v>
      </c>
      <c r="O135" s="141">
        <v>22.5</v>
      </c>
      <c r="P135" s="152">
        <v>25</v>
      </c>
      <c r="Q135" s="141">
        <v>0</v>
      </c>
      <c r="R135" s="155">
        <v>2</v>
      </c>
      <c r="S135"/>
      <c r="U135"/>
      <c r="W135"/>
      <c r="X135"/>
      <c r="Y135"/>
      <c r="Z135"/>
      <c r="AA135"/>
      <c r="AB135"/>
      <c r="AC135"/>
      <c r="AD135"/>
      <c r="AE135" s="38" t="s">
        <v>47</v>
      </c>
      <c r="AF135" s="38" t="s">
        <v>44</v>
      </c>
      <c r="AG135" s="38" t="s">
        <v>38</v>
      </c>
      <c r="AH135" s="366">
        <v>7</v>
      </c>
      <c r="AI135" s="367">
        <v>7</v>
      </c>
      <c r="AJ135" s="368">
        <v>20</v>
      </c>
      <c r="AK135" s="368">
        <v>20</v>
      </c>
      <c r="AL135" s="350">
        <v>7</v>
      </c>
      <c r="AM135" s="367">
        <v>0</v>
      </c>
      <c r="AN135" s="349">
        <v>0</v>
      </c>
      <c r="AO135"/>
    </row>
    <row r="136" spans="1:41" ht="16.5">
      <c r="A136" s="49"/>
      <c r="B136" s="49"/>
      <c r="C136" s="38" t="s">
        <v>1750</v>
      </c>
      <c r="D136" s="38" t="s">
        <v>6</v>
      </c>
      <c r="E136" s="45">
        <v>41701</v>
      </c>
      <c r="F136" s="46">
        <v>41736</v>
      </c>
      <c r="G136" s="38">
        <v>1</v>
      </c>
      <c r="H136" s="47">
        <v>1</v>
      </c>
      <c r="I136" s="48">
        <v>1</v>
      </c>
      <c r="K136" s="49"/>
      <c r="L136" s="49"/>
      <c r="M136" s="65" t="s">
        <v>1415</v>
      </c>
      <c r="N136" s="66">
        <v>28</v>
      </c>
      <c r="O136" s="76">
        <v>26</v>
      </c>
      <c r="P136" s="153">
        <v>29</v>
      </c>
      <c r="Q136" s="76">
        <v>2</v>
      </c>
      <c r="R136" s="156">
        <v>4</v>
      </c>
      <c r="S136"/>
      <c r="U136"/>
      <c r="W136"/>
      <c r="X136"/>
      <c r="Y136"/>
      <c r="Z136"/>
      <c r="AA136"/>
      <c r="AB136"/>
      <c r="AC136"/>
      <c r="AD136"/>
      <c r="AE136" s="49"/>
      <c r="AF136" s="49"/>
      <c r="AG136" s="65" t="s">
        <v>35</v>
      </c>
      <c r="AH136" s="369">
        <v>12.5</v>
      </c>
      <c r="AI136" s="370">
        <v>13</v>
      </c>
      <c r="AJ136" s="371">
        <v>28</v>
      </c>
      <c r="AK136" s="371">
        <v>28</v>
      </c>
      <c r="AL136" s="353">
        <v>13</v>
      </c>
      <c r="AM136" s="370">
        <v>0</v>
      </c>
      <c r="AN136" s="354">
        <v>0</v>
      </c>
      <c r="AO136"/>
    </row>
    <row r="137" spans="1:41" ht="16.5">
      <c r="A137" s="49"/>
      <c r="B137" s="49"/>
      <c r="C137" s="38" t="s">
        <v>1751</v>
      </c>
      <c r="D137" s="38" t="s">
        <v>6</v>
      </c>
      <c r="E137" s="45">
        <v>41701</v>
      </c>
      <c r="F137" s="46">
        <v>41736</v>
      </c>
      <c r="G137" s="38">
        <v>1</v>
      </c>
      <c r="H137" s="47">
        <v>1</v>
      </c>
      <c r="I137" s="48">
        <v>1</v>
      </c>
      <c r="K137" s="49"/>
      <c r="L137" s="49"/>
      <c r="M137" s="65" t="s">
        <v>1434</v>
      </c>
      <c r="N137" s="66">
        <v>2</v>
      </c>
      <c r="O137" s="76">
        <v>2</v>
      </c>
      <c r="P137" s="153">
        <v>3</v>
      </c>
      <c r="Q137" s="76">
        <v>0</v>
      </c>
      <c r="R137" s="156">
        <v>0</v>
      </c>
      <c r="S137"/>
      <c r="U137"/>
      <c r="W137"/>
      <c r="X137"/>
      <c r="Y137"/>
      <c r="Z137"/>
      <c r="AA137"/>
      <c r="AB137"/>
      <c r="AC137"/>
      <c r="AD137"/>
      <c r="AE137" s="49"/>
      <c r="AF137" s="49"/>
      <c r="AG137" s="65" t="s">
        <v>50</v>
      </c>
      <c r="AH137" s="369">
        <v>4.5</v>
      </c>
      <c r="AI137" s="370">
        <v>5</v>
      </c>
      <c r="AJ137" s="371">
        <v>3</v>
      </c>
      <c r="AK137" s="371">
        <v>3</v>
      </c>
      <c r="AL137" s="353">
        <v>5</v>
      </c>
      <c r="AM137" s="370">
        <v>0</v>
      </c>
      <c r="AN137" s="354">
        <v>0</v>
      </c>
      <c r="AO137"/>
    </row>
    <row r="138" spans="1:41" ht="16.5">
      <c r="A138" s="49"/>
      <c r="B138" s="49"/>
      <c r="C138" s="38" t="s">
        <v>1752</v>
      </c>
      <c r="D138" s="38" t="s">
        <v>6</v>
      </c>
      <c r="E138" s="45">
        <v>41701</v>
      </c>
      <c r="F138" s="46">
        <v>41730</v>
      </c>
      <c r="G138" s="38">
        <v>1</v>
      </c>
      <c r="H138" s="47">
        <v>1</v>
      </c>
      <c r="I138" s="48">
        <v>1</v>
      </c>
      <c r="K138" s="49"/>
      <c r="L138" s="49"/>
      <c r="M138" s="65" t="s">
        <v>1484</v>
      </c>
      <c r="N138" s="66">
        <v>0.5</v>
      </c>
      <c r="O138" s="76">
        <v>0.5</v>
      </c>
      <c r="P138" s="153">
        <v>1</v>
      </c>
      <c r="Q138" s="76">
        <v>0</v>
      </c>
      <c r="R138" s="156">
        <v>0</v>
      </c>
      <c r="S138"/>
      <c r="U138"/>
      <c r="W138"/>
      <c r="X138"/>
      <c r="Y138"/>
      <c r="Z138"/>
      <c r="AA138"/>
      <c r="AB138"/>
      <c r="AC138"/>
      <c r="AD138"/>
      <c r="AE138" s="49"/>
      <c r="AF138" s="50" t="s">
        <v>877</v>
      </c>
      <c r="AG138" s="51"/>
      <c r="AH138" s="372">
        <v>24</v>
      </c>
      <c r="AI138" s="373">
        <v>25</v>
      </c>
      <c r="AJ138" s="368">
        <v>51</v>
      </c>
      <c r="AK138" s="368">
        <v>51</v>
      </c>
      <c r="AL138" s="157">
        <v>25</v>
      </c>
      <c r="AM138" s="373">
        <v>0</v>
      </c>
      <c r="AN138" s="158">
        <v>0</v>
      </c>
      <c r="AO138"/>
    </row>
    <row r="139" spans="1:41" ht="16.5">
      <c r="A139" s="49"/>
      <c r="B139" s="49"/>
      <c r="C139" s="38" t="s">
        <v>1753</v>
      </c>
      <c r="D139" s="38" t="s">
        <v>1120</v>
      </c>
      <c r="E139" s="45">
        <v>41701</v>
      </c>
      <c r="F139" s="46">
        <v>41731</v>
      </c>
      <c r="G139" s="38">
        <v>1</v>
      </c>
      <c r="H139" s="47">
        <v>1</v>
      </c>
      <c r="I139" s="48">
        <v>1</v>
      </c>
      <c r="K139" s="49"/>
      <c r="L139" s="38" t="s">
        <v>47</v>
      </c>
      <c r="M139" s="38" t="s">
        <v>6</v>
      </c>
      <c r="N139" s="63">
        <v>5</v>
      </c>
      <c r="O139" s="141">
        <v>5</v>
      </c>
      <c r="P139" s="152">
        <v>5</v>
      </c>
      <c r="Q139" s="141">
        <v>0</v>
      </c>
      <c r="R139" s="155">
        <v>0</v>
      </c>
      <c r="S139"/>
      <c r="U139"/>
      <c r="W139"/>
      <c r="X139"/>
      <c r="Y139"/>
      <c r="Z139"/>
      <c r="AA139"/>
      <c r="AB139"/>
      <c r="AC139"/>
      <c r="AD139"/>
      <c r="AE139" s="49"/>
      <c r="AF139" s="38" t="s">
        <v>48</v>
      </c>
      <c r="AG139" s="38" t="s">
        <v>38</v>
      </c>
      <c r="AH139" s="366">
        <v>8.5</v>
      </c>
      <c r="AI139" s="367">
        <v>9</v>
      </c>
      <c r="AJ139" s="368">
        <v>21</v>
      </c>
      <c r="AK139" s="368">
        <v>13</v>
      </c>
      <c r="AL139" s="350">
        <v>10</v>
      </c>
      <c r="AM139" s="367">
        <v>0</v>
      </c>
      <c r="AN139" s="349">
        <v>0</v>
      </c>
      <c r="AO139"/>
    </row>
    <row r="140" spans="1:41" ht="16.5">
      <c r="A140" s="49"/>
      <c r="B140" s="49"/>
      <c r="C140" s="38" t="s">
        <v>1754</v>
      </c>
      <c r="D140" s="38" t="s">
        <v>1415</v>
      </c>
      <c r="E140" s="45">
        <v>41701</v>
      </c>
      <c r="F140" s="46">
        <v>41758</v>
      </c>
      <c r="G140" s="38">
        <v>1</v>
      </c>
      <c r="H140" s="47">
        <v>1</v>
      </c>
      <c r="I140" s="48">
        <v>1</v>
      </c>
      <c r="K140" s="49"/>
      <c r="L140" s="49"/>
      <c r="M140" s="65" t="s">
        <v>1120</v>
      </c>
      <c r="N140" s="66">
        <v>2</v>
      </c>
      <c r="O140" s="76">
        <v>2</v>
      </c>
      <c r="P140" s="153">
        <v>2</v>
      </c>
      <c r="Q140" s="76">
        <v>0</v>
      </c>
      <c r="R140" s="156">
        <v>0</v>
      </c>
      <c r="S140"/>
      <c r="U140"/>
      <c r="W140"/>
      <c r="X140"/>
      <c r="Y140"/>
      <c r="Z140"/>
      <c r="AA140"/>
      <c r="AB140"/>
      <c r="AC140"/>
      <c r="AD140"/>
      <c r="AE140" s="49"/>
      <c r="AF140" s="49"/>
      <c r="AG140" s="65" t="s">
        <v>35</v>
      </c>
      <c r="AH140" s="369">
        <v>5</v>
      </c>
      <c r="AI140" s="370">
        <v>5</v>
      </c>
      <c r="AJ140" s="371"/>
      <c r="AK140" s="371"/>
      <c r="AL140" s="353">
        <v>5</v>
      </c>
      <c r="AM140" s="370">
        <v>0</v>
      </c>
      <c r="AN140" s="354">
        <v>0</v>
      </c>
      <c r="AO140"/>
    </row>
    <row r="141" spans="1:41" ht="16.5">
      <c r="A141" s="49"/>
      <c r="B141" s="49"/>
      <c r="C141" s="38" t="s">
        <v>1755</v>
      </c>
      <c r="D141" s="38" t="s">
        <v>1415</v>
      </c>
      <c r="E141" s="45">
        <v>41701</v>
      </c>
      <c r="F141" s="46">
        <v>41758</v>
      </c>
      <c r="G141" s="38">
        <v>1</v>
      </c>
      <c r="H141" s="47">
        <v>1</v>
      </c>
      <c r="I141" s="48">
        <v>1</v>
      </c>
      <c r="K141" s="49"/>
      <c r="L141" s="49"/>
      <c r="M141" s="65" t="s">
        <v>1415</v>
      </c>
      <c r="N141" s="66">
        <v>9</v>
      </c>
      <c r="O141" s="76">
        <v>9</v>
      </c>
      <c r="P141" s="153">
        <v>9</v>
      </c>
      <c r="Q141" s="76">
        <v>0</v>
      </c>
      <c r="R141" s="156">
        <v>0</v>
      </c>
      <c r="S141"/>
      <c r="U141"/>
      <c r="W141"/>
      <c r="X141"/>
      <c r="Y141"/>
      <c r="Z141"/>
      <c r="AA141"/>
      <c r="AB141"/>
      <c r="AC141"/>
      <c r="AD141"/>
      <c r="AE141" s="49"/>
      <c r="AF141" s="49"/>
      <c r="AG141" s="65" t="s">
        <v>50</v>
      </c>
      <c r="AH141" s="369">
        <v>4</v>
      </c>
      <c r="AI141" s="370">
        <v>4</v>
      </c>
      <c r="AJ141" s="371"/>
      <c r="AK141" s="371"/>
      <c r="AL141" s="353">
        <v>4</v>
      </c>
      <c r="AM141" s="370">
        <v>0</v>
      </c>
      <c r="AN141" s="354">
        <v>0</v>
      </c>
      <c r="AO141"/>
    </row>
    <row r="142" spans="1:41" ht="16.5">
      <c r="A142" s="49"/>
      <c r="B142" s="49"/>
      <c r="C142" s="38" t="s">
        <v>1756</v>
      </c>
      <c r="D142" s="38" t="s">
        <v>6</v>
      </c>
      <c r="E142" s="45">
        <v>41701</v>
      </c>
      <c r="F142" s="46">
        <v>41736</v>
      </c>
      <c r="G142" s="38">
        <v>1</v>
      </c>
      <c r="H142" s="47">
        <v>1</v>
      </c>
      <c r="I142" s="48">
        <v>1</v>
      </c>
      <c r="K142" s="49"/>
      <c r="L142" s="38" t="s">
        <v>51</v>
      </c>
      <c r="M142" s="38" t="s">
        <v>6</v>
      </c>
      <c r="N142" s="63">
        <v>9.1666666666666679</v>
      </c>
      <c r="O142" s="141">
        <v>6</v>
      </c>
      <c r="P142" s="152">
        <v>8</v>
      </c>
      <c r="Q142" s="141">
        <v>3.1666666666666679</v>
      </c>
      <c r="R142" s="155">
        <v>5</v>
      </c>
      <c r="S142"/>
      <c r="U142"/>
      <c r="W142"/>
      <c r="X142"/>
      <c r="Y142"/>
      <c r="Z142"/>
      <c r="AA142"/>
      <c r="AB142"/>
      <c r="AC142"/>
      <c r="AD142"/>
      <c r="AE142" s="49"/>
      <c r="AF142" s="50" t="s">
        <v>878</v>
      </c>
      <c r="AG142" s="51"/>
      <c r="AH142" s="372">
        <v>17.5</v>
      </c>
      <c r="AI142" s="373">
        <v>18</v>
      </c>
      <c r="AJ142" s="368">
        <v>21</v>
      </c>
      <c r="AK142" s="368">
        <v>13</v>
      </c>
      <c r="AL142" s="157">
        <v>19</v>
      </c>
      <c r="AM142" s="373">
        <v>0</v>
      </c>
      <c r="AN142" s="158">
        <v>0</v>
      </c>
      <c r="AO142"/>
    </row>
    <row r="143" spans="1:41" ht="16.5">
      <c r="A143" s="49"/>
      <c r="B143" s="49"/>
      <c r="C143" s="38" t="s">
        <v>2176</v>
      </c>
      <c r="D143" s="38" t="s">
        <v>6</v>
      </c>
      <c r="E143" s="45">
        <v>41758</v>
      </c>
      <c r="F143" s="46">
        <v>41775</v>
      </c>
      <c r="G143" s="38">
        <v>1</v>
      </c>
      <c r="H143" s="47">
        <v>1</v>
      </c>
      <c r="I143" s="48">
        <v>1</v>
      </c>
      <c r="K143" s="49"/>
      <c r="L143" s="49"/>
      <c r="M143" s="65" t="s">
        <v>1120</v>
      </c>
      <c r="N143" s="66">
        <v>2.5</v>
      </c>
      <c r="O143" s="76">
        <v>1</v>
      </c>
      <c r="P143" s="153">
        <v>2</v>
      </c>
      <c r="Q143" s="76">
        <v>1.5</v>
      </c>
      <c r="R143" s="156">
        <v>3</v>
      </c>
      <c r="S143"/>
      <c r="U143"/>
      <c r="W143"/>
      <c r="X143"/>
      <c r="Y143"/>
      <c r="Z143"/>
      <c r="AA143"/>
      <c r="AB143"/>
      <c r="AC143"/>
      <c r="AD143"/>
      <c r="AE143" s="49"/>
      <c r="AF143" s="38" t="s">
        <v>6</v>
      </c>
      <c r="AG143" s="38" t="s">
        <v>35</v>
      </c>
      <c r="AH143" s="366">
        <v>2</v>
      </c>
      <c r="AI143" s="367">
        <v>2</v>
      </c>
      <c r="AJ143" s="368">
        <v>6</v>
      </c>
      <c r="AK143" s="368">
        <v>6</v>
      </c>
      <c r="AL143" s="350">
        <v>2</v>
      </c>
      <c r="AM143" s="367">
        <v>0</v>
      </c>
      <c r="AN143" s="349">
        <v>0</v>
      </c>
      <c r="AO143"/>
    </row>
    <row r="144" spans="1:41" ht="16.5">
      <c r="A144" s="49"/>
      <c r="B144" s="50" t="s">
        <v>1347</v>
      </c>
      <c r="C144" s="51"/>
      <c r="D144" s="51"/>
      <c r="E144" s="51"/>
      <c r="F144" s="51"/>
      <c r="G144" s="51"/>
      <c r="H144" s="52">
        <v>11</v>
      </c>
      <c r="I144" s="53">
        <v>10</v>
      </c>
      <c r="K144" s="49"/>
      <c r="L144" s="49"/>
      <c r="M144" s="65" t="s">
        <v>1434</v>
      </c>
      <c r="N144" s="66">
        <v>0.66666666666666663</v>
      </c>
      <c r="O144" s="76">
        <v>1</v>
      </c>
      <c r="P144" s="153">
        <v>2</v>
      </c>
      <c r="Q144" s="76">
        <v>-0.33333333333333337</v>
      </c>
      <c r="R144" s="156">
        <v>0</v>
      </c>
      <c r="S144"/>
      <c r="U144"/>
      <c r="W144"/>
      <c r="X144"/>
      <c r="Y144"/>
      <c r="Z144"/>
      <c r="AA144"/>
      <c r="AB144"/>
      <c r="AC144"/>
      <c r="AD144"/>
      <c r="AE144" s="49"/>
      <c r="AF144" s="49"/>
      <c r="AG144" s="65" t="s">
        <v>56</v>
      </c>
      <c r="AH144" s="369">
        <v>5</v>
      </c>
      <c r="AI144" s="370">
        <v>5</v>
      </c>
      <c r="AJ144" s="371"/>
      <c r="AK144" s="371"/>
      <c r="AL144" s="353">
        <v>5</v>
      </c>
      <c r="AM144" s="370">
        <v>0</v>
      </c>
      <c r="AN144" s="354">
        <v>0</v>
      </c>
      <c r="AO144"/>
    </row>
    <row r="145" spans="1:41" ht="16.5">
      <c r="A145" s="49"/>
      <c r="B145" s="38" t="s">
        <v>37</v>
      </c>
      <c r="C145" s="38" t="s">
        <v>1761</v>
      </c>
      <c r="D145" s="38" t="s">
        <v>6</v>
      </c>
      <c r="E145" s="45">
        <v>41708</v>
      </c>
      <c r="F145" s="46">
        <v>41753</v>
      </c>
      <c r="G145" s="38">
        <v>1</v>
      </c>
      <c r="H145" s="47">
        <v>1</v>
      </c>
      <c r="I145" s="48">
        <v>1</v>
      </c>
      <c r="K145" s="49"/>
      <c r="L145" s="49"/>
      <c r="M145" s="65" t="s">
        <v>2195</v>
      </c>
      <c r="N145" s="66">
        <v>0.66666666666666663</v>
      </c>
      <c r="O145" s="76">
        <v>0</v>
      </c>
      <c r="P145" s="153">
        <v>0</v>
      </c>
      <c r="Q145" s="76">
        <v>0.66666666666666663</v>
      </c>
      <c r="R145" s="156">
        <v>2</v>
      </c>
      <c r="S145"/>
      <c r="U145"/>
      <c r="W145"/>
      <c r="X145"/>
      <c r="Y145"/>
      <c r="Z145"/>
      <c r="AA145"/>
      <c r="AB145"/>
      <c r="AC145"/>
      <c r="AD145"/>
      <c r="AE145" s="49"/>
      <c r="AF145" s="50" t="s">
        <v>879</v>
      </c>
      <c r="AG145" s="51"/>
      <c r="AH145" s="372">
        <v>7</v>
      </c>
      <c r="AI145" s="373">
        <v>7</v>
      </c>
      <c r="AJ145" s="368">
        <v>6</v>
      </c>
      <c r="AK145" s="368">
        <v>6</v>
      </c>
      <c r="AL145" s="157">
        <v>7</v>
      </c>
      <c r="AM145" s="373">
        <v>0</v>
      </c>
      <c r="AN145" s="158">
        <v>0</v>
      </c>
      <c r="AO145"/>
    </row>
    <row r="146" spans="1:41" ht="16.5">
      <c r="A146" s="49"/>
      <c r="B146" s="50" t="s">
        <v>1826</v>
      </c>
      <c r="C146" s="51"/>
      <c r="D146" s="51"/>
      <c r="E146" s="51"/>
      <c r="F146" s="51"/>
      <c r="G146" s="51"/>
      <c r="H146" s="52">
        <v>1</v>
      </c>
      <c r="I146" s="53">
        <v>1</v>
      </c>
      <c r="K146" s="49"/>
      <c r="L146" s="38" t="s">
        <v>1101</v>
      </c>
      <c r="M146" s="38" t="s">
        <v>1415</v>
      </c>
      <c r="N146" s="63">
        <v>2</v>
      </c>
      <c r="O146" s="141">
        <v>0</v>
      </c>
      <c r="P146" s="152">
        <v>0</v>
      </c>
      <c r="Q146" s="141">
        <v>2</v>
      </c>
      <c r="R146" s="155">
        <v>2</v>
      </c>
      <c r="S146"/>
      <c r="U146"/>
      <c r="W146"/>
      <c r="X146"/>
      <c r="Y146"/>
      <c r="Z146"/>
      <c r="AA146"/>
      <c r="AB146"/>
      <c r="AC146"/>
      <c r="AD146"/>
      <c r="AE146" s="49"/>
      <c r="AF146" s="38" t="s">
        <v>792</v>
      </c>
      <c r="AG146" s="38" t="s">
        <v>38</v>
      </c>
      <c r="AH146" s="366">
        <v>5</v>
      </c>
      <c r="AI146" s="367">
        <v>5</v>
      </c>
      <c r="AJ146" s="368">
        <v>7</v>
      </c>
      <c r="AK146" s="368">
        <v>7</v>
      </c>
      <c r="AL146" s="350">
        <v>5</v>
      </c>
      <c r="AM146" s="367">
        <v>0</v>
      </c>
      <c r="AN146" s="349">
        <v>0</v>
      </c>
      <c r="AO146"/>
    </row>
    <row r="147" spans="1:41" ht="16.5">
      <c r="A147" s="49"/>
      <c r="B147" s="38" t="s">
        <v>36</v>
      </c>
      <c r="C147" s="38" t="s">
        <v>2177</v>
      </c>
      <c r="D147" s="38" t="s">
        <v>6</v>
      </c>
      <c r="E147" s="45">
        <v>41758</v>
      </c>
      <c r="F147" s="46">
        <v>41786</v>
      </c>
      <c r="G147" s="38">
        <v>0</v>
      </c>
      <c r="H147" s="47">
        <v>1</v>
      </c>
      <c r="I147" s="48">
        <v>0</v>
      </c>
      <c r="K147" s="49"/>
      <c r="L147" s="38" t="s">
        <v>1677</v>
      </c>
      <c r="M147" s="38" t="s">
        <v>6</v>
      </c>
      <c r="N147" s="63">
        <v>1.3333333333333333</v>
      </c>
      <c r="O147" s="141">
        <v>2</v>
      </c>
      <c r="P147" s="152">
        <v>4</v>
      </c>
      <c r="Q147" s="141">
        <v>-0.66666666666666674</v>
      </c>
      <c r="R147" s="155">
        <v>0</v>
      </c>
      <c r="S147"/>
      <c r="U147"/>
      <c r="W147"/>
      <c r="X147"/>
      <c r="Y147"/>
      <c r="Z147"/>
      <c r="AA147"/>
      <c r="AB147"/>
      <c r="AC147"/>
      <c r="AD147"/>
      <c r="AE147" s="49"/>
      <c r="AF147" s="49"/>
      <c r="AG147" s="65" t="s">
        <v>35</v>
      </c>
      <c r="AH147" s="369">
        <v>9</v>
      </c>
      <c r="AI147" s="370">
        <v>9</v>
      </c>
      <c r="AJ147" s="371">
        <v>19</v>
      </c>
      <c r="AK147" s="371">
        <v>19</v>
      </c>
      <c r="AL147" s="353">
        <v>9</v>
      </c>
      <c r="AM147" s="370">
        <v>0</v>
      </c>
      <c r="AN147" s="354">
        <v>0</v>
      </c>
      <c r="AO147"/>
    </row>
    <row r="148" spans="1:41" ht="16.5">
      <c r="A148" s="49"/>
      <c r="B148" s="49"/>
      <c r="C148" s="38" t="s">
        <v>2178</v>
      </c>
      <c r="D148" s="38" t="s">
        <v>6</v>
      </c>
      <c r="E148" s="45">
        <v>41758</v>
      </c>
      <c r="F148" s="46">
        <v>41786</v>
      </c>
      <c r="G148" s="38">
        <v>0</v>
      </c>
      <c r="H148" s="47">
        <v>1</v>
      </c>
      <c r="I148" s="48">
        <v>0</v>
      </c>
      <c r="K148" s="49"/>
      <c r="L148" s="49"/>
      <c r="M148" s="65" t="s">
        <v>1120</v>
      </c>
      <c r="N148" s="66">
        <v>1.3333333333333333</v>
      </c>
      <c r="O148" s="76">
        <v>0</v>
      </c>
      <c r="P148" s="153">
        <v>0</v>
      </c>
      <c r="Q148" s="76">
        <v>1.3333333333333333</v>
      </c>
      <c r="R148" s="156">
        <v>4</v>
      </c>
      <c r="S148"/>
      <c r="U148"/>
      <c r="W148"/>
      <c r="X148"/>
      <c r="Y148"/>
      <c r="Z148"/>
      <c r="AA148"/>
      <c r="AB148"/>
      <c r="AC148"/>
      <c r="AD148"/>
      <c r="AE148" s="49"/>
      <c r="AF148" s="49"/>
      <c r="AG148" s="65" t="s">
        <v>50</v>
      </c>
      <c r="AH148" s="369">
        <v>14.5</v>
      </c>
      <c r="AI148" s="370">
        <v>15</v>
      </c>
      <c r="AJ148" s="371">
        <v>17</v>
      </c>
      <c r="AK148" s="371">
        <v>15</v>
      </c>
      <c r="AL148" s="353">
        <v>15</v>
      </c>
      <c r="AM148" s="370">
        <v>0</v>
      </c>
      <c r="AN148" s="354">
        <v>0</v>
      </c>
      <c r="AO148"/>
    </row>
    <row r="149" spans="1:41" ht="16.5">
      <c r="A149" s="49"/>
      <c r="B149" s="50" t="s">
        <v>857</v>
      </c>
      <c r="C149" s="51"/>
      <c r="D149" s="51"/>
      <c r="E149" s="51"/>
      <c r="F149" s="51"/>
      <c r="G149" s="51"/>
      <c r="H149" s="52">
        <v>2</v>
      </c>
      <c r="I149" s="53">
        <v>0</v>
      </c>
      <c r="K149" s="49"/>
      <c r="L149" s="49"/>
      <c r="M149" s="65" t="s">
        <v>1434</v>
      </c>
      <c r="N149" s="66">
        <v>1.3333333333333333</v>
      </c>
      <c r="O149" s="76">
        <v>2</v>
      </c>
      <c r="P149" s="153">
        <v>4</v>
      </c>
      <c r="Q149" s="76">
        <v>-0.66666666666666674</v>
      </c>
      <c r="R149" s="156">
        <v>0</v>
      </c>
      <c r="S149"/>
      <c r="U149"/>
      <c r="W149"/>
      <c r="X149"/>
      <c r="Y149"/>
      <c r="Z149"/>
      <c r="AA149"/>
      <c r="AB149"/>
      <c r="AC149"/>
      <c r="AD149"/>
      <c r="AE149" s="49"/>
      <c r="AF149" s="50" t="s">
        <v>880</v>
      </c>
      <c r="AG149" s="51"/>
      <c r="AH149" s="372">
        <v>28.5</v>
      </c>
      <c r="AI149" s="373">
        <v>29</v>
      </c>
      <c r="AJ149" s="368">
        <v>43</v>
      </c>
      <c r="AK149" s="368">
        <v>41</v>
      </c>
      <c r="AL149" s="157">
        <v>29</v>
      </c>
      <c r="AM149" s="373">
        <v>0</v>
      </c>
      <c r="AN149" s="158">
        <v>0</v>
      </c>
      <c r="AO149"/>
    </row>
    <row r="150" spans="1:41" ht="16.5">
      <c r="A150" s="49"/>
      <c r="B150" s="38" t="s">
        <v>33</v>
      </c>
      <c r="C150" s="38" t="s">
        <v>1759</v>
      </c>
      <c r="D150" s="38" t="s">
        <v>6</v>
      </c>
      <c r="E150" s="45">
        <v>41708</v>
      </c>
      <c r="F150" s="46">
        <v>41732</v>
      </c>
      <c r="G150" s="38">
        <v>1</v>
      </c>
      <c r="H150" s="47">
        <v>1</v>
      </c>
      <c r="I150" s="48">
        <v>1</v>
      </c>
      <c r="K150" s="50" t="s">
        <v>1080</v>
      </c>
      <c r="L150" s="51"/>
      <c r="M150" s="51"/>
      <c r="N150" s="145">
        <v>102</v>
      </c>
      <c r="O150" s="143">
        <v>88</v>
      </c>
      <c r="P150" s="152">
        <v>103</v>
      </c>
      <c r="Q150" s="143">
        <v>13.999999999999915</v>
      </c>
      <c r="R150" s="155">
        <v>27</v>
      </c>
      <c r="S150"/>
      <c r="U150"/>
      <c r="W150"/>
      <c r="X150"/>
      <c r="Y150"/>
      <c r="Z150"/>
      <c r="AA150"/>
      <c r="AB150"/>
      <c r="AC150"/>
      <c r="AD150"/>
      <c r="AE150" s="49"/>
      <c r="AF150" s="38" t="s">
        <v>1120</v>
      </c>
      <c r="AG150" s="38" t="s">
        <v>56</v>
      </c>
      <c r="AH150" s="366">
        <v>2</v>
      </c>
      <c r="AI150" s="367">
        <v>2</v>
      </c>
      <c r="AJ150" s="368"/>
      <c r="AK150" s="368"/>
      <c r="AL150" s="350">
        <v>2</v>
      </c>
      <c r="AM150" s="367">
        <v>0</v>
      </c>
      <c r="AN150" s="349">
        <v>0</v>
      </c>
      <c r="AO150"/>
    </row>
    <row r="151" spans="1:41" ht="16.5">
      <c r="A151" s="49"/>
      <c r="B151" s="49"/>
      <c r="C151" s="38" t="s">
        <v>1760</v>
      </c>
      <c r="D151" s="38" t="s">
        <v>6</v>
      </c>
      <c r="E151" s="45">
        <v>41708</v>
      </c>
      <c r="F151" s="46">
        <v>41732</v>
      </c>
      <c r="G151" s="38">
        <v>1</v>
      </c>
      <c r="H151" s="47">
        <v>1</v>
      </c>
      <c r="I151" s="48">
        <v>1</v>
      </c>
      <c r="K151" s="38" t="s">
        <v>60</v>
      </c>
      <c r="L151" s="38" t="s">
        <v>40</v>
      </c>
      <c r="M151" s="38" t="s">
        <v>6</v>
      </c>
      <c r="N151" s="63">
        <v>1</v>
      </c>
      <c r="O151" s="141">
        <v>1</v>
      </c>
      <c r="P151" s="152">
        <v>1</v>
      </c>
      <c r="Q151" s="141">
        <v>0</v>
      </c>
      <c r="R151" s="155">
        <v>0</v>
      </c>
      <c r="S151"/>
      <c r="U151"/>
      <c r="W151"/>
      <c r="X151"/>
      <c r="Y151"/>
      <c r="Z151"/>
      <c r="AA151"/>
      <c r="AB151"/>
      <c r="AC151"/>
      <c r="AD151"/>
      <c r="AE151" s="49"/>
      <c r="AF151" s="50" t="s">
        <v>1121</v>
      </c>
      <c r="AG151" s="51"/>
      <c r="AH151" s="372">
        <v>2</v>
      </c>
      <c r="AI151" s="373">
        <v>2</v>
      </c>
      <c r="AJ151" s="368"/>
      <c r="AK151" s="368"/>
      <c r="AL151" s="157">
        <v>2</v>
      </c>
      <c r="AM151" s="373">
        <v>0</v>
      </c>
      <c r="AN151" s="158">
        <v>0</v>
      </c>
      <c r="AO151"/>
    </row>
    <row r="152" spans="1:41" ht="16.5">
      <c r="A152" s="49"/>
      <c r="B152" s="50" t="s">
        <v>854</v>
      </c>
      <c r="C152" s="51"/>
      <c r="D152" s="51"/>
      <c r="E152" s="51"/>
      <c r="F152" s="51"/>
      <c r="G152" s="51"/>
      <c r="H152" s="52">
        <v>2</v>
      </c>
      <c r="I152" s="53">
        <v>2</v>
      </c>
      <c r="K152" s="49"/>
      <c r="L152" s="38" t="s">
        <v>3</v>
      </c>
      <c r="M152" s="38" t="s">
        <v>6</v>
      </c>
      <c r="N152" s="63">
        <v>2</v>
      </c>
      <c r="O152" s="141">
        <v>2</v>
      </c>
      <c r="P152" s="152">
        <v>2</v>
      </c>
      <c r="Q152" s="141">
        <v>0</v>
      </c>
      <c r="R152" s="155">
        <v>0</v>
      </c>
      <c r="S152"/>
      <c r="U152"/>
      <c r="W152"/>
      <c r="X152"/>
      <c r="Y152"/>
      <c r="Z152"/>
      <c r="AA152"/>
      <c r="AB152"/>
      <c r="AC152"/>
      <c r="AD152"/>
      <c r="AE152" s="49"/>
      <c r="AF152" s="38" t="s">
        <v>1305</v>
      </c>
      <c r="AG152" s="38" t="s">
        <v>38</v>
      </c>
      <c r="AH152" s="366">
        <v>1.5</v>
      </c>
      <c r="AI152" s="367">
        <v>2</v>
      </c>
      <c r="AJ152" s="368">
        <v>5</v>
      </c>
      <c r="AK152" s="368">
        <v>5</v>
      </c>
      <c r="AL152" s="350">
        <v>2</v>
      </c>
      <c r="AM152" s="367">
        <v>0</v>
      </c>
      <c r="AN152" s="349">
        <v>0</v>
      </c>
      <c r="AO152"/>
    </row>
    <row r="153" spans="1:41" ht="16.5">
      <c r="A153" s="49"/>
      <c r="B153" s="38" t="s">
        <v>28</v>
      </c>
      <c r="C153" s="38" t="s">
        <v>1762</v>
      </c>
      <c r="D153" s="38" t="s">
        <v>6</v>
      </c>
      <c r="E153" s="45">
        <v>41705</v>
      </c>
      <c r="F153" s="46">
        <v>41730</v>
      </c>
      <c r="G153" s="38">
        <v>1</v>
      </c>
      <c r="H153" s="47">
        <v>1</v>
      </c>
      <c r="I153" s="48">
        <v>1</v>
      </c>
      <c r="K153" s="49"/>
      <c r="L153" s="38" t="s">
        <v>32</v>
      </c>
      <c r="M153" s="38" t="s">
        <v>6</v>
      </c>
      <c r="N153" s="63">
        <v>5</v>
      </c>
      <c r="O153" s="141">
        <v>5</v>
      </c>
      <c r="P153" s="152">
        <v>5</v>
      </c>
      <c r="Q153" s="141">
        <v>0</v>
      </c>
      <c r="R153" s="155">
        <v>0</v>
      </c>
      <c r="S153"/>
      <c r="U153"/>
      <c r="W153"/>
      <c r="X153"/>
      <c r="Y153"/>
      <c r="Z153"/>
      <c r="AA153"/>
      <c r="AB153"/>
      <c r="AC153"/>
      <c r="AD153"/>
      <c r="AE153" s="49"/>
      <c r="AF153" s="49"/>
      <c r="AG153" s="65" t="s">
        <v>35</v>
      </c>
      <c r="AH153" s="369">
        <v>2.5</v>
      </c>
      <c r="AI153" s="370">
        <v>3</v>
      </c>
      <c r="AJ153" s="371">
        <v>9</v>
      </c>
      <c r="AK153" s="371">
        <v>9</v>
      </c>
      <c r="AL153" s="353">
        <v>3</v>
      </c>
      <c r="AM153" s="370">
        <v>0</v>
      </c>
      <c r="AN153" s="354">
        <v>0</v>
      </c>
      <c r="AO153"/>
    </row>
    <row r="154" spans="1:41" ht="16.5">
      <c r="A154" s="49"/>
      <c r="B154" s="49"/>
      <c r="C154" s="38" t="s">
        <v>1763</v>
      </c>
      <c r="D154" s="38" t="s">
        <v>6</v>
      </c>
      <c r="E154" s="45">
        <v>41705</v>
      </c>
      <c r="F154" s="46">
        <v>41730</v>
      </c>
      <c r="G154" s="38">
        <v>1</v>
      </c>
      <c r="H154" s="47">
        <v>1</v>
      </c>
      <c r="I154" s="48">
        <v>1</v>
      </c>
      <c r="K154" s="49"/>
      <c r="L154" s="38" t="s">
        <v>51</v>
      </c>
      <c r="M154" s="38" t="s">
        <v>6</v>
      </c>
      <c r="N154" s="63">
        <v>1</v>
      </c>
      <c r="O154" s="141">
        <v>1</v>
      </c>
      <c r="P154" s="152">
        <v>1</v>
      </c>
      <c r="Q154" s="141">
        <v>0</v>
      </c>
      <c r="R154" s="155">
        <v>0</v>
      </c>
      <c r="S154"/>
      <c r="U154"/>
      <c r="W154"/>
      <c r="X154"/>
      <c r="Y154"/>
      <c r="Z154"/>
      <c r="AA154"/>
      <c r="AB154"/>
      <c r="AC154"/>
      <c r="AD154"/>
      <c r="AE154" s="49"/>
      <c r="AF154" s="49"/>
      <c r="AG154" s="65" t="s">
        <v>50</v>
      </c>
      <c r="AH154" s="369">
        <v>1</v>
      </c>
      <c r="AI154" s="370">
        <v>1</v>
      </c>
      <c r="AJ154" s="371"/>
      <c r="AK154" s="371"/>
      <c r="AL154" s="353">
        <v>1</v>
      </c>
      <c r="AM154" s="370">
        <v>0</v>
      </c>
      <c r="AN154" s="354">
        <v>0</v>
      </c>
      <c r="AO154"/>
    </row>
    <row r="155" spans="1:41" ht="16.5">
      <c r="A155" s="49"/>
      <c r="B155" s="49"/>
      <c r="C155" s="38" t="s">
        <v>1764</v>
      </c>
      <c r="D155" s="38" t="s">
        <v>6</v>
      </c>
      <c r="E155" s="45">
        <v>41705</v>
      </c>
      <c r="F155" s="46">
        <v>41737</v>
      </c>
      <c r="G155" s="38">
        <v>1</v>
      </c>
      <c r="H155" s="47">
        <v>1</v>
      </c>
      <c r="I155" s="48">
        <v>1</v>
      </c>
      <c r="K155" s="49"/>
      <c r="L155" s="49"/>
      <c r="M155" s="65" t="s">
        <v>1120</v>
      </c>
      <c r="N155" s="66">
        <v>1</v>
      </c>
      <c r="O155" s="76">
        <v>1</v>
      </c>
      <c r="P155" s="153">
        <v>1</v>
      </c>
      <c r="Q155" s="76">
        <v>0</v>
      </c>
      <c r="R155" s="156">
        <v>0</v>
      </c>
      <c r="S155"/>
      <c r="U155"/>
      <c r="W155"/>
      <c r="X155"/>
      <c r="Y155"/>
      <c r="Z155"/>
      <c r="AA155"/>
      <c r="AB155"/>
      <c r="AC155"/>
      <c r="AD155"/>
      <c r="AE155" s="49"/>
      <c r="AF155" s="50" t="s">
        <v>1346</v>
      </c>
      <c r="AG155" s="51"/>
      <c r="AH155" s="372">
        <v>5</v>
      </c>
      <c r="AI155" s="373">
        <v>6</v>
      </c>
      <c r="AJ155" s="368">
        <v>14</v>
      </c>
      <c r="AK155" s="368">
        <v>14</v>
      </c>
      <c r="AL155" s="157">
        <v>6</v>
      </c>
      <c r="AM155" s="373">
        <v>0</v>
      </c>
      <c r="AN155" s="158">
        <v>0</v>
      </c>
      <c r="AO155"/>
    </row>
    <row r="156" spans="1:41" ht="16.5">
      <c r="A156" s="49"/>
      <c r="B156" s="49"/>
      <c r="C156" s="38" t="s">
        <v>1765</v>
      </c>
      <c r="D156" s="38" t="s">
        <v>6</v>
      </c>
      <c r="E156" s="45">
        <v>41705</v>
      </c>
      <c r="F156" s="46">
        <v>41733</v>
      </c>
      <c r="G156" s="38">
        <v>0</v>
      </c>
      <c r="H156" s="47">
        <v>1</v>
      </c>
      <c r="I156" s="48">
        <v>0</v>
      </c>
      <c r="K156" s="50" t="s">
        <v>856</v>
      </c>
      <c r="L156" s="51"/>
      <c r="M156" s="51"/>
      <c r="N156" s="145">
        <v>10</v>
      </c>
      <c r="O156" s="143">
        <v>10</v>
      </c>
      <c r="P156" s="152">
        <v>10</v>
      </c>
      <c r="Q156" s="143">
        <v>0</v>
      </c>
      <c r="R156" s="155">
        <v>0</v>
      </c>
      <c r="S156"/>
      <c r="U156"/>
      <c r="W156"/>
      <c r="X156"/>
      <c r="Y156"/>
      <c r="Z156"/>
      <c r="AA156"/>
      <c r="AB156"/>
      <c r="AC156"/>
      <c r="AD156"/>
      <c r="AE156" s="49"/>
      <c r="AF156" s="38" t="s">
        <v>1415</v>
      </c>
      <c r="AG156" s="38" t="s">
        <v>56</v>
      </c>
      <c r="AH156" s="366">
        <v>9</v>
      </c>
      <c r="AI156" s="367">
        <v>9</v>
      </c>
      <c r="AJ156" s="368"/>
      <c r="AK156" s="368"/>
      <c r="AL156" s="350">
        <v>9</v>
      </c>
      <c r="AM156" s="367">
        <v>0</v>
      </c>
      <c r="AN156" s="349">
        <v>0</v>
      </c>
      <c r="AO156"/>
    </row>
    <row r="157" spans="1:41" ht="16.5">
      <c r="A157" s="49"/>
      <c r="B157" s="49"/>
      <c r="C157" s="38" t="s">
        <v>2169</v>
      </c>
      <c r="D157" s="38" t="s">
        <v>6</v>
      </c>
      <c r="E157" s="45">
        <v>41758</v>
      </c>
      <c r="F157" s="46">
        <v>41786</v>
      </c>
      <c r="G157" s="38">
        <v>0</v>
      </c>
      <c r="H157" s="47">
        <v>1</v>
      </c>
      <c r="I157" s="48">
        <v>0</v>
      </c>
      <c r="K157" s="38" t="s">
        <v>358</v>
      </c>
      <c r="L157" s="38" t="s">
        <v>51</v>
      </c>
      <c r="M157" s="38" t="s">
        <v>1120</v>
      </c>
      <c r="N157" s="63">
        <v>1</v>
      </c>
      <c r="O157" s="141">
        <v>0</v>
      </c>
      <c r="P157" s="152">
        <v>0</v>
      </c>
      <c r="Q157" s="141">
        <v>1</v>
      </c>
      <c r="R157" s="155">
        <v>1</v>
      </c>
      <c r="S157"/>
      <c r="U157"/>
      <c r="W157"/>
      <c r="X157"/>
      <c r="Y157"/>
      <c r="Z157"/>
      <c r="AA157"/>
      <c r="AB157"/>
      <c r="AC157"/>
      <c r="AD157"/>
      <c r="AE157" s="49"/>
      <c r="AF157" s="50" t="s">
        <v>1460</v>
      </c>
      <c r="AG157" s="51"/>
      <c r="AH157" s="372">
        <v>9</v>
      </c>
      <c r="AI157" s="373">
        <v>9</v>
      </c>
      <c r="AJ157" s="368"/>
      <c r="AK157" s="368"/>
      <c r="AL157" s="157">
        <v>9</v>
      </c>
      <c r="AM157" s="373">
        <v>0</v>
      </c>
      <c r="AN157" s="158">
        <v>0</v>
      </c>
      <c r="AO157"/>
    </row>
    <row r="158" spans="1:41" ht="16.5">
      <c r="A158" s="49"/>
      <c r="B158" s="49"/>
      <c r="C158" s="38" t="s">
        <v>2170</v>
      </c>
      <c r="D158" s="38" t="s">
        <v>6</v>
      </c>
      <c r="E158" s="45">
        <v>41758</v>
      </c>
      <c r="F158" s="46">
        <v>41786</v>
      </c>
      <c r="G158" s="38">
        <v>0</v>
      </c>
      <c r="H158" s="47">
        <v>1</v>
      </c>
      <c r="I158" s="48">
        <v>0</v>
      </c>
      <c r="K158" s="50" t="s">
        <v>2029</v>
      </c>
      <c r="L158" s="51"/>
      <c r="M158" s="51"/>
      <c r="N158" s="145">
        <v>1</v>
      </c>
      <c r="O158" s="143">
        <v>0</v>
      </c>
      <c r="P158" s="152">
        <v>0</v>
      </c>
      <c r="Q158" s="143">
        <v>1</v>
      </c>
      <c r="R158" s="155">
        <v>1</v>
      </c>
      <c r="S158"/>
      <c r="U158"/>
      <c r="W158"/>
      <c r="X158"/>
      <c r="Y158"/>
      <c r="Z158"/>
      <c r="AA158"/>
      <c r="AB158"/>
      <c r="AC158"/>
      <c r="AD158"/>
      <c r="AE158" s="38" t="s">
        <v>1101</v>
      </c>
      <c r="AF158" s="38" t="s">
        <v>792</v>
      </c>
      <c r="AG158" s="38" t="s">
        <v>28</v>
      </c>
      <c r="AH158" s="366">
        <v>2</v>
      </c>
      <c r="AI158" s="367">
        <v>4</v>
      </c>
      <c r="AJ158" s="368">
        <v>18</v>
      </c>
      <c r="AK158" s="368">
        <v>9</v>
      </c>
      <c r="AL158" s="350">
        <v>4</v>
      </c>
      <c r="AM158" s="367">
        <v>0</v>
      </c>
      <c r="AN158" s="349">
        <v>0</v>
      </c>
      <c r="AO158"/>
    </row>
    <row r="159" spans="1:41" ht="16.5">
      <c r="A159" s="49"/>
      <c r="B159" s="49"/>
      <c r="C159" s="38" t="s">
        <v>2171</v>
      </c>
      <c r="D159" s="38" t="s">
        <v>6</v>
      </c>
      <c r="E159" s="45">
        <v>41758</v>
      </c>
      <c r="F159" s="46">
        <v>41786</v>
      </c>
      <c r="G159" s="38">
        <v>0</v>
      </c>
      <c r="H159" s="47">
        <v>1</v>
      </c>
      <c r="I159" s="48">
        <v>0</v>
      </c>
      <c r="K159" s="38" t="s">
        <v>1789</v>
      </c>
      <c r="L159" s="38" t="s">
        <v>3</v>
      </c>
      <c r="M159" s="38" t="s">
        <v>1409</v>
      </c>
      <c r="N159" s="63">
        <v>5</v>
      </c>
      <c r="O159" s="141">
        <v>5</v>
      </c>
      <c r="P159" s="152">
        <v>5</v>
      </c>
      <c r="Q159" s="141">
        <v>0</v>
      </c>
      <c r="R159" s="155">
        <v>0</v>
      </c>
      <c r="S159"/>
      <c r="U159"/>
      <c r="W159"/>
      <c r="X159"/>
      <c r="Y159"/>
      <c r="Z159"/>
      <c r="AA159"/>
      <c r="AB159"/>
      <c r="AC159"/>
      <c r="AD159"/>
      <c r="AE159" s="49"/>
      <c r="AF159" s="49"/>
      <c r="AG159" s="65" t="s">
        <v>50</v>
      </c>
      <c r="AH159" s="369">
        <v>6</v>
      </c>
      <c r="AI159" s="370">
        <v>12</v>
      </c>
      <c r="AJ159" s="371">
        <v>30</v>
      </c>
      <c r="AK159" s="371">
        <v>15</v>
      </c>
      <c r="AL159" s="353">
        <v>12</v>
      </c>
      <c r="AM159" s="370">
        <v>0</v>
      </c>
      <c r="AN159" s="354">
        <v>0</v>
      </c>
      <c r="AO159"/>
    </row>
    <row r="160" spans="1:41" ht="16.5">
      <c r="A160" s="49"/>
      <c r="B160" s="49"/>
      <c r="C160" s="38" t="s">
        <v>2172</v>
      </c>
      <c r="D160" s="38" t="s">
        <v>6</v>
      </c>
      <c r="E160" s="45">
        <v>41758</v>
      </c>
      <c r="F160" s="46">
        <v>41786</v>
      </c>
      <c r="G160" s="38">
        <v>0</v>
      </c>
      <c r="H160" s="47">
        <v>1</v>
      </c>
      <c r="I160" s="48">
        <v>0</v>
      </c>
      <c r="K160" s="49"/>
      <c r="L160" s="49"/>
      <c r="M160" s="65" t="s">
        <v>1497</v>
      </c>
      <c r="N160" s="66">
        <v>1</v>
      </c>
      <c r="O160" s="76">
        <v>1</v>
      </c>
      <c r="P160" s="153">
        <v>1</v>
      </c>
      <c r="Q160" s="76">
        <v>0</v>
      </c>
      <c r="R160" s="156">
        <v>0</v>
      </c>
      <c r="S160"/>
      <c r="U160"/>
      <c r="W160"/>
      <c r="X160"/>
      <c r="Y160"/>
      <c r="Z160"/>
      <c r="AA160"/>
      <c r="AB160"/>
      <c r="AC160"/>
      <c r="AD160"/>
      <c r="AE160" s="49"/>
      <c r="AF160" s="49"/>
      <c r="AG160" s="65" t="s">
        <v>2116</v>
      </c>
      <c r="AH160" s="369">
        <v>15</v>
      </c>
      <c r="AI160" s="370">
        <v>15</v>
      </c>
      <c r="AJ160" s="371"/>
      <c r="AK160" s="371"/>
      <c r="AL160" s="353">
        <v>15</v>
      </c>
      <c r="AM160" s="370">
        <v>8</v>
      </c>
      <c r="AN160" s="354">
        <v>8</v>
      </c>
      <c r="AO160"/>
    </row>
    <row r="161" spans="1:41" ht="16.5">
      <c r="A161" s="49"/>
      <c r="B161" s="49"/>
      <c r="C161" s="38" t="s">
        <v>2173</v>
      </c>
      <c r="D161" s="38" t="s">
        <v>6</v>
      </c>
      <c r="E161" s="45">
        <v>41758</v>
      </c>
      <c r="F161" s="46">
        <v>41786</v>
      </c>
      <c r="G161" s="38">
        <v>0</v>
      </c>
      <c r="H161" s="47">
        <v>1</v>
      </c>
      <c r="I161" s="48">
        <v>0</v>
      </c>
      <c r="K161" s="49"/>
      <c r="L161" s="38" t="s">
        <v>61</v>
      </c>
      <c r="M161" s="38" t="s">
        <v>1409</v>
      </c>
      <c r="N161" s="63">
        <v>2</v>
      </c>
      <c r="O161" s="141">
        <v>2</v>
      </c>
      <c r="P161" s="152">
        <v>2</v>
      </c>
      <c r="Q161" s="141">
        <v>0</v>
      </c>
      <c r="R161" s="155">
        <v>0</v>
      </c>
      <c r="S161"/>
      <c r="U161"/>
      <c r="W161"/>
      <c r="X161"/>
      <c r="Y161"/>
      <c r="Z161"/>
      <c r="AA161"/>
      <c r="AB161"/>
      <c r="AC161"/>
      <c r="AD161"/>
      <c r="AE161" s="49"/>
      <c r="AF161" s="50" t="s">
        <v>880</v>
      </c>
      <c r="AG161" s="51"/>
      <c r="AH161" s="372">
        <v>23</v>
      </c>
      <c r="AI161" s="373">
        <v>31</v>
      </c>
      <c r="AJ161" s="368">
        <v>48</v>
      </c>
      <c r="AK161" s="368">
        <v>24</v>
      </c>
      <c r="AL161" s="157">
        <v>31</v>
      </c>
      <c r="AM161" s="373">
        <v>8</v>
      </c>
      <c r="AN161" s="158">
        <v>8</v>
      </c>
      <c r="AO161"/>
    </row>
    <row r="162" spans="1:41" ht="16.5">
      <c r="A162" s="49"/>
      <c r="B162" s="49"/>
      <c r="C162" s="38" t="s">
        <v>2174</v>
      </c>
      <c r="D162" s="38" t="s">
        <v>6</v>
      </c>
      <c r="E162" s="45">
        <v>41758</v>
      </c>
      <c r="F162" s="46">
        <v>41786</v>
      </c>
      <c r="G162" s="38">
        <v>0</v>
      </c>
      <c r="H162" s="47">
        <v>1</v>
      </c>
      <c r="I162" s="48">
        <v>0</v>
      </c>
      <c r="K162" s="49"/>
      <c r="L162" s="49"/>
      <c r="M162" s="65" t="s">
        <v>897</v>
      </c>
      <c r="N162" s="66">
        <v>4</v>
      </c>
      <c r="O162" s="76">
        <v>3</v>
      </c>
      <c r="P162" s="153">
        <v>3</v>
      </c>
      <c r="Q162" s="76">
        <v>1</v>
      </c>
      <c r="R162" s="156">
        <v>1</v>
      </c>
      <c r="S162"/>
      <c r="U162"/>
      <c r="W162"/>
      <c r="X162"/>
      <c r="Y162"/>
      <c r="Z162"/>
      <c r="AA162"/>
      <c r="AB162"/>
      <c r="AC162"/>
      <c r="AD162"/>
      <c r="AE162" s="49"/>
      <c r="AF162" s="38" t="s">
        <v>49</v>
      </c>
      <c r="AG162" s="38" t="s">
        <v>50</v>
      </c>
      <c r="AH162" s="366">
        <v>6</v>
      </c>
      <c r="AI162" s="367">
        <v>6</v>
      </c>
      <c r="AJ162" s="368">
        <v>14</v>
      </c>
      <c r="AK162" s="368"/>
      <c r="AL162" s="350">
        <v>6</v>
      </c>
      <c r="AM162" s="367">
        <v>0</v>
      </c>
      <c r="AN162" s="349">
        <v>0</v>
      </c>
      <c r="AO162"/>
    </row>
    <row r="163" spans="1:41" ht="16.5">
      <c r="A163" s="49"/>
      <c r="B163" s="49"/>
      <c r="C163" s="38" t="s">
        <v>2175</v>
      </c>
      <c r="D163" s="38" t="s">
        <v>6</v>
      </c>
      <c r="E163" s="45">
        <v>41758</v>
      </c>
      <c r="F163" s="46">
        <v>41786</v>
      </c>
      <c r="G163" s="38">
        <v>0</v>
      </c>
      <c r="H163" s="47">
        <v>1</v>
      </c>
      <c r="I163" s="48">
        <v>0</v>
      </c>
      <c r="K163" s="50" t="s">
        <v>1825</v>
      </c>
      <c r="L163" s="51"/>
      <c r="M163" s="51"/>
      <c r="N163" s="145">
        <v>12</v>
      </c>
      <c r="O163" s="143">
        <v>11</v>
      </c>
      <c r="P163" s="152">
        <v>11</v>
      </c>
      <c r="Q163" s="143">
        <v>1</v>
      </c>
      <c r="R163" s="155">
        <v>1</v>
      </c>
      <c r="S163"/>
      <c r="U163"/>
      <c r="W163"/>
      <c r="X163"/>
      <c r="Y163"/>
      <c r="Z163"/>
      <c r="AA163"/>
      <c r="AB163"/>
      <c r="AC163"/>
      <c r="AD163"/>
      <c r="AE163" s="49"/>
      <c r="AF163" s="49"/>
      <c r="AG163" s="65" t="s">
        <v>2116</v>
      </c>
      <c r="AH163" s="369">
        <v>3</v>
      </c>
      <c r="AI163" s="370">
        <v>3</v>
      </c>
      <c r="AJ163" s="371"/>
      <c r="AK163" s="371"/>
      <c r="AL163" s="353">
        <v>3</v>
      </c>
      <c r="AM163" s="370">
        <v>3</v>
      </c>
      <c r="AN163" s="354">
        <v>3</v>
      </c>
      <c r="AO163"/>
    </row>
    <row r="164" spans="1:41" ht="16.5">
      <c r="A164" s="49"/>
      <c r="B164" s="50" t="s">
        <v>1348</v>
      </c>
      <c r="C164" s="51"/>
      <c r="D164" s="51"/>
      <c r="E164" s="51"/>
      <c r="F164" s="51"/>
      <c r="G164" s="51"/>
      <c r="H164" s="52">
        <v>11</v>
      </c>
      <c r="I164" s="53">
        <v>3</v>
      </c>
      <c r="K164" s="38" t="s">
        <v>379</v>
      </c>
      <c r="L164" s="38" t="s">
        <v>32</v>
      </c>
      <c r="M164" s="38" t="s">
        <v>6</v>
      </c>
      <c r="N164" s="63">
        <v>3</v>
      </c>
      <c r="O164" s="141">
        <v>0</v>
      </c>
      <c r="P164" s="152">
        <v>0</v>
      </c>
      <c r="Q164" s="141">
        <v>3</v>
      </c>
      <c r="R164" s="155">
        <v>3</v>
      </c>
      <c r="S164"/>
      <c r="U164"/>
      <c r="W164"/>
      <c r="X164"/>
      <c r="Y164"/>
      <c r="Z164"/>
      <c r="AA164"/>
      <c r="AB164"/>
      <c r="AC164"/>
      <c r="AD164"/>
      <c r="AE164" s="49"/>
      <c r="AF164" s="50" t="s">
        <v>1371</v>
      </c>
      <c r="AG164" s="51"/>
      <c r="AH164" s="372">
        <v>9</v>
      </c>
      <c r="AI164" s="373">
        <v>9</v>
      </c>
      <c r="AJ164" s="368">
        <v>14</v>
      </c>
      <c r="AK164" s="368"/>
      <c r="AL164" s="157">
        <v>9</v>
      </c>
      <c r="AM164" s="373">
        <v>3</v>
      </c>
      <c r="AN164" s="158">
        <v>3</v>
      </c>
      <c r="AO164"/>
    </row>
    <row r="165" spans="1:41" ht="16.5">
      <c r="A165" s="49"/>
      <c r="B165" s="38" t="s">
        <v>56</v>
      </c>
      <c r="C165" s="38" t="s">
        <v>1425</v>
      </c>
      <c r="D165" s="38" t="s">
        <v>1415</v>
      </c>
      <c r="E165" s="45">
        <v>41731</v>
      </c>
      <c r="F165" s="46">
        <v>41759</v>
      </c>
      <c r="G165" s="38">
        <v>0</v>
      </c>
      <c r="H165" s="47">
        <v>0.5</v>
      </c>
      <c r="I165" s="48">
        <v>0</v>
      </c>
      <c r="K165" s="49"/>
      <c r="L165" s="49"/>
      <c r="M165" s="65" t="s">
        <v>1415</v>
      </c>
      <c r="N165" s="66">
        <v>1</v>
      </c>
      <c r="O165" s="76">
        <v>0</v>
      </c>
      <c r="P165" s="153">
        <v>0</v>
      </c>
      <c r="Q165" s="76">
        <v>1</v>
      </c>
      <c r="R165" s="156">
        <v>1</v>
      </c>
      <c r="S165"/>
      <c r="U165"/>
      <c r="W165"/>
      <c r="X165"/>
      <c r="Y165"/>
      <c r="Z165"/>
      <c r="AA165"/>
      <c r="AB165"/>
      <c r="AC165"/>
      <c r="AD165"/>
      <c r="AE165" s="49"/>
      <c r="AF165" s="38" t="s">
        <v>1365</v>
      </c>
      <c r="AG165" s="38" t="s">
        <v>28</v>
      </c>
      <c r="AH165" s="366">
        <v>2</v>
      </c>
      <c r="AI165" s="367">
        <v>4</v>
      </c>
      <c r="AJ165" s="368">
        <v>18</v>
      </c>
      <c r="AK165" s="368">
        <v>9</v>
      </c>
      <c r="AL165" s="350">
        <v>4</v>
      </c>
      <c r="AM165" s="367">
        <v>0</v>
      </c>
      <c r="AN165" s="349">
        <v>0</v>
      </c>
      <c r="AO165"/>
    </row>
    <row r="166" spans="1:41" ht="16.5">
      <c r="A166" s="49"/>
      <c r="B166" s="49"/>
      <c r="C166" s="38" t="s">
        <v>1426</v>
      </c>
      <c r="D166" s="38" t="s">
        <v>1415</v>
      </c>
      <c r="E166" s="45">
        <v>41731</v>
      </c>
      <c r="F166" s="46">
        <v>41759</v>
      </c>
      <c r="G166" s="38">
        <v>0</v>
      </c>
      <c r="H166" s="47">
        <v>0.5</v>
      </c>
      <c r="I166" s="48">
        <v>0</v>
      </c>
      <c r="K166" s="50" t="s">
        <v>2268</v>
      </c>
      <c r="L166" s="51"/>
      <c r="M166" s="51"/>
      <c r="N166" s="145">
        <v>4</v>
      </c>
      <c r="O166" s="143">
        <v>0</v>
      </c>
      <c r="P166" s="152">
        <v>0</v>
      </c>
      <c r="Q166" s="143">
        <v>4</v>
      </c>
      <c r="R166" s="155">
        <v>4</v>
      </c>
      <c r="S166"/>
      <c r="U166"/>
      <c r="W166"/>
      <c r="X166"/>
      <c r="Y166"/>
      <c r="Z166"/>
      <c r="AA166"/>
      <c r="AB166"/>
      <c r="AC166"/>
      <c r="AD166"/>
      <c r="AE166" s="49"/>
      <c r="AF166" s="49"/>
      <c r="AG166" s="65" t="s">
        <v>50</v>
      </c>
      <c r="AH166" s="369">
        <v>6</v>
      </c>
      <c r="AI166" s="370">
        <v>12</v>
      </c>
      <c r="AJ166" s="371">
        <v>30</v>
      </c>
      <c r="AK166" s="371">
        <v>14</v>
      </c>
      <c r="AL166" s="353">
        <v>12</v>
      </c>
      <c r="AM166" s="370">
        <v>0</v>
      </c>
      <c r="AN166" s="354">
        <v>0</v>
      </c>
      <c r="AO166"/>
    </row>
    <row r="167" spans="1:41" ht="16.5">
      <c r="A167" s="49"/>
      <c r="B167" s="49"/>
      <c r="C167" s="38" t="s">
        <v>1427</v>
      </c>
      <c r="D167" s="38" t="s">
        <v>1415</v>
      </c>
      <c r="E167" s="45">
        <v>41731</v>
      </c>
      <c r="F167" s="46">
        <v>41759</v>
      </c>
      <c r="G167" s="38">
        <v>0</v>
      </c>
      <c r="H167" s="47">
        <v>0.5</v>
      </c>
      <c r="I167" s="48">
        <v>0</v>
      </c>
      <c r="K167" s="38" t="s">
        <v>249</v>
      </c>
      <c r="L167" s="38" t="s">
        <v>40</v>
      </c>
      <c r="M167" s="38" t="s">
        <v>1830</v>
      </c>
      <c r="N167" s="63">
        <v>2</v>
      </c>
      <c r="O167" s="141">
        <v>2</v>
      </c>
      <c r="P167" s="152">
        <v>4</v>
      </c>
      <c r="Q167" s="141">
        <v>0</v>
      </c>
      <c r="R167" s="155">
        <v>0</v>
      </c>
      <c r="U167"/>
      <c r="W167"/>
      <c r="X167"/>
      <c r="Y167"/>
      <c r="Z167"/>
      <c r="AA167"/>
      <c r="AB167"/>
      <c r="AC167"/>
      <c r="AD167"/>
      <c r="AE167" s="49"/>
      <c r="AF167" s="50" t="s">
        <v>1372</v>
      </c>
      <c r="AG167" s="51"/>
      <c r="AH167" s="372">
        <v>8</v>
      </c>
      <c r="AI167" s="373">
        <v>16</v>
      </c>
      <c r="AJ167" s="368">
        <v>48</v>
      </c>
      <c r="AK167" s="368">
        <v>23</v>
      </c>
      <c r="AL167" s="157">
        <v>16</v>
      </c>
      <c r="AM167" s="373">
        <v>0</v>
      </c>
      <c r="AN167" s="158">
        <v>0</v>
      </c>
      <c r="AO167"/>
    </row>
    <row r="168" spans="1:41" ht="16.5">
      <c r="A168" s="49"/>
      <c r="B168" s="49"/>
      <c r="C168" s="38" t="s">
        <v>1757</v>
      </c>
      <c r="D168" s="38" t="s">
        <v>6</v>
      </c>
      <c r="E168" s="45">
        <v>41703</v>
      </c>
      <c r="F168" s="46">
        <v>41730</v>
      </c>
      <c r="G168" s="38">
        <v>1</v>
      </c>
      <c r="H168" s="47">
        <v>0.5</v>
      </c>
      <c r="I168" s="48">
        <v>0.5</v>
      </c>
      <c r="K168" s="49"/>
      <c r="L168" s="49"/>
      <c r="M168" s="65" t="s">
        <v>2113</v>
      </c>
      <c r="N168" s="66">
        <v>2</v>
      </c>
      <c r="O168" s="76">
        <v>2</v>
      </c>
      <c r="P168" s="153">
        <v>4</v>
      </c>
      <c r="Q168" s="76">
        <v>0</v>
      </c>
      <c r="R168" s="156">
        <v>0</v>
      </c>
      <c r="U168"/>
      <c r="W168"/>
      <c r="X168"/>
      <c r="Y168"/>
      <c r="Z168"/>
      <c r="AA168"/>
      <c r="AB168"/>
      <c r="AC168"/>
      <c r="AD168"/>
      <c r="AE168" s="49"/>
      <c r="AF168" s="38" t="s">
        <v>1415</v>
      </c>
      <c r="AG168" s="38" t="s">
        <v>56</v>
      </c>
      <c r="AH168" s="366">
        <v>2</v>
      </c>
      <c r="AI168" s="367">
        <v>2</v>
      </c>
      <c r="AJ168" s="368"/>
      <c r="AK168" s="368"/>
      <c r="AL168" s="350">
        <v>2</v>
      </c>
      <c r="AM168" s="367">
        <v>2</v>
      </c>
      <c r="AN168" s="349">
        <v>2</v>
      </c>
      <c r="AO168"/>
    </row>
    <row r="169" spans="1:41" ht="16.5">
      <c r="A169" s="49"/>
      <c r="B169" s="49"/>
      <c r="C169" s="49"/>
      <c r="D169" s="38" t="s">
        <v>1415</v>
      </c>
      <c r="E169" s="45">
        <v>41703</v>
      </c>
      <c r="F169" s="46">
        <v>41739</v>
      </c>
      <c r="G169" s="38">
        <v>1</v>
      </c>
      <c r="H169" s="47">
        <v>0.5</v>
      </c>
      <c r="I169" s="48">
        <v>0.5</v>
      </c>
      <c r="K169" s="49"/>
      <c r="L169" s="38" t="s">
        <v>51</v>
      </c>
      <c r="M169" s="38" t="s">
        <v>6</v>
      </c>
      <c r="N169" s="63">
        <v>6</v>
      </c>
      <c r="O169" s="141">
        <v>7.5</v>
      </c>
      <c r="P169" s="152">
        <v>10</v>
      </c>
      <c r="Q169" s="141">
        <v>-1.5</v>
      </c>
      <c r="R169" s="155">
        <v>0</v>
      </c>
      <c r="U169"/>
      <c r="W169"/>
      <c r="X169"/>
      <c r="Y169"/>
      <c r="Z169"/>
      <c r="AA169"/>
      <c r="AB169"/>
      <c r="AC169"/>
      <c r="AD169"/>
      <c r="AE169" s="49"/>
      <c r="AF169" s="50" t="s">
        <v>1460</v>
      </c>
      <c r="AG169" s="51"/>
      <c r="AH169" s="372">
        <v>2</v>
      </c>
      <c r="AI169" s="373">
        <v>2</v>
      </c>
      <c r="AJ169" s="368"/>
      <c r="AK169" s="368"/>
      <c r="AL169" s="157">
        <v>2</v>
      </c>
      <c r="AM169" s="373">
        <v>2</v>
      </c>
      <c r="AN169" s="158">
        <v>2</v>
      </c>
      <c r="AO169"/>
    </row>
    <row r="170" spans="1:41" ht="16.5">
      <c r="A170" s="49"/>
      <c r="B170" s="49"/>
      <c r="C170" s="38" t="s">
        <v>1758</v>
      </c>
      <c r="D170" s="38" t="s">
        <v>6</v>
      </c>
      <c r="E170" s="45">
        <v>41703</v>
      </c>
      <c r="F170" s="46">
        <v>41730</v>
      </c>
      <c r="G170" s="38">
        <v>1</v>
      </c>
      <c r="H170" s="47">
        <v>0.5</v>
      </c>
      <c r="I170" s="48">
        <v>0.5</v>
      </c>
      <c r="K170" s="49"/>
      <c r="L170" s="49"/>
      <c r="M170" s="65" t="s">
        <v>1120</v>
      </c>
      <c r="N170" s="66">
        <v>12</v>
      </c>
      <c r="O170" s="76">
        <v>2.5</v>
      </c>
      <c r="P170" s="153">
        <v>5</v>
      </c>
      <c r="Q170" s="76">
        <v>9.5</v>
      </c>
      <c r="R170" s="156">
        <v>11</v>
      </c>
      <c r="U170"/>
      <c r="W170"/>
      <c r="X170"/>
      <c r="Y170"/>
      <c r="Z170"/>
      <c r="AA170"/>
      <c r="AB170"/>
      <c r="AC170"/>
      <c r="AD170"/>
      <c r="AE170" s="38" t="s">
        <v>39</v>
      </c>
      <c r="AF170" s="38" t="s">
        <v>6</v>
      </c>
      <c r="AG170" s="38" t="s">
        <v>38</v>
      </c>
      <c r="AH170" s="366">
        <v>6</v>
      </c>
      <c r="AI170" s="367">
        <v>6</v>
      </c>
      <c r="AJ170" s="368">
        <v>17</v>
      </c>
      <c r="AK170" s="368">
        <v>17</v>
      </c>
      <c r="AL170" s="350">
        <v>6</v>
      </c>
      <c r="AM170" s="367">
        <v>0</v>
      </c>
      <c r="AN170" s="349">
        <v>0</v>
      </c>
      <c r="AO170"/>
    </row>
    <row r="171" spans="1:41" ht="16.5">
      <c r="A171" s="49"/>
      <c r="B171" s="49"/>
      <c r="C171" s="49"/>
      <c r="D171" s="38" t="s">
        <v>1415</v>
      </c>
      <c r="E171" s="45">
        <v>41703</v>
      </c>
      <c r="F171" s="46">
        <v>41739</v>
      </c>
      <c r="G171" s="38">
        <v>1</v>
      </c>
      <c r="H171" s="47">
        <v>0.5</v>
      </c>
      <c r="I171" s="48">
        <v>0.5</v>
      </c>
      <c r="K171" s="50" t="s">
        <v>1118</v>
      </c>
      <c r="L171" s="51"/>
      <c r="M171" s="51"/>
      <c r="N171" s="145">
        <v>22</v>
      </c>
      <c r="O171" s="143">
        <v>14</v>
      </c>
      <c r="P171" s="152">
        <v>23</v>
      </c>
      <c r="Q171" s="143">
        <v>8</v>
      </c>
      <c r="R171" s="155">
        <v>11</v>
      </c>
      <c r="U171"/>
      <c r="W171"/>
      <c r="X171"/>
      <c r="Y171"/>
      <c r="Z171"/>
      <c r="AA171"/>
      <c r="AB171"/>
      <c r="AC171"/>
      <c r="AD171"/>
      <c r="AE171" s="49"/>
      <c r="AF171" s="49"/>
      <c r="AG171" s="65" t="s">
        <v>28</v>
      </c>
      <c r="AH171" s="369">
        <v>7</v>
      </c>
      <c r="AI171" s="370">
        <v>7</v>
      </c>
      <c r="AJ171" s="371">
        <v>25</v>
      </c>
      <c r="AK171" s="371">
        <v>15</v>
      </c>
      <c r="AL171" s="353">
        <v>7</v>
      </c>
      <c r="AM171" s="370">
        <v>0</v>
      </c>
      <c r="AN171" s="354">
        <v>0</v>
      </c>
      <c r="AO171"/>
    </row>
    <row r="172" spans="1:41" ht="16.5">
      <c r="A172" s="49"/>
      <c r="B172" s="49"/>
      <c r="C172" s="38" t="s">
        <v>2179</v>
      </c>
      <c r="D172" s="38" t="s">
        <v>6</v>
      </c>
      <c r="E172" s="45">
        <v>41758</v>
      </c>
      <c r="F172" s="374">
        <v>0</v>
      </c>
      <c r="G172" s="38">
        <v>0</v>
      </c>
      <c r="H172" s="47">
        <v>0.5</v>
      </c>
      <c r="I172" s="48">
        <v>0</v>
      </c>
      <c r="K172" s="38" t="s">
        <v>1835</v>
      </c>
      <c r="L172" s="38" t="s">
        <v>3</v>
      </c>
      <c r="M172" s="38" t="s">
        <v>1837</v>
      </c>
      <c r="N172" s="63">
        <v>2</v>
      </c>
      <c r="O172" s="141">
        <v>2</v>
      </c>
      <c r="P172" s="152">
        <v>2</v>
      </c>
      <c r="Q172" s="141">
        <v>0</v>
      </c>
      <c r="R172" s="155">
        <v>0</v>
      </c>
      <c r="U172"/>
      <c r="W172"/>
      <c r="X172"/>
      <c r="Y172"/>
      <c r="Z172"/>
      <c r="AA172"/>
      <c r="AB172"/>
      <c r="AC172"/>
      <c r="AD172"/>
      <c r="AE172" s="49"/>
      <c r="AF172" s="50" t="s">
        <v>879</v>
      </c>
      <c r="AG172" s="51"/>
      <c r="AH172" s="372">
        <v>13</v>
      </c>
      <c r="AI172" s="373">
        <v>13</v>
      </c>
      <c r="AJ172" s="368">
        <v>42</v>
      </c>
      <c r="AK172" s="368">
        <v>32</v>
      </c>
      <c r="AL172" s="157">
        <v>13</v>
      </c>
      <c r="AM172" s="373">
        <v>0</v>
      </c>
      <c r="AN172" s="158">
        <v>0</v>
      </c>
      <c r="AO172"/>
    </row>
    <row r="173" spans="1:41" ht="16.5">
      <c r="A173" s="49"/>
      <c r="B173" s="49"/>
      <c r="C173" s="49"/>
      <c r="D173" s="38" t="s">
        <v>1415</v>
      </c>
      <c r="E173" s="45">
        <v>41758</v>
      </c>
      <c r="F173" s="46">
        <v>41786</v>
      </c>
      <c r="G173" s="38">
        <v>0</v>
      </c>
      <c r="H173" s="47">
        <v>0.5</v>
      </c>
      <c r="I173" s="48">
        <v>0</v>
      </c>
      <c r="K173" s="50" t="s">
        <v>1916</v>
      </c>
      <c r="L173" s="51"/>
      <c r="M173" s="51"/>
      <c r="N173" s="145">
        <v>2</v>
      </c>
      <c r="O173" s="143">
        <v>2</v>
      </c>
      <c r="P173" s="152">
        <v>2</v>
      </c>
      <c r="Q173" s="143">
        <v>0</v>
      </c>
      <c r="R173" s="155">
        <v>0</v>
      </c>
      <c r="U173"/>
      <c r="W173"/>
      <c r="X173"/>
      <c r="Y173"/>
      <c r="Z173"/>
      <c r="AA173"/>
      <c r="AB173"/>
      <c r="AC173"/>
      <c r="AD173"/>
      <c r="AE173" s="38" t="s">
        <v>46</v>
      </c>
      <c r="AF173" s="38" t="s">
        <v>44</v>
      </c>
      <c r="AG173" s="38" t="s">
        <v>38</v>
      </c>
      <c r="AH173" s="366">
        <v>3</v>
      </c>
      <c r="AI173" s="367">
        <v>3</v>
      </c>
      <c r="AJ173" s="368">
        <v>10</v>
      </c>
      <c r="AK173" s="368">
        <v>6</v>
      </c>
      <c r="AL173" s="350">
        <v>3</v>
      </c>
      <c r="AM173" s="367">
        <v>0</v>
      </c>
      <c r="AN173" s="349">
        <v>0</v>
      </c>
      <c r="AO173"/>
    </row>
    <row r="174" spans="1:41" ht="16.5">
      <c r="A174" s="49"/>
      <c r="B174" s="50" t="s">
        <v>1080</v>
      </c>
      <c r="C174" s="51"/>
      <c r="D174" s="51"/>
      <c r="E174" s="51"/>
      <c r="F174" s="51"/>
      <c r="G174" s="51"/>
      <c r="H174" s="52">
        <v>4.5</v>
      </c>
      <c r="I174" s="53">
        <v>2</v>
      </c>
      <c r="K174" s="38" t="s">
        <v>228</v>
      </c>
      <c r="L174" s="38" t="s">
        <v>1677</v>
      </c>
      <c r="M174" s="38" t="s">
        <v>6</v>
      </c>
      <c r="N174" s="63">
        <v>4</v>
      </c>
      <c r="O174" s="141">
        <v>4</v>
      </c>
      <c r="P174" s="152">
        <v>4</v>
      </c>
      <c r="Q174" s="141">
        <v>0</v>
      </c>
      <c r="R174" s="155">
        <v>0</v>
      </c>
      <c r="U174"/>
      <c r="W174"/>
      <c r="X174"/>
      <c r="Y174"/>
      <c r="Z174"/>
      <c r="AA174"/>
      <c r="AB174"/>
      <c r="AC174"/>
      <c r="AD174"/>
      <c r="AE174" s="49"/>
      <c r="AF174" s="49"/>
      <c r="AG174" s="65" t="s">
        <v>35</v>
      </c>
      <c r="AH174" s="369">
        <v>6</v>
      </c>
      <c r="AI174" s="370">
        <v>7</v>
      </c>
      <c r="AJ174" s="371">
        <v>26</v>
      </c>
      <c r="AK174" s="371">
        <v>15</v>
      </c>
      <c r="AL174" s="353">
        <v>7</v>
      </c>
      <c r="AM174" s="370">
        <v>0</v>
      </c>
      <c r="AN174" s="354">
        <v>0</v>
      </c>
      <c r="AO174"/>
    </row>
    <row r="175" spans="1:41" ht="16.5">
      <c r="A175" s="49"/>
      <c r="B175" s="38" t="s">
        <v>60</v>
      </c>
      <c r="C175" s="38" t="s">
        <v>1767</v>
      </c>
      <c r="D175" s="38" t="s">
        <v>6</v>
      </c>
      <c r="E175" s="45">
        <v>41710</v>
      </c>
      <c r="F175" s="46">
        <v>41731</v>
      </c>
      <c r="G175" s="38">
        <v>1</v>
      </c>
      <c r="H175" s="47">
        <v>1</v>
      </c>
      <c r="I175" s="48">
        <v>1</v>
      </c>
      <c r="K175" s="50" t="s">
        <v>1745</v>
      </c>
      <c r="L175" s="51"/>
      <c r="M175" s="51"/>
      <c r="N175" s="145">
        <v>4</v>
      </c>
      <c r="O175" s="143">
        <v>4</v>
      </c>
      <c r="P175" s="152">
        <v>4</v>
      </c>
      <c r="Q175" s="143">
        <v>0</v>
      </c>
      <c r="R175" s="155">
        <v>0</v>
      </c>
      <c r="U175"/>
      <c r="W175"/>
      <c r="X175"/>
      <c r="Y175"/>
      <c r="Z175"/>
      <c r="AA175"/>
      <c r="AB175"/>
      <c r="AC175"/>
      <c r="AD175"/>
      <c r="AE175" s="49"/>
      <c r="AF175" s="50" t="s">
        <v>877</v>
      </c>
      <c r="AG175" s="51"/>
      <c r="AH175" s="372">
        <v>9</v>
      </c>
      <c r="AI175" s="373">
        <v>10</v>
      </c>
      <c r="AJ175" s="368">
        <v>36</v>
      </c>
      <c r="AK175" s="368">
        <v>21</v>
      </c>
      <c r="AL175" s="157">
        <v>10</v>
      </c>
      <c r="AM175" s="373">
        <v>0</v>
      </c>
      <c r="AN175" s="158">
        <v>0</v>
      </c>
      <c r="AO175"/>
    </row>
    <row r="176" spans="1:41" ht="16.5">
      <c r="A176" s="49"/>
      <c r="B176" s="49"/>
      <c r="C176" s="38" t="s">
        <v>1768</v>
      </c>
      <c r="D176" s="38" t="s">
        <v>6</v>
      </c>
      <c r="E176" s="45">
        <v>41710</v>
      </c>
      <c r="F176" s="46">
        <v>41731</v>
      </c>
      <c r="G176" s="38">
        <v>1</v>
      </c>
      <c r="H176" s="47">
        <v>1</v>
      </c>
      <c r="I176" s="48">
        <v>1</v>
      </c>
      <c r="K176" s="38" t="s">
        <v>1878</v>
      </c>
      <c r="L176" s="38" t="s">
        <v>3</v>
      </c>
      <c r="M176" s="38" t="s">
        <v>1409</v>
      </c>
      <c r="N176" s="63">
        <v>1</v>
      </c>
      <c r="O176" s="141">
        <v>1</v>
      </c>
      <c r="P176" s="152">
        <v>1</v>
      </c>
      <c r="Q176" s="141">
        <v>0</v>
      </c>
      <c r="R176" s="155">
        <v>0</v>
      </c>
      <c r="U176"/>
      <c r="W176"/>
      <c r="X176"/>
      <c r="Y176"/>
      <c r="Z176"/>
      <c r="AA176"/>
      <c r="AB176"/>
      <c r="AC176"/>
      <c r="AD176"/>
      <c r="AE176" s="49"/>
      <c r="AF176" s="38" t="s">
        <v>6</v>
      </c>
      <c r="AG176" s="38" t="s">
        <v>38</v>
      </c>
      <c r="AH176" s="366">
        <v>2</v>
      </c>
      <c r="AI176" s="367">
        <v>2</v>
      </c>
      <c r="AJ176" s="368">
        <v>10</v>
      </c>
      <c r="AK176" s="368">
        <v>5</v>
      </c>
      <c r="AL176" s="350">
        <v>2</v>
      </c>
      <c r="AM176" s="367">
        <v>0</v>
      </c>
      <c r="AN176" s="349">
        <v>0</v>
      </c>
      <c r="AO176"/>
    </row>
    <row r="177" spans="1:41" ht="16.5">
      <c r="A177" s="49"/>
      <c r="B177" s="49"/>
      <c r="C177" s="38" t="s">
        <v>1769</v>
      </c>
      <c r="D177" s="38" t="s">
        <v>6</v>
      </c>
      <c r="E177" s="45">
        <v>41710</v>
      </c>
      <c r="F177" s="46">
        <v>41731</v>
      </c>
      <c r="G177" s="38">
        <v>1</v>
      </c>
      <c r="H177" s="47">
        <v>1</v>
      </c>
      <c r="I177" s="48">
        <v>1</v>
      </c>
      <c r="K177" s="50" t="s">
        <v>1917</v>
      </c>
      <c r="L177" s="51"/>
      <c r="M177" s="51"/>
      <c r="N177" s="145">
        <v>1</v>
      </c>
      <c r="O177" s="143">
        <v>1</v>
      </c>
      <c r="P177" s="152">
        <v>1</v>
      </c>
      <c r="Q177" s="143">
        <v>0</v>
      </c>
      <c r="R177" s="155">
        <v>0</v>
      </c>
      <c r="U177"/>
      <c r="W177"/>
      <c r="X177"/>
      <c r="Y177"/>
      <c r="Z177"/>
      <c r="AA177"/>
      <c r="AB177"/>
      <c r="AC177"/>
      <c r="AD177"/>
      <c r="AE177" s="49"/>
      <c r="AF177" s="49"/>
      <c r="AG177" s="65" t="s">
        <v>35</v>
      </c>
      <c r="AH177" s="369">
        <v>2</v>
      </c>
      <c r="AI177" s="370">
        <v>3</v>
      </c>
      <c r="AJ177" s="371">
        <v>11</v>
      </c>
      <c r="AK177" s="371">
        <v>7</v>
      </c>
      <c r="AL177" s="353">
        <v>3</v>
      </c>
      <c r="AM177" s="370">
        <v>0</v>
      </c>
      <c r="AN177" s="354">
        <v>0</v>
      </c>
      <c r="AO177"/>
    </row>
    <row r="178" spans="1:41" ht="16.5">
      <c r="A178" s="49"/>
      <c r="B178" s="49"/>
      <c r="C178" s="38" t="s">
        <v>1770</v>
      </c>
      <c r="D178" s="38" t="s">
        <v>6</v>
      </c>
      <c r="E178" s="45">
        <v>41710</v>
      </c>
      <c r="F178" s="46">
        <v>41730</v>
      </c>
      <c r="G178" s="38">
        <v>1</v>
      </c>
      <c r="H178" s="47">
        <v>1</v>
      </c>
      <c r="I178" s="48">
        <v>1</v>
      </c>
      <c r="K178" s="38" t="s">
        <v>1946</v>
      </c>
      <c r="L178" s="38" t="s">
        <v>3</v>
      </c>
      <c r="M178" s="38" t="s">
        <v>1401</v>
      </c>
      <c r="N178" s="63">
        <v>1</v>
      </c>
      <c r="O178" s="141">
        <v>1</v>
      </c>
      <c r="P178" s="152">
        <v>1</v>
      </c>
      <c r="Q178" s="141">
        <v>0</v>
      </c>
      <c r="R178" s="155">
        <v>0</v>
      </c>
      <c r="W178"/>
      <c r="X178"/>
      <c r="Y178"/>
      <c r="Z178"/>
      <c r="AA178"/>
      <c r="AB178"/>
      <c r="AC178"/>
      <c r="AD178"/>
      <c r="AE178" s="49"/>
      <c r="AF178" s="49"/>
      <c r="AG178" s="65" t="s">
        <v>28</v>
      </c>
      <c r="AH178" s="369">
        <v>2</v>
      </c>
      <c r="AI178" s="370">
        <v>2</v>
      </c>
      <c r="AJ178" s="371">
        <v>12</v>
      </c>
      <c r="AK178" s="371">
        <v>9</v>
      </c>
      <c r="AL178" s="353">
        <v>2</v>
      </c>
      <c r="AM178" s="370">
        <v>0</v>
      </c>
      <c r="AN178" s="354">
        <v>0</v>
      </c>
      <c r="AO178"/>
    </row>
    <row r="179" spans="1:41" ht="16.5">
      <c r="A179" s="49"/>
      <c r="B179" s="49"/>
      <c r="C179" s="38" t="s">
        <v>1771</v>
      </c>
      <c r="D179" s="38" t="s">
        <v>6</v>
      </c>
      <c r="E179" s="45">
        <v>41712</v>
      </c>
      <c r="F179" s="46">
        <v>41750</v>
      </c>
      <c r="G179" s="38">
        <v>1</v>
      </c>
      <c r="H179" s="47">
        <v>1</v>
      </c>
      <c r="I179" s="48">
        <v>1</v>
      </c>
      <c r="K179" s="49"/>
      <c r="L179" s="49"/>
      <c r="M179" s="65" t="s">
        <v>1409</v>
      </c>
      <c r="N179" s="66">
        <v>4</v>
      </c>
      <c r="O179" s="76">
        <v>4</v>
      </c>
      <c r="P179" s="153">
        <v>4</v>
      </c>
      <c r="Q179" s="76">
        <v>0</v>
      </c>
      <c r="R179" s="156">
        <v>0</v>
      </c>
      <c r="W179"/>
      <c r="X179"/>
      <c r="Y179"/>
      <c r="Z179"/>
      <c r="AA179"/>
      <c r="AB179"/>
      <c r="AC179"/>
      <c r="AD179"/>
      <c r="AE179" s="49"/>
      <c r="AF179" s="50" t="s">
        <v>879</v>
      </c>
      <c r="AG179" s="51"/>
      <c r="AH179" s="372">
        <v>6</v>
      </c>
      <c r="AI179" s="373">
        <v>7</v>
      </c>
      <c r="AJ179" s="368">
        <v>33</v>
      </c>
      <c r="AK179" s="368">
        <v>21</v>
      </c>
      <c r="AL179" s="157">
        <v>7</v>
      </c>
      <c r="AM179" s="373">
        <v>0</v>
      </c>
      <c r="AN179" s="158">
        <v>0</v>
      </c>
      <c r="AO179"/>
    </row>
    <row r="180" spans="1:41" ht="16.5">
      <c r="A180" s="49"/>
      <c r="B180" s="50" t="s">
        <v>856</v>
      </c>
      <c r="C180" s="51"/>
      <c r="D180" s="51"/>
      <c r="E180" s="51"/>
      <c r="F180" s="51"/>
      <c r="G180" s="51"/>
      <c r="H180" s="52">
        <v>5</v>
      </c>
      <c r="I180" s="53">
        <v>5</v>
      </c>
      <c r="K180" s="49"/>
      <c r="L180" s="38" t="s">
        <v>1772</v>
      </c>
      <c r="M180" s="38" t="s">
        <v>792</v>
      </c>
      <c r="N180" s="63">
        <v>14</v>
      </c>
      <c r="O180" s="141">
        <v>0</v>
      </c>
      <c r="P180" s="152">
        <v>0</v>
      </c>
      <c r="Q180" s="141">
        <v>14</v>
      </c>
      <c r="R180" s="155">
        <v>14</v>
      </c>
      <c r="W180"/>
      <c r="X180"/>
      <c r="Y180"/>
      <c r="Z180"/>
      <c r="AA180"/>
      <c r="AB180"/>
      <c r="AC180"/>
      <c r="AD180"/>
      <c r="AE180" s="38" t="s">
        <v>1218</v>
      </c>
      <c r="AF180" s="38" t="s">
        <v>6</v>
      </c>
      <c r="AG180" s="38" t="s">
        <v>56</v>
      </c>
      <c r="AH180" s="366">
        <v>0.5</v>
      </c>
      <c r="AI180" s="367">
        <v>1</v>
      </c>
      <c r="AJ180" s="368"/>
      <c r="AK180" s="368"/>
      <c r="AL180" s="350">
        <v>1</v>
      </c>
      <c r="AM180" s="367">
        <v>0.5</v>
      </c>
      <c r="AN180" s="349">
        <v>1</v>
      </c>
      <c r="AO180"/>
    </row>
    <row r="181" spans="1:41" ht="16.5">
      <c r="A181" s="54" t="s">
        <v>1086</v>
      </c>
      <c r="B181" s="55"/>
      <c r="C181" s="55"/>
      <c r="D181" s="55"/>
      <c r="E181" s="55"/>
      <c r="F181" s="55"/>
      <c r="G181" s="55"/>
      <c r="H181" s="56">
        <v>43.5</v>
      </c>
      <c r="I181" s="57">
        <v>30</v>
      </c>
      <c r="K181" s="50" t="s">
        <v>1957</v>
      </c>
      <c r="L181" s="51"/>
      <c r="M181" s="51"/>
      <c r="N181" s="145">
        <v>19</v>
      </c>
      <c r="O181" s="143">
        <v>5</v>
      </c>
      <c r="P181" s="152">
        <v>5</v>
      </c>
      <c r="Q181" s="143">
        <v>14</v>
      </c>
      <c r="R181" s="155">
        <v>14</v>
      </c>
      <c r="W181"/>
      <c r="X181"/>
      <c r="Y181"/>
      <c r="Z181"/>
      <c r="AA181"/>
      <c r="AB181"/>
      <c r="AC181"/>
      <c r="AD181"/>
      <c r="AE181" s="49"/>
      <c r="AF181" s="50" t="s">
        <v>879</v>
      </c>
      <c r="AG181" s="51"/>
      <c r="AH181" s="372">
        <v>0.5</v>
      </c>
      <c r="AI181" s="373">
        <v>1</v>
      </c>
      <c r="AJ181" s="368"/>
      <c r="AK181" s="368"/>
      <c r="AL181" s="157">
        <v>1</v>
      </c>
      <c r="AM181" s="373">
        <v>0.5</v>
      </c>
      <c r="AN181" s="158">
        <v>1</v>
      </c>
      <c r="AO181"/>
    </row>
    <row r="182" spans="1:41" ht="16.5">
      <c r="A182" s="38" t="s">
        <v>51</v>
      </c>
      <c r="B182" s="38" t="s">
        <v>38</v>
      </c>
      <c r="C182" s="38" t="s">
        <v>2104</v>
      </c>
      <c r="D182" s="38" t="s">
        <v>44</v>
      </c>
      <c r="E182" s="45">
        <v>41747</v>
      </c>
      <c r="F182" s="46">
        <v>41775</v>
      </c>
      <c r="G182" s="38">
        <v>1</v>
      </c>
      <c r="H182" s="47">
        <v>1</v>
      </c>
      <c r="I182" s="48">
        <v>1</v>
      </c>
      <c r="K182" s="38" t="s">
        <v>1976</v>
      </c>
      <c r="L182" s="38" t="s">
        <v>3</v>
      </c>
      <c r="M182" s="38" t="s">
        <v>1401</v>
      </c>
      <c r="N182" s="63">
        <v>1</v>
      </c>
      <c r="O182" s="141">
        <v>1</v>
      </c>
      <c r="P182" s="152">
        <v>1</v>
      </c>
      <c r="Q182" s="141">
        <v>0</v>
      </c>
      <c r="R182" s="155">
        <v>0</v>
      </c>
      <c r="W182"/>
      <c r="X182"/>
      <c r="Y182"/>
      <c r="Z182"/>
      <c r="AA182"/>
      <c r="AB182"/>
      <c r="AC182"/>
      <c r="AD182"/>
      <c r="AE182" s="49"/>
      <c r="AF182" s="38" t="s">
        <v>1218</v>
      </c>
      <c r="AG182" s="38" t="s">
        <v>1218</v>
      </c>
      <c r="AH182" s="366"/>
      <c r="AI182" s="367"/>
      <c r="AJ182" s="368"/>
      <c r="AK182" s="368"/>
      <c r="AL182" s="350"/>
      <c r="AM182" s="367">
        <v>0</v>
      </c>
      <c r="AN182" s="349">
        <v>0</v>
      </c>
      <c r="AO182"/>
    </row>
    <row r="183" spans="1:41" ht="16.5">
      <c r="A183" s="49"/>
      <c r="B183" s="49"/>
      <c r="C183" s="38" t="s">
        <v>2105</v>
      </c>
      <c r="D183" s="38" t="s">
        <v>44</v>
      </c>
      <c r="E183" s="45">
        <v>41747</v>
      </c>
      <c r="F183" s="46">
        <v>41775</v>
      </c>
      <c r="G183" s="38">
        <v>1</v>
      </c>
      <c r="H183" s="47">
        <v>1</v>
      </c>
      <c r="I183" s="48">
        <v>1</v>
      </c>
      <c r="K183" s="50" t="s">
        <v>2030</v>
      </c>
      <c r="L183" s="51"/>
      <c r="M183" s="51"/>
      <c r="N183" s="145">
        <v>1</v>
      </c>
      <c r="O183" s="143">
        <v>1</v>
      </c>
      <c r="P183" s="152">
        <v>1</v>
      </c>
      <c r="Q183" s="143">
        <v>0</v>
      </c>
      <c r="R183" s="155">
        <v>0</v>
      </c>
      <c r="W183"/>
      <c r="X183"/>
      <c r="Y183"/>
      <c r="Z183"/>
      <c r="AA183"/>
      <c r="AB183"/>
      <c r="AC183"/>
      <c r="AD183"/>
      <c r="AE183" s="49"/>
      <c r="AF183" s="50" t="s">
        <v>1219</v>
      </c>
      <c r="AG183" s="51"/>
      <c r="AH183" s="372"/>
      <c r="AI183" s="373"/>
      <c r="AJ183" s="368"/>
      <c r="AK183" s="368"/>
      <c r="AL183" s="157"/>
      <c r="AM183" s="373">
        <v>0</v>
      </c>
      <c r="AN183" s="158">
        <v>0</v>
      </c>
      <c r="AO183"/>
    </row>
    <row r="184" spans="1:41" ht="16.5">
      <c r="A184" s="49"/>
      <c r="B184" s="49"/>
      <c r="C184" s="38" t="s">
        <v>2106</v>
      </c>
      <c r="D184" s="38" t="s">
        <v>44</v>
      </c>
      <c r="E184" s="45">
        <v>41747</v>
      </c>
      <c r="F184" s="46">
        <v>41775</v>
      </c>
      <c r="G184" s="38">
        <v>1</v>
      </c>
      <c r="H184" s="47">
        <v>1</v>
      </c>
      <c r="I184" s="48">
        <v>1</v>
      </c>
      <c r="K184" s="38" t="s">
        <v>2116</v>
      </c>
      <c r="L184" s="38" t="s">
        <v>3</v>
      </c>
      <c r="M184" s="38" t="s">
        <v>44</v>
      </c>
      <c r="N184" s="63">
        <v>8</v>
      </c>
      <c r="O184" s="141">
        <v>8</v>
      </c>
      <c r="P184" s="152">
        <v>8</v>
      </c>
      <c r="Q184" s="141">
        <v>0</v>
      </c>
      <c r="R184" s="155">
        <v>0</v>
      </c>
      <c r="W184"/>
      <c r="X184"/>
      <c r="Y184"/>
      <c r="Z184"/>
      <c r="AA184"/>
      <c r="AB184"/>
      <c r="AC184"/>
      <c r="AD184"/>
      <c r="AE184" s="38" t="s">
        <v>2006</v>
      </c>
      <c r="AF184" s="38" t="s">
        <v>44</v>
      </c>
      <c r="AG184" s="38" t="s">
        <v>50</v>
      </c>
      <c r="AH184" s="366">
        <v>7</v>
      </c>
      <c r="AI184" s="367">
        <v>7</v>
      </c>
      <c r="AJ184" s="368">
        <v>28</v>
      </c>
      <c r="AK184" s="368">
        <v>0</v>
      </c>
      <c r="AL184" s="350">
        <v>11</v>
      </c>
      <c r="AM184" s="367">
        <v>0</v>
      </c>
      <c r="AN184" s="349">
        <v>0</v>
      </c>
      <c r="AO184"/>
    </row>
    <row r="185" spans="1:41" ht="16.5">
      <c r="A185" s="49"/>
      <c r="B185" s="49"/>
      <c r="C185" s="38" t="s">
        <v>2107</v>
      </c>
      <c r="D185" s="38" t="s">
        <v>44</v>
      </c>
      <c r="E185" s="45">
        <v>41747</v>
      </c>
      <c r="F185" s="46">
        <v>41775</v>
      </c>
      <c r="G185" s="38">
        <v>1</v>
      </c>
      <c r="H185" s="47">
        <v>1</v>
      </c>
      <c r="I185" s="48">
        <v>1</v>
      </c>
      <c r="K185" s="49"/>
      <c r="L185" s="49"/>
      <c r="M185" s="65" t="s">
        <v>48</v>
      </c>
      <c r="N185" s="66">
        <v>3</v>
      </c>
      <c r="O185" s="76">
        <v>0</v>
      </c>
      <c r="P185" s="153">
        <v>0</v>
      </c>
      <c r="Q185" s="76">
        <v>3</v>
      </c>
      <c r="R185" s="156">
        <v>3</v>
      </c>
      <c r="W185"/>
      <c r="X185"/>
      <c r="Y185"/>
      <c r="Z185"/>
      <c r="AA185"/>
      <c r="AB185"/>
      <c r="AC185"/>
      <c r="AD185"/>
      <c r="AE185" s="49"/>
      <c r="AF185" s="50" t="s">
        <v>877</v>
      </c>
      <c r="AG185" s="51"/>
      <c r="AH185" s="372">
        <v>7</v>
      </c>
      <c r="AI185" s="373">
        <v>7</v>
      </c>
      <c r="AJ185" s="368">
        <v>28</v>
      </c>
      <c r="AK185" s="368">
        <v>0</v>
      </c>
      <c r="AL185" s="157">
        <v>11</v>
      </c>
      <c r="AM185" s="373">
        <v>0</v>
      </c>
      <c r="AN185" s="158">
        <v>0</v>
      </c>
      <c r="AO185"/>
    </row>
    <row r="186" spans="1:41" ht="16.5">
      <c r="A186" s="49"/>
      <c r="B186" s="50" t="s">
        <v>853</v>
      </c>
      <c r="C186" s="51"/>
      <c r="D186" s="51"/>
      <c r="E186" s="51"/>
      <c r="F186" s="51"/>
      <c r="G186" s="51"/>
      <c r="H186" s="52">
        <v>4</v>
      </c>
      <c r="I186" s="53">
        <v>4</v>
      </c>
      <c r="K186" s="49"/>
      <c r="L186" s="49"/>
      <c r="M186" s="65" t="s">
        <v>792</v>
      </c>
      <c r="N186" s="66">
        <v>1</v>
      </c>
      <c r="O186" s="76">
        <v>0</v>
      </c>
      <c r="P186" s="153">
        <v>0</v>
      </c>
      <c r="Q186" s="76">
        <v>1</v>
      </c>
      <c r="R186" s="156">
        <v>1</v>
      </c>
      <c r="W186"/>
      <c r="X186"/>
      <c r="Y186"/>
      <c r="Z186"/>
      <c r="AA186"/>
      <c r="AB186"/>
      <c r="AC186"/>
      <c r="AD186"/>
      <c r="AE186" s="49"/>
      <c r="AF186" s="38" t="s">
        <v>49</v>
      </c>
      <c r="AG186" s="38" t="s">
        <v>50</v>
      </c>
      <c r="AH186" s="366">
        <v>8</v>
      </c>
      <c r="AI186" s="367">
        <v>8</v>
      </c>
      <c r="AJ186" s="368"/>
      <c r="AK186" s="368"/>
      <c r="AL186" s="350">
        <v>11</v>
      </c>
      <c r="AM186" s="367">
        <v>0</v>
      </c>
      <c r="AN186" s="349">
        <v>0</v>
      </c>
      <c r="AO186"/>
    </row>
    <row r="187" spans="1:41" ht="16.5">
      <c r="A187" s="49"/>
      <c r="B187" s="38" t="s">
        <v>56</v>
      </c>
      <c r="C187" s="38" t="s">
        <v>2108</v>
      </c>
      <c r="D187" s="38" t="s">
        <v>6</v>
      </c>
      <c r="E187" s="45">
        <v>41747</v>
      </c>
      <c r="F187" s="46">
        <v>41789</v>
      </c>
      <c r="G187" s="38">
        <v>0</v>
      </c>
      <c r="H187" s="47">
        <v>0.5</v>
      </c>
      <c r="I187" s="48">
        <v>0</v>
      </c>
      <c r="K187" s="49"/>
      <c r="L187" s="38" t="s">
        <v>1101</v>
      </c>
      <c r="M187" s="38" t="s">
        <v>792</v>
      </c>
      <c r="N187" s="63">
        <v>15</v>
      </c>
      <c r="O187" s="141">
        <v>7</v>
      </c>
      <c r="P187" s="152">
        <v>7</v>
      </c>
      <c r="Q187" s="141">
        <v>8</v>
      </c>
      <c r="R187" s="155">
        <v>8</v>
      </c>
      <c r="W187"/>
      <c r="X187"/>
      <c r="Y187"/>
      <c r="Z187"/>
      <c r="AA187"/>
      <c r="AB187"/>
      <c r="AC187"/>
      <c r="AD187"/>
      <c r="AE187" s="49"/>
      <c r="AF187" s="50" t="s">
        <v>1371</v>
      </c>
      <c r="AG187" s="51"/>
      <c r="AH187" s="372">
        <v>8</v>
      </c>
      <c r="AI187" s="373">
        <v>8</v>
      </c>
      <c r="AJ187" s="368"/>
      <c r="AK187" s="368"/>
      <c r="AL187" s="157">
        <v>11</v>
      </c>
      <c r="AM187" s="373">
        <v>0</v>
      </c>
      <c r="AN187" s="158">
        <v>0</v>
      </c>
      <c r="AO187"/>
    </row>
    <row r="188" spans="1:41" ht="16.5">
      <c r="A188" s="49"/>
      <c r="B188" s="49"/>
      <c r="C188" s="49"/>
      <c r="D188" s="38" t="s">
        <v>1120</v>
      </c>
      <c r="E188" s="45">
        <v>41747</v>
      </c>
      <c r="F188" s="46">
        <v>41789</v>
      </c>
      <c r="G188" s="38">
        <v>0</v>
      </c>
      <c r="H188" s="47">
        <v>0.5</v>
      </c>
      <c r="I188" s="48">
        <v>0</v>
      </c>
      <c r="K188" s="49"/>
      <c r="L188" s="49"/>
      <c r="M188" s="65" t="s">
        <v>49</v>
      </c>
      <c r="N188" s="66">
        <v>3</v>
      </c>
      <c r="O188" s="76">
        <v>0</v>
      </c>
      <c r="P188" s="153">
        <v>0</v>
      </c>
      <c r="Q188" s="76">
        <v>3</v>
      </c>
      <c r="R188" s="156">
        <v>3</v>
      </c>
      <c r="W188"/>
      <c r="X188"/>
      <c r="Y188"/>
      <c r="Z188"/>
      <c r="AA188"/>
      <c r="AB188"/>
      <c r="AC188"/>
      <c r="AD188"/>
      <c r="AE188" s="49"/>
      <c r="AF188" s="38" t="s">
        <v>1365</v>
      </c>
      <c r="AG188" s="38" t="s">
        <v>50</v>
      </c>
      <c r="AH188" s="366">
        <v>3</v>
      </c>
      <c r="AI188" s="367">
        <v>3</v>
      </c>
      <c r="AJ188" s="368">
        <v>4</v>
      </c>
      <c r="AK188" s="368">
        <v>3</v>
      </c>
      <c r="AL188" s="350">
        <v>3</v>
      </c>
      <c r="AM188" s="367">
        <v>0</v>
      </c>
      <c r="AN188" s="349">
        <v>0</v>
      </c>
      <c r="AO188"/>
    </row>
    <row r="189" spans="1:41" ht="16.5">
      <c r="A189" s="49"/>
      <c r="B189" s="49"/>
      <c r="C189" s="38" t="s">
        <v>2109</v>
      </c>
      <c r="D189" s="38" t="s">
        <v>6</v>
      </c>
      <c r="E189" s="45">
        <v>41747</v>
      </c>
      <c r="F189" s="46">
        <v>41789</v>
      </c>
      <c r="G189" s="38">
        <v>0</v>
      </c>
      <c r="H189" s="47">
        <v>0.5</v>
      </c>
      <c r="I189" s="48">
        <v>0</v>
      </c>
      <c r="K189" s="49"/>
      <c r="L189" s="38" t="s">
        <v>1102</v>
      </c>
      <c r="M189" s="38" t="s">
        <v>49</v>
      </c>
      <c r="N189" s="63">
        <v>2.5</v>
      </c>
      <c r="O189" s="141">
        <v>2.5</v>
      </c>
      <c r="P189" s="152">
        <v>3</v>
      </c>
      <c r="Q189" s="141">
        <v>0</v>
      </c>
      <c r="R189" s="155">
        <v>0</v>
      </c>
      <c r="W189"/>
      <c r="X189"/>
      <c r="Y189"/>
      <c r="Z189"/>
      <c r="AA189"/>
      <c r="AB189"/>
      <c r="AC189"/>
      <c r="AD189"/>
      <c r="AE189" s="49"/>
      <c r="AF189" s="50" t="s">
        <v>1372</v>
      </c>
      <c r="AG189" s="51"/>
      <c r="AH189" s="372">
        <v>3</v>
      </c>
      <c r="AI189" s="373">
        <v>3</v>
      </c>
      <c r="AJ189" s="368">
        <v>4</v>
      </c>
      <c r="AK189" s="368">
        <v>3</v>
      </c>
      <c r="AL189" s="157">
        <v>3</v>
      </c>
      <c r="AM189" s="373">
        <v>0</v>
      </c>
      <c r="AN189" s="158">
        <v>0</v>
      </c>
      <c r="AO189"/>
    </row>
    <row r="190" spans="1:41" ht="16.5">
      <c r="A190" s="49"/>
      <c r="B190" s="49"/>
      <c r="C190" s="49"/>
      <c r="D190" s="38" t="s">
        <v>1120</v>
      </c>
      <c r="E190" s="45">
        <v>41747</v>
      </c>
      <c r="F190" s="46">
        <v>41789</v>
      </c>
      <c r="G190" s="38">
        <v>0</v>
      </c>
      <c r="H190" s="47">
        <v>0.5</v>
      </c>
      <c r="I190" s="48">
        <v>0</v>
      </c>
      <c r="K190" s="50" t="s">
        <v>2158</v>
      </c>
      <c r="L190" s="51"/>
      <c r="M190" s="51"/>
      <c r="N190" s="145">
        <v>32.5</v>
      </c>
      <c r="O190" s="143">
        <v>17.5</v>
      </c>
      <c r="P190" s="152">
        <v>18</v>
      </c>
      <c r="Q190" s="143">
        <v>15</v>
      </c>
      <c r="R190" s="155">
        <v>15</v>
      </c>
      <c r="W190"/>
      <c r="X190"/>
      <c r="Y190"/>
      <c r="Z190"/>
      <c r="AA190"/>
      <c r="AB190"/>
      <c r="AC190"/>
      <c r="AD190"/>
      <c r="AE190" s="38" t="s">
        <v>1407</v>
      </c>
      <c r="AF190" s="38" t="s">
        <v>1401</v>
      </c>
      <c r="AG190" s="38" t="s">
        <v>26</v>
      </c>
      <c r="AH190" s="366">
        <v>1</v>
      </c>
      <c r="AI190" s="367">
        <v>1</v>
      </c>
      <c r="AJ190" s="368"/>
      <c r="AK190" s="368"/>
      <c r="AL190" s="350">
        <v>1</v>
      </c>
      <c r="AM190" s="367">
        <v>0</v>
      </c>
      <c r="AN190" s="349">
        <v>0</v>
      </c>
      <c r="AO190"/>
    </row>
    <row r="191" spans="1:41" ht="16.5">
      <c r="A191" s="49"/>
      <c r="B191" s="49"/>
      <c r="C191" s="38" t="s">
        <v>2110</v>
      </c>
      <c r="D191" s="38" t="s">
        <v>6</v>
      </c>
      <c r="E191" s="45">
        <v>41747</v>
      </c>
      <c r="F191" s="46">
        <v>41789</v>
      </c>
      <c r="G191" s="38">
        <v>0</v>
      </c>
      <c r="H191" s="47">
        <v>0.5</v>
      </c>
      <c r="I191" s="48">
        <v>0</v>
      </c>
      <c r="K191" s="58" t="s">
        <v>4</v>
      </c>
      <c r="L191" s="59"/>
      <c r="M191" s="59"/>
      <c r="N191" s="69">
        <v>776</v>
      </c>
      <c r="O191" s="142">
        <v>662</v>
      </c>
      <c r="P191" s="149">
        <v>717</v>
      </c>
      <c r="Q191" s="142">
        <v>114.00000000000068</v>
      </c>
      <c r="R191" s="154">
        <v>131</v>
      </c>
      <c r="W191"/>
      <c r="X191"/>
      <c r="Y191"/>
      <c r="Z191"/>
      <c r="AA191"/>
      <c r="AB191"/>
      <c r="AC191"/>
      <c r="AD191"/>
      <c r="AE191" s="49"/>
      <c r="AF191" s="50" t="s">
        <v>1458</v>
      </c>
      <c r="AG191" s="51"/>
      <c r="AH191" s="372">
        <v>1</v>
      </c>
      <c r="AI191" s="373">
        <v>1</v>
      </c>
      <c r="AJ191" s="368"/>
      <c r="AK191" s="368"/>
      <c r="AL191" s="157">
        <v>1</v>
      </c>
      <c r="AM191" s="373">
        <v>0</v>
      </c>
      <c r="AN191" s="158">
        <v>0</v>
      </c>
      <c r="AO191"/>
    </row>
    <row r="192" spans="1:41" ht="16.5">
      <c r="A192" s="49"/>
      <c r="B192" s="49"/>
      <c r="C192" s="49"/>
      <c r="D192" s="38" t="s">
        <v>1120</v>
      </c>
      <c r="E192" s="45">
        <v>41747</v>
      </c>
      <c r="F192" s="46">
        <v>41789</v>
      </c>
      <c r="G192" s="38">
        <v>0</v>
      </c>
      <c r="H192" s="47">
        <v>0.5</v>
      </c>
      <c r="I192" s="48">
        <v>0</v>
      </c>
      <c r="K192"/>
      <c r="L192"/>
      <c r="M192"/>
      <c r="N192"/>
      <c r="O192"/>
      <c r="P192"/>
      <c r="Q192"/>
      <c r="R192"/>
      <c r="W192"/>
      <c r="X192"/>
      <c r="Y192"/>
      <c r="Z192"/>
      <c r="AA192"/>
      <c r="AB192"/>
      <c r="AC192"/>
      <c r="AD192"/>
      <c r="AE192" s="49"/>
      <c r="AF192" s="38" t="s">
        <v>1409</v>
      </c>
      <c r="AG192" s="38" t="s">
        <v>27</v>
      </c>
      <c r="AH192" s="366">
        <v>3</v>
      </c>
      <c r="AI192" s="367">
        <v>3</v>
      </c>
      <c r="AJ192" s="368"/>
      <c r="AK192" s="368"/>
      <c r="AL192" s="350">
        <v>4</v>
      </c>
      <c r="AM192" s="367">
        <v>0</v>
      </c>
      <c r="AN192" s="349">
        <v>0</v>
      </c>
      <c r="AO192"/>
    </row>
    <row r="193" spans="1:41" ht="16.5">
      <c r="A193" s="49"/>
      <c r="B193" s="49"/>
      <c r="C193" s="38" t="s">
        <v>2111</v>
      </c>
      <c r="D193" s="38" t="s">
        <v>6</v>
      </c>
      <c r="E193" s="45">
        <v>41747</v>
      </c>
      <c r="F193" s="46">
        <v>41789</v>
      </c>
      <c r="G193" s="38">
        <v>0</v>
      </c>
      <c r="H193" s="47">
        <v>1</v>
      </c>
      <c r="I193" s="48">
        <v>0</v>
      </c>
      <c r="K193"/>
      <c r="L193"/>
      <c r="M193"/>
      <c r="N193"/>
      <c r="O193"/>
      <c r="P193"/>
      <c r="Q193"/>
      <c r="R193"/>
      <c r="W193"/>
      <c r="X193"/>
      <c r="Y193"/>
      <c r="Z193"/>
      <c r="AA193"/>
      <c r="AB193"/>
      <c r="AC193"/>
      <c r="AD193"/>
      <c r="AE193" s="49"/>
      <c r="AF193" s="50" t="s">
        <v>1459</v>
      </c>
      <c r="AG193" s="51"/>
      <c r="AH193" s="372">
        <v>3</v>
      </c>
      <c r="AI193" s="373">
        <v>3</v>
      </c>
      <c r="AJ193" s="368"/>
      <c r="AK193" s="368"/>
      <c r="AL193" s="157">
        <v>4</v>
      </c>
      <c r="AM193" s="373">
        <v>0</v>
      </c>
      <c r="AN193" s="158">
        <v>0</v>
      </c>
      <c r="AO193"/>
    </row>
    <row r="194" spans="1:41" ht="16.5">
      <c r="A194" s="49"/>
      <c r="B194" s="49"/>
      <c r="C194" s="38" t="s">
        <v>2112</v>
      </c>
      <c r="D194" s="38" t="s">
        <v>6</v>
      </c>
      <c r="E194" s="45">
        <v>41747</v>
      </c>
      <c r="F194" s="46">
        <v>41789</v>
      </c>
      <c r="G194" s="38">
        <v>0</v>
      </c>
      <c r="H194" s="47">
        <v>1</v>
      </c>
      <c r="I194" s="48">
        <v>0</v>
      </c>
      <c r="K194"/>
      <c r="L194"/>
      <c r="M194"/>
      <c r="N194"/>
      <c r="O194"/>
      <c r="P194"/>
      <c r="Q194"/>
      <c r="R194"/>
      <c r="W194"/>
      <c r="X194"/>
      <c r="Y194"/>
      <c r="Z194"/>
      <c r="AA194"/>
      <c r="AB194"/>
      <c r="AC194"/>
      <c r="AD194"/>
      <c r="AE194" s="38" t="s">
        <v>1477</v>
      </c>
      <c r="AF194" s="38" t="s">
        <v>49</v>
      </c>
      <c r="AG194" s="38" t="s">
        <v>50</v>
      </c>
      <c r="AH194" s="366">
        <v>5</v>
      </c>
      <c r="AI194" s="367">
        <v>5</v>
      </c>
      <c r="AJ194" s="368">
        <v>10</v>
      </c>
      <c r="AK194" s="368"/>
      <c r="AL194" s="350">
        <v>5</v>
      </c>
      <c r="AM194" s="367">
        <v>0</v>
      </c>
      <c r="AN194" s="349">
        <v>0</v>
      </c>
      <c r="AO194"/>
    </row>
    <row r="195" spans="1:41" ht="16.5">
      <c r="A195" s="49"/>
      <c r="B195" s="49"/>
      <c r="C195" s="38" t="s">
        <v>2193</v>
      </c>
      <c r="D195" s="38" t="s">
        <v>6</v>
      </c>
      <c r="E195" s="45">
        <v>41752</v>
      </c>
      <c r="F195" s="46">
        <v>41775</v>
      </c>
      <c r="G195" s="38">
        <v>1</v>
      </c>
      <c r="H195" s="47">
        <v>0.33333333333333331</v>
      </c>
      <c r="I195" s="48">
        <v>0.5</v>
      </c>
      <c r="K195"/>
      <c r="L195"/>
      <c r="M195"/>
      <c r="N195"/>
      <c r="O195"/>
      <c r="P195"/>
      <c r="Q195"/>
      <c r="R195"/>
      <c r="W195"/>
      <c r="X195"/>
      <c r="Y195"/>
      <c r="Z195"/>
      <c r="AA195"/>
      <c r="AB195"/>
      <c r="AC195"/>
      <c r="AD195"/>
      <c r="AE195" s="49"/>
      <c r="AF195" s="50" t="s">
        <v>1371</v>
      </c>
      <c r="AG195" s="51"/>
      <c r="AH195" s="372">
        <v>5</v>
      </c>
      <c r="AI195" s="373">
        <v>5</v>
      </c>
      <c r="AJ195" s="368">
        <v>10</v>
      </c>
      <c r="AK195" s="368"/>
      <c r="AL195" s="157">
        <v>5</v>
      </c>
      <c r="AM195" s="373">
        <v>0</v>
      </c>
      <c r="AN195" s="158">
        <v>0</v>
      </c>
      <c r="AO195"/>
    </row>
    <row r="196" spans="1:41" ht="16.5">
      <c r="A196" s="49"/>
      <c r="B196" s="49"/>
      <c r="C196" s="49"/>
      <c r="D196" s="38" t="s">
        <v>1434</v>
      </c>
      <c r="E196" s="45">
        <v>41752</v>
      </c>
      <c r="F196" s="363" t="s">
        <v>1959</v>
      </c>
      <c r="G196" s="38">
        <v>1</v>
      </c>
      <c r="H196" s="47">
        <v>0.33333333333333331</v>
      </c>
      <c r="I196" s="48">
        <v>0.5</v>
      </c>
      <c r="K196"/>
      <c r="L196"/>
      <c r="M196"/>
      <c r="N196"/>
      <c r="O196"/>
      <c r="P196"/>
      <c r="Q196"/>
      <c r="R196"/>
      <c r="W196"/>
      <c r="X196"/>
      <c r="Y196"/>
      <c r="Z196"/>
      <c r="AA196"/>
      <c r="AB196"/>
      <c r="AC196"/>
      <c r="AD196"/>
      <c r="AE196" s="38" t="s">
        <v>1557</v>
      </c>
      <c r="AF196" s="38" t="s">
        <v>49</v>
      </c>
      <c r="AG196" s="38" t="s">
        <v>50</v>
      </c>
      <c r="AH196" s="366">
        <v>6</v>
      </c>
      <c r="AI196" s="367">
        <v>6</v>
      </c>
      <c r="AJ196" s="368">
        <v>10</v>
      </c>
      <c r="AK196" s="368"/>
      <c r="AL196" s="350">
        <v>6</v>
      </c>
      <c r="AM196" s="367">
        <v>0</v>
      </c>
      <c r="AN196" s="349">
        <v>0</v>
      </c>
      <c r="AO196"/>
    </row>
    <row r="197" spans="1:41" ht="16.5">
      <c r="A197" s="49"/>
      <c r="B197" s="49"/>
      <c r="C197" s="49"/>
      <c r="D197" s="38" t="s">
        <v>2195</v>
      </c>
      <c r="E197" s="45">
        <v>41752</v>
      </c>
      <c r="F197" s="46">
        <v>41780</v>
      </c>
      <c r="G197" s="38">
        <v>0</v>
      </c>
      <c r="H197" s="47">
        <v>0.33333333333333331</v>
      </c>
      <c r="I197" s="48">
        <v>0</v>
      </c>
      <c r="K197"/>
      <c r="L197"/>
      <c r="M197"/>
      <c r="N197"/>
      <c r="O197"/>
      <c r="P197"/>
      <c r="Q197"/>
      <c r="R197"/>
      <c r="W197"/>
      <c r="X197"/>
      <c r="Y197"/>
      <c r="Z197"/>
      <c r="AA197"/>
      <c r="AB197"/>
      <c r="AC197"/>
      <c r="AD197"/>
      <c r="AE197" s="49"/>
      <c r="AF197" s="50" t="s">
        <v>1371</v>
      </c>
      <c r="AG197" s="51"/>
      <c r="AH197" s="372">
        <v>6</v>
      </c>
      <c r="AI197" s="373">
        <v>6</v>
      </c>
      <c r="AJ197" s="368">
        <v>10</v>
      </c>
      <c r="AK197" s="368"/>
      <c r="AL197" s="157">
        <v>6</v>
      </c>
      <c r="AM197" s="373">
        <v>0</v>
      </c>
      <c r="AN197" s="158">
        <v>0</v>
      </c>
      <c r="AO197"/>
    </row>
    <row r="198" spans="1:41" ht="16.5">
      <c r="A198" s="49"/>
      <c r="B198" s="49"/>
      <c r="C198" s="38" t="s">
        <v>2194</v>
      </c>
      <c r="D198" s="38" t="s">
        <v>6</v>
      </c>
      <c r="E198" s="45">
        <v>41752</v>
      </c>
      <c r="F198" s="46">
        <v>41775</v>
      </c>
      <c r="G198" s="38">
        <v>1</v>
      </c>
      <c r="H198" s="47">
        <v>0.33333333333333331</v>
      </c>
      <c r="I198" s="48">
        <v>0.5</v>
      </c>
      <c r="K198"/>
      <c r="L198"/>
      <c r="M198"/>
      <c r="N198"/>
      <c r="O198"/>
      <c r="P198"/>
      <c r="Q198"/>
      <c r="R198"/>
      <c r="W198"/>
      <c r="X198"/>
      <c r="Y198"/>
      <c r="Z198"/>
      <c r="AA198"/>
      <c r="AB198"/>
      <c r="AC198"/>
      <c r="AD198"/>
      <c r="AE198" s="38" t="s">
        <v>1677</v>
      </c>
      <c r="AF198" s="38" t="s">
        <v>44</v>
      </c>
      <c r="AG198" s="38" t="s">
        <v>38</v>
      </c>
      <c r="AH198" s="366">
        <v>6</v>
      </c>
      <c r="AI198" s="367">
        <v>6</v>
      </c>
      <c r="AJ198" s="368">
        <v>27</v>
      </c>
      <c r="AK198" s="368">
        <v>1</v>
      </c>
      <c r="AL198" s="350">
        <v>6</v>
      </c>
      <c r="AM198" s="367">
        <v>0</v>
      </c>
      <c r="AN198" s="349">
        <v>0</v>
      </c>
      <c r="AO198"/>
    </row>
    <row r="199" spans="1:41" ht="16.5">
      <c r="A199" s="49"/>
      <c r="B199" s="49"/>
      <c r="C199" s="49"/>
      <c r="D199" s="38" t="s">
        <v>1434</v>
      </c>
      <c r="E199" s="45">
        <v>41752</v>
      </c>
      <c r="F199" s="363" t="s">
        <v>1959</v>
      </c>
      <c r="G199" s="38">
        <v>1</v>
      </c>
      <c r="H199" s="47">
        <v>0.33333333333333331</v>
      </c>
      <c r="I199" s="48">
        <v>0.5</v>
      </c>
      <c r="K199"/>
      <c r="L199"/>
      <c r="M199"/>
      <c r="N199"/>
      <c r="O199"/>
      <c r="P199"/>
      <c r="Q199"/>
      <c r="R199"/>
      <c r="W199"/>
      <c r="X199"/>
      <c r="Y199"/>
      <c r="Z199"/>
      <c r="AA199"/>
      <c r="AB199"/>
      <c r="AC199"/>
      <c r="AD199"/>
      <c r="AE199" s="49"/>
      <c r="AF199" s="49"/>
      <c r="AG199" s="65" t="s">
        <v>35</v>
      </c>
      <c r="AH199" s="369">
        <v>2</v>
      </c>
      <c r="AI199" s="370">
        <v>2</v>
      </c>
      <c r="AJ199" s="371">
        <v>10</v>
      </c>
      <c r="AK199" s="371"/>
      <c r="AL199" s="353">
        <v>2</v>
      </c>
      <c r="AM199" s="370">
        <v>0</v>
      </c>
      <c r="AN199" s="354">
        <v>0</v>
      </c>
      <c r="AO199"/>
    </row>
    <row r="200" spans="1:41" ht="16.5">
      <c r="A200" s="49"/>
      <c r="B200" s="49"/>
      <c r="C200" s="49"/>
      <c r="D200" s="38" t="s">
        <v>2195</v>
      </c>
      <c r="E200" s="45">
        <v>41752</v>
      </c>
      <c r="F200" s="46">
        <v>41780</v>
      </c>
      <c r="G200" s="38">
        <v>0</v>
      </c>
      <c r="H200" s="47">
        <v>0.33333333333333331</v>
      </c>
      <c r="I200" s="48">
        <v>0</v>
      </c>
      <c r="K200"/>
      <c r="L200"/>
      <c r="M200"/>
      <c r="N200"/>
      <c r="O200"/>
      <c r="P200"/>
      <c r="Q200"/>
      <c r="R200"/>
      <c r="W200"/>
      <c r="X200"/>
      <c r="Y200"/>
      <c r="Z200"/>
      <c r="AA200"/>
      <c r="AB200"/>
      <c r="AC200"/>
      <c r="AD200"/>
      <c r="AE200" s="49"/>
      <c r="AF200" s="50" t="s">
        <v>877</v>
      </c>
      <c r="AG200" s="51"/>
      <c r="AH200" s="372">
        <v>8</v>
      </c>
      <c r="AI200" s="373">
        <v>8</v>
      </c>
      <c r="AJ200" s="368">
        <v>37</v>
      </c>
      <c r="AK200" s="368">
        <v>1</v>
      </c>
      <c r="AL200" s="157">
        <v>8</v>
      </c>
      <c r="AM200" s="373">
        <v>0</v>
      </c>
      <c r="AN200" s="158">
        <v>0</v>
      </c>
      <c r="AO200"/>
    </row>
    <row r="201" spans="1:41" ht="16.5">
      <c r="A201" s="49"/>
      <c r="B201" s="50" t="s">
        <v>1080</v>
      </c>
      <c r="C201" s="51"/>
      <c r="D201" s="51"/>
      <c r="E201" s="51"/>
      <c r="F201" s="51"/>
      <c r="G201" s="51"/>
      <c r="H201" s="52">
        <v>6.9999999999999982</v>
      </c>
      <c r="I201" s="53">
        <v>2</v>
      </c>
      <c r="K201"/>
      <c r="L201"/>
      <c r="M201"/>
      <c r="N201"/>
      <c r="O201"/>
      <c r="P201"/>
      <c r="Q201"/>
      <c r="R201"/>
      <c r="W201"/>
      <c r="X201"/>
      <c r="Y201"/>
      <c r="Z201"/>
      <c r="AA201"/>
      <c r="AB201"/>
      <c r="AC201"/>
      <c r="AD201"/>
      <c r="AE201" s="49"/>
      <c r="AF201" s="38" t="s">
        <v>6</v>
      </c>
      <c r="AG201" s="38" t="s">
        <v>56</v>
      </c>
      <c r="AH201" s="366">
        <v>1.3333333333333333</v>
      </c>
      <c r="AI201" s="367">
        <v>4</v>
      </c>
      <c r="AJ201" s="368">
        <v>22</v>
      </c>
      <c r="AK201" s="368">
        <v>22</v>
      </c>
      <c r="AL201" s="350">
        <v>4</v>
      </c>
      <c r="AM201" s="367">
        <v>-0.66666666666666674</v>
      </c>
      <c r="AN201" s="349">
        <v>0</v>
      </c>
      <c r="AO201"/>
    </row>
    <row r="202" spans="1:41" ht="16.5">
      <c r="A202" s="54" t="s">
        <v>1088</v>
      </c>
      <c r="B202" s="55"/>
      <c r="C202" s="55"/>
      <c r="D202" s="55"/>
      <c r="E202" s="55"/>
      <c r="F202" s="55"/>
      <c r="G202" s="55"/>
      <c r="H202" s="56">
        <v>11.000000000000004</v>
      </c>
      <c r="I202" s="57">
        <v>6</v>
      </c>
      <c r="K202"/>
      <c r="L202"/>
      <c r="M202"/>
      <c r="N202"/>
      <c r="O202"/>
      <c r="P202"/>
      <c r="Q202"/>
      <c r="R202"/>
      <c r="W202"/>
      <c r="X202"/>
      <c r="Y202"/>
      <c r="Z202"/>
      <c r="AA202"/>
      <c r="AB202"/>
      <c r="AC202"/>
      <c r="AD202"/>
      <c r="AE202" s="49"/>
      <c r="AF202" s="49"/>
      <c r="AG202" s="65" t="s">
        <v>228</v>
      </c>
      <c r="AH202" s="369">
        <v>4</v>
      </c>
      <c r="AI202" s="370">
        <v>4</v>
      </c>
      <c r="AJ202" s="371">
        <v>15</v>
      </c>
      <c r="AK202" s="371">
        <v>6</v>
      </c>
      <c r="AL202" s="353">
        <v>4</v>
      </c>
      <c r="AM202" s="370">
        <v>0</v>
      </c>
      <c r="AN202" s="354">
        <v>0</v>
      </c>
      <c r="AO202"/>
    </row>
    <row r="203" spans="1:41" ht="16.5">
      <c r="A203" s="38" t="s">
        <v>3</v>
      </c>
      <c r="B203" s="38" t="s">
        <v>38</v>
      </c>
      <c r="C203" s="38" t="s">
        <v>1817</v>
      </c>
      <c r="D203" s="38" t="s">
        <v>44</v>
      </c>
      <c r="E203" s="45">
        <v>41705</v>
      </c>
      <c r="F203" s="46">
        <v>41736</v>
      </c>
      <c r="G203" s="38">
        <v>1</v>
      </c>
      <c r="H203" s="47">
        <v>1</v>
      </c>
      <c r="I203" s="48">
        <v>1</v>
      </c>
      <c r="K203"/>
      <c r="L203"/>
      <c r="M203"/>
      <c r="N203"/>
      <c r="O203"/>
      <c r="P203"/>
      <c r="Q203"/>
      <c r="R203"/>
      <c r="W203"/>
      <c r="X203"/>
      <c r="Y203"/>
      <c r="Z203"/>
      <c r="AA203"/>
      <c r="AB203"/>
      <c r="AC203"/>
      <c r="AD203"/>
      <c r="AE203" s="49"/>
      <c r="AF203" s="50" t="s">
        <v>879</v>
      </c>
      <c r="AG203" s="51"/>
      <c r="AH203" s="372">
        <v>5.333333333333333</v>
      </c>
      <c r="AI203" s="373">
        <v>8</v>
      </c>
      <c r="AJ203" s="368">
        <v>37</v>
      </c>
      <c r="AK203" s="368">
        <v>28</v>
      </c>
      <c r="AL203" s="157">
        <v>8</v>
      </c>
      <c r="AM203" s="373">
        <v>-0.66666666666666696</v>
      </c>
      <c r="AN203" s="158">
        <v>0</v>
      </c>
      <c r="AO203"/>
    </row>
    <row r="204" spans="1:41" ht="16.5">
      <c r="A204" s="49"/>
      <c r="B204" s="50" t="s">
        <v>853</v>
      </c>
      <c r="C204" s="51"/>
      <c r="D204" s="51"/>
      <c r="E204" s="51"/>
      <c r="F204" s="51"/>
      <c r="G204" s="51"/>
      <c r="H204" s="52">
        <v>1</v>
      </c>
      <c r="I204" s="53">
        <v>1</v>
      </c>
      <c r="K204"/>
      <c r="L204"/>
      <c r="M204"/>
      <c r="N204"/>
      <c r="O204"/>
      <c r="P204"/>
      <c r="Q204"/>
      <c r="R204"/>
      <c r="W204"/>
      <c r="X204"/>
      <c r="Y204"/>
      <c r="Z204"/>
      <c r="AA204"/>
      <c r="AB204"/>
      <c r="AC204"/>
      <c r="AD204"/>
      <c r="AE204" s="49"/>
      <c r="AF204" s="38" t="s">
        <v>1120</v>
      </c>
      <c r="AG204" s="38" t="s">
        <v>56</v>
      </c>
      <c r="AH204" s="366">
        <v>1.3333333333333333</v>
      </c>
      <c r="AI204" s="367">
        <v>4</v>
      </c>
      <c r="AJ204" s="368">
        <v>22</v>
      </c>
      <c r="AK204" s="368">
        <v>22</v>
      </c>
      <c r="AL204" s="350">
        <v>4</v>
      </c>
      <c r="AM204" s="367">
        <v>1.3333333333333333</v>
      </c>
      <c r="AN204" s="349">
        <v>4</v>
      </c>
      <c r="AO204"/>
    </row>
    <row r="205" spans="1:41" ht="16.5">
      <c r="A205" s="49"/>
      <c r="B205" s="38" t="s">
        <v>35</v>
      </c>
      <c r="C205" s="38" t="s">
        <v>1807</v>
      </c>
      <c r="D205" s="38" t="s">
        <v>6</v>
      </c>
      <c r="E205" s="45">
        <v>41705</v>
      </c>
      <c r="F205" s="46">
        <v>41737</v>
      </c>
      <c r="G205" s="38">
        <v>1</v>
      </c>
      <c r="H205" s="47">
        <v>1</v>
      </c>
      <c r="I205" s="48">
        <v>1</v>
      </c>
      <c r="K205"/>
      <c r="L205"/>
      <c r="M205"/>
      <c r="N205"/>
      <c r="O205"/>
      <c r="P205"/>
      <c r="Q205"/>
      <c r="R205"/>
      <c r="W205"/>
      <c r="X205"/>
      <c r="Y205"/>
      <c r="Z205"/>
      <c r="AA205"/>
      <c r="AB205"/>
      <c r="AC205"/>
      <c r="AD205"/>
      <c r="AE205" s="49"/>
      <c r="AF205" s="50" t="s">
        <v>1121</v>
      </c>
      <c r="AG205" s="51"/>
      <c r="AH205" s="372">
        <v>1.3333333333333333</v>
      </c>
      <c r="AI205" s="373">
        <v>4</v>
      </c>
      <c r="AJ205" s="368">
        <v>22</v>
      </c>
      <c r="AK205" s="368">
        <v>22</v>
      </c>
      <c r="AL205" s="157">
        <v>4</v>
      </c>
      <c r="AM205" s="373">
        <v>1.3333333333333333</v>
      </c>
      <c r="AN205" s="158">
        <v>4</v>
      </c>
      <c r="AO205"/>
    </row>
    <row r="206" spans="1:41" ht="16.5">
      <c r="A206" s="49"/>
      <c r="B206" s="49"/>
      <c r="C206" s="38" t="s">
        <v>1809</v>
      </c>
      <c r="D206" s="38" t="s">
        <v>44</v>
      </c>
      <c r="E206" s="45">
        <v>41705</v>
      </c>
      <c r="F206" s="46">
        <v>41736</v>
      </c>
      <c r="G206" s="38">
        <v>1</v>
      </c>
      <c r="H206" s="47">
        <v>1</v>
      </c>
      <c r="I206" s="48">
        <v>1</v>
      </c>
      <c r="K206"/>
      <c r="L206"/>
      <c r="M206"/>
      <c r="N206"/>
      <c r="O206"/>
      <c r="P206"/>
      <c r="Q206"/>
      <c r="R206"/>
      <c r="W206"/>
      <c r="X206"/>
      <c r="Y206"/>
      <c r="Z206"/>
      <c r="AA206"/>
      <c r="AB206"/>
      <c r="AC206"/>
      <c r="AD206"/>
      <c r="AE206" s="49"/>
      <c r="AF206" s="38" t="s">
        <v>1434</v>
      </c>
      <c r="AG206" s="38" t="s">
        <v>56</v>
      </c>
      <c r="AH206" s="366">
        <v>1.3333333333333333</v>
      </c>
      <c r="AI206" s="367">
        <v>4</v>
      </c>
      <c r="AJ206" s="368">
        <v>22</v>
      </c>
      <c r="AK206" s="368">
        <v>22</v>
      </c>
      <c r="AL206" s="350">
        <v>4</v>
      </c>
      <c r="AM206" s="367">
        <v>-0.66666666666666674</v>
      </c>
      <c r="AN206" s="349">
        <v>0</v>
      </c>
      <c r="AO206"/>
    </row>
    <row r="207" spans="1:41" ht="16.5">
      <c r="A207" s="49"/>
      <c r="B207" s="49"/>
      <c r="C207" s="38" t="s">
        <v>1810</v>
      </c>
      <c r="D207" s="38" t="s">
        <v>44</v>
      </c>
      <c r="E207" s="45">
        <v>41705</v>
      </c>
      <c r="F207" s="46">
        <v>41736</v>
      </c>
      <c r="G207" s="38">
        <v>1</v>
      </c>
      <c r="H207" s="47">
        <v>1</v>
      </c>
      <c r="I207" s="48">
        <v>1</v>
      </c>
      <c r="K207"/>
      <c r="L207"/>
      <c r="M207"/>
      <c r="N207"/>
      <c r="O207"/>
      <c r="P207"/>
      <c r="Q207"/>
      <c r="R207"/>
      <c r="W207"/>
      <c r="X207"/>
      <c r="Y207"/>
      <c r="Z207"/>
      <c r="AA207"/>
      <c r="AB207"/>
      <c r="AC207"/>
      <c r="AD207"/>
      <c r="AE207" s="49"/>
      <c r="AF207" s="50" t="s">
        <v>1461</v>
      </c>
      <c r="AG207" s="51"/>
      <c r="AH207" s="372">
        <v>1.3333333333333333</v>
      </c>
      <c r="AI207" s="373">
        <v>4</v>
      </c>
      <c r="AJ207" s="368">
        <v>22</v>
      </c>
      <c r="AK207" s="368">
        <v>22</v>
      </c>
      <c r="AL207" s="157">
        <v>4</v>
      </c>
      <c r="AM207" s="373">
        <v>-0.66666666666666674</v>
      </c>
      <c r="AN207" s="158">
        <v>0</v>
      </c>
      <c r="AO207"/>
    </row>
    <row r="208" spans="1:41" ht="16.5">
      <c r="A208" s="49"/>
      <c r="B208" s="49"/>
      <c r="C208" s="38" t="s">
        <v>1811</v>
      </c>
      <c r="D208" s="38" t="s">
        <v>44</v>
      </c>
      <c r="E208" s="45">
        <v>41705</v>
      </c>
      <c r="F208" s="46">
        <v>41736</v>
      </c>
      <c r="G208" s="38">
        <v>1</v>
      </c>
      <c r="H208" s="47">
        <v>1</v>
      </c>
      <c r="I208" s="48">
        <v>1</v>
      </c>
      <c r="K208"/>
      <c r="L208"/>
      <c r="M208"/>
      <c r="N208"/>
      <c r="O208"/>
      <c r="P208"/>
      <c r="Q208"/>
      <c r="R208"/>
      <c r="W208"/>
      <c r="X208"/>
      <c r="Y208"/>
      <c r="Z208"/>
      <c r="AA208"/>
      <c r="AB208"/>
      <c r="AC208"/>
      <c r="AD208"/>
      <c r="AE208" s="38" t="s">
        <v>1102</v>
      </c>
      <c r="AF208" s="38" t="s">
        <v>792</v>
      </c>
      <c r="AG208" s="38" t="s">
        <v>50</v>
      </c>
      <c r="AH208" s="71">
        <v>9.5</v>
      </c>
      <c r="AI208" s="350">
        <v>10</v>
      </c>
      <c r="AJ208" s="152">
        <v>20</v>
      </c>
      <c r="AK208" s="152"/>
      <c r="AL208" s="350">
        <v>10</v>
      </c>
      <c r="AM208" s="350">
        <v>0</v>
      </c>
      <c r="AN208" s="349">
        <v>0</v>
      </c>
      <c r="AO208"/>
    </row>
    <row r="209" spans="1:41" ht="16.5">
      <c r="A209" s="49"/>
      <c r="B209" s="49"/>
      <c r="C209" s="38" t="s">
        <v>1812</v>
      </c>
      <c r="D209" s="38" t="s">
        <v>48</v>
      </c>
      <c r="E209" s="45">
        <v>41705</v>
      </c>
      <c r="F209" s="46">
        <v>41751</v>
      </c>
      <c r="G209" s="38">
        <v>1</v>
      </c>
      <c r="H209" s="47">
        <v>1</v>
      </c>
      <c r="I209" s="48">
        <v>1</v>
      </c>
      <c r="K209"/>
      <c r="L209"/>
      <c r="M209"/>
      <c r="N209"/>
      <c r="O209"/>
      <c r="P209"/>
      <c r="Q209"/>
      <c r="R209"/>
      <c r="W209"/>
      <c r="X209"/>
      <c r="Y209"/>
      <c r="Z209"/>
      <c r="AA209"/>
      <c r="AB209"/>
      <c r="AC209"/>
      <c r="AD209"/>
      <c r="AE209" s="49"/>
      <c r="AF209" s="50" t="s">
        <v>880</v>
      </c>
      <c r="AG209" s="51"/>
      <c r="AH209" s="73">
        <v>9.5</v>
      </c>
      <c r="AI209" s="157">
        <v>10</v>
      </c>
      <c r="AJ209" s="152">
        <v>20</v>
      </c>
      <c r="AK209" s="152"/>
      <c r="AL209" s="157">
        <v>10</v>
      </c>
      <c r="AM209" s="157">
        <v>0</v>
      </c>
      <c r="AN209" s="158">
        <v>0</v>
      </c>
      <c r="AO209"/>
    </row>
    <row r="210" spans="1:41" ht="16.5">
      <c r="A210" s="49"/>
      <c r="B210" s="49"/>
      <c r="C210" s="38" t="s">
        <v>1813</v>
      </c>
      <c r="D210" s="38" t="s">
        <v>44</v>
      </c>
      <c r="E210" s="45">
        <v>41705</v>
      </c>
      <c r="F210" s="46">
        <v>41736</v>
      </c>
      <c r="G210" s="38">
        <v>1</v>
      </c>
      <c r="H210" s="47">
        <v>1</v>
      </c>
      <c r="I210" s="48">
        <v>1</v>
      </c>
      <c r="K210"/>
      <c r="L210"/>
      <c r="M210"/>
      <c r="N210"/>
      <c r="O210"/>
      <c r="P210"/>
      <c r="Q210"/>
      <c r="R210"/>
      <c r="W210"/>
      <c r="X210"/>
      <c r="Y210"/>
      <c r="Z210"/>
      <c r="AA210"/>
      <c r="AB210"/>
      <c r="AC210"/>
      <c r="AD210"/>
      <c r="AE210" s="49"/>
      <c r="AF210" s="38" t="s">
        <v>49</v>
      </c>
      <c r="AG210" s="38" t="s">
        <v>50</v>
      </c>
      <c r="AH210" s="71">
        <v>3</v>
      </c>
      <c r="AI210" s="350">
        <v>3</v>
      </c>
      <c r="AJ210" s="152">
        <v>7</v>
      </c>
      <c r="AK210" s="152"/>
      <c r="AL210" s="350">
        <v>3</v>
      </c>
      <c r="AM210" s="350">
        <v>0</v>
      </c>
      <c r="AN210" s="349">
        <v>0</v>
      </c>
      <c r="AO210"/>
    </row>
    <row r="211" spans="1:41" ht="16.5">
      <c r="A211" s="49"/>
      <c r="B211" s="49"/>
      <c r="C211" s="38" t="s">
        <v>1814</v>
      </c>
      <c r="D211" s="38" t="s">
        <v>48</v>
      </c>
      <c r="E211" s="45">
        <v>41705</v>
      </c>
      <c r="F211" s="46">
        <v>41751</v>
      </c>
      <c r="G211" s="38">
        <v>1</v>
      </c>
      <c r="H211" s="47">
        <v>1</v>
      </c>
      <c r="I211" s="48">
        <v>1</v>
      </c>
      <c r="K211"/>
      <c r="L211"/>
      <c r="M211"/>
      <c r="N211"/>
      <c r="O211"/>
      <c r="P211"/>
      <c r="Q211"/>
      <c r="R211"/>
      <c r="W211"/>
      <c r="X211"/>
      <c r="Y211"/>
      <c r="Z211"/>
      <c r="AA211"/>
      <c r="AB211"/>
      <c r="AC211"/>
      <c r="AD211"/>
      <c r="AE211" s="49"/>
      <c r="AF211" s="49"/>
      <c r="AG211" s="65" t="s">
        <v>2116</v>
      </c>
      <c r="AH211" s="72">
        <v>2.5</v>
      </c>
      <c r="AI211" s="353">
        <v>3</v>
      </c>
      <c r="AJ211" s="153"/>
      <c r="AK211" s="153"/>
      <c r="AL211" s="353">
        <v>3</v>
      </c>
      <c r="AM211" s="353">
        <v>0</v>
      </c>
      <c r="AN211" s="354">
        <v>0</v>
      </c>
      <c r="AO211"/>
    </row>
    <row r="212" spans="1:41" ht="16.5">
      <c r="A212" s="49"/>
      <c r="B212" s="49"/>
      <c r="C212" s="38" t="s">
        <v>1816</v>
      </c>
      <c r="D212" s="38" t="s">
        <v>48</v>
      </c>
      <c r="E212" s="45">
        <v>41705</v>
      </c>
      <c r="F212" s="46">
        <v>41751</v>
      </c>
      <c r="G212" s="38">
        <v>1</v>
      </c>
      <c r="H212" s="47">
        <v>1</v>
      </c>
      <c r="I212" s="48">
        <v>1</v>
      </c>
      <c r="K212"/>
      <c r="L212"/>
      <c r="M212"/>
      <c r="N212"/>
      <c r="O212"/>
      <c r="P212"/>
      <c r="Q212"/>
      <c r="R212"/>
      <c r="W212"/>
      <c r="X212"/>
      <c r="Y212"/>
      <c r="Z212"/>
      <c r="AA212"/>
      <c r="AB212"/>
      <c r="AC212"/>
      <c r="AD212"/>
      <c r="AE212" s="49"/>
      <c r="AF212" s="50" t="s">
        <v>1371</v>
      </c>
      <c r="AG212" s="51"/>
      <c r="AH212" s="73">
        <v>5.5</v>
      </c>
      <c r="AI212" s="157">
        <v>6</v>
      </c>
      <c r="AJ212" s="152">
        <v>7</v>
      </c>
      <c r="AK212" s="152"/>
      <c r="AL212" s="157">
        <v>6</v>
      </c>
      <c r="AM212" s="157">
        <v>0</v>
      </c>
      <c r="AN212" s="158">
        <v>0</v>
      </c>
      <c r="AO212"/>
    </row>
    <row r="213" spans="1:41" ht="16.5">
      <c r="A213" s="49"/>
      <c r="B213" s="49"/>
      <c r="C213" s="38" t="s">
        <v>2126</v>
      </c>
      <c r="D213" s="38" t="s">
        <v>44</v>
      </c>
      <c r="E213" s="45">
        <v>41745</v>
      </c>
      <c r="F213" s="46">
        <v>41758</v>
      </c>
      <c r="G213" s="38">
        <v>1</v>
      </c>
      <c r="H213" s="47">
        <v>1</v>
      </c>
      <c r="I213" s="48">
        <v>1</v>
      </c>
      <c r="K213"/>
      <c r="L213"/>
      <c r="M213"/>
      <c r="N213"/>
      <c r="O213"/>
      <c r="P213"/>
      <c r="Q213"/>
      <c r="R213"/>
      <c r="W213"/>
      <c r="X213"/>
      <c r="Y213"/>
      <c r="Z213"/>
      <c r="AA213"/>
      <c r="AB213"/>
      <c r="AC213"/>
      <c r="AD213"/>
      <c r="AE213" s="49"/>
      <c r="AF213" s="38" t="s">
        <v>1365</v>
      </c>
      <c r="AG213" s="38" t="s">
        <v>50</v>
      </c>
      <c r="AH213" s="71">
        <v>4</v>
      </c>
      <c r="AI213" s="350">
        <v>4</v>
      </c>
      <c r="AJ213" s="152">
        <v>9</v>
      </c>
      <c r="AK213" s="152"/>
      <c r="AL213" s="350">
        <v>4</v>
      </c>
      <c r="AM213" s="350">
        <v>0</v>
      </c>
      <c r="AN213" s="349">
        <v>0</v>
      </c>
      <c r="AO213"/>
    </row>
    <row r="214" spans="1:41" ht="16.5">
      <c r="A214" s="49"/>
      <c r="B214" s="50" t="s">
        <v>1347</v>
      </c>
      <c r="C214" s="51"/>
      <c r="D214" s="51"/>
      <c r="E214" s="51"/>
      <c r="F214" s="51"/>
      <c r="G214" s="51"/>
      <c r="H214" s="52">
        <v>9</v>
      </c>
      <c r="I214" s="53">
        <v>9</v>
      </c>
      <c r="K214"/>
      <c r="L214"/>
      <c r="M214"/>
      <c r="N214"/>
      <c r="O214"/>
      <c r="P214"/>
      <c r="Q214"/>
      <c r="R214"/>
      <c r="W214"/>
      <c r="X214"/>
      <c r="Y214"/>
      <c r="Z214"/>
      <c r="AA214"/>
      <c r="AB214"/>
      <c r="AC214"/>
      <c r="AD214"/>
      <c r="AE214" s="49"/>
      <c r="AF214" s="50" t="s">
        <v>1372</v>
      </c>
      <c r="AG214" s="51"/>
      <c r="AH214" s="73">
        <v>4</v>
      </c>
      <c r="AI214" s="157">
        <v>4</v>
      </c>
      <c r="AJ214" s="152">
        <v>9</v>
      </c>
      <c r="AK214" s="152"/>
      <c r="AL214" s="157">
        <v>4</v>
      </c>
      <c r="AM214" s="157">
        <v>0</v>
      </c>
      <c r="AN214" s="158">
        <v>0</v>
      </c>
      <c r="AO214"/>
    </row>
    <row r="215" spans="1:41" ht="16.5">
      <c r="A215" s="49"/>
      <c r="B215" s="38" t="s">
        <v>28</v>
      </c>
      <c r="C215" s="38" t="s">
        <v>1800</v>
      </c>
      <c r="D215" s="38" t="s">
        <v>44</v>
      </c>
      <c r="E215" s="45">
        <v>41705</v>
      </c>
      <c r="F215" s="46">
        <v>41736</v>
      </c>
      <c r="G215" s="38">
        <v>1</v>
      </c>
      <c r="H215" s="47">
        <v>1</v>
      </c>
      <c r="I215" s="48">
        <v>1</v>
      </c>
      <c r="K215"/>
      <c r="L215"/>
      <c r="M215"/>
      <c r="N215"/>
      <c r="O215"/>
      <c r="P215"/>
      <c r="Q215"/>
      <c r="R215"/>
      <c r="W215"/>
      <c r="X215"/>
      <c r="Y215"/>
      <c r="Z215"/>
      <c r="AA215"/>
      <c r="AB215"/>
      <c r="AC215"/>
      <c r="AD215"/>
      <c r="AE215" s="38" t="s">
        <v>1772</v>
      </c>
      <c r="AF215" s="38" t="s">
        <v>6</v>
      </c>
      <c r="AG215" s="38" t="s">
        <v>28</v>
      </c>
      <c r="AH215" s="71">
        <v>4</v>
      </c>
      <c r="AI215" s="350">
        <v>4</v>
      </c>
      <c r="AJ215" s="152"/>
      <c r="AK215" s="152"/>
      <c r="AL215" s="350">
        <v>4</v>
      </c>
      <c r="AM215" s="350">
        <v>0</v>
      </c>
      <c r="AN215" s="349">
        <v>0</v>
      </c>
      <c r="AO215"/>
    </row>
    <row r="216" spans="1:41" ht="16.5">
      <c r="A216" s="49"/>
      <c r="B216" s="49"/>
      <c r="C216" s="38" t="s">
        <v>1802</v>
      </c>
      <c r="D216" s="38" t="s">
        <v>44</v>
      </c>
      <c r="E216" s="45">
        <v>41705</v>
      </c>
      <c r="F216" s="46">
        <v>41736</v>
      </c>
      <c r="G216" s="38">
        <v>1</v>
      </c>
      <c r="H216" s="47">
        <v>1</v>
      </c>
      <c r="I216" s="48">
        <v>1</v>
      </c>
      <c r="K216"/>
      <c r="L216"/>
      <c r="M216"/>
      <c r="N216"/>
      <c r="O216"/>
      <c r="P216"/>
      <c r="Q216"/>
      <c r="R216"/>
      <c r="W216"/>
      <c r="X216"/>
      <c r="Y216"/>
      <c r="Z216"/>
      <c r="AA216"/>
      <c r="AB216"/>
      <c r="AC216"/>
      <c r="AD216"/>
      <c r="AE216" s="49"/>
      <c r="AF216" s="50" t="s">
        <v>879</v>
      </c>
      <c r="AG216" s="51"/>
      <c r="AH216" s="73">
        <v>4</v>
      </c>
      <c r="AI216" s="157">
        <v>4</v>
      </c>
      <c r="AJ216" s="152"/>
      <c r="AK216" s="152"/>
      <c r="AL216" s="157">
        <v>4</v>
      </c>
      <c r="AM216" s="157">
        <v>0</v>
      </c>
      <c r="AN216" s="158">
        <v>0</v>
      </c>
      <c r="AO216"/>
    </row>
    <row r="217" spans="1:41" ht="16.5">
      <c r="A217" s="49"/>
      <c r="B217" s="49"/>
      <c r="C217" s="38" t="s">
        <v>1804</v>
      </c>
      <c r="D217" s="38" t="s">
        <v>44</v>
      </c>
      <c r="E217" s="45">
        <v>41705</v>
      </c>
      <c r="F217" s="46">
        <v>41736</v>
      </c>
      <c r="G217" s="38">
        <v>1</v>
      </c>
      <c r="H217" s="47">
        <v>1</v>
      </c>
      <c r="I217" s="48">
        <v>1</v>
      </c>
      <c r="K217"/>
      <c r="L217"/>
      <c r="M217"/>
      <c r="N217"/>
      <c r="O217"/>
      <c r="P217"/>
      <c r="Q217"/>
      <c r="R217"/>
      <c r="W217"/>
      <c r="X217"/>
      <c r="Y217"/>
      <c r="Z217"/>
      <c r="AA217"/>
      <c r="AB217"/>
      <c r="AC217"/>
      <c r="AD217"/>
      <c r="AE217" s="49"/>
      <c r="AF217" s="38" t="s">
        <v>792</v>
      </c>
      <c r="AG217" s="38" t="s">
        <v>35</v>
      </c>
      <c r="AH217" s="71">
        <v>5</v>
      </c>
      <c r="AI217" s="350">
        <v>5</v>
      </c>
      <c r="AJ217" s="152"/>
      <c r="AK217" s="152"/>
      <c r="AL217" s="350">
        <v>5</v>
      </c>
      <c r="AM217" s="350">
        <v>1</v>
      </c>
      <c r="AN217" s="349">
        <v>1</v>
      </c>
      <c r="AO217"/>
    </row>
    <row r="218" spans="1:41" ht="16.5">
      <c r="A218" s="49"/>
      <c r="B218" s="49"/>
      <c r="C218" s="38" t="s">
        <v>1805</v>
      </c>
      <c r="D218" s="38" t="s">
        <v>6</v>
      </c>
      <c r="E218" s="45">
        <v>41705</v>
      </c>
      <c r="F218" s="46">
        <v>41743</v>
      </c>
      <c r="G218" s="38">
        <v>1</v>
      </c>
      <c r="H218" s="47">
        <v>1</v>
      </c>
      <c r="I218" s="48">
        <v>1</v>
      </c>
      <c r="K218"/>
      <c r="L218"/>
      <c r="M218"/>
      <c r="N218"/>
      <c r="O218"/>
      <c r="P218"/>
      <c r="Q218"/>
      <c r="R218"/>
      <c r="W218"/>
      <c r="X218"/>
      <c r="Y218"/>
      <c r="Z218"/>
      <c r="AA218"/>
      <c r="AB218"/>
      <c r="AC218"/>
      <c r="AD218"/>
      <c r="AE218" s="49"/>
      <c r="AF218" s="49"/>
      <c r="AG218" s="65" t="s">
        <v>50</v>
      </c>
      <c r="AH218" s="72">
        <v>1</v>
      </c>
      <c r="AI218" s="353">
        <v>1</v>
      </c>
      <c r="AJ218" s="153"/>
      <c r="AK218" s="153"/>
      <c r="AL218" s="353">
        <v>1</v>
      </c>
      <c r="AM218" s="353">
        <v>1</v>
      </c>
      <c r="AN218" s="354">
        <v>1</v>
      </c>
      <c r="AO218"/>
    </row>
    <row r="219" spans="1:41" ht="16.5">
      <c r="A219" s="49"/>
      <c r="B219" s="49"/>
      <c r="C219" s="38" t="s">
        <v>1806</v>
      </c>
      <c r="D219" s="38" t="s">
        <v>6</v>
      </c>
      <c r="E219" s="45">
        <v>41705</v>
      </c>
      <c r="F219" s="46">
        <v>41743</v>
      </c>
      <c r="G219" s="38">
        <v>1</v>
      </c>
      <c r="H219" s="47">
        <v>1</v>
      </c>
      <c r="I219" s="48">
        <v>1</v>
      </c>
      <c r="K219"/>
      <c r="L219"/>
      <c r="M219"/>
      <c r="N219"/>
      <c r="O219"/>
      <c r="P219"/>
      <c r="Q219"/>
      <c r="R219"/>
      <c r="W219"/>
      <c r="X219"/>
      <c r="Y219"/>
      <c r="Z219"/>
      <c r="AA219"/>
      <c r="AB219"/>
      <c r="AC219"/>
      <c r="AD219"/>
      <c r="AE219" s="49"/>
      <c r="AF219" s="50" t="s">
        <v>880</v>
      </c>
      <c r="AG219" s="51"/>
      <c r="AH219" s="73">
        <v>6</v>
      </c>
      <c r="AI219" s="157">
        <v>6</v>
      </c>
      <c r="AJ219" s="152"/>
      <c r="AK219" s="152"/>
      <c r="AL219" s="157">
        <v>6</v>
      </c>
      <c r="AM219" s="157">
        <v>2</v>
      </c>
      <c r="AN219" s="158">
        <v>2</v>
      </c>
      <c r="AO219"/>
    </row>
    <row r="220" spans="1:41" ht="16.5">
      <c r="A220" s="49"/>
      <c r="B220" s="49"/>
      <c r="C220" s="38" t="s">
        <v>1808</v>
      </c>
      <c r="D220" s="38" t="s">
        <v>6</v>
      </c>
      <c r="E220" s="45">
        <v>41705</v>
      </c>
      <c r="F220" s="46">
        <v>41743</v>
      </c>
      <c r="G220" s="38">
        <v>1</v>
      </c>
      <c r="H220" s="47">
        <v>1</v>
      </c>
      <c r="I220" s="48">
        <v>1</v>
      </c>
      <c r="K220"/>
      <c r="L220"/>
      <c r="M220"/>
      <c r="N220"/>
      <c r="O220"/>
      <c r="P220"/>
      <c r="Q220"/>
      <c r="R220"/>
      <c r="W220"/>
      <c r="X220"/>
      <c r="Y220"/>
      <c r="Z220"/>
      <c r="AA220"/>
      <c r="AB220"/>
      <c r="AC220"/>
      <c r="AD220"/>
      <c r="AE220" s="49"/>
      <c r="AF220" s="38" t="s">
        <v>49</v>
      </c>
      <c r="AG220" s="38" t="s">
        <v>35</v>
      </c>
      <c r="AH220" s="71">
        <v>2</v>
      </c>
      <c r="AI220" s="350">
        <v>2</v>
      </c>
      <c r="AJ220" s="152"/>
      <c r="AK220" s="152"/>
      <c r="AL220" s="350">
        <v>2</v>
      </c>
      <c r="AM220" s="350">
        <v>2</v>
      </c>
      <c r="AN220" s="349">
        <v>2</v>
      </c>
      <c r="AO220"/>
    </row>
    <row r="221" spans="1:41" ht="16.5">
      <c r="A221" s="49"/>
      <c r="B221" s="49"/>
      <c r="C221" s="38" t="s">
        <v>1818</v>
      </c>
      <c r="D221" s="38" t="s">
        <v>6</v>
      </c>
      <c r="E221" s="45">
        <v>41705</v>
      </c>
      <c r="F221" s="46">
        <v>41745</v>
      </c>
      <c r="G221" s="38">
        <v>1</v>
      </c>
      <c r="H221" s="47">
        <v>1</v>
      </c>
      <c r="I221" s="48">
        <v>1</v>
      </c>
      <c r="K221"/>
      <c r="L221"/>
      <c r="M221"/>
      <c r="N221"/>
      <c r="O221"/>
      <c r="P221"/>
      <c r="Q221"/>
      <c r="R221"/>
      <c r="W221"/>
      <c r="X221"/>
      <c r="Y221"/>
      <c r="Z221"/>
      <c r="AA221"/>
      <c r="AB221"/>
      <c r="AC221"/>
      <c r="AD221"/>
      <c r="AE221" s="49"/>
      <c r="AF221" s="50" t="s">
        <v>1371</v>
      </c>
      <c r="AG221" s="51"/>
      <c r="AH221" s="73">
        <v>2</v>
      </c>
      <c r="AI221" s="157">
        <v>2</v>
      </c>
      <c r="AJ221" s="152"/>
      <c r="AK221" s="152"/>
      <c r="AL221" s="157">
        <v>2</v>
      </c>
      <c r="AM221" s="157">
        <v>2</v>
      </c>
      <c r="AN221" s="158">
        <v>2</v>
      </c>
      <c r="AO221"/>
    </row>
    <row r="222" spans="1:41" ht="16.5">
      <c r="A222" s="49"/>
      <c r="B222" s="49"/>
      <c r="C222" s="38" t="s">
        <v>1820</v>
      </c>
      <c r="D222" s="38" t="s">
        <v>6</v>
      </c>
      <c r="E222" s="45">
        <v>41705</v>
      </c>
      <c r="F222" s="46">
        <v>41750</v>
      </c>
      <c r="G222" s="38">
        <v>1</v>
      </c>
      <c r="H222" s="47">
        <v>1</v>
      </c>
      <c r="I222" s="48">
        <v>1</v>
      </c>
      <c r="K222"/>
      <c r="L222"/>
      <c r="M222"/>
      <c r="N222"/>
      <c r="O222"/>
      <c r="P222"/>
      <c r="Q222"/>
      <c r="R222"/>
      <c r="W222"/>
      <c r="X222"/>
      <c r="Y222"/>
      <c r="Z222"/>
      <c r="AA222"/>
      <c r="AB222"/>
      <c r="AC222"/>
      <c r="AD222"/>
      <c r="AE222" s="38" t="s">
        <v>1828</v>
      </c>
      <c r="AF222" s="38" t="s">
        <v>1830</v>
      </c>
      <c r="AG222" s="38" t="s">
        <v>249</v>
      </c>
      <c r="AH222" s="71">
        <v>2</v>
      </c>
      <c r="AI222" s="350">
        <v>4</v>
      </c>
      <c r="AJ222" s="152">
        <v>0</v>
      </c>
      <c r="AK222" s="152">
        <v>0</v>
      </c>
      <c r="AL222" s="350">
        <v>4</v>
      </c>
      <c r="AM222" s="350">
        <v>0</v>
      </c>
      <c r="AN222" s="349">
        <v>0</v>
      </c>
      <c r="AO222"/>
    </row>
    <row r="223" spans="1:41" ht="16.5">
      <c r="A223" s="49"/>
      <c r="B223" s="49"/>
      <c r="C223" s="38" t="s">
        <v>1822</v>
      </c>
      <c r="D223" s="38" t="s">
        <v>6</v>
      </c>
      <c r="E223" s="45">
        <v>41705</v>
      </c>
      <c r="F223" s="46">
        <v>41740</v>
      </c>
      <c r="G223" s="38">
        <v>1</v>
      </c>
      <c r="H223" s="47">
        <v>1</v>
      </c>
      <c r="I223" s="48">
        <v>1</v>
      </c>
      <c r="K223"/>
      <c r="L223"/>
      <c r="M223"/>
      <c r="N223"/>
      <c r="O223"/>
      <c r="P223"/>
      <c r="Q223"/>
      <c r="R223"/>
      <c r="W223"/>
      <c r="X223"/>
      <c r="Y223"/>
      <c r="Z223"/>
      <c r="AA223"/>
      <c r="AB223"/>
      <c r="AC223"/>
      <c r="AD223"/>
      <c r="AE223" s="49"/>
      <c r="AF223" s="50" t="s">
        <v>1912</v>
      </c>
      <c r="AG223" s="51"/>
      <c r="AH223" s="73">
        <v>2</v>
      </c>
      <c r="AI223" s="157">
        <v>4</v>
      </c>
      <c r="AJ223" s="152">
        <v>0</v>
      </c>
      <c r="AK223" s="152">
        <v>0</v>
      </c>
      <c r="AL223" s="157">
        <v>4</v>
      </c>
      <c r="AM223" s="157">
        <v>0</v>
      </c>
      <c r="AN223" s="158">
        <v>0</v>
      </c>
      <c r="AO223"/>
    </row>
    <row r="224" spans="1:41" ht="16.5">
      <c r="A224" s="49"/>
      <c r="B224" s="50" t="s">
        <v>1348</v>
      </c>
      <c r="C224" s="51"/>
      <c r="D224" s="51"/>
      <c r="E224" s="51"/>
      <c r="F224" s="51"/>
      <c r="G224" s="51"/>
      <c r="H224" s="52">
        <v>9</v>
      </c>
      <c r="I224" s="53">
        <v>9</v>
      </c>
      <c r="K224"/>
      <c r="L224"/>
      <c r="M224"/>
      <c r="N224"/>
      <c r="O224"/>
      <c r="P224"/>
      <c r="Q224"/>
      <c r="R224"/>
      <c r="W224"/>
      <c r="X224"/>
      <c r="Y224"/>
      <c r="Z224"/>
      <c r="AA224"/>
      <c r="AB224"/>
      <c r="AC224"/>
      <c r="AD224"/>
      <c r="AE224" s="49"/>
      <c r="AF224" s="38" t="s">
        <v>2113</v>
      </c>
      <c r="AG224" s="38" t="s">
        <v>249</v>
      </c>
      <c r="AH224" s="71">
        <v>2</v>
      </c>
      <c r="AI224" s="350">
        <v>4</v>
      </c>
      <c r="AJ224" s="152"/>
      <c r="AK224" s="152"/>
      <c r="AL224" s="350">
        <v>4</v>
      </c>
      <c r="AM224" s="350">
        <v>0</v>
      </c>
      <c r="AN224" s="349">
        <v>0</v>
      </c>
      <c r="AO224"/>
    </row>
    <row r="225" spans="1:41" ht="16.5">
      <c r="A225" s="49"/>
      <c r="B225" s="38" t="s">
        <v>50</v>
      </c>
      <c r="C225" s="38" t="s">
        <v>2131</v>
      </c>
      <c r="D225" s="38" t="s">
        <v>792</v>
      </c>
      <c r="E225" s="45">
        <v>41745</v>
      </c>
      <c r="F225" s="46">
        <v>41779</v>
      </c>
      <c r="G225" s="38">
        <v>0</v>
      </c>
      <c r="H225" s="47">
        <v>1</v>
      </c>
      <c r="I225" s="48">
        <v>0</v>
      </c>
      <c r="K225"/>
      <c r="L225"/>
      <c r="M225"/>
      <c r="N225"/>
      <c r="O225"/>
      <c r="P225"/>
      <c r="Q225"/>
      <c r="R225"/>
      <c r="W225"/>
      <c r="X225"/>
      <c r="Y225"/>
      <c r="Z225"/>
      <c r="AA225"/>
      <c r="AB225"/>
      <c r="AC225"/>
      <c r="AD225"/>
      <c r="AE225" s="49"/>
      <c r="AF225" s="50" t="s">
        <v>2157</v>
      </c>
      <c r="AG225" s="51"/>
      <c r="AH225" s="73">
        <v>2</v>
      </c>
      <c r="AI225" s="157">
        <v>4</v>
      </c>
      <c r="AJ225" s="152"/>
      <c r="AK225" s="152"/>
      <c r="AL225" s="157">
        <v>4</v>
      </c>
      <c r="AM225" s="157">
        <v>0</v>
      </c>
      <c r="AN225" s="158">
        <v>0</v>
      </c>
      <c r="AO225"/>
    </row>
    <row r="226" spans="1:41" ht="16.5">
      <c r="A226" s="49"/>
      <c r="B226" s="49"/>
      <c r="C226" s="38" t="s">
        <v>2132</v>
      </c>
      <c r="D226" s="38" t="s">
        <v>792</v>
      </c>
      <c r="E226" s="45">
        <v>41745</v>
      </c>
      <c r="F226" s="46">
        <v>41779</v>
      </c>
      <c r="G226" s="38">
        <v>0</v>
      </c>
      <c r="H226" s="47">
        <v>1</v>
      </c>
      <c r="I226" s="48">
        <v>0</v>
      </c>
      <c r="K226"/>
      <c r="L226"/>
      <c r="M226"/>
      <c r="N226"/>
      <c r="O226"/>
      <c r="P226"/>
      <c r="Q226"/>
      <c r="R226"/>
      <c r="W226"/>
      <c r="X226"/>
      <c r="Y226"/>
      <c r="Z226"/>
      <c r="AA226"/>
      <c r="AB226"/>
      <c r="AC226"/>
      <c r="AD226"/>
      <c r="AE226" s="38" t="s">
        <v>1893</v>
      </c>
      <c r="AF226" s="38" t="s">
        <v>1401</v>
      </c>
      <c r="AG226" s="38" t="s">
        <v>25</v>
      </c>
      <c r="AH226" s="71">
        <v>1</v>
      </c>
      <c r="AI226" s="350">
        <v>1</v>
      </c>
      <c r="AJ226" s="152"/>
      <c r="AK226" s="152"/>
      <c r="AL226" s="350">
        <v>1</v>
      </c>
      <c r="AM226" s="350">
        <v>0</v>
      </c>
      <c r="AN226" s="349">
        <v>0</v>
      </c>
      <c r="AO226"/>
    </row>
    <row r="227" spans="1:41" ht="16.5">
      <c r="A227" s="49"/>
      <c r="B227" s="49"/>
      <c r="C227" s="38" t="s">
        <v>2133</v>
      </c>
      <c r="D227" s="38" t="s">
        <v>792</v>
      </c>
      <c r="E227" s="45">
        <v>41745</v>
      </c>
      <c r="F227" s="46">
        <v>41779</v>
      </c>
      <c r="G227" s="38">
        <v>0</v>
      </c>
      <c r="H227" s="47">
        <v>1</v>
      </c>
      <c r="I227" s="48">
        <v>0</v>
      </c>
      <c r="K227"/>
      <c r="L227"/>
      <c r="M227"/>
      <c r="N227"/>
      <c r="O227"/>
      <c r="P227"/>
      <c r="Q227"/>
      <c r="R227"/>
      <c r="W227"/>
      <c r="X227"/>
      <c r="Y227"/>
      <c r="Z227"/>
      <c r="AA227"/>
      <c r="AB227"/>
      <c r="AC227"/>
      <c r="AD227"/>
      <c r="AE227" s="49"/>
      <c r="AF227" s="49"/>
      <c r="AG227" s="65" t="s">
        <v>26</v>
      </c>
      <c r="AH227" s="72">
        <v>2</v>
      </c>
      <c r="AI227" s="353">
        <v>2</v>
      </c>
      <c r="AJ227" s="153"/>
      <c r="AK227" s="153"/>
      <c r="AL227" s="353">
        <v>2</v>
      </c>
      <c r="AM227" s="353">
        <v>0</v>
      </c>
      <c r="AN227" s="354">
        <v>0</v>
      </c>
      <c r="AO227"/>
    </row>
    <row r="228" spans="1:41" ht="16.5">
      <c r="A228" s="49"/>
      <c r="B228" s="50" t="s">
        <v>855</v>
      </c>
      <c r="C228" s="51"/>
      <c r="D228" s="51"/>
      <c r="E228" s="51"/>
      <c r="F228" s="51"/>
      <c r="G228" s="51"/>
      <c r="H228" s="52">
        <v>3</v>
      </c>
      <c r="I228" s="53">
        <v>0</v>
      </c>
      <c r="K228"/>
      <c r="L228"/>
      <c r="M228"/>
      <c r="N228"/>
      <c r="O228"/>
      <c r="P228"/>
      <c r="Q228"/>
      <c r="R228"/>
      <c r="W228"/>
      <c r="X228"/>
      <c r="Y228"/>
      <c r="Z228"/>
      <c r="AA228"/>
      <c r="AB228"/>
      <c r="AC228"/>
      <c r="AD228"/>
      <c r="AE228" s="49"/>
      <c r="AF228" s="49"/>
      <c r="AG228" s="65" t="s">
        <v>24</v>
      </c>
      <c r="AH228" s="72">
        <v>1</v>
      </c>
      <c r="AI228" s="353">
        <v>1</v>
      </c>
      <c r="AJ228" s="153"/>
      <c r="AK228" s="153"/>
      <c r="AL228" s="353">
        <v>1</v>
      </c>
      <c r="AM228" s="353">
        <v>0</v>
      </c>
      <c r="AN228" s="354">
        <v>0</v>
      </c>
      <c r="AO228"/>
    </row>
    <row r="229" spans="1:41" ht="16.5">
      <c r="A229" s="49"/>
      <c r="B229" s="38" t="s">
        <v>56</v>
      </c>
      <c r="C229" s="38" t="s">
        <v>1795</v>
      </c>
      <c r="D229" s="38" t="s">
        <v>6</v>
      </c>
      <c r="E229" s="45">
        <v>41705</v>
      </c>
      <c r="F229" s="46">
        <v>41737</v>
      </c>
      <c r="G229" s="38">
        <v>1</v>
      </c>
      <c r="H229" s="47">
        <v>1</v>
      </c>
      <c r="I229" s="48">
        <v>1</v>
      </c>
      <c r="K229"/>
      <c r="L229"/>
      <c r="M229"/>
      <c r="N229"/>
      <c r="O229"/>
      <c r="P229"/>
      <c r="Q229"/>
      <c r="R229"/>
      <c r="W229"/>
      <c r="X229"/>
      <c r="Y229"/>
      <c r="Z229"/>
      <c r="AA229"/>
      <c r="AB229"/>
      <c r="AC229"/>
      <c r="AD229"/>
      <c r="AE229" s="49"/>
      <c r="AF229" s="49"/>
      <c r="AG229" s="65" t="s">
        <v>27</v>
      </c>
      <c r="AH229" s="72">
        <v>1</v>
      </c>
      <c r="AI229" s="353">
        <v>1</v>
      </c>
      <c r="AJ229" s="153"/>
      <c r="AK229" s="153"/>
      <c r="AL229" s="353">
        <v>1</v>
      </c>
      <c r="AM229" s="353">
        <v>0</v>
      </c>
      <c r="AN229" s="354">
        <v>0</v>
      </c>
      <c r="AO229"/>
    </row>
    <row r="230" spans="1:41" ht="16.5">
      <c r="A230" s="49"/>
      <c r="B230" s="49"/>
      <c r="C230" s="38" t="s">
        <v>1797</v>
      </c>
      <c r="D230" s="38" t="s">
        <v>6</v>
      </c>
      <c r="E230" s="45">
        <v>41705</v>
      </c>
      <c r="F230" s="46">
        <v>41745</v>
      </c>
      <c r="G230" s="38">
        <v>1</v>
      </c>
      <c r="H230" s="47">
        <v>1</v>
      </c>
      <c r="I230" s="48">
        <v>1</v>
      </c>
      <c r="K230"/>
      <c r="L230"/>
      <c r="M230"/>
      <c r="N230"/>
      <c r="O230"/>
      <c r="P230"/>
      <c r="Q230"/>
      <c r="R230"/>
      <c r="W230"/>
      <c r="X230"/>
      <c r="Y230"/>
      <c r="Z230"/>
      <c r="AA230"/>
      <c r="AB230"/>
      <c r="AC230"/>
      <c r="AD230"/>
      <c r="AE230" s="49"/>
      <c r="AF230" s="50" t="s">
        <v>1458</v>
      </c>
      <c r="AG230" s="51"/>
      <c r="AH230" s="73">
        <v>5</v>
      </c>
      <c r="AI230" s="157">
        <v>5</v>
      </c>
      <c r="AJ230" s="152"/>
      <c r="AK230" s="152"/>
      <c r="AL230" s="157">
        <v>5</v>
      </c>
      <c r="AM230" s="157">
        <v>0</v>
      </c>
      <c r="AN230" s="158">
        <v>0</v>
      </c>
      <c r="AO230"/>
    </row>
    <row r="231" spans="1:41" ht="16.5">
      <c r="A231" s="49"/>
      <c r="B231" s="49"/>
      <c r="C231" s="38" t="s">
        <v>1798</v>
      </c>
      <c r="D231" s="38" t="s">
        <v>6</v>
      </c>
      <c r="E231" s="45">
        <v>41705</v>
      </c>
      <c r="F231" s="46">
        <v>41740</v>
      </c>
      <c r="G231" s="38">
        <v>1</v>
      </c>
      <c r="H231" s="47">
        <v>1</v>
      </c>
      <c r="I231" s="48">
        <v>1</v>
      </c>
      <c r="K231"/>
      <c r="L231"/>
      <c r="M231"/>
      <c r="N231"/>
      <c r="O231"/>
      <c r="P231"/>
      <c r="Q231"/>
      <c r="R231"/>
      <c r="W231"/>
      <c r="X231"/>
      <c r="Y231"/>
      <c r="Z231"/>
      <c r="AA231"/>
      <c r="AB231"/>
      <c r="AC231"/>
      <c r="AD231"/>
      <c r="AE231" s="49"/>
      <c r="AF231" s="38" t="s">
        <v>1409</v>
      </c>
      <c r="AG231" s="38" t="s">
        <v>25</v>
      </c>
      <c r="AH231" s="71">
        <v>1</v>
      </c>
      <c r="AI231" s="350">
        <v>1</v>
      </c>
      <c r="AJ231" s="152"/>
      <c r="AK231" s="152"/>
      <c r="AL231" s="350">
        <v>1</v>
      </c>
      <c r="AM231" s="350">
        <v>0</v>
      </c>
      <c r="AN231" s="349">
        <v>0</v>
      </c>
      <c r="AO231"/>
    </row>
    <row r="232" spans="1:41" ht="16.5">
      <c r="A232" s="49"/>
      <c r="B232" s="49"/>
      <c r="C232" s="38" t="s">
        <v>1799</v>
      </c>
      <c r="D232" s="38" t="s">
        <v>6</v>
      </c>
      <c r="E232" s="45">
        <v>41705</v>
      </c>
      <c r="F232" s="46">
        <v>41740</v>
      </c>
      <c r="G232" s="38">
        <v>1</v>
      </c>
      <c r="H232" s="47">
        <v>1</v>
      </c>
      <c r="I232" s="48">
        <v>1</v>
      </c>
      <c r="K232"/>
      <c r="L232"/>
      <c r="M232"/>
      <c r="N232"/>
      <c r="O232"/>
      <c r="P232"/>
      <c r="Q232"/>
      <c r="R232"/>
      <c r="W232"/>
      <c r="X232"/>
      <c r="Y232"/>
      <c r="Z232"/>
      <c r="AA232"/>
      <c r="AB232"/>
      <c r="AC232"/>
      <c r="AD232"/>
      <c r="AE232" s="49"/>
      <c r="AF232" s="49"/>
      <c r="AG232" s="65" t="s">
        <v>24</v>
      </c>
      <c r="AH232" s="72">
        <v>1</v>
      </c>
      <c r="AI232" s="353">
        <v>1</v>
      </c>
      <c r="AJ232" s="153"/>
      <c r="AK232" s="153"/>
      <c r="AL232" s="353">
        <v>1</v>
      </c>
      <c r="AM232" s="353">
        <v>0</v>
      </c>
      <c r="AN232" s="354">
        <v>0</v>
      </c>
      <c r="AO232"/>
    </row>
    <row r="233" spans="1:41" ht="16.5">
      <c r="A233" s="49"/>
      <c r="B233" s="50" t="s">
        <v>1080</v>
      </c>
      <c r="C233" s="51"/>
      <c r="D233" s="51"/>
      <c r="E233" s="51"/>
      <c r="F233" s="51"/>
      <c r="G233" s="51"/>
      <c r="H233" s="52">
        <v>4</v>
      </c>
      <c r="I233" s="53">
        <v>4</v>
      </c>
      <c r="K233"/>
      <c r="L233"/>
      <c r="M233"/>
      <c r="N233"/>
      <c r="O233"/>
      <c r="P233"/>
      <c r="Q233"/>
      <c r="R233"/>
      <c r="W233"/>
      <c r="X233"/>
      <c r="Y233"/>
      <c r="Z233"/>
      <c r="AA233"/>
      <c r="AB233"/>
      <c r="AC233"/>
      <c r="AD233"/>
      <c r="AE233" s="49"/>
      <c r="AF233" s="49"/>
      <c r="AG233" s="65" t="s">
        <v>27</v>
      </c>
      <c r="AH233" s="72">
        <v>1</v>
      </c>
      <c r="AI233" s="353">
        <v>1</v>
      </c>
      <c r="AJ233" s="153"/>
      <c r="AK233" s="153"/>
      <c r="AL233" s="353">
        <v>1</v>
      </c>
      <c r="AM233" s="353">
        <v>0</v>
      </c>
      <c r="AN233" s="354">
        <v>0</v>
      </c>
      <c r="AO233"/>
    </row>
    <row r="234" spans="1:41" ht="16.5">
      <c r="A234" s="49"/>
      <c r="B234" s="38" t="s">
        <v>60</v>
      </c>
      <c r="C234" s="38" t="s">
        <v>2134</v>
      </c>
      <c r="D234" s="38" t="s">
        <v>6</v>
      </c>
      <c r="E234" s="45">
        <v>41746</v>
      </c>
      <c r="F234" s="46">
        <v>41771</v>
      </c>
      <c r="G234" s="38">
        <v>1</v>
      </c>
      <c r="H234" s="47">
        <v>1</v>
      </c>
      <c r="I234" s="48">
        <v>1</v>
      </c>
      <c r="K234"/>
      <c r="L234"/>
      <c r="M234"/>
      <c r="N234"/>
      <c r="O234"/>
      <c r="P234"/>
      <c r="Q234"/>
      <c r="R234"/>
      <c r="W234"/>
      <c r="X234"/>
      <c r="Y234"/>
      <c r="Z234"/>
      <c r="AA234"/>
      <c r="AB234"/>
      <c r="AC234"/>
      <c r="AD234"/>
      <c r="AE234" s="49"/>
      <c r="AF234" s="50" t="s">
        <v>1459</v>
      </c>
      <c r="AG234" s="51"/>
      <c r="AH234" s="73">
        <v>3</v>
      </c>
      <c r="AI234" s="157">
        <v>3</v>
      </c>
      <c r="AJ234" s="152"/>
      <c r="AK234" s="152"/>
      <c r="AL234" s="157">
        <v>3</v>
      </c>
      <c r="AM234" s="157">
        <v>0</v>
      </c>
      <c r="AN234" s="158">
        <v>0</v>
      </c>
      <c r="AO234"/>
    </row>
    <row r="235" spans="1:41" ht="16.5">
      <c r="A235" s="49"/>
      <c r="B235" s="49"/>
      <c r="C235" s="38" t="s">
        <v>2136</v>
      </c>
      <c r="D235" s="38" t="s">
        <v>6</v>
      </c>
      <c r="E235" s="45">
        <v>41746</v>
      </c>
      <c r="F235" s="46">
        <v>41771</v>
      </c>
      <c r="G235" s="38">
        <v>1</v>
      </c>
      <c r="H235" s="47">
        <v>1</v>
      </c>
      <c r="I235" s="48">
        <v>1</v>
      </c>
      <c r="K235"/>
      <c r="L235"/>
      <c r="M235"/>
      <c r="N235"/>
      <c r="O235"/>
      <c r="P235"/>
      <c r="Q235"/>
      <c r="R235"/>
      <c r="W235"/>
      <c r="X235"/>
      <c r="Y235"/>
      <c r="Z235"/>
      <c r="AA235"/>
      <c r="AB235"/>
      <c r="AC235"/>
      <c r="AD235"/>
      <c r="AE235" s="38" t="s">
        <v>787</v>
      </c>
      <c r="AF235" s="38" t="s">
        <v>6</v>
      </c>
      <c r="AG235" s="38" t="s">
        <v>55</v>
      </c>
      <c r="AH235" s="71">
        <v>1</v>
      </c>
      <c r="AI235" s="350">
        <v>1</v>
      </c>
      <c r="AJ235" s="152">
        <v>1</v>
      </c>
      <c r="AK235" s="152">
        <v>1</v>
      </c>
      <c r="AL235" s="350">
        <v>1</v>
      </c>
      <c r="AM235" s="350">
        <v>0</v>
      </c>
      <c r="AN235" s="349">
        <v>0</v>
      </c>
      <c r="AO235"/>
    </row>
    <row r="236" spans="1:41" ht="16.5">
      <c r="A236" s="49"/>
      <c r="B236" s="50" t="s">
        <v>856</v>
      </c>
      <c r="C236" s="51"/>
      <c r="D236" s="51"/>
      <c r="E236" s="51"/>
      <c r="F236" s="51"/>
      <c r="G236" s="51"/>
      <c r="H236" s="52">
        <v>2</v>
      </c>
      <c r="I236" s="53">
        <v>2</v>
      </c>
      <c r="K236"/>
      <c r="L236"/>
      <c r="M236"/>
      <c r="N236"/>
      <c r="O236"/>
      <c r="P236"/>
      <c r="Q236"/>
      <c r="R236"/>
      <c r="W236"/>
      <c r="X236"/>
      <c r="Y236"/>
      <c r="Z236"/>
      <c r="AA236"/>
      <c r="AB236"/>
      <c r="AC236"/>
      <c r="AD236"/>
      <c r="AE236" s="49"/>
      <c r="AF236" s="49"/>
      <c r="AG236" s="65" t="s">
        <v>379</v>
      </c>
      <c r="AH236" s="72">
        <v>3</v>
      </c>
      <c r="AI236" s="353">
        <v>3</v>
      </c>
      <c r="AJ236" s="153"/>
      <c r="AK236" s="153"/>
      <c r="AL236" s="353">
        <v>3</v>
      </c>
      <c r="AM236" s="353">
        <v>3</v>
      </c>
      <c r="AN236" s="354">
        <v>3</v>
      </c>
      <c r="AO236"/>
    </row>
    <row r="237" spans="1:41" ht="16.5">
      <c r="A237" s="49"/>
      <c r="B237" s="38" t="s">
        <v>2116</v>
      </c>
      <c r="C237" s="38" t="s">
        <v>2117</v>
      </c>
      <c r="D237" s="38" t="s">
        <v>48</v>
      </c>
      <c r="E237" s="45">
        <v>41740</v>
      </c>
      <c r="F237" s="46">
        <v>41769</v>
      </c>
      <c r="G237" s="38">
        <v>0</v>
      </c>
      <c r="H237" s="47">
        <v>1</v>
      </c>
      <c r="I237" s="48">
        <v>0</v>
      </c>
      <c r="K237"/>
      <c r="L237"/>
      <c r="M237"/>
      <c r="N237"/>
      <c r="O237"/>
      <c r="P237"/>
      <c r="Q237"/>
      <c r="R237"/>
      <c r="W237"/>
      <c r="X237"/>
      <c r="Y237"/>
      <c r="Z237"/>
      <c r="AA237"/>
      <c r="AB237"/>
      <c r="AC237"/>
      <c r="AD237"/>
      <c r="AE237" s="49"/>
      <c r="AF237" s="50" t="s">
        <v>879</v>
      </c>
      <c r="AG237" s="51"/>
      <c r="AH237" s="73">
        <v>4</v>
      </c>
      <c r="AI237" s="157">
        <v>4</v>
      </c>
      <c r="AJ237" s="152">
        <v>1</v>
      </c>
      <c r="AK237" s="152">
        <v>1</v>
      </c>
      <c r="AL237" s="157">
        <v>4</v>
      </c>
      <c r="AM237" s="157">
        <v>3</v>
      </c>
      <c r="AN237" s="158">
        <v>3</v>
      </c>
      <c r="AO237"/>
    </row>
    <row r="238" spans="1:41" ht="16.5">
      <c r="A238" s="49"/>
      <c r="B238" s="49"/>
      <c r="C238" s="38" t="s">
        <v>2119</v>
      </c>
      <c r="D238" s="38" t="s">
        <v>48</v>
      </c>
      <c r="E238" s="45">
        <v>41740</v>
      </c>
      <c r="F238" s="46">
        <v>41769</v>
      </c>
      <c r="G238" s="38">
        <v>0</v>
      </c>
      <c r="H238" s="47">
        <v>1</v>
      </c>
      <c r="I238" s="48">
        <v>0</v>
      </c>
      <c r="K238"/>
      <c r="L238"/>
      <c r="M238"/>
      <c r="N238"/>
      <c r="O238"/>
      <c r="P238"/>
      <c r="Q238"/>
      <c r="R238"/>
      <c r="W238"/>
      <c r="X238"/>
      <c r="Y238"/>
      <c r="Z238"/>
      <c r="AA238"/>
      <c r="AB238"/>
      <c r="AC238"/>
      <c r="AD238"/>
      <c r="AE238" s="49"/>
      <c r="AF238" s="38" t="s">
        <v>1415</v>
      </c>
      <c r="AG238" s="38" t="s">
        <v>379</v>
      </c>
      <c r="AH238" s="71">
        <v>1</v>
      </c>
      <c r="AI238" s="350">
        <v>1</v>
      </c>
      <c r="AJ238" s="152"/>
      <c r="AK238" s="152"/>
      <c r="AL238" s="350">
        <v>1</v>
      </c>
      <c r="AM238" s="350">
        <v>1</v>
      </c>
      <c r="AN238" s="349">
        <v>1</v>
      </c>
      <c r="AO238"/>
    </row>
    <row r="239" spans="1:41" ht="16.5">
      <c r="A239" s="49"/>
      <c r="B239" s="49"/>
      <c r="C239" s="38" t="s">
        <v>2120</v>
      </c>
      <c r="D239" s="38" t="s">
        <v>44</v>
      </c>
      <c r="E239" s="45">
        <v>41740</v>
      </c>
      <c r="F239" s="46">
        <v>41758</v>
      </c>
      <c r="G239" s="38">
        <v>1</v>
      </c>
      <c r="H239" s="47">
        <v>1</v>
      </c>
      <c r="I239" s="48">
        <v>1</v>
      </c>
      <c r="K239"/>
      <c r="L239"/>
      <c r="M239"/>
      <c r="N239"/>
      <c r="O239"/>
      <c r="P239"/>
      <c r="Q239"/>
      <c r="R239"/>
      <c r="W239"/>
      <c r="X239"/>
      <c r="Y239"/>
      <c r="Z239"/>
      <c r="AA239"/>
      <c r="AB239"/>
      <c r="AC239"/>
      <c r="AD239"/>
      <c r="AE239" s="49"/>
      <c r="AF239" s="50" t="s">
        <v>1460</v>
      </c>
      <c r="AG239" s="51"/>
      <c r="AH239" s="73">
        <v>1</v>
      </c>
      <c r="AI239" s="157">
        <v>1</v>
      </c>
      <c r="AJ239" s="152"/>
      <c r="AK239" s="152"/>
      <c r="AL239" s="157">
        <v>1</v>
      </c>
      <c r="AM239" s="157">
        <v>1</v>
      </c>
      <c r="AN239" s="158">
        <v>1</v>
      </c>
      <c r="AO239"/>
    </row>
    <row r="240" spans="1:41" ht="16.5">
      <c r="A240" s="49"/>
      <c r="B240" s="49"/>
      <c r="C240" s="38" t="s">
        <v>2121</v>
      </c>
      <c r="D240" s="38" t="s">
        <v>44</v>
      </c>
      <c r="E240" s="45">
        <v>41740</v>
      </c>
      <c r="F240" s="46">
        <v>41758</v>
      </c>
      <c r="G240" s="38">
        <v>1</v>
      </c>
      <c r="H240" s="47">
        <v>1</v>
      </c>
      <c r="I240" s="48">
        <v>1</v>
      </c>
      <c r="K240"/>
      <c r="L240"/>
      <c r="M240"/>
      <c r="N240"/>
      <c r="O240"/>
      <c r="P240"/>
      <c r="Q240"/>
      <c r="R240"/>
      <c r="W240"/>
      <c r="X240"/>
      <c r="Y240"/>
      <c r="Z240"/>
      <c r="AA240"/>
      <c r="AB240"/>
      <c r="AC240"/>
      <c r="AD240"/>
      <c r="AE240" s="38" t="s">
        <v>2089</v>
      </c>
      <c r="AF240" s="38" t="s">
        <v>792</v>
      </c>
      <c r="AG240" s="38" t="s">
        <v>1946</v>
      </c>
      <c r="AH240" s="71">
        <v>14</v>
      </c>
      <c r="AI240" s="350">
        <v>14</v>
      </c>
      <c r="AJ240" s="152"/>
      <c r="AK240" s="152"/>
      <c r="AL240" s="350">
        <v>14</v>
      </c>
      <c r="AM240" s="350">
        <v>14</v>
      </c>
      <c r="AN240" s="349">
        <v>14</v>
      </c>
      <c r="AO240"/>
    </row>
    <row r="241" spans="1:41" ht="16.5">
      <c r="A241" s="49"/>
      <c r="B241" s="49"/>
      <c r="C241" s="38" t="s">
        <v>2122</v>
      </c>
      <c r="D241" s="38" t="s">
        <v>44</v>
      </c>
      <c r="E241" s="45">
        <v>41740</v>
      </c>
      <c r="F241" s="46">
        <v>41758</v>
      </c>
      <c r="G241" s="38">
        <v>1</v>
      </c>
      <c r="H241" s="47">
        <v>1</v>
      </c>
      <c r="I241" s="48">
        <v>1</v>
      </c>
      <c r="K241"/>
      <c r="L241"/>
      <c r="M241"/>
      <c r="N241"/>
      <c r="O241"/>
      <c r="P241"/>
      <c r="Q241"/>
      <c r="R241"/>
      <c r="W241"/>
      <c r="X241"/>
      <c r="Y241"/>
      <c r="Z241"/>
      <c r="AA241"/>
      <c r="AB241"/>
      <c r="AC241"/>
      <c r="AD241"/>
      <c r="AE241" s="49"/>
      <c r="AF241" s="50" t="s">
        <v>880</v>
      </c>
      <c r="AG241" s="51"/>
      <c r="AH241" s="73">
        <v>14</v>
      </c>
      <c r="AI241" s="157">
        <v>14</v>
      </c>
      <c r="AJ241" s="152"/>
      <c r="AK241" s="152"/>
      <c r="AL241" s="157">
        <v>14</v>
      </c>
      <c r="AM241" s="157">
        <v>14</v>
      </c>
      <c r="AN241" s="158">
        <v>14</v>
      </c>
      <c r="AO241"/>
    </row>
    <row r="242" spans="1:41" ht="16.5">
      <c r="A242" s="49"/>
      <c r="B242" s="49"/>
      <c r="C242" s="38" t="s">
        <v>2123</v>
      </c>
      <c r="D242" s="38" t="s">
        <v>44</v>
      </c>
      <c r="E242" s="45">
        <v>41740</v>
      </c>
      <c r="F242" s="46">
        <v>41758</v>
      </c>
      <c r="G242" s="38">
        <v>1</v>
      </c>
      <c r="H242" s="47">
        <v>1</v>
      </c>
      <c r="I242" s="48">
        <v>1</v>
      </c>
      <c r="K242"/>
      <c r="L242"/>
      <c r="M242"/>
      <c r="N242"/>
      <c r="O242"/>
      <c r="P242"/>
      <c r="Q242"/>
      <c r="R242"/>
      <c r="W242"/>
      <c r="X242"/>
      <c r="Y242"/>
      <c r="Z242"/>
      <c r="AA242"/>
      <c r="AB242"/>
      <c r="AC242"/>
      <c r="AD242"/>
      <c r="AE242" s="38" t="s">
        <v>2196</v>
      </c>
      <c r="AF242" s="38" t="s">
        <v>1837</v>
      </c>
      <c r="AG242" s="38" t="s">
        <v>31</v>
      </c>
      <c r="AH242" s="71">
        <v>9</v>
      </c>
      <c r="AI242" s="350">
        <v>9</v>
      </c>
      <c r="AJ242" s="152"/>
      <c r="AK242" s="152"/>
      <c r="AL242" s="350">
        <v>9</v>
      </c>
      <c r="AM242" s="350">
        <v>9</v>
      </c>
      <c r="AN242" s="349">
        <v>9</v>
      </c>
      <c r="AO242"/>
    </row>
    <row r="243" spans="1:41" ht="16.5">
      <c r="A243" s="49"/>
      <c r="B243" s="49"/>
      <c r="C243" s="38" t="s">
        <v>2124</v>
      </c>
      <c r="D243" s="38" t="s">
        <v>44</v>
      </c>
      <c r="E243" s="45">
        <v>41740</v>
      </c>
      <c r="F243" s="46">
        <v>41758</v>
      </c>
      <c r="G243" s="38">
        <v>1</v>
      </c>
      <c r="H243" s="47">
        <v>1</v>
      </c>
      <c r="I243" s="48">
        <v>1</v>
      </c>
      <c r="K243"/>
      <c r="L243"/>
      <c r="M243"/>
      <c r="N243"/>
      <c r="O243"/>
      <c r="P243"/>
      <c r="Q243"/>
      <c r="R243"/>
      <c r="W243"/>
      <c r="X243"/>
      <c r="Y243"/>
      <c r="Z243"/>
      <c r="AA243"/>
      <c r="AB243"/>
      <c r="AC243"/>
      <c r="AD243"/>
      <c r="AE243" s="49"/>
      <c r="AF243" s="50" t="s">
        <v>1913</v>
      </c>
      <c r="AG243" s="51"/>
      <c r="AH243" s="73">
        <v>9</v>
      </c>
      <c r="AI243" s="157">
        <v>9</v>
      </c>
      <c r="AJ243" s="152"/>
      <c r="AK243" s="152"/>
      <c r="AL243" s="157">
        <v>9</v>
      </c>
      <c r="AM243" s="157">
        <v>9</v>
      </c>
      <c r="AN243" s="158">
        <v>9</v>
      </c>
      <c r="AO243"/>
    </row>
    <row r="244" spans="1:41" ht="16.5">
      <c r="A244" s="49"/>
      <c r="B244" s="49"/>
      <c r="C244" s="38" t="s">
        <v>2125</v>
      </c>
      <c r="D244" s="38" t="s">
        <v>44</v>
      </c>
      <c r="E244" s="45">
        <v>41745</v>
      </c>
      <c r="F244" s="46">
        <v>41758</v>
      </c>
      <c r="G244" s="38">
        <v>1</v>
      </c>
      <c r="H244" s="47">
        <v>1</v>
      </c>
      <c r="I244" s="48">
        <v>1</v>
      </c>
      <c r="K244"/>
      <c r="L244"/>
      <c r="M244"/>
      <c r="N244"/>
      <c r="O244"/>
      <c r="P244"/>
      <c r="Q244"/>
      <c r="R244"/>
      <c r="W244"/>
      <c r="X244"/>
      <c r="Y244"/>
      <c r="Z244"/>
      <c r="AA244"/>
      <c r="AB244"/>
      <c r="AC244"/>
      <c r="AD244"/>
      <c r="AE244" s="38" t="s">
        <v>2232</v>
      </c>
      <c r="AF244" s="38" t="s">
        <v>1837</v>
      </c>
      <c r="AG244" s="38" t="s">
        <v>31</v>
      </c>
      <c r="AH244" s="71">
        <v>4</v>
      </c>
      <c r="AI244" s="350">
        <v>4</v>
      </c>
      <c r="AJ244" s="152"/>
      <c r="AK244" s="152"/>
      <c r="AL244" s="350">
        <v>4</v>
      </c>
      <c r="AM244" s="350">
        <v>4</v>
      </c>
      <c r="AN244" s="349">
        <v>4</v>
      </c>
      <c r="AO244"/>
    </row>
    <row r="245" spans="1:41" ht="16.5">
      <c r="A245" s="49"/>
      <c r="B245" s="49"/>
      <c r="C245" s="38" t="s">
        <v>2127</v>
      </c>
      <c r="D245" s="38" t="s">
        <v>44</v>
      </c>
      <c r="E245" s="45">
        <v>41745</v>
      </c>
      <c r="F245" s="46">
        <v>41758</v>
      </c>
      <c r="G245" s="38">
        <v>1</v>
      </c>
      <c r="H245" s="47">
        <v>1</v>
      </c>
      <c r="I245" s="48">
        <v>1</v>
      </c>
      <c r="K245"/>
      <c r="L245"/>
      <c r="M245"/>
      <c r="N245"/>
      <c r="O245"/>
      <c r="P245"/>
      <c r="Q245"/>
      <c r="R245"/>
      <c r="W245"/>
      <c r="X245"/>
      <c r="Y245"/>
      <c r="Z245"/>
      <c r="AA245"/>
      <c r="AB245"/>
      <c r="AC245"/>
      <c r="AD245"/>
      <c r="AE245" s="49"/>
      <c r="AF245" s="50" t="s">
        <v>1913</v>
      </c>
      <c r="AG245" s="51"/>
      <c r="AH245" s="73">
        <v>4</v>
      </c>
      <c r="AI245" s="157">
        <v>4</v>
      </c>
      <c r="AJ245" s="152"/>
      <c r="AK245" s="152"/>
      <c r="AL245" s="157">
        <v>4</v>
      </c>
      <c r="AM245" s="157">
        <v>4</v>
      </c>
      <c r="AN245" s="158">
        <v>4</v>
      </c>
      <c r="AO245"/>
    </row>
    <row r="246" spans="1:41" ht="16.5">
      <c r="A246" s="49"/>
      <c r="B246" s="49"/>
      <c r="C246" s="38" t="s">
        <v>2128</v>
      </c>
      <c r="D246" s="38" t="s">
        <v>44</v>
      </c>
      <c r="E246" s="45">
        <v>41745</v>
      </c>
      <c r="F246" s="46">
        <v>41758</v>
      </c>
      <c r="G246" s="38">
        <v>1</v>
      </c>
      <c r="H246" s="47">
        <v>1</v>
      </c>
      <c r="I246" s="48">
        <v>1</v>
      </c>
      <c r="K246"/>
      <c r="L246"/>
      <c r="M246"/>
      <c r="N246"/>
      <c r="O246"/>
      <c r="P246"/>
      <c r="Q246"/>
      <c r="R246"/>
      <c r="W246"/>
      <c r="X246"/>
      <c r="Y246"/>
      <c r="Z246"/>
      <c r="AA246"/>
      <c r="AB246"/>
      <c r="AC246"/>
      <c r="AD246"/>
      <c r="AE246" s="58" t="s">
        <v>4</v>
      </c>
      <c r="AF246" s="59"/>
      <c r="AG246" s="59"/>
      <c r="AH246" s="375">
        <v>776.00000000000034</v>
      </c>
      <c r="AI246" s="149">
        <v>848</v>
      </c>
      <c r="AJ246" s="356">
        <v>1565</v>
      </c>
      <c r="AK246" s="356">
        <v>1073</v>
      </c>
      <c r="AL246" s="149">
        <v>858</v>
      </c>
      <c r="AM246" s="376">
        <v>114.00000000000034</v>
      </c>
      <c r="AN246" s="154">
        <v>131</v>
      </c>
      <c r="AO246"/>
    </row>
    <row r="247" spans="1:41" ht="16.5">
      <c r="A247" s="49"/>
      <c r="B247" s="49"/>
      <c r="C247" s="38" t="s">
        <v>2129</v>
      </c>
      <c r="D247" s="38" t="s">
        <v>48</v>
      </c>
      <c r="E247" s="45">
        <v>41746</v>
      </c>
      <c r="F247" s="46">
        <v>41779</v>
      </c>
      <c r="G247" s="38">
        <v>0</v>
      </c>
      <c r="H247" s="47">
        <v>1</v>
      </c>
      <c r="I247" s="48">
        <v>0</v>
      </c>
      <c r="K247"/>
      <c r="L247"/>
      <c r="M247"/>
      <c r="N247"/>
      <c r="O247"/>
      <c r="P247"/>
      <c r="Q247"/>
      <c r="R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</row>
    <row r="248" spans="1:41" ht="16.5">
      <c r="A248" s="49"/>
      <c r="B248" s="49"/>
      <c r="C248" s="38" t="s">
        <v>2130</v>
      </c>
      <c r="D248" s="38" t="s">
        <v>792</v>
      </c>
      <c r="E248" s="45">
        <v>41745</v>
      </c>
      <c r="F248" s="46">
        <v>41779</v>
      </c>
      <c r="G248" s="38">
        <v>0</v>
      </c>
      <c r="H248" s="47">
        <v>1</v>
      </c>
      <c r="I248" s="48">
        <v>0</v>
      </c>
      <c r="K248"/>
      <c r="L248"/>
      <c r="M248"/>
      <c r="N248"/>
      <c r="O248"/>
      <c r="P248"/>
      <c r="Q248"/>
      <c r="R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</row>
    <row r="249" spans="1:41" ht="16.5">
      <c r="A249" s="49"/>
      <c r="B249" s="50" t="s">
        <v>2158</v>
      </c>
      <c r="C249" s="51"/>
      <c r="D249" s="51"/>
      <c r="E249" s="51"/>
      <c r="F249" s="51"/>
      <c r="G249" s="51"/>
      <c r="H249" s="52">
        <v>12</v>
      </c>
      <c r="I249" s="53">
        <v>8</v>
      </c>
      <c r="K249"/>
      <c r="L249"/>
      <c r="M249"/>
      <c r="N249"/>
      <c r="O249"/>
      <c r="P249"/>
      <c r="Q249"/>
      <c r="R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</row>
    <row r="250" spans="1:41" ht="16.5">
      <c r="A250" s="54" t="s">
        <v>1087</v>
      </c>
      <c r="B250" s="55"/>
      <c r="C250" s="55"/>
      <c r="D250" s="55"/>
      <c r="E250" s="55"/>
      <c r="F250" s="55"/>
      <c r="G250" s="55"/>
      <c r="H250" s="56">
        <v>40</v>
      </c>
      <c r="I250" s="57">
        <v>33</v>
      </c>
      <c r="K250"/>
      <c r="L250"/>
      <c r="M250"/>
      <c r="N250"/>
      <c r="O250"/>
      <c r="P250"/>
      <c r="Q250"/>
      <c r="R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</row>
    <row r="251" spans="1:41" ht="16.5">
      <c r="A251" s="38" t="s">
        <v>47</v>
      </c>
      <c r="B251" s="38" t="s">
        <v>38</v>
      </c>
      <c r="C251" s="38" t="s">
        <v>1981</v>
      </c>
      <c r="D251" s="38" t="s">
        <v>792</v>
      </c>
      <c r="E251" s="45">
        <v>41725</v>
      </c>
      <c r="F251" s="46">
        <v>41751</v>
      </c>
      <c r="G251" s="38">
        <v>1</v>
      </c>
      <c r="H251" s="47">
        <v>1</v>
      </c>
      <c r="I251" s="48">
        <v>1</v>
      </c>
      <c r="K251"/>
      <c r="L251"/>
      <c r="M251"/>
      <c r="N251"/>
      <c r="O251"/>
      <c r="P251"/>
      <c r="Q251"/>
      <c r="R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</row>
    <row r="252" spans="1:41" ht="16.5">
      <c r="A252" s="49"/>
      <c r="B252" s="49"/>
      <c r="C252" s="38" t="s">
        <v>1983</v>
      </c>
      <c r="D252" s="38" t="s">
        <v>792</v>
      </c>
      <c r="E252" s="45">
        <v>41725</v>
      </c>
      <c r="F252" s="46">
        <v>41754</v>
      </c>
      <c r="G252" s="38">
        <v>1</v>
      </c>
      <c r="H252" s="47">
        <v>1</v>
      </c>
      <c r="I252" s="48">
        <v>1</v>
      </c>
      <c r="K252"/>
      <c r="L252"/>
      <c r="M252"/>
      <c r="N252"/>
      <c r="O252"/>
      <c r="P252"/>
      <c r="Q252"/>
      <c r="R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</row>
    <row r="253" spans="1:41" ht="16.5">
      <c r="A253" s="49"/>
      <c r="B253" s="49"/>
      <c r="C253" s="38" t="s">
        <v>1984</v>
      </c>
      <c r="D253" s="38" t="s">
        <v>792</v>
      </c>
      <c r="E253" s="45">
        <v>41725</v>
      </c>
      <c r="F253" s="46">
        <v>41766</v>
      </c>
      <c r="G253" s="38">
        <v>1</v>
      </c>
      <c r="H253" s="47">
        <v>1</v>
      </c>
      <c r="I253" s="48">
        <v>1</v>
      </c>
      <c r="K253"/>
      <c r="L253"/>
      <c r="M253"/>
      <c r="N253"/>
      <c r="O253"/>
      <c r="P253"/>
      <c r="Q253"/>
      <c r="R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</row>
    <row r="254" spans="1:41" ht="16.5">
      <c r="A254" s="49"/>
      <c r="B254" s="49"/>
      <c r="C254" s="38" t="s">
        <v>1985</v>
      </c>
      <c r="D254" s="38" t="s">
        <v>792</v>
      </c>
      <c r="E254" s="45">
        <v>41725</v>
      </c>
      <c r="F254" s="46">
        <v>41766</v>
      </c>
      <c r="G254" s="38">
        <v>1</v>
      </c>
      <c r="H254" s="47">
        <v>1</v>
      </c>
      <c r="I254" s="48">
        <v>1</v>
      </c>
      <c r="K254"/>
      <c r="L254"/>
      <c r="M254"/>
      <c r="N254"/>
      <c r="O254"/>
      <c r="P254"/>
      <c r="Q254"/>
      <c r="R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</row>
    <row r="255" spans="1:41" ht="16.5">
      <c r="A255" s="49"/>
      <c r="B255" s="49"/>
      <c r="C255" s="38" t="s">
        <v>1994</v>
      </c>
      <c r="D255" s="38" t="s">
        <v>44</v>
      </c>
      <c r="E255" s="45">
        <v>41725</v>
      </c>
      <c r="F255" s="46">
        <v>41746</v>
      </c>
      <c r="G255" s="38">
        <v>1</v>
      </c>
      <c r="H255" s="47">
        <v>1</v>
      </c>
      <c r="I255" s="48">
        <v>1</v>
      </c>
      <c r="K255"/>
      <c r="L255"/>
      <c r="M255"/>
      <c r="N255"/>
      <c r="O255"/>
      <c r="P255"/>
      <c r="Q255"/>
      <c r="R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</row>
    <row r="256" spans="1:41" ht="16.5">
      <c r="A256" s="49"/>
      <c r="B256" s="49"/>
      <c r="C256" s="38" t="s">
        <v>1996</v>
      </c>
      <c r="D256" s="38" t="s">
        <v>44</v>
      </c>
      <c r="E256" s="45">
        <v>41725</v>
      </c>
      <c r="F256" s="46">
        <v>41746</v>
      </c>
      <c r="G256" s="38">
        <v>1</v>
      </c>
      <c r="H256" s="47">
        <v>1</v>
      </c>
      <c r="I256" s="48">
        <v>1</v>
      </c>
      <c r="K256"/>
      <c r="L256"/>
      <c r="M256"/>
      <c r="N256"/>
      <c r="O256"/>
      <c r="P256"/>
      <c r="Q256"/>
      <c r="R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</row>
    <row r="257" spans="1:41" ht="16.5">
      <c r="A257" s="49"/>
      <c r="B257" s="49"/>
      <c r="C257" s="38" t="s">
        <v>1997</v>
      </c>
      <c r="D257" s="38" t="s">
        <v>48</v>
      </c>
      <c r="E257" s="45">
        <v>41725</v>
      </c>
      <c r="F257" s="46">
        <v>41754</v>
      </c>
      <c r="G257" s="38">
        <v>1</v>
      </c>
      <c r="H257" s="47">
        <v>1</v>
      </c>
      <c r="I257" s="48">
        <v>1</v>
      </c>
      <c r="K257"/>
      <c r="L257"/>
      <c r="M257"/>
      <c r="N257"/>
      <c r="O257"/>
      <c r="P257"/>
      <c r="Q257"/>
      <c r="R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</row>
    <row r="258" spans="1:41" ht="16.5">
      <c r="A258" s="49"/>
      <c r="B258" s="49"/>
      <c r="C258" s="38" t="s">
        <v>1999</v>
      </c>
      <c r="D258" s="38" t="s">
        <v>48</v>
      </c>
      <c r="E258" s="45">
        <v>41725</v>
      </c>
      <c r="F258" s="46">
        <v>41758</v>
      </c>
      <c r="G258" s="38">
        <v>1</v>
      </c>
      <c r="H258" s="47">
        <v>1</v>
      </c>
      <c r="I258" s="48">
        <v>1</v>
      </c>
      <c r="K258"/>
      <c r="L258"/>
      <c r="M258"/>
      <c r="N258"/>
      <c r="O258"/>
      <c r="P258"/>
      <c r="Q258"/>
      <c r="R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</row>
    <row r="259" spans="1:41" ht="16.5">
      <c r="A259" s="49"/>
      <c r="B259" s="49"/>
      <c r="C259" s="38" t="s">
        <v>2000</v>
      </c>
      <c r="D259" s="38" t="s">
        <v>48</v>
      </c>
      <c r="E259" s="45">
        <v>41725</v>
      </c>
      <c r="F259" s="46">
        <v>41754</v>
      </c>
      <c r="G259" s="38">
        <v>1</v>
      </c>
      <c r="H259" s="47">
        <v>1</v>
      </c>
      <c r="I259" s="48">
        <v>1</v>
      </c>
      <c r="K259"/>
      <c r="L259"/>
      <c r="M259"/>
      <c r="N259"/>
      <c r="O259"/>
      <c r="P259"/>
      <c r="Q259"/>
      <c r="R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</row>
    <row r="260" spans="1:41" ht="16.5">
      <c r="A260" s="49"/>
      <c r="B260" s="50" t="s">
        <v>853</v>
      </c>
      <c r="C260" s="51"/>
      <c r="D260" s="51"/>
      <c r="E260" s="51"/>
      <c r="F260" s="51"/>
      <c r="G260" s="51"/>
      <c r="H260" s="52">
        <v>9</v>
      </c>
      <c r="I260" s="53">
        <v>9</v>
      </c>
      <c r="K260"/>
      <c r="L260"/>
      <c r="M260"/>
      <c r="N260"/>
      <c r="O260"/>
      <c r="P260"/>
      <c r="Q260"/>
      <c r="R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</row>
    <row r="261" spans="1:41" ht="16.5">
      <c r="A261" s="49"/>
      <c r="B261" s="38" t="s">
        <v>35</v>
      </c>
      <c r="C261" s="38" t="s">
        <v>1318</v>
      </c>
      <c r="D261" s="38" t="s">
        <v>44</v>
      </c>
      <c r="E261" s="45">
        <v>41703</v>
      </c>
      <c r="F261" s="46">
        <v>41731</v>
      </c>
      <c r="G261" s="38">
        <v>1</v>
      </c>
      <c r="H261" s="47">
        <v>0.5</v>
      </c>
      <c r="I261" s="48">
        <v>0.5</v>
      </c>
      <c r="K261"/>
      <c r="L261"/>
      <c r="M261"/>
      <c r="N261"/>
      <c r="O261"/>
      <c r="P261"/>
      <c r="Q261"/>
      <c r="R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</row>
    <row r="262" spans="1:41" ht="16.5">
      <c r="A262" s="49"/>
      <c r="B262" s="49"/>
      <c r="C262" s="38" t="s">
        <v>1564</v>
      </c>
      <c r="D262" s="38" t="s">
        <v>44</v>
      </c>
      <c r="E262" s="45">
        <v>41703</v>
      </c>
      <c r="F262" s="46">
        <v>41733</v>
      </c>
      <c r="G262" s="38">
        <v>1</v>
      </c>
      <c r="H262" s="47">
        <v>1</v>
      </c>
      <c r="I262" s="48">
        <v>1</v>
      </c>
      <c r="K262"/>
      <c r="L262"/>
      <c r="M262"/>
      <c r="N262"/>
      <c r="O262"/>
      <c r="P262"/>
      <c r="Q262"/>
      <c r="R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</row>
    <row r="263" spans="1:41" ht="16.5">
      <c r="A263" s="49"/>
      <c r="B263" s="49"/>
      <c r="C263" s="38" t="s">
        <v>1565</v>
      </c>
      <c r="D263" s="38" t="s">
        <v>44</v>
      </c>
      <c r="E263" s="45">
        <v>41703</v>
      </c>
      <c r="F263" s="46">
        <v>41733</v>
      </c>
      <c r="G263" s="38">
        <v>1</v>
      </c>
      <c r="H263" s="47">
        <v>1</v>
      </c>
      <c r="I263" s="48">
        <v>1</v>
      </c>
      <c r="K263"/>
      <c r="L263"/>
      <c r="M263"/>
      <c r="N263"/>
      <c r="O263"/>
      <c r="P263"/>
      <c r="Q263"/>
      <c r="R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</row>
    <row r="264" spans="1:41" ht="16.5">
      <c r="A264" s="49"/>
      <c r="B264" s="49"/>
      <c r="C264" s="38" t="s">
        <v>1566</v>
      </c>
      <c r="D264" s="38" t="s">
        <v>44</v>
      </c>
      <c r="E264" s="45">
        <v>41703</v>
      </c>
      <c r="F264" s="46">
        <v>41733</v>
      </c>
      <c r="G264" s="38">
        <v>1</v>
      </c>
      <c r="H264" s="47">
        <v>1</v>
      </c>
      <c r="I264" s="48">
        <v>1</v>
      </c>
      <c r="K264"/>
      <c r="L264"/>
      <c r="M264"/>
      <c r="N264"/>
      <c r="O264"/>
      <c r="P264"/>
      <c r="Q264"/>
      <c r="R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</row>
    <row r="265" spans="1:41" ht="16.5">
      <c r="A265" s="49"/>
      <c r="B265" s="49"/>
      <c r="C265" s="38" t="s">
        <v>1567</v>
      </c>
      <c r="D265" s="38" t="s">
        <v>44</v>
      </c>
      <c r="E265" s="45">
        <v>41703</v>
      </c>
      <c r="F265" s="46">
        <v>41736</v>
      </c>
      <c r="G265" s="38">
        <v>1</v>
      </c>
      <c r="H265" s="47">
        <v>1</v>
      </c>
      <c r="I265" s="48">
        <v>1</v>
      </c>
      <c r="K265"/>
      <c r="L265"/>
      <c r="M265"/>
      <c r="N265"/>
      <c r="O265"/>
      <c r="P265"/>
      <c r="Q265"/>
      <c r="R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</row>
    <row r="266" spans="1:41" ht="16.5">
      <c r="A266" s="49"/>
      <c r="B266" s="49"/>
      <c r="C266" s="38" t="s">
        <v>1570</v>
      </c>
      <c r="D266" s="38" t="s">
        <v>48</v>
      </c>
      <c r="E266" s="45">
        <v>41703</v>
      </c>
      <c r="F266" s="46">
        <v>41745</v>
      </c>
      <c r="G266" s="38">
        <v>1</v>
      </c>
      <c r="H266" s="47">
        <v>1</v>
      </c>
      <c r="I266" s="48">
        <v>1</v>
      </c>
      <c r="K266"/>
      <c r="L266"/>
      <c r="M266"/>
      <c r="N266"/>
      <c r="O266"/>
      <c r="P266"/>
      <c r="Q266"/>
      <c r="R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</row>
    <row r="267" spans="1:41" ht="16.5">
      <c r="A267" s="49"/>
      <c r="B267" s="49"/>
      <c r="C267" s="38" t="s">
        <v>1571</v>
      </c>
      <c r="D267" s="38" t="s">
        <v>48</v>
      </c>
      <c r="E267" s="45">
        <v>41703</v>
      </c>
      <c r="F267" s="46">
        <v>41766</v>
      </c>
      <c r="G267" s="38">
        <v>1</v>
      </c>
      <c r="H267" s="47">
        <v>1</v>
      </c>
      <c r="I267" s="48">
        <v>1</v>
      </c>
      <c r="K267"/>
      <c r="L267"/>
      <c r="M267"/>
      <c r="N267"/>
      <c r="O267"/>
      <c r="P267"/>
      <c r="Q267"/>
      <c r="R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</row>
    <row r="268" spans="1:41" ht="16.5">
      <c r="A268" s="49"/>
      <c r="B268" s="49"/>
      <c r="C268" s="38" t="s">
        <v>1572</v>
      </c>
      <c r="D268" s="38" t="s">
        <v>48</v>
      </c>
      <c r="E268" s="45">
        <v>41703</v>
      </c>
      <c r="F268" s="46">
        <v>41745</v>
      </c>
      <c r="G268" s="38">
        <v>1</v>
      </c>
      <c r="H268" s="47">
        <v>1</v>
      </c>
      <c r="I268" s="48">
        <v>1</v>
      </c>
      <c r="K268"/>
      <c r="L268"/>
      <c r="M268"/>
      <c r="N268"/>
      <c r="O268"/>
      <c r="P268"/>
      <c r="Q268"/>
      <c r="R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</row>
    <row r="269" spans="1:41" ht="16.5">
      <c r="A269" s="49"/>
      <c r="B269" s="49"/>
      <c r="C269" s="38" t="s">
        <v>1574</v>
      </c>
      <c r="D269" s="38" t="s">
        <v>48</v>
      </c>
      <c r="E269" s="45">
        <v>41703</v>
      </c>
      <c r="F269" s="46">
        <v>41745</v>
      </c>
      <c r="G269" s="38">
        <v>1</v>
      </c>
      <c r="H269" s="47">
        <v>1</v>
      </c>
      <c r="I269" s="48">
        <v>1</v>
      </c>
      <c r="K269"/>
      <c r="L269"/>
      <c r="M269"/>
      <c r="N269"/>
      <c r="O269"/>
      <c r="P269"/>
      <c r="Q269"/>
      <c r="R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</row>
    <row r="270" spans="1:41" ht="16.5">
      <c r="A270" s="49"/>
      <c r="B270" s="49"/>
      <c r="C270" s="38" t="s">
        <v>1575</v>
      </c>
      <c r="D270" s="38" t="s">
        <v>48</v>
      </c>
      <c r="E270" s="45">
        <v>41703</v>
      </c>
      <c r="F270" s="46">
        <v>41745</v>
      </c>
      <c r="G270" s="38">
        <v>1</v>
      </c>
      <c r="H270" s="47">
        <v>1</v>
      </c>
      <c r="I270" s="48">
        <v>1</v>
      </c>
      <c r="K270"/>
      <c r="L270"/>
      <c r="M270"/>
      <c r="N270"/>
      <c r="O270"/>
      <c r="P270"/>
      <c r="Q270"/>
      <c r="R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</row>
    <row r="271" spans="1:41" ht="16.5">
      <c r="A271" s="49"/>
      <c r="B271" s="49"/>
      <c r="C271" s="38" t="s">
        <v>1580</v>
      </c>
      <c r="D271" s="38" t="s">
        <v>792</v>
      </c>
      <c r="E271" s="45">
        <v>41703</v>
      </c>
      <c r="F271" s="46">
        <v>41738</v>
      </c>
      <c r="G271" s="38">
        <v>1</v>
      </c>
      <c r="H271" s="47">
        <v>1</v>
      </c>
      <c r="I271" s="48">
        <v>1</v>
      </c>
      <c r="K271"/>
      <c r="L271"/>
      <c r="M271"/>
      <c r="N271"/>
      <c r="O271"/>
      <c r="P271"/>
      <c r="Q271"/>
      <c r="R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</row>
    <row r="272" spans="1:41" ht="16.5">
      <c r="A272" s="49"/>
      <c r="B272" s="49"/>
      <c r="C272" s="38" t="s">
        <v>1586</v>
      </c>
      <c r="D272" s="38" t="s">
        <v>792</v>
      </c>
      <c r="E272" s="45">
        <v>41703</v>
      </c>
      <c r="F272" s="46">
        <v>41738</v>
      </c>
      <c r="G272" s="38">
        <v>1</v>
      </c>
      <c r="H272" s="47">
        <v>1</v>
      </c>
      <c r="I272" s="48">
        <v>1</v>
      </c>
      <c r="K272"/>
      <c r="L272"/>
      <c r="M272"/>
      <c r="N272"/>
      <c r="O272"/>
      <c r="P272"/>
      <c r="Q272"/>
      <c r="R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</row>
    <row r="273" spans="1:41" ht="16.5">
      <c r="A273" s="49"/>
      <c r="B273" s="49"/>
      <c r="C273" s="38" t="s">
        <v>1587</v>
      </c>
      <c r="D273" s="38" t="s">
        <v>792</v>
      </c>
      <c r="E273" s="45">
        <v>41703</v>
      </c>
      <c r="F273" s="46">
        <v>41738</v>
      </c>
      <c r="G273" s="38">
        <v>1</v>
      </c>
      <c r="H273" s="47">
        <v>1</v>
      </c>
      <c r="I273" s="48">
        <v>1</v>
      </c>
      <c r="K273"/>
      <c r="L273"/>
      <c r="M273"/>
      <c r="N273"/>
      <c r="O273"/>
      <c r="P273"/>
      <c r="Q273"/>
      <c r="R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</row>
    <row r="274" spans="1:41" ht="16.5">
      <c r="A274" s="49"/>
      <c r="B274" s="49"/>
      <c r="C274" s="38" t="s">
        <v>1588</v>
      </c>
      <c r="D274" s="38" t="s">
        <v>792</v>
      </c>
      <c r="E274" s="45">
        <v>41703</v>
      </c>
      <c r="F274" s="46">
        <v>41743</v>
      </c>
      <c r="G274" s="38">
        <v>1</v>
      </c>
      <c r="H274" s="47">
        <v>1</v>
      </c>
      <c r="I274" s="48">
        <v>1</v>
      </c>
      <c r="K274"/>
      <c r="L274"/>
      <c r="M274"/>
      <c r="N274"/>
      <c r="O274"/>
      <c r="P274"/>
      <c r="Q274"/>
      <c r="R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</row>
    <row r="275" spans="1:41" ht="16.5">
      <c r="A275" s="49"/>
      <c r="B275" s="49"/>
      <c r="C275" s="38" t="s">
        <v>1593</v>
      </c>
      <c r="D275" s="38" t="s">
        <v>44</v>
      </c>
      <c r="E275" s="45">
        <v>41703</v>
      </c>
      <c r="F275" s="374">
        <v>0.57142361111111117</v>
      </c>
      <c r="G275" s="38">
        <v>1</v>
      </c>
      <c r="H275" s="47">
        <v>1</v>
      </c>
      <c r="I275" s="48">
        <v>1</v>
      </c>
      <c r="K275"/>
      <c r="L275"/>
      <c r="M275"/>
      <c r="N275"/>
      <c r="O275"/>
      <c r="P275"/>
      <c r="Q275"/>
      <c r="R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</row>
    <row r="276" spans="1:41" ht="16.5">
      <c r="A276" s="49"/>
      <c r="B276" s="49"/>
      <c r="C276" s="38" t="s">
        <v>1977</v>
      </c>
      <c r="D276" s="38" t="s">
        <v>792</v>
      </c>
      <c r="E276" s="45">
        <v>41725</v>
      </c>
      <c r="F276" s="46">
        <v>41766</v>
      </c>
      <c r="G276" s="38">
        <v>1</v>
      </c>
      <c r="H276" s="47">
        <v>1</v>
      </c>
      <c r="I276" s="48">
        <v>1</v>
      </c>
      <c r="K276"/>
      <c r="L276"/>
      <c r="M276"/>
      <c r="N276"/>
      <c r="O276"/>
      <c r="P276"/>
      <c r="Q276"/>
      <c r="R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</row>
    <row r="277" spans="1:41" ht="16.5">
      <c r="A277" s="49"/>
      <c r="B277" s="49"/>
      <c r="C277" s="38" t="s">
        <v>1978</v>
      </c>
      <c r="D277" s="38" t="s">
        <v>792</v>
      </c>
      <c r="E277" s="45">
        <v>41725</v>
      </c>
      <c r="F277" s="46">
        <v>41766</v>
      </c>
      <c r="G277" s="38">
        <v>1</v>
      </c>
      <c r="H277" s="47">
        <v>1</v>
      </c>
      <c r="I277" s="48">
        <v>1</v>
      </c>
      <c r="K277"/>
      <c r="L277"/>
      <c r="M277"/>
      <c r="N277"/>
      <c r="O277"/>
      <c r="P277"/>
      <c r="Q277"/>
      <c r="R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</row>
    <row r="278" spans="1:41" ht="16.5">
      <c r="A278" s="49"/>
      <c r="B278" s="49"/>
      <c r="C278" s="38" t="s">
        <v>1979</v>
      </c>
      <c r="D278" s="38" t="s">
        <v>792</v>
      </c>
      <c r="E278" s="45">
        <v>41725</v>
      </c>
      <c r="F278" s="46">
        <v>41766</v>
      </c>
      <c r="G278" s="38">
        <v>1</v>
      </c>
      <c r="H278" s="47">
        <v>1</v>
      </c>
      <c r="I278" s="48">
        <v>1</v>
      </c>
      <c r="K278"/>
      <c r="L278"/>
      <c r="M278"/>
      <c r="N278"/>
      <c r="O278"/>
      <c r="P278"/>
      <c r="Q278"/>
      <c r="R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</row>
    <row r="279" spans="1:41" ht="16.5">
      <c r="A279" s="49"/>
      <c r="B279" s="49"/>
      <c r="C279" s="38" t="s">
        <v>1980</v>
      </c>
      <c r="D279" s="38" t="s">
        <v>792</v>
      </c>
      <c r="E279" s="45">
        <v>41725</v>
      </c>
      <c r="F279" s="46">
        <v>41753</v>
      </c>
      <c r="G279" s="38">
        <v>1</v>
      </c>
      <c r="H279" s="47">
        <v>1</v>
      </c>
      <c r="I279" s="48">
        <v>1</v>
      </c>
      <c r="K279"/>
      <c r="L279"/>
      <c r="M279"/>
      <c r="N279"/>
      <c r="O279"/>
      <c r="P279"/>
      <c r="Q279"/>
      <c r="R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</row>
    <row r="280" spans="1:41" ht="16.5">
      <c r="A280" s="49"/>
      <c r="B280" s="49"/>
      <c r="C280" s="38" t="s">
        <v>1982</v>
      </c>
      <c r="D280" s="38" t="s">
        <v>792</v>
      </c>
      <c r="E280" s="45">
        <v>41725</v>
      </c>
      <c r="F280" s="46">
        <v>41766</v>
      </c>
      <c r="G280" s="38">
        <v>1</v>
      </c>
      <c r="H280" s="47">
        <v>1</v>
      </c>
      <c r="I280" s="48">
        <v>1</v>
      </c>
      <c r="K280"/>
      <c r="L280"/>
      <c r="M280"/>
      <c r="N280"/>
      <c r="O280"/>
      <c r="P280"/>
      <c r="Q280"/>
      <c r="R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</row>
    <row r="281" spans="1:41" ht="16.5">
      <c r="A281" s="49"/>
      <c r="B281" s="49"/>
      <c r="C281" s="38" t="s">
        <v>1986</v>
      </c>
      <c r="D281" s="38" t="s">
        <v>6</v>
      </c>
      <c r="E281" s="45">
        <v>41725</v>
      </c>
      <c r="F281" s="46">
        <v>41753</v>
      </c>
      <c r="G281" s="38">
        <v>1</v>
      </c>
      <c r="H281" s="47">
        <v>1</v>
      </c>
      <c r="I281" s="48">
        <v>1</v>
      </c>
      <c r="K281"/>
      <c r="L281"/>
      <c r="M281"/>
      <c r="N281"/>
      <c r="O281"/>
      <c r="P281"/>
      <c r="Q281"/>
      <c r="R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</row>
    <row r="282" spans="1:41" ht="16.5">
      <c r="A282" s="49"/>
      <c r="B282" s="49"/>
      <c r="C282" s="38" t="s">
        <v>1987</v>
      </c>
      <c r="D282" s="38" t="s">
        <v>6</v>
      </c>
      <c r="E282" s="45">
        <v>41725</v>
      </c>
      <c r="F282" s="46">
        <v>41750</v>
      </c>
      <c r="G282" s="38">
        <v>1</v>
      </c>
      <c r="H282" s="47">
        <v>1</v>
      </c>
      <c r="I282" s="48">
        <v>1</v>
      </c>
      <c r="K282"/>
      <c r="L282"/>
      <c r="M282"/>
      <c r="N282"/>
      <c r="O282"/>
      <c r="P282"/>
      <c r="Q282"/>
      <c r="R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</row>
    <row r="283" spans="1:41" ht="16.5">
      <c r="A283" s="49"/>
      <c r="B283" s="49"/>
      <c r="C283" s="38" t="s">
        <v>1988</v>
      </c>
      <c r="D283" s="38" t="s">
        <v>44</v>
      </c>
      <c r="E283" s="45">
        <v>41725</v>
      </c>
      <c r="F283" s="46">
        <v>41750</v>
      </c>
      <c r="G283" s="38">
        <v>1</v>
      </c>
      <c r="H283" s="47">
        <v>1</v>
      </c>
      <c r="I283" s="48">
        <v>1</v>
      </c>
      <c r="K283"/>
      <c r="L283"/>
      <c r="M283"/>
      <c r="N283"/>
      <c r="O283"/>
      <c r="P283"/>
      <c r="Q283"/>
      <c r="R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</row>
    <row r="284" spans="1:41" ht="16.5">
      <c r="A284" s="49"/>
      <c r="B284" s="49"/>
      <c r="C284" s="38" t="s">
        <v>1989</v>
      </c>
      <c r="D284" s="38" t="s">
        <v>44</v>
      </c>
      <c r="E284" s="45">
        <v>41725</v>
      </c>
      <c r="F284" s="46">
        <v>41750</v>
      </c>
      <c r="G284" s="38">
        <v>1</v>
      </c>
      <c r="H284" s="47">
        <v>1</v>
      </c>
      <c r="I284" s="48">
        <v>1</v>
      </c>
      <c r="K284"/>
      <c r="L284"/>
      <c r="M284"/>
      <c r="N284"/>
      <c r="O284"/>
      <c r="P284"/>
      <c r="Q284"/>
      <c r="R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</row>
    <row r="285" spans="1:41" ht="16.5">
      <c r="A285" s="49"/>
      <c r="B285" s="49"/>
      <c r="C285" s="38" t="s">
        <v>1990</v>
      </c>
      <c r="D285" s="38" t="s">
        <v>44</v>
      </c>
      <c r="E285" s="45">
        <v>41725</v>
      </c>
      <c r="F285" s="46">
        <v>41750</v>
      </c>
      <c r="G285" s="38">
        <v>1</v>
      </c>
      <c r="H285" s="47">
        <v>1</v>
      </c>
      <c r="I285" s="48">
        <v>1</v>
      </c>
      <c r="K285"/>
      <c r="L285"/>
      <c r="M285"/>
      <c r="N285"/>
      <c r="O285"/>
      <c r="P285"/>
      <c r="Q285"/>
      <c r="R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</row>
    <row r="286" spans="1:41" ht="16.5">
      <c r="A286" s="49"/>
      <c r="B286" s="49"/>
      <c r="C286" s="38" t="s">
        <v>1991</v>
      </c>
      <c r="D286" s="38" t="s">
        <v>44</v>
      </c>
      <c r="E286" s="45">
        <v>41725</v>
      </c>
      <c r="F286" s="46">
        <v>41750</v>
      </c>
      <c r="G286" s="38">
        <v>1</v>
      </c>
      <c r="H286" s="47">
        <v>1</v>
      </c>
      <c r="I286" s="48">
        <v>1</v>
      </c>
      <c r="K286"/>
      <c r="L286"/>
      <c r="M286"/>
      <c r="N286"/>
      <c r="O286"/>
      <c r="P286"/>
      <c r="Q286"/>
      <c r="R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</row>
    <row r="287" spans="1:41" ht="16.5">
      <c r="A287" s="49"/>
      <c r="B287" s="49"/>
      <c r="C287" s="38" t="s">
        <v>1992</v>
      </c>
      <c r="D287" s="38" t="s">
        <v>44</v>
      </c>
      <c r="E287" s="45">
        <v>41725</v>
      </c>
      <c r="F287" s="46">
        <v>41750</v>
      </c>
      <c r="G287" s="38">
        <v>1</v>
      </c>
      <c r="H287" s="47">
        <v>1</v>
      </c>
      <c r="I287" s="48">
        <v>1</v>
      </c>
      <c r="K287"/>
      <c r="L287"/>
      <c r="M287"/>
      <c r="N287"/>
      <c r="O287"/>
      <c r="P287"/>
      <c r="Q287"/>
      <c r="R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</row>
    <row r="288" spans="1:41" ht="16.5">
      <c r="A288" s="49"/>
      <c r="B288" s="49"/>
      <c r="C288" s="38" t="s">
        <v>1993</v>
      </c>
      <c r="D288" s="38" t="s">
        <v>44</v>
      </c>
      <c r="E288" s="45">
        <v>41725</v>
      </c>
      <c r="F288" s="46">
        <v>41746</v>
      </c>
      <c r="G288" s="38">
        <v>1</v>
      </c>
      <c r="H288" s="47">
        <v>1</v>
      </c>
      <c r="I288" s="48">
        <v>1</v>
      </c>
      <c r="K288"/>
      <c r="L288"/>
      <c r="M288"/>
      <c r="N288"/>
      <c r="O288"/>
      <c r="P288"/>
      <c r="Q288"/>
      <c r="R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</row>
    <row r="289" spans="1:41" ht="16.5">
      <c r="A289" s="49"/>
      <c r="B289" s="49"/>
      <c r="C289" s="38" t="s">
        <v>1995</v>
      </c>
      <c r="D289" s="38" t="s">
        <v>44</v>
      </c>
      <c r="E289" s="45">
        <v>41725</v>
      </c>
      <c r="F289" s="46">
        <v>41750</v>
      </c>
      <c r="G289" s="38">
        <v>1</v>
      </c>
      <c r="H289" s="47">
        <v>1</v>
      </c>
      <c r="I289" s="48">
        <v>1</v>
      </c>
      <c r="K289"/>
      <c r="L289"/>
      <c r="M289"/>
      <c r="N289"/>
      <c r="O289"/>
      <c r="P289"/>
      <c r="Q289"/>
      <c r="R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</row>
    <row r="290" spans="1:41" ht="16.5">
      <c r="A290" s="49"/>
      <c r="B290" s="50" t="s">
        <v>1347</v>
      </c>
      <c r="C290" s="51"/>
      <c r="D290" s="51"/>
      <c r="E290" s="51"/>
      <c r="F290" s="51"/>
      <c r="G290" s="51"/>
      <c r="H290" s="52">
        <v>28.5</v>
      </c>
      <c r="I290" s="53">
        <v>28.5</v>
      </c>
      <c r="K290"/>
      <c r="L290"/>
      <c r="M290"/>
      <c r="N290"/>
      <c r="O290"/>
      <c r="P290"/>
      <c r="Q290"/>
      <c r="R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</row>
    <row r="291" spans="1:41" ht="16.5">
      <c r="A291" s="49"/>
      <c r="B291" s="38" t="s">
        <v>50</v>
      </c>
      <c r="C291" s="38" t="s">
        <v>1568</v>
      </c>
      <c r="D291" s="38" t="s">
        <v>48</v>
      </c>
      <c r="E291" s="45">
        <v>41703</v>
      </c>
      <c r="F291" s="374">
        <v>0.57142361111111117</v>
      </c>
      <c r="G291" s="38">
        <v>1</v>
      </c>
      <c r="H291" s="47">
        <v>1</v>
      </c>
      <c r="I291" s="48">
        <v>1</v>
      </c>
      <c r="K291"/>
      <c r="L291"/>
      <c r="M291"/>
      <c r="N291"/>
      <c r="O291"/>
      <c r="P291"/>
      <c r="Q291"/>
      <c r="R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</row>
    <row r="292" spans="1:41" ht="16.5">
      <c r="A292" s="49"/>
      <c r="B292" s="49"/>
      <c r="C292" s="38" t="s">
        <v>1569</v>
      </c>
      <c r="D292" s="38" t="s">
        <v>48</v>
      </c>
      <c r="E292" s="45">
        <v>41703</v>
      </c>
      <c r="F292" s="374">
        <v>0.57142361111111117</v>
      </c>
      <c r="G292" s="38">
        <v>1</v>
      </c>
      <c r="H292" s="47">
        <v>1</v>
      </c>
      <c r="I292" s="48">
        <v>1</v>
      </c>
      <c r="K292"/>
      <c r="L292"/>
      <c r="M292"/>
      <c r="N292"/>
      <c r="O292"/>
      <c r="P292"/>
      <c r="Q292"/>
      <c r="R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</row>
    <row r="293" spans="1:41" ht="16.5">
      <c r="A293" s="49"/>
      <c r="B293" s="49"/>
      <c r="C293" s="38" t="s">
        <v>1573</v>
      </c>
      <c r="D293" s="38" t="s">
        <v>48</v>
      </c>
      <c r="E293" s="45">
        <v>41703</v>
      </c>
      <c r="F293" s="46">
        <v>41736</v>
      </c>
      <c r="G293" s="38">
        <v>1</v>
      </c>
      <c r="H293" s="47">
        <v>1</v>
      </c>
      <c r="I293" s="48">
        <v>1</v>
      </c>
      <c r="K293"/>
      <c r="L293"/>
      <c r="M293"/>
      <c r="N293"/>
      <c r="O293"/>
      <c r="P293"/>
      <c r="Q293"/>
      <c r="R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</row>
    <row r="294" spans="1:41" ht="16.5">
      <c r="A294" s="49"/>
      <c r="B294" s="49"/>
      <c r="C294" s="38" t="s">
        <v>1576</v>
      </c>
      <c r="D294" s="38" t="s">
        <v>48</v>
      </c>
      <c r="E294" s="45">
        <v>41703</v>
      </c>
      <c r="F294" s="46">
        <v>41736</v>
      </c>
      <c r="G294" s="38">
        <v>1</v>
      </c>
      <c r="H294" s="47">
        <v>1</v>
      </c>
      <c r="I294" s="48">
        <v>1</v>
      </c>
      <c r="K294"/>
      <c r="L294"/>
      <c r="M294"/>
      <c r="N294"/>
      <c r="O294"/>
      <c r="P294"/>
      <c r="Q294"/>
      <c r="R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</row>
    <row r="295" spans="1:41" ht="16.5">
      <c r="A295" s="49"/>
      <c r="B295" s="49"/>
      <c r="C295" s="38" t="s">
        <v>1577</v>
      </c>
      <c r="D295" s="38" t="s">
        <v>792</v>
      </c>
      <c r="E295" s="45">
        <v>41703</v>
      </c>
      <c r="F295" s="46">
        <v>41738</v>
      </c>
      <c r="G295" s="38">
        <v>1</v>
      </c>
      <c r="H295" s="47">
        <v>1</v>
      </c>
      <c r="I295" s="48">
        <v>1</v>
      </c>
      <c r="K295"/>
      <c r="L295"/>
      <c r="M295"/>
      <c r="N295"/>
      <c r="O295"/>
      <c r="P295"/>
      <c r="Q295"/>
      <c r="R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</row>
    <row r="296" spans="1:41" ht="16.5">
      <c r="A296" s="49"/>
      <c r="B296" s="49"/>
      <c r="C296" s="38" t="s">
        <v>1578</v>
      </c>
      <c r="D296" s="38" t="s">
        <v>792</v>
      </c>
      <c r="E296" s="45">
        <v>41703</v>
      </c>
      <c r="F296" s="46">
        <v>41738</v>
      </c>
      <c r="G296" s="38">
        <v>1</v>
      </c>
      <c r="H296" s="47">
        <v>1</v>
      </c>
      <c r="I296" s="48">
        <v>1</v>
      </c>
      <c r="K296"/>
      <c r="L296"/>
      <c r="M296"/>
      <c r="N296"/>
      <c r="O296"/>
      <c r="P296"/>
      <c r="Q296"/>
      <c r="R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</row>
    <row r="297" spans="1:41" ht="16.5">
      <c r="A297" s="49"/>
      <c r="B297" s="49"/>
      <c r="C297" s="38" t="s">
        <v>1579</v>
      </c>
      <c r="D297" s="38" t="s">
        <v>792</v>
      </c>
      <c r="E297" s="45">
        <v>41703</v>
      </c>
      <c r="F297" s="46">
        <v>41743</v>
      </c>
      <c r="G297" s="38">
        <v>1</v>
      </c>
      <c r="H297" s="47">
        <v>1</v>
      </c>
      <c r="I297" s="48">
        <v>1</v>
      </c>
      <c r="K297"/>
      <c r="L297"/>
      <c r="M297"/>
      <c r="N297"/>
      <c r="O297"/>
      <c r="P297"/>
      <c r="Q297"/>
      <c r="R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</row>
    <row r="298" spans="1:41" ht="16.5">
      <c r="A298" s="49"/>
      <c r="B298" s="49"/>
      <c r="C298" s="38" t="s">
        <v>1581</v>
      </c>
      <c r="D298" s="38" t="s">
        <v>44</v>
      </c>
      <c r="E298" s="45">
        <v>41703</v>
      </c>
      <c r="F298" s="46">
        <v>41730</v>
      </c>
      <c r="G298" s="38">
        <v>1</v>
      </c>
      <c r="H298" s="47">
        <v>0.5</v>
      </c>
      <c r="I298" s="48">
        <v>0.5</v>
      </c>
      <c r="K298"/>
      <c r="L298"/>
      <c r="M298"/>
      <c r="N298"/>
      <c r="O298"/>
      <c r="P298"/>
      <c r="Q298"/>
      <c r="R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</row>
    <row r="299" spans="1:41" ht="16.5">
      <c r="A299" s="49"/>
      <c r="B299" s="49"/>
      <c r="C299" s="49"/>
      <c r="D299" s="38" t="s">
        <v>792</v>
      </c>
      <c r="E299" s="45">
        <v>41703</v>
      </c>
      <c r="F299" s="46">
        <v>41738</v>
      </c>
      <c r="G299" s="38">
        <v>1</v>
      </c>
      <c r="H299" s="47">
        <v>0.5</v>
      </c>
      <c r="I299" s="48">
        <v>0.5</v>
      </c>
      <c r="K299"/>
      <c r="L299"/>
      <c r="M299"/>
      <c r="N299"/>
      <c r="O299"/>
      <c r="P299"/>
      <c r="Q299"/>
      <c r="R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</row>
    <row r="300" spans="1:41" ht="16.5">
      <c r="A300" s="49"/>
      <c r="B300" s="49"/>
      <c r="C300" s="38" t="s">
        <v>1582</v>
      </c>
      <c r="D300" s="38" t="s">
        <v>792</v>
      </c>
      <c r="E300" s="45">
        <v>41703</v>
      </c>
      <c r="F300" s="46">
        <v>41738</v>
      </c>
      <c r="G300" s="38">
        <v>1</v>
      </c>
      <c r="H300" s="47">
        <v>1</v>
      </c>
      <c r="I300" s="48">
        <v>1</v>
      </c>
      <c r="K300"/>
      <c r="L300"/>
      <c r="M300"/>
      <c r="N300"/>
      <c r="O300"/>
      <c r="P300"/>
      <c r="Q300"/>
      <c r="R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</row>
    <row r="301" spans="1:41" ht="16.5">
      <c r="A301" s="49"/>
      <c r="B301" s="49"/>
      <c r="C301" s="38" t="s">
        <v>1583</v>
      </c>
      <c r="D301" s="38" t="s">
        <v>792</v>
      </c>
      <c r="E301" s="45">
        <v>41703</v>
      </c>
      <c r="F301" s="46">
        <v>41738</v>
      </c>
      <c r="G301" s="38">
        <v>1</v>
      </c>
      <c r="H301" s="47">
        <v>1</v>
      </c>
      <c r="I301" s="48">
        <v>1</v>
      </c>
      <c r="K301"/>
      <c r="L301"/>
      <c r="M301"/>
      <c r="N301"/>
      <c r="O301"/>
      <c r="P301"/>
      <c r="Q301"/>
      <c r="R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</row>
    <row r="302" spans="1:41" ht="16.5">
      <c r="A302" s="49"/>
      <c r="B302" s="49"/>
      <c r="C302" s="38" t="s">
        <v>1584</v>
      </c>
      <c r="D302" s="38" t="s">
        <v>792</v>
      </c>
      <c r="E302" s="45">
        <v>41703</v>
      </c>
      <c r="F302" s="46">
        <v>41743</v>
      </c>
      <c r="G302" s="38">
        <v>1</v>
      </c>
      <c r="H302" s="47">
        <v>1</v>
      </c>
      <c r="I302" s="48">
        <v>1</v>
      </c>
      <c r="K302"/>
      <c r="L302"/>
      <c r="M302"/>
      <c r="N302"/>
      <c r="O302"/>
      <c r="P302"/>
      <c r="Q302"/>
      <c r="R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</row>
    <row r="303" spans="1:41" ht="16.5">
      <c r="A303" s="49"/>
      <c r="B303" s="49"/>
      <c r="C303" s="38" t="s">
        <v>1585</v>
      </c>
      <c r="D303" s="38" t="s">
        <v>792</v>
      </c>
      <c r="E303" s="45">
        <v>41703</v>
      </c>
      <c r="F303" s="46">
        <v>41738</v>
      </c>
      <c r="G303" s="38">
        <v>1</v>
      </c>
      <c r="H303" s="47">
        <v>1</v>
      </c>
      <c r="I303" s="48">
        <v>1</v>
      </c>
      <c r="K303"/>
      <c r="L303"/>
      <c r="M303"/>
      <c r="N303"/>
      <c r="O303"/>
      <c r="P303"/>
      <c r="Q303"/>
      <c r="R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</row>
    <row r="304" spans="1:41" ht="16.5">
      <c r="A304" s="49"/>
      <c r="B304" s="49"/>
      <c r="C304" s="38" t="s">
        <v>1589</v>
      </c>
      <c r="D304" s="38" t="s">
        <v>1305</v>
      </c>
      <c r="E304" s="45">
        <v>41703</v>
      </c>
      <c r="F304" s="46">
        <v>41743</v>
      </c>
      <c r="G304" s="38">
        <v>1</v>
      </c>
      <c r="H304" s="47">
        <v>1</v>
      </c>
      <c r="I304" s="48">
        <v>1</v>
      </c>
      <c r="K304"/>
      <c r="L304"/>
      <c r="M304"/>
      <c r="N304"/>
      <c r="O304"/>
      <c r="P304"/>
      <c r="Q304"/>
      <c r="R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</row>
    <row r="305" spans="1:41" ht="16.5">
      <c r="A305" s="49"/>
      <c r="B305" s="49"/>
      <c r="C305" s="38" t="s">
        <v>1590</v>
      </c>
      <c r="D305" s="38" t="s">
        <v>44</v>
      </c>
      <c r="E305" s="45">
        <v>41703</v>
      </c>
      <c r="F305" s="46">
        <v>41730</v>
      </c>
      <c r="G305" s="38">
        <v>1</v>
      </c>
      <c r="H305" s="47">
        <v>1</v>
      </c>
      <c r="I305" s="48">
        <v>1</v>
      </c>
      <c r="K305"/>
      <c r="L305"/>
      <c r="M305"/>
      <c r="N305"/>
      <c r="O305"/>
      <c r="P305"/>
      <c r="Q305"/>
      <c r="R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</row>
    <row r="306" spans="1:41" ht="16.5">
      <c r="A306" s="49"/>
      <c r="B306" s="49"/>
      <c r="C306" s="38" t="s">
        <v>1591</v>
      </c>
      <c r="D306" s="38" t="s">
        <v>44</v>
      </c>
      <c r="E306" s="45">
        <v>41703</v>
      </c>
      <c r="F306" s="46">
        <v>41733</v>
      </c>
      <c r="G306" s="38">
        <v>1</v>
      </c>
      <c r="H306" s="47">
        <v>1</v>
      </c>
      <c r="I306" s="48">
        <v>1</v>
      </c>
      <c r="K306"/>
      <c r="L306"/>
      <c r="M306"/>
      <c r="N306"/>
      <c r="O306"/>
      <c r="P306"/>
      <c r="Q306"/>
      <c r="R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</row>
    <row r="307" spans="1:41" ht="16.5">
      <c r="A307" s="49"/>
      <c r="B307" s="49"/>
      <c r="C307" s="38" t="s">
        <v>1592</v>
      </c>
      <c r="D307" s="38" t="s">
        <v>44</v>
      </c>
      <c r="E307" s="45">
        <v>41703</v>
      </c>
      <c r="F307" s="46">
        <v>41733</v>
      </c>
      <c r="G307" s="38">
        <v>1</v>
      </c>
      <c r="H307" s="47">
        <v>1</v>
      </c>
      <c r="I307" s="48">
        <v>1</v>
      </c>
      <c r="K307"/>
      <c r="L307"/>
      <c r="M307"/>
      <c r="N307"/>
      <c r="O307"/>
      <c r="P307"/>
      <c r="Q307"/>
      <c r="R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</row>
    <row r="308" spans="1:41" ht="16.5">
      <c r="A308" s="49"/>
      <c r="B308" s="50" t="s">
        <v>855</v>
      </c>
      <c r="C308" s="51"/>
      <c r="D308" s="51"/>
      <c r="E308" s="51"/>
      <c r="F308" s="51"/>
      <c r="G308" s="51"/>
      <c r="H308" s="52">
        <v>16</v>
      </c>
      <c r="I308" s="53">
        <v>16</v>
      </c>
      <c r="K308"/>
      <c r="L308"/>
      <c r="M308"/>
      <c r="N308"/>
      <c r="O308"/>
      <c r="P308"/>
      <c r="Q308"/>
      <c r="R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</row>
    <row r="309" spans="1:41" ht="16.5">
      <c r="A309" s="49"/>
      <c r="B309" s="38" t="s">
        <v>56</v>
      </c>
      <c r="C309" s="38" t="s">
        <v>1594</v>
      </c>
      <c r="D309" s="38" t="s">
        <v>1120</v>
      </c>
      <c r="E309" s="45">
        <v>41703</v>
      </c>
      <c r="F309" s="46">
        <v>41731</v>
      </c>
      <c r="G309" s="38">
        <v>1</v>
      </c>
      <c r="H309" s="47">
        <v>1</v>
      </c>
      <c r="I309" s="48">
        <v>1</v>
      </c>
      <c r="K309"/>
      <c r="L309"/>
      <c r="M309"/>
      <c r="N309"/>
      <c r="O309"/>
      <c r="P309"/>
      <c r="Q309"/>
      <c r="R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</row>
    <row r="310" spans="1:41" ht="16.5">
      <c r="A310" s="49"/>
      <c r="B310" s="49"/>
      <c r="C310" s="38" t="s">
        <v>1595</v>
      </c>
      <c r="D310" s="38" t="s">
        <v>1120</v>
      </c>
      <c r="E310" s="45">
        <v>41703</v>
      </c>
      <c r="F310" s="46">
        <v>41731</v>
      </c>
      <c r="G310" s="38">
        <v>1</v>
      </c>
      <c r="H310" s="47">
        <v>1</v>
      </c>
      <c r="I310" s="48">
        <v>1</v>
      </c>
      <c r="K310"/>
      <c r="L310"/>
      <c r="M310"/>
      <c r="N310"/>
      <c r="O310"/>
      <c r="P310"/>
      <c r="Q310"/>
      <c r="R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</row>
    <row r="311" spans="1:41" ht="16.5">
      <c r="A311" s="49"/>
      <c r="B311" s="49"/>
      <c r="C311" s="38" t="s">
        <v>1596</v>
      </c>
      <c r="D311" s="38" t="s">
        <v>6</v>
      </c>
      <c r="E311" s="45">
        <v>41703</v>
      </c>
      <c r="F311" s="46">
        <v>41736</v>
      </c>
      <c r="G311" s="38">
        <v>1</v>
      </c>
      <c r="H311" s="47">
        <v>1</v>
      </c>
      <c r="I311" s="48">
        <v>1</v>
      </c>
      <c r="K311"/>
      <c r="L311"/>
      <c r="M311"/>
      <c r="N311"/>
      <c r="O311"/>
      <c r="P311"/>
      <c r="Q311"/>
      <c r="R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</row>
    <row r="312" spans="1:41" ht="16.5">
      <c r="A312" s="49"/>
      <c r="B312" s="49"/>
      <c r="C312" s="38" t="s">
        <v>1597</v>
      </c>
      <c r="D312" s="38" t="s">
        <v>6</v>
      </c>
      <c r="E312" s="45">
        <v>41703</v>
      </c>
      <c r="F312" s="46">
        <v>41736</v>
      </c>
      <c r="G312" s="38">
        <v>1</v>
      </c>
      <c r="H312" s="47">
        <v>1</v>
      </c>
      <c r="I312" s="48">
        <v>1</v>
      </c>
      <c r="K312"/>
      <c r="L312"/>
      <c r="M312"/>
      <c r="N312"/>
      <c r="O312"/>
      <c r="P312"/>
      <c r="Q312"/>
      <c r="R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</row>
    <row r="313" spans="1:41" ht="16.5">
      <c r="A313" s="49"/>
      <c r="B313" s="49"/>
      <c r="C313" s="38" t="s">
        <v>1598</v>
      </c>
      <c r="D313" s="38" t="s">
        <v>6</v>
      </c>
      <c r="E313" s="45">
        <v>41703</v>
      </c>
      <c r="F313" s="46">
        <v>41731</v>
      </c>
      <c r="G313" s="38">
        <v>1</v>
      </c>
      <c r="H313" s="47">
        <v>1</v>
      </c>
      <c r="I313" s="48">
        <v>1</v>
      </c>
      <c r="K313"/>
      <c r="L313"/>
      <c r="M313"/>
      <c r="N313"/>
      <c r="O313"/>
      <c r="P313"/>
      <c r="Q313"/>
      <c r="R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</row>
    <row r="314" spans="1:41" ht="16.5">
      <c r="A314" s="49"/>
      <c r="B314" s="49"/>
      <c r="C314" s="38" t="s">
        <v>1599</v>
      </c>
      <c r="D314" s="38" t="s">
        <v>6</v>
      </c>
      <c r="E314" s="45">
        <v>41703</v>
      </c>
      <c r="F314" s="46">
        <v>41731</v>
      </c>
      <c r="G314" s="38">
        <v>1</v>
      </c>
      <c r="H314" s="47">
        <v>1</v>
      </c>
      <c r="I314" s="48">
        <v>1</v>
      </c>
      <c r="K314"/>
      <c r="L314"/>
      <c r="M314"/>
      <c r="N314"/>
      <c r="O314"/>
      <c r="P314"/>
      <c r="Q314"/>
      <c r="R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</row>
    <row r="315" spans="1:41" ht="16.5">
      <c r="A315" s="49"/>
      <c r="B315" s="49"/>
      <c r="C315" s="38" t="s">
        <v>1600</v>
      </c>
      <c r="D315" s="38" t="s">
        <v>6</v>
      </c>
      <c r="E315" s="45">
        <v>41703</v>
      </c>
      <c r="F315" s="46">
        <v>41743</v>
      </c>
      <c r="G315" s="38">
        <v>1</v>
      </c>
      <c r="H315" s="47">
        <v>1</v>
      </c>
      <c r="I315" s="48">
        <v>1</v>
      </c>
      <c r="K315"/>
      <c r="L315"/>
      <c r="M315"/>
      <c r="N315"/>
      <c r="O315"/>
      <c r="P315"/>
      <c r="Q315"/>
      <c r="R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</row>
    <row r="316" spans="1:41" ht="16.5">
      <c r="A316" s="49"/>
      <c r="B316" s="49"/>
      <c r="C316" s="38" t="s">
        <v>1601</v>
      </c>
      <c r="D316" s="38" t="s">
        <v>1415</v>
      </c>
      <c r="E316" s="45">
        <v>41703</v>
      </c>
      <c r="F316" s="46">
        <v>41761</v>
      </c>
      <c r="G316" s="38">
        <v>1</v>
      </c>
      <c r="H316" s="47">
        <v>1</v>
      </c>
      <c r="I316" s="48">
        <v>1</v>
      </c>
      <c r="K316"/>
      <c r="L316"/>
      <c r="M316"/>
      <c r="N316"/>
      <c r="O316"/>
      <c r="P316"/>
      <c r="Q316"/>
      <c r="R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</row>
    <row r="317" spans="1:41" ht="16.5">
      <c r="A317" s="49"/>
      <c r="B317" s="49"/>
      <c r="C317" s="38" t="s">
        <v>1602</v>
      </c>
      <c r="D317" s="38" t="s">
        <v>1415</v>
      </c>
      <c r="E317" s="45">
        <v>41703</v>
      </c>
      <c r="F317" s="46">
        <v>41758</v>
      </c>
      <c r="G317" s="38">
        <v>1</v>
      </c>
      <c r="H317" s="47">
        <v>1</v>
      </c>
      <c r="I317" s="48">
        <v>1</v>
      </c>
      <c r="K317"/>
      <c r="L317"/>
      <c r="M317"/>
      <c r="N317"/>
      <c r="O317"/>
      <c r="P317"/>
      <c r="Q317"/>
      <c r="R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</row>
    <row r="318" spans="1:41" ht="16.5">
      <c r="A318" s="49"/>
      <c r="B318" s="49"/>
      <c r="C318" s="38" t="s">
        <v>1603</v>
      </c>
      <c r="D318" s="38" t="s">
        <v>1415</v>
      </c>
      <c r="E318" s="45">
        <v>41703</v>
      </c>
      <c r="F318" s="46">
        <v>41761</v>
      </c>
      <c r="G318" s="38">
        <v>1</v>
      </c>
      <c r="H318" s="47">
        <v>1</v>
      </c>
      <c r="I318" s="48">
        <v>1</v>
      </c>
      <c r="K318"/>
      <c r="L318"/>
      <c r="M318"/>
      <c r="N318"/>
      <c r="O318"/>
      <c r="P318"/>
      <c r="Q318"/>
      <c r="R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</row>
    <row r="319" spans="1:41" ht="16.5">
      <c r="A319" s="49"/>
      <c r="B319" s="49"/>
      <c r="C319" s="38" t="s">
        <v>1604</v>
      </c>
      <c r="D319" s="38" t="s">
        <v>1415</v>
      </c>
      <c r="E319" s="45">
        <v>41703</v>
      </c>
      <c r="F319" s="46">
        <v>41758</v>
      </c>
      <c r="G319" s="38">
        <v>1</v>
      </c>
      <c r="H319" s="47">
        <v>1</v>
      </c>
      <c r="I319" s="48">
        <v>1</v>
      </c>
      <c r="K319"/>
      <c r="L319"/>
      <c r="M319"/>
      <c r="N319"/>
      <c r="O319"/>
      <c r="P319"/>
      <c r="Q319"/>
      <c r="R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</row>
    <row r="320" spans="1:41" ht="16.5">
      <c r="A320" s="49"/>
      <c r="B320" s="49"/>
      <c r="C320" s="38" t="s">
        <v>1605</v>
      </c>
      <c r="D320" s="38" t="s">
        <v>1415</v>
      </c>
      <c r="E320" s="45">
        <v>41703</v>
      </c>
      <c r="F320" s="46">
        <v>41758</v>
      </c>
      <c r="G320" s="38">
        <v>1</v>
      </c>
      <c r="H320" s="47">
        <v>1</v>
      </c>
      <c r="I320" s="48">
        <v>1</v>
      </c>
      <c r="K320"/>
      <c r="L320"/>
      <c r="M320"/>
      <c r="N320"/>
      <c r="O320"/>
      <c r="P320"/>
      <c r="Q320"/>
      <c r="R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</row>
    <row r="321" spans="1:41" ht="16.5">
      <c r="A321" s="49"/>
      <c r="B321" s="49"/>
      <c r="C321" s="38" t="s">
        <v>1606</v>
      </c>
      <c r="D321" s="38" t="s">
        <v>1415</v>
      </c>
      <c r="E321" s="45">
        <v>41703</v>
      </c>
      <c r="F321" s="46">
        <v>41745</v>
      </c>
      <c r="G321" s="38">
        <v>1</v>
      </c>
      <c r="H321" s="47">
        <v>1</v>
      </c>
      <c r="I321" s="48">
        <v>1</v>
      </c>
      <c r="K321"/>
      <c r="L321"/>
      <c r="M321"/>
      <c r="N321"/>
      <c r="O321"/>
      <c r="P321"/>
      <c r="Q321"/>
      <c r="R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</row>
    <row r="322" spans="1:41" ht="16.5">
      <c r="A322" s="49"/>
      <c r="B322" s="49"/>
      <c r="C322" s="38" t="s">
        <v>1607</v>
      </c>
      <c r="D322" s="38" t="s">
        <v>1415</v>
      </c>
      <c r="E322" s="45">
        <v>41703</v>
      </c>
      <c r="F322" s="46">
        <v>41745</v>
      </c>
      <c r="G322" s="38">
        <v>1</v>
      </c>
      <c r="H322" s="47">
        <v>1</v>
      </c>
      <c r="I322" s="48">
        <v>1</v>
      </c>
      <c r="K322"/>
      <c r="L322"/>
      <c r="M322"/>
      <c r="N322"/>
      <c r="O322"/>
      <c r="P322"/>
      <c r="Q322"/>
      <c r="R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</row>
    <row r="323" spans="1:41" ht="16.5">
      <c r="A323" s="49"/>
      <c r="B323" s="49"/>
      <c r="C323" s="38" t="s">
        <v>1608</v>
      </c>
      <c r="D323" s="38" t="s">
        <v>1415</v>
      </c>
      <c r="E323" s="45">
        <v>41703</v>
      </c>
      <c r="F323" s="46">
        <v>41745</v>
      </c>
      <c r="G323" s="38">
        <v>1</v>
      </c>
      <c r="H323" s="47">
        <v>1</v>
      </c>
      <c r="I323" s="48">
        <v>1</v>
      </c>
      <c r="K323"/>
      <c r="L323"/>
      <c r="M323"/>
      <c r="N323"/>
      <c r="O323"/>
      <c r="P323"/>
      <c r="Q323"/>
      <c r="R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</row>
    <row r="324" spans="1:41" ht="16.5">
      <c r="A324" s="49"/>
      <c r="B324" s="49"/>
      <c r="C324" s="38" t="s">
        <v>1609</v>
      </c>
      <c r="D324" s="38" t="s">
        <v>1415</v>
      </c>
      <c r="E324" s="45">
        <v>41703</v>
      </c>
      <c r="F324" s="46">
        <v>41751</v>
      </c>
      <c r="G324" s="38">
        <v>1</v>
      </c>
      <c r="H324" s="47">
        <v>1</v>
      </c>
      <c r="I324" s="48">
        <v>1</v>
      </c>
      <c r="K324"/>
      <c r="L324"/>
      <c r="M324"/>
      <c r="N324"/>
      <c r="O324"/>
      <c r="P324"/>
      <c r="Q324"/>
      <c r="R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</row>
    <row r="325" spans="1:41" ht="16.5">
      <c r="A325" s="49"/>
      <c r="B325" s="50" t="s">
        <v>1080</v>
      </c>
      <c r="C325" s="51"/>
      <c r="D325" s="51"/>
      <c r="E325" s="51"/>
      <c r="F325" s="51"/>
      <c r="G325" s="51"/>
      <c r="H325" s="52">
        <v>16</v>
      </c>
      <c r="I325" s="53">
        <v>16</v>
      </c>
      <c r="K325"/>
      <c r="L325"/>
      <c r="M325"/>
      <c r="N325"/>
      <c r="O325"/>
      <c r="P325"/>
      <c r="Q325"/>
      <c r="R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</row>
    <row r="326" spans="1:41" ht="16.5">
      <c r="A326" s="54" t="s">
        <v>1091</v>
      </c>
      <c r="B326" s="55"/>
      <c r="C326" s="55"/>
      <c r="D326" s="55"/>
      <c r="E326" s="55"/>
      <c r="F326" s="55"/>
      <c r="G326" s="55"/>
      <c r="H326" s="56">
        <v>69.5</v>
      </c>
      <c r="I326" s="57">
        <v>69.5</v>
      </c>
      <c r="K326"/>
      <c r="L326"/>
      <c r="M326"/>
      <c r="N326"/>
      <c r="O326"/>
      <c r="P326"/>
      <c r="Q326"/>
      <c r="R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</row>
    <row r="327" spans="1:41" ht="16.5">
      <c r="A327" s="38" t="s">
        <v>61</v>
      </c>
      <c r="B327" s="38" t="s">
        <v>50</v>
      </c>
      <c r="C327" s="38" t="s">
        <v>2088</v>
      </c>
      <c r="D327" s="38" t="s">
        <v>48</v>
      </c>
      <c r="E327" s="45">
        <v>41708</v>
      </c>
      <c r="F327" s="46">
        <v>41774</v>
      </c>
      <c r="G327" s="38">
        <v>0</v>
      </c>
      <c r="H327" s="47">
        <v>1</v>
      </c>
      <c r="I327" s="48">
        <v>0</v>
      </c>
      <c r="K327"/>
      <c r="L327"/>
      <c r="M327"/>
      <c r="N327"/>
      <c r="O327"/>
      <c r="P327"/>
      <c r="Q327"/>
      <c r="R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</row>
    <row r="328" spans="1:41" ht="16.5">
      <c r="A328" s="49"/>
      <c r="B328" s="49"/>
      <c r="C328" s="38" t="s">
        <v>2163</v>
      </c>
      <c r="D328" s="38" t="s">
        <v>48</v>
      </c>
      <c r="E328" s="45">
        <v>41708</v>
      </c>
      <c r="F328" s="46">
        <v>41746</v>
      </c>
      <c r="G328" s="38">
        <v>1</v>
      </c>
      <c r="H328" s="47">
        <v>1</v>
      </c>
      <c r="I328" s="48">
        <v>1</v>
      </c>
      <c r="K328"/>
      <c r="L328"/>
      <c r="M328"/>
      <c r="N328"/>
      <c r="O328"/>
      <c r="P328"/>
      <c r="Q328"/>
      <c r="R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</row>
    <row r="329" spans="1:41" ht="16.5">
      <c r="A329" s="49"/>
      <c r="B329" s="50" t="s">
        <v>855</v>
      </c>
      <c r="C329" s="51"/>
      <c r="D329" s="51"/>
      <c r="E329" s="51"/>
      <c r="F329" s="51"/>
      <c r="G329" s="51"/>
      <c r="H329" s="52">
        <v>2</v>
      </c>
      <c r="I329" s="53">
        <v>1</v>
      </c>
      <c r="K329"/>
      <c r="L329"/>
      <c r="M329"/>
      <c r="N329"/>
      <c r="O329"/>
      <c r="P329"/>
      <c r="Q329"/>
      <c r="R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</row>
    <row r="330" spans="1:41" ht="16.5">
      <c r="A330" s="54" t="s">
        <v>2152</v>
      </c>
      <c r="B330" s="55"/>
      <c r="C330" s="55"/>
      <c r="D330" s="55"/>
      <c r="E330" s="55"/>
      <c r="F330" s="55"/>
      <c r="G330" s="55"/>
      <c r="H330" s="56">
        <v>2</v>
      </c>
      <c r="I330" s="57">
        <v>1</v>
      </c>
      <c r="K330"/>
      <c r="L330"/>
      <c r="M330"/>
      <c r="N330"/>
      <c r="O330"/>
      <c r="P330"/>
      <c r="Q330"/>
      <c r="R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</row>
    <row r="331" spans="1:41" ht="16.5">
      <c r="A331" s="38" t="s">
        <v>1095</v>
      </c>
      <c r="B331" s="38" t="s">
        <v>31</v>
      </c>
      <c r="C331" s="38" t="s">
        <v>1972</v>
      </c>
      <c r="D331" s="38" t="s">
        <v>1120</v>
      </c>
      <c r="E331" s="45">
        <v>41722</v>
      </c>
      <c r="F331" s="46">
        <v>41779</v>
      </c>
      <c r="G331" s="38">
        <v>0</v>
      </c>
      <c r="H331" s="47">
        <v>1</v>
      </c>
      <c r="I331" s="48">
        <v>0</v>
      </c>
      <c r="K331"/>
      <c r="L331"/>
      <c r="M331"/>
      <c r="N331"/>
      <c r="O331"/>
      <c r="P331"/>
      <c r="Q331"/>
      <c r="R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</row>
    <row r="332" spans="1:41" ht="16.5">
      <c r="A332" s="49"/>
      <c r="B332" s="49"/>
      <c r="C332" s="38" t="s">
        <v>1973</v>
      </c>
      <c r="D332" s="38" t="s">
        <v>1120</v>
      </c>
      <c r="E332" s="45">
        <v>41722</v>
      </c>
      <c r="F332" s="46">
        <v>41779</v>
      </c>
      <c r="G332" s="38">
        <v>0</v>
      </c>
      <c r="H332" s="47">
        <v>1</v>
      </c>
      <c r="I332" s="48">
        <v>0</v>
      </c>
      <c r="K332"/>
      <c r="L332"/>
      <c r="M332"/>
      <c r="N332"/>
      <c r="O332"/>
      <c r="P332"/>
      <c r="Q332"/>
      <c r="R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</row>
    <row r="333" spans="1:41" ht="16.5">
      <c r="A333" s="49"/>
      <c r="B333" s="49"/>
      <c r="C333" s="38" t="s">
        <v>1974</v>
      </c>
      <c r="D333" s="38" t="s">
        <v>1120</v>
      </c>
      <c r="E333" s="45">
        <v>41722</v>
      </c>
      <c r="F333" s="46">
        <v>41779</v>
      </c>
      <c r="G333" s="38">
        <v>0</v>
      </c>
      <c r="H333" s="47">
        <v>1</v>
      </c>
      <c r="I333" s="48">
        <v>0</v>
      </c>
      <c r="K333"/>
      <c r="L333"/>
      <c r="M333"/>
      <c r="N333"/>
      <c r="O333"/>
      <c r="P333"/>
      <c r="Q333"/>
      <c r="R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</row>
    <row r="334" spans="1:41" ht="16.5">
      <c r="A334" s="49"/>
      <c r="B334" s="50" t="s">
        <v>1915</v>
      </c>
      <c r="C334" s="51"/>
      <c r="D334" s="51"/>
      <c r="E334" s="51"/>
      <c r="F334" s="51"/>
      <c r="G334" s="51"/>
      <c r="H334" s="52">
        <v>3</v>
      </c>
      <c r="I334" s="53">
        <v>0</v>
      </c>
      <c r="K334"/>
      <c r="L334"/>
      <c r="M334"/>
      <c r="N334"/>
      <c r="O334"/>
      <c r="P334"/>
      <c r="Q334"/>
      <c r="R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</row>
    <row r="335" spans="1:41" ht="16.5">
      <c r="A335" s="54" t="s">
        <v>2028</v>
      </c>
      <c r="B335" s="55"/>
      <c r="C335" s="55"/>
      <c r="D335" s="55"/>
      <c r="E335" s="55"/>
      <c r="F335" s="55"/>
      <c r="G335" s="55"/>
      <c r="H335" s="56">
        <v>3</v>
      </c>
      <c r="I335" s="57">
        <v>0</v>
      </c>
      <c r="K335"/>
      <c r="L335"/>
      <c r="M335"/>
      <c r="N335"/>
      <c r="O335"/>
      <c r="P335"/>
      <c r="Q335"/>
      <c r="R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</row>
    <row r="336" spans="1:41" ht="16.5">
      <c r="A336" s="38" t="s">
        <v>53</v>
      </c>
      <c r="B336" s="38" t="s">
        <v>38</v>
      </c>
      <c r="C336" s="38" t="s">
        <v>1781</v>
      </c>
      <c r="D336" s="38" t="s">
        <v>44</v>
      </c>
      <c r="E336" s="45">
        <v>41703</v>
      </c>
      <c r="F336" s="46">
        <v>41736</v>
      </c>
      <c r="G336" s="38">
        <v>1</v>
      </c>
      <c r="H336" s="47">
        <v>0.5</v>
      </c>
      <c r="I336" s="48">
        <v>1</v>
      </c>
      <c r="K336"/>
      <c r="L336"/>
      <c r="M336"/>
      <c r="N336"/>
      <c r="O336"/>
      <c r="P336"/>
      <c r="Q336"/>
      <c r="R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</row>
    <row r="337" spans="1:41" ht="16.5">
      <c r="A337" s="49"/>
      <c r="B337" s="49"/>
      <c r="C337" s="38" t="s">
        <v>1782</v>
      </c>
      <c r="D337" s="38" t="s">
        <v>44</v>
      </c>
      <c r="E337" s="45">
        <v>41703</v>
      </c>
      <c r="F337" s="46">
        <v>41736</v>
      </c>
      <c r="G337" s="38">
        <v>1</v>
      </c>
      <c r="H337" s="47">
        <v>1</v>
      </c>
      <c r="I337" s="48">
        <v>1</v>
      </c>
      <c r="K337"/>
      <c r="L337"/>
      <c r="M337"/>
      <c r="N337"/>
      <c r="O337"/>
      <c r="P337"/>
      <c r="Q337"/>
      <c r="R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</row>
    <row r="338" spans="1:41" ht="16.5">
      <c r="A338" s="49"/>
      <c r="B338" s="50" t="s">
        <v>853</v>
      </c>
      <c r="C338" s="51"/>
      <c r="D338" s="51"/>
      <c r="E338" s="51"/>
      <c r="F338" s="51"/>
      <c r="G338" s="51"/>
      <c r="H338" s="52">
        <v>1.5</v>
      </c>
      <c r="I338" s="53">
        <v>2</v>
      </c>
      <c r="K338"/>
      <c r="L338"/>
      <c r="M338"/>
      <c r="N338"/>
      <c r="O338"/>
      <c r="P338"/>
      <c r="Q338"/>
      <c r="R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</row>
    <row r="339" spans="1:41" ht="16.5">
      <c r="A339" s="54" t="s">
        <v>1097</v>
      </c>
      <c r="B339" s="55"/>
      <c r="C339" s="55"/>
      <c r="D339" s="55"/>
      <c r="E339" s="55"/>
      <c r="F339" s="55"/>
      <c r="G339" s="55"/>
      <c r="H339" s="56">
        <v>1.5</v>
      </c>
      <c r="I339" s="57">
        <v>2</v>
      </c>
      <c r="K339"/>
      <c r="L339"/>
      <c r="M339"/>
      <c r="N339"/>
      <c r="O339"/>
      <c r="P339"/>
      <c r="Q339"/>
      <c r="R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</row>
    <row r="340" spans="1:41" ht="16.5">
      <c r="A340" s="38" t="s">
        <v>1096</v>
      </c>
      <c r="B340" s="38" t="s">
        <v>50</v>
      </c>
      <c r="C340" s="38" t="s">
        <v>2137</v>
      </c>
      <c r="D340" s="38" t="s">
        <v>48</v>
      </c>
      <c r="E340" s="45">
        <v>41722</v>
      </c>
      <c r="F340" s="46">
        <v>41758</v>
      </c>
      <c r="G340" s="38">
        <v>1</v>
      </c>
      <c r="H340" s="47">
        <v>1</v>
      </c>
      <c r="I340" s="48">
        <v>1</v>
      </c>
      <c r="K340"/>
      <c r="L340"/>
      <c r="M340"/>
      <c r="N340"/>
      <c r="O340"/>
      <c r="P340"/>
      <c r="Q340"/>
      <c r="R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</row>
    <row r="341" spans="1:41" ht="16.5">
      <c r="A341" s="49"/>
      <c r="B341" s="49"/>
      <c r="C341" s="38" t="s">
        <v>2138</v>
      </c>
      <c r="D341" s="38" t="s">
        <v>48</v>
      </c>
      <c r="E341" s="45">
        <v>41722</v>
      </c>
      <c r="F341" s="46">
        <v>41758</v>
      </c>
      <c r="G341" s="38">
        <v>1</v>
      </c>
      <c r="H341" s="47">
        <v>1</v>
      </c>
      <c r="I341" s="48">
        <v>1</v>
      </c>
      <c r="K341"/>
      <c r="L341"/>
      <c r="M341"/>
      <c r="N341"/>
      <c r="O341"/>
      <c r="P341"/>
      <c r="Q341"/>
      <c r="R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</row>
    <row r="342" spans="1:41" ht="16.5">
      <c r="A342" s="49"/>
      <c r="B342" s="49"/>
      <c r="C342" s="38" t="s">
        <v>2139</v>
      </c>
      <c r="D342" s="38" t="s">
        <v>48</v>
      </c>
      <c r="E342" s="45">
        <v>41722</v>
      </c>
      <c r="F342" s="46">
        <v>41768</v>
      </c>
      <c r="G342" s="38">
        <v>1</v>
      </c>
      <c r="H342" s="47">
        <v>1</v>
      </c>
      <c r="I342" s="48">
        <v>1</v>
      </c>
      <c r="K342"/>
      <c r="L342"/>
      <c r="M342"/>
      <c r="N342"/>
      <c r="O342"/>
      <c r="P342"/>
      <c r="Q342"/>
      <c r="R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</row>
    <row r="343" spans="1:41" ht="16.5">
      <c r="A343" s="49"/>
      <c r="B343" s="49"/>
      <c r="C343" s="38" t="s">
        <v>2140</v>
      </c>
      <c r="D343" s="38" t="s">
        <v>48</v>
      </c>
      <c r="E343" s="45">
        <v>41722</v>
      </c>
      <c r="F343" s="46">
        <v>41754</v>
      </c>
      <c r="G343" s="38">
        <v>1</v>
      </c>
      <c r="H343" s="47">
        <v>1</v>
      </c>
      <c r="I343" s="48">
        <v>1</v>
      </c>
      <c r="K343"/>
      <c r="L343"/>
      <c r="M343"/>
      <c r="N343"/>
      <c r="O343"/>
      <c r="P343"/>
      <c r="Q343"/>
      <c r="R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</row>
    <row r="344" spans="1:41" ht="16.5">
      <c r="A344" s="49"/>
      <c r="B344" s="49"/>
      <c r="C344" s="38" t="s">
        <v>2141</v>
      </c>
      <c r="D344" s="38" t="s">
        <v>48</v>
      </c>
      <c r="E344" s="45">
        <v>41722</v>
      </c>
      <c r="F344" s="46">
        <v>41758</v>
      </c>
      <c r="G344" s="38">
        <v>1</v>
      </c>
      <c r="H344" s="47">
        <v>1</v>
      </c>
      <c r="I344" s="48">
        <v>1</v>
      </c>
      <c r="K344"/>
      <c r="L344"/>
      <c r="M344"/>
      <c r="N344"/>
      <c r="O344"/>
      <c r="P344"/>
      <c r="Q344"/>
      <c r="R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</row>
    <row r="345" spans="1:41" ht="16.5">
      <c r="A345" s="49"/>
      <c r="B345" s="49"/>
      <c r="C345" s="38" t="s">
        <v>2142</v>
      </c>
      <c r="D345" s="38" t="s">
        <v>48</v>
      </c>
      <c r="E345" s="45">
        <v>41722</v>
      </c>
      <c r="F345" s="46">
        <v>41758</v>
      </c>
      <c r="G345" s="38">
        <v>1</v>
      </c>
      <c r="H345" s="47">
        <v>1</v>
      </c>
      <c r="I345" s="48">
        <v>1</v>
      </c>
      <c r="K345"/>
      <c r="L345"/>
      <c r="M345"/>
      <c r="N345"/>
      <c r="O345"/>
      <c r="P345"/>
      <c r="Q345"/>
      <c r="R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</row>
    <row r="346" spans="1:41" ht="16.5">
      <c r="A346" s="49"/>
      <c r="B346" s="49"/>
      <c r="C346" s="38" t="s">
        <v>2143</v>
      </c>
      <c r="D346" s="38" t="s">
        <v>48</v>
      </c>
      <c r="E346" s="45">
        <v>41722</v>
      </c>
      <c r="F346" s="46">
        <v>41754</v>
      </c>
      <c r="G346" s="38">
        <v>1</v>
      </c>
      <c r="H346" s="47">
        <v>1</v>
      </c>
      <c r="I346" s="48">
        <v>1</v>
      </c>
      <c r="K346"/>
      <c r="L346"/>
      <c r="M346"/>
      <c r="N346"/>
      <c r="O346"/>
      <c r="P346"/>
      <c r="Q346"/>
      <c r="R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</row>
    <row r="347" spans="1:41" ht="16.5">
      <c r="A347" s="49"/>
      <c r="B347" s="49"/>
      <c r="C347" s="38" t="s">
        <v>2144</v>
      </c>
      <c r="D347" s="38" t="s">
        <v>48</v>
      </c>
      <c r="E347" s="45">
        <v>41722</v>
      </c>
      <c r="F347" s="46">
        <v>41758</v>
      </c>
      <c r="G347" s="38">
        <v>1</v>
      </c>
      <c r="H347" s="47">
        <v>1</v>
      </c>
      <c r="I347" s="48">
        <v>1</v>
      </c>
      <c r="K347"/>
      <c r="L347"/>
      <c r="M347"/>
      <c r="N347"/>
      <c r="O347"/>
      <c r="P347"/>
      <c r="Q347"/>
      <c r="R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</row>
    <row r="348" spans="1:41" ht="16.5">
      <c r="A348" s="49"/>
      <c r="B348" s="49"/>
      <c r="C348" s="38" t="s">
        <v>2145</v>
      </c>
      <c r="D348" s="38" t="s">
        <v>48</v>
      </c>
      <c r="E348" s="45">
        <v>41722</v>
      </c>
      <c r="F348" s="46">
        <v>41754</v>
      </c>
      <c r="G348" s="38">
        <v>1</v>
      </c>
      <c r="H348" s="47">
        <v>1</v>
      </c>
      <c r="I348" s="48">
        <v>1</v>
      </c>
      <c r="K348"/>
      <c r="L348"/>
      <c r="M348"/>
      <c r="N348"/>
      <c r="O348"/>
      <c r="P348"/>
      <c r="Q348"/>
      <c r="R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</row>
    <row r="349" spans="1:41" ht="16.5">
      <c r="A349" s="49"/>
      <c r="B349" s="49"/>
      <c r="C349" s="38" t="s">
        <v>2146</v>
      </c>
      <c r="D349" s="38" t="s">
        <v>48</v>
      </c>
      <c r="E349" s="45">
        <v>41722</v>
      </c>
      <c r="F349" s="46">
        <v>41754</v>
      </c>
      <c r="G349" s="38">
        <v>1</v>
      </c>
      <c r="H349" s="47">
        <v>0.5</v>
      </c>
      <c r="I349" s="48">
        <v>0.5</v>
      </c>
      <c r="K349"/>
      <c r="L349"/>
      <c r="M349"/>
      <c r="N349"/>
      <c r="O349"/>
      <c r="P349"/>
      <c r="Q349"/>
      <c r="R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</row>
    <row r="350" spans="1:41" ht="16.5">
      <c r="A350" s="49"/>
      <c r="B350" s="49"/>
      <c r="C350" s="38" t="s">
        <v>2147</v>
      </c>
      <c r="D350" s="38" t="s">
        <v>48</v>
      </c>
      <c r="E350" s="45">
        <v>41722</v>
      </c>
      <c r="F350" s="46">
        <v>41754</v>
      </c>
      <c r="G350" s="38">
        <v>1</v>
      </c>
      <c r="H350" s="47">
        <v>0.5</v>
      </c>
      <c r="I350" s="48">
        <v>0.5</v>
      </c>
      <c r="K350"/>
      <c r="L350"/>
      <c r="M350"/>
      <c r="N350"/>
      <c r="O350"/>
      <c r="P350"/>
      <c r="Q350"/>
      <c r="R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</row>
    <row r="351" spans="1:41" ht="16.5">
      <c r="A351" s="49"/>
      <c r="B351" s="49"/>
      <c r="C351" s="38" t="s">
        <v>2148</v>
      </c>
      <c r="D351" s="38" t="s">
        <v>49</v>
      </c>
      <c r="E351" s="45">
        <v>41722</v>
      </c>
      <c r="F351" s="46">
        <v>41778</v>
      </c>
      <c r="G351" s="38">
        <v>1</v>
      </c>
      <c r="H351" s="47">
        <v>1</v>
      </c>
      <c r="I351" s="48">
        <v>1</v>
      </c>
      <c r="K351"/>
      <c r="L351"/>
      <c r="M351"/>
      <c r="N351"/>
      <c r="O351"/>
      <c r="P351"/>
      <c r="Q351"/>
      <c r="R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</row>
    <row r="352" spans="1:41" ht="16.5">
      <c r="A352" s="49"/>
      <c r="B352" s="49"/>
      <c r="C352" s="38" t="s">
        <v>2149</v>
      </c>
      <c r="D352" s="38" t="s">
        <v>49</v>
      </c>
      <c r="E352" s="45">
        <v>41722</v>
      </c>
      <c r="F352" s="46">
        <v>41778</v>
      </c>
      <c r="G352" s="38">
        <v>1</v>
      </c>
      <c r="H352" s="47">
        <v>1</v>
      </c>
      <c r="I352" s="48">
        <v>1</v>
      </c>
      <c r="K352"/>
      <c r="L352"/>
      <c r="M352"/>
      <c r="N352"/>
      <c r="O352"/>
      <c r="P352"/>
      <c r="Q352"/>
      <c r="R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</row>
    <row r="353" spans="1:41" ht="16.5">
      <c r="A353" s="49"/>
      <c r="B353" s="49"/>
      <c r="C353" s="38" t="s">
        <v>2150</v>
      </c>
      <c r="D353" s="38" t="s">
        <v>49</v>
      </c>
      <c r="E353" s="45">
        <v>41722</v>
      </c>
      <c r="F353" s="46">
        <v>41778</v>
      </c>
      <c r="G353" s="38">
        <v>0</v>
      </c>
      <c r="H353" s="47">
        <v>1</v>
      </c>
      <c r="I353" s="48">
        <v>0</v>
      </c>
      <c r="K353"/>
      <c r="L353"/>
      <c r="M353"/>
      <c r="N353"/>
      <c r="O353"/>
      <c r="P353"/>
      <c r="Q353"/>
      <c r="R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</row>
    <row r="354" spans="1:41" ht="16.5">
      <c r="A354" s="49"/>
      <c r="B354" s="49"/>
      <c r="C354" s="38" t="s">
        <v>2151</v>
      </c>
      <c r="D354" s="38" t="s">
        <v>49</v>
      </c>
      <c r="E354" s="45">
        <v>41722</v>
      </c>
      <c r="F354" s="46">
        <v>41778</v>
      </c>
      <c r="G354" s="38">
        <v>1</v>
      </c>
      <c r="H354" s="47">
        <v>1</v>
      </c>
      <c r="I354" s="48">
        <v>1</v>
      </c>
      <c r="K354"/>
      <c r="L354"/>
      <c r="M354"/>
      <c r="N354"/>
      <c r="O354"/>
      <c r="P354"/>
      <c r="Q354"/>
      <c r="R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</row>
    <row r="355" spans="1:41" ht="16.5">
      <c r="A355" s="49"/>
      <c r="B355" s="50" t="s">
        <v>855</v>
      </c>
      <c r="C355" s="51"/>
      <c r="D355" s="51"/>
      <c r="E355" s="51"/>
      <c r="F355" s="51"/>
      <c r="G355" s="51"/>
      <c r="H355" s="52">
        <v>14</v>
      </c>
      <c r="I355" s="53">
        <v>13</v>
      </c>
      <c r="K355"/>
      <c r="L355"/>
      <c r="M355"/>
      <c r="N355"/>
      <c r="O355"/>
      <c r="P355"/>
      <c r="Q355"/>
      <c r="R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</row>
    <row r="356" spans="1:41" ht="16.5">
      <c r="A356" s="54" t="s">
        <v>2153</v>
      </c>
      <c r="B356" s="55"/>
      <c r="C356" s="55"/>
      <c r="D356" s="55"/>
      <c r="E356" s="55"/>
      <c r="F356" s="55"/>
      <c r="G356" s="55"/>
      <c r="H356" s="56">
        <v>14</v>
      </c>
      <c r="I356" s="57">
        <v>13</v>
      </c>
      <c r="K356"/>
      <c r="L356"/>
      <c r="M356"/>
      <c r="N356"/>
      <c r="O356"/>
      <c r="P356"/>
      <c r="Q356"/>
      <c r="R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</row>
    <row r="357" spans="1:41" ht="16.5">
      <c r="A357" s="38" t="s">
        <v>1101</v>
      </c>
      <c r="B357" s="38" t="s">
        <v>56</v>
      </c>
      <c r="C357" s="38" t="s">
        <v>2226</v>
      </c>
      <c r="D357" s="38" t="s">
        <v>1415</v>
      </c>
      <c r="E357" s="45">
        <v>41737</v>
      </c>
      <c r="F357" s="46">
        <v>41779</v>
      </c>
      <c r="G357" s="38">
        <v>0</v>
      </c>
      <c r="H357" s="47">
        <v>1</v>
      </c>
      <c r="I357" s="48">
        <v>0</v>
      </c>
      <c r="K357"/>
      <c r="L357"/>
      <c r="M357"/>
      <c r="N357"/>
      <c r="O357"/>
      <c r="P357"/>
      <c r="Q357"/>
      <c r="R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</row>
    <row r="358" spans="1:41" ht="16.5">
      <c r="A358" s="49"/>
      <c r="B358" s="49"/>
      <c r="C358" s="38" t="s">
        <v>2227</v>
      </c>
      <c r="D358" s="38" t="s">
        <v>1415</v>
      </c>
      <c r="E358" s="45">
        <v>41737</v>
      </c>
      <c r="F358" s="46">
        <v>41779</v>
      </c>
      <c r="G358" s="38">
        <v>0</v>
      </c>
      <c r="H358" s="47">
        <v>1</v>
      </c>
      <c r="I358" s="48">
        <v>0</v>
      </c>
      <c r="K358"/>
      <c r="L358"/>
      <c r="M358"/>
      <c r="N358"/>
      <c r="O358"/>
      <c r="P358"/>
      <c r="Q358"/>
      <c r="R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</row>
    <row r="359" spans="1:41" ht="16.5">
      <c r="A359" s="49"/>
      <c r="B359" s="50" t="s">
        <v>1080</v>
      </c>
      <c r="C359" s="51"/>
      <c r="D359" s="51"/>
      <c r="E359" s="51"/>
      <c r="F359" s="51"/>
      <c r="G359" s="51"/>
      <c r="H359" s="52">
        <v>2</v>
      </c>
      <c r="I359" s="53">
        <v>0</v>
      </c>
      <c r="K359"/>
      <c r="L359"/>
      <c r="M359"/>
      <c r="N359"/>
      <c r="O359"/>
      <c r="P359"/>
      <c r="Q359"/>
      <c r="R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</row>
    <row r="360" spans="1:41" ht="16.5">
      <c r="A360" s="49"/>
      <c r="B360" s="38" t="s">
        <v>2116</v>
      </c>
      <c r="C360" s="38" t="s">
        <v>2210</v>
      </c>
      <c r="D360" s="38" t="s">
        <v>792</v>
      </c>
      <c r="E360" s="45">
        <v>41737</v>
      </c>
      <c r="F360" s="46">
        <v>41779</v>
      </c>
      <c r="G360" s="38">
        <v>0</v>
      </c>
      <c r="H360" s="47">
        <v>1</v>
      </c>
      <c r="I360" s="48">
        <v>0</v>
      </c>
      <c r="K360"/>
      <c r="L360"/>
      <c r="M360"/>
      <c r="N360"/>
      <c r="O360"/>
      <c r="P360"/>
      <c r="Q360"/>
      <c r="R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</row>
    <row r="361" spans="1:41" ht="16.5">
      <c r="A361" s="49"/>
      <c r="B361" s="49"/>
      <c r="C361" s="38" t="s">
        <v>2211</v>
      </c>
      <c r="D361" s="38" t="s">
        <v>792</v>
      </c>
      <c r="E361" s="45">
        <v>41737</v>
      </c>
      <c r="F361" s="46">
        <v>41774</v>
      </c>
      <c r="G361" s="38">
        <v>1</v>
      </c>
      <c r="H361" s="47">
        <v>1</v>
      </c>
      <c r="I361" s="48">
        <v>1</v>
      </c>
      <c r="K361"/>
      <c r="L361"/>
      <c r="M361"/>
      <c r="N361"/>
      <c r="O361"/>
      <c r="P361"/>
      <c r="Q361"/>
      <c r="R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</row>
    <row r="362" spans="1:41" ht="16.5">
      <c r="A362" s="49"/>
      <c r="B362" s="49"/>
      <c r="C362" s="38" t="s">
        <v>2212</v>
      </c>
      <c r="D362" s="38" t="s">
        <v>792</v>
      </c>
      <c r="E362" s="45">
        <v>41737</v>
      </c>
      <c r="F362" s="46">
        <v>41767</v>
      </c>
      <c r="G362" s="38">
        <v>1</v>
      </c>
      <c r="H362" s="47">
        <v>1</v>
      </c>
      <c r="I362" s="48">
        <v>1</v>
      </c>
      <c r="K362"/>
      <c r="L362"/>
      <c r="M362"/>
      <c r="N362"/>
      <c r="O362"/>
      <c r="P362"/>
      <c r="Q362"/>
      <c r="R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</row>
    <row r="363" spans="1:41" ht="16.5">
      <c r="A363" s="49"/>
      <c r="B363" s="49"/>
      <c r="C363" s="38" t="s">
        <v>2213</v>
      </c>
      <c r="D363" s="38" t="s">
        <v>792</v>
      </c>
      <c r="E363" s="45">
        <v>41737</v>
      </c>
      <c r="F363" s="46">
        <v>41779</v>
      </c>
      <c r="G363" s="38">
        <v>0</v>
      </c>
      <c r="H363" s="47">
        <v>1</v>
      </c>
      <c r="I363" s="48">
        <v>0</v>
      </c>
      <c r="K363"/>
      <c r="L363"/>
      <c r="M363"/>
      <c r="N363"/>
      <c r="O363"/>
      <c r="P363"/>
      <c r="Q363"/>
      <c r="R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</row>
    <row r="364" spans="1:41" ht="16.5">
      <c r="A364" s="49"/>
      <c r="B364" s="49"/>
      <c r="C364" s="38" t="s">
        <v>2214</v>
      </c>
      <c r="D364" s="38" t="s">
        <v>792</v>
      </c>
      <c r="E364" s="45">
        <v>41737</v>
      </c>
      <c r="F364" s="46">
        <v>41767</v>
      </c>
      <c r="G364" s="38">
        <v>1</v>
      </c>
      <c r="H364" s="47">
        <v>1</v>
      </c>
      <c r="I364" s="48">
        <v>1</v>
      </c>
      <c r="K364"/>
      <c r="L364"/>
      <c r="M364"/>
      <c r="N364"/>
      <c r="O364"/>
      <c r="P364"/>
      <c r="Q364"/>
      <c r="R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</row>
    <row r="365" spans="1:41" ht="16.5">
      <c r="A365" s="49"/>
      <c r="B365" s="49"/>
      <c r="C365" s="38" t="s">
        <v>2215</v>
      </c>
      <c r="D365" s="38" t="s">
        <v>792</v>
      </c>
      <c r="E365" s="45">
        <v>41737</v>
      </c>
      <c r="F365" s="46">
        <v>41779</v>
      </c>
      <c r="G365" s="38">
        <v>0</v>
      </c>
      <c r="H365" s="47">
        <v>1</v>
      </c>
      <c r="I365" s="48">
        <v>0</v>
      </c>
      <c r="K365"/>
      <c r="L365"/>
      <c r="M365"/>
      <c r="N365"/>
      <c r="O365"/>
      <c r="P365"/>
      <c r="Q365"/>
      <c r="R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</row>
    <row r="366" spans="1:41" ht="16.5">
      <c r="A366" s="49"/>
      <c r="B366" s="49"/>
      <c r="C366" s="38" t="s">
        <v>2216</v>
      </c>
      <c r="D366" s="38" t="s">
        <v>792</v>
      </c>
      <c r="E366" s="45">
        <v>41737</v>
      </c>
      <c r="F366" s="46">
        <v>41779</v>
      </c>
      <c r="G366" s="38">
        <v>0</v>
      </c>
      <c r="H366" s="47">
        <v>1</v>
      </c>
      <c r="I366" s="48">
        <v>0</v>
      </c>
      <c r="K366"/>
      <c r="L366"/>
      <c r="M366"/>
      <c r="N366"/>
      <c r="O366"/>
      <c r="P366"/>
      <c r="Q366"/>
      <c r="R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</row>
    <row r="367" spans="1:41" ht="16.5">
      <c r="A367" s="49"/>
      <c r="B367" s="49"/>
      <c r="C367" s="38" t="s">
        <v>2217</v>
      </c>
      <c r="D367" s="38" t="s">
        <v>792</v>
      </c>
      <c r="E367" s="45">
        <v>41737</v>
      </c>
      <c r="F367" s="46">
        <v>41779</v>
      </c>
      <c r="G367" s="38">
        <v>0</v>
      </c>
      <c r="H367" s="47">
        <v>1</v>
      </c>
      <c r="I367" s="48">
        <v>0</v>
      </c>
      <c r="K367"/>
      <c r="L367"/>
      <c r="M367"/>
      <c r="N367"/>
      <c r="O367"/>
      <c r="P367"/>
      <c r="Q367"/>
      <c r="R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</row>
    <row r="368" spans="1:41" ht="16.5">
      <c r="A368" s="49"/>
      <c r="B368" s="49"/>
      <c r="C368" s="38" t="s">
        <v>2218</v>
      </c>
      <c r="D368" s="38" t="s">
        <v>792</v>
      </c>
      <c r="E368" s="45">
        <v>41737</v>
      </c>
      <c r="F368" s="46">
        <v>41774</v>
      </c>
      <c r="G368" s="38">
        <v>1</v>
      </c>
      <c r="H368" s="47">
        <v>1</v>
      </c>
      <c r="I368" s="48">
        <v>1</v>
      </c>
      <c r="K368"/>
      <c r="L368"/>
      <c r="M368"/>
      <c r="N368"/>
      <c r="O368"/>
      <c r="P368"/>
      <c r="Q368"/>
      <c r="R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</row>
    <row r="369" spans="1:41" ht="16.5">
      <c r="A369" s="49"/>
      <c r="B369" s="49"/>
      <c r="C369" s="38" t="s">
        <v>2219</v>
      </c>
      <c r="D369" s="38" t="s">
        <v>792</v>
      </c>
      <c r="E369" s="45">
        <v>41737</v>
      </c>
      <c r="F369" s="46">
        <v>41774</v>
      </c>
      <c r="G369" s="38">
        <v>1</v>
      </c>
      <c r="H369" s="47">
        <v>1</v>
      </c>
      <c r="I369" s="48">
        <v>1</v>
      </c>
      <c r="K369"/>
      <c r="L369"/>
      <c r="M369"/>
      <c r="N369"/>
      <c r="O369"/>
      <c r="P369"/>
      <c r="Q369"/>
      <c r="R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</row>
    <row r="370" spans="1:41" ht="16.5">
      <c r="A370" s="49"/>
      <c r="B370" s="49"/>
      <c r="C370" s="38" t="s">
        <v>2220</v>
      </c>
      <c r="D370" s="38" t="s">
        <v>792</v>
      </c>
      <c r="E370" s="45">
        <v>41737</v>
      </c>
      <c r="F370" s="46">
        <v>41779</v>
      </c>
      <c r="G370" s="38">
        <v>0</v>
      </c>
      <c r="H370" s="47">
        <v>1</v>
      </c>
      <c r="I370" s="48">
        <v>0</v>
      </c>
      <c r="K370"/>
      <c r="L370"/>
      <c r="M370"/>
      <c r="N370"/>
      <c r="O370"/>
      <c r="P370"/>
      <c r="Q370"/>
      <c r="R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</row>
    <row r="371" spans="1:41" ht="16.5">
      <c r="A371" s="49"/>
      <c r="B371" s="49"/>
      <c r="C371" s="38" t="s">
        <v>2221</v>
      </c>
      <c r="D371" s="38" t="s">
        <v>792</v>
      </c>
      <c r="E371" s="45">
        <v>41737</v>
      </c>
      <c r="F371" s="46">
        <v>41774</v>
      </c>
      <c r="G371" s="38">
        <v>1</v>
      </c>
      <c r="H371" s="47">
        <v>1</v>
      </c>
      <c r="I371" s="48">
        <v>1</v>
      </c>
      <c r="K371"/>
      <c r="L371"/>
      <c r="M371"/>
      <c r="N371"/>
      <c r="O371"/>
      <c r="P371"/>
      <c r="Q371"/>
      <c r="R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</row>
    <row r="372" spans="1:41" ht="16.5">
      <c r="A372" s="49"/>
      <c r="B372" s="49"/>
      <c r="C372" s="38" t="s">
        <v>2222</v>
      </c>
      <c r="D372" s="38" t="s">
        <v>792</v>
      </c>
      <c r="E372" s="45">
        <v>41737</v>
      </c>
      <c r="F372" s="46">
        <v>41774</v>
      </c>
      <c r="G372" s="38">
        <v>1</v>
      </c>
      <c r="H372" s="47">
        <v>1</v>
      </c>
      <c r="I372" s="48">
        <v>1</v>
      </c>
      <c r="K372"/>
      <c r="L372"/>
      <c r="M372"/>
      <c r="N372"/>
      <c r="O372"/>
      <c r="P372"/>
      <c r="Q372"/>
      <c r="R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</row>
    <row r="373" spans="1:41" ht="16.5">
      <c r="A373" s="49"/>
      <c r="B373" s="49"/>
      <c r="C373" s="38" t="s">
        <v>2223</v>
      </c>
      <c r="D373" s="38" t="s">
        <v>792</v>
      </c>
      <c r="E373" s="45">
        <v>41737</v>
      </c>
      <c r="F373" s="46">
        <v>41779</v>
      </c>
      <c r="G373" s="38">
        <v>0</v>
      </c>
      <c r="H373" s="47">
        <v>1</v>
      </c>
      <c r="I373" s="48">
        <v>0</v>
      </c>
      <c r="K373"/>
      <c r="L373"/>
      <c r="M373"/>
      <c r="N373"/>
      <c r="O373"/>
      <c r="P373"/>
      <c r="Q373"/>
      <c r="R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</row>
    <row r="374" spans="1:41" ht="16.5">
      <c r="A374" s="49"/>
      <c r="B374" s="49"/>
      <c r="C374" s="38" t="s">
        <v>2224</v>
      </c>
      <c r="D374" s="38" t="s">
        <v>792</v>
      </c>
      <c r="E374" s="45">
        <v>41737</v>
      </c>
      <c r="F374" s="46">
        <v>41779</v>
      </c>
      <c r="G374" s="38">
        <v>0</v>
      </c>
      <c r="H374" s="47">
        <v>1</v>
      </c>
      <c r="I374" s="48">
        <v>0</v>
      </c>
      <c r="K374"/>
      <c r="L374"/>
      <c r="M374"/>
      <c r="N374"/>
      <c r="O374"/>
      <c r="P374"/>
      <c r="Q374"/>
      <c r="R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</row>
    <row r="375" spans="1:41" ht="16.5">
      <c r="A375" s="49"/>
      <c r="B375" s="49"/>
      <c r="C375" s="38" t="s">
        <v>2225</v>
      </c>
      <c r="D375" s="38" t="s">
        <v>49</v>
      </c>
      <c r="E375" s="45">
        <v>41737</v>
      </c>
      <c r="F375" s="46">
        <v>41779</v>
      </c>
      <c r="G375" s="38">
        <v>0</v>
      </c>
      <c r="H375" s="47">
        <v>1</v>
      </c>
      <c r="I375" s="48">
        <v>0</v>
      </c>
      <c r="K375"/>
      <c r="L375"/>
      <c r="M375"/>
      <c r="N375"/>
      <c r="O375"/>
      <c r="P375"/>
      <c r="Q375"/>
      <c r="R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</row>
    <row r="376" spans="1:41" ht="16.5">
      <c r="A376" s="49"/>
      <c r="B376" s="49"/>
      <c r="C376" s="38" t="s">
        <v>2228</v>
      </c>
      <c r="D376" s="38" t="s">
        <v>49</v>
      </c>
      <c r="E376" s="45">
        <v>41743</v>
      </c>
      <c r="F376" s="46">
        <v>41754</v>
      </c>
      <c r="G376" s="38">
        <v>0</v>
      </c>
      <c r="H376" s="47">
        <v>1</v>
      </c>
      <c r="I376" s="48">
        <v>0</v>
      </c>
      <c r="K376"/>
      <c r="L376"/>
      <c r="M376"/>
      <c r="N376"/>
      <c r="O376"/>
      <c r="P376"/>
      <c r="Q376"/>
      <c r="R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</row>
    <row r="377" spans="1:41" ht="16.5">
      <c r="A377" s="49"/>
      <c r="B377" s="49"/>
      <c r="C377" s="38" t="s">
        <v>2229</v>
      </c>
      <c r="D377" s="38" t="s">
        <v>49</v>
      </c>
      <c r="E377" s="45">
        <v>41743</v>
      </c>
      <c r="F377" s="46">
        <v>41754</v>
      </c>
      <c r="G377" s="38">
        <v>0</v>
      </c>
      <c r="H377" s="47">
        <v>1</v>
      </c>
      <c r="I377" s="48">
        <v>0</v>
      </c>
      <c r="K377"/>
      <c r="L377"/>
      <c r="M377"/>
      <c r="N377"/>
      <c r="O377"/>
      <c r="P377"/>
      <c r="Q377"/>
      <c r="R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</row>
    <row r="378" spans="1:41" ht="16.5">
      <c r="A378" s="49"/>
      <c r="B378" s="50" t="s">
        <v>2158</v>
      </c>
      <c r="C378" s="51"/>
      <c r="D378" s="51"/>
      <c r="E378" s="51"/>
      <c r="F378" s="51"/>
      <c r="G378" s="51"/>
      <c r="H378" s="52">
        <v>18</v>
      </c>
      <c r="I378" s="53">
        <v>7</v>
      </c>
      <c r="K378"/>
      <c r="L378"/>
      <c r="M378"/>
      <c r="N378"/>
      <c r="O378"/>
      <c r="P378"/>
      <c r="Q378"/>
      <c r="R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</row>
    <row r="379" spans="1:41" ht="16.5">
      <c r="A379" s="54" t="s">
        <v>1550</v>
      </c>
      <c r="B379" s="55"/>
      <c r="C379" s="55"/>
      <c r="D379" s="55"/>
      <c r="E379" s="55"/>
      <c r="F379" s="55"/>
      <c r="G379" s="55"/>
      <c r="H379" s="56">
        <v>20</v>
      </c>
      <c r="I379" s="57">
        <v>7</v>
      </c>
      <c r="K379"/>
      <c r="L379"/>
      <c r="M379"/>
      <c r="N379"/>
      <c r="O379"/>
      <c r="P379"/>
      <c r="Q379"/>
      <c r="R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</row>
    <row r="380" spans="1:41" ht="16.5">
      <c r="A380" s="38" t="s">
        <v>46</v>
      </c>
      <c r="B380" s="38" t="s">
        <v>38</v>
      </c>
      <c r="C380" s="38" t="s">
        <v>1930</v>
      </c>
      <c r="D380" s="38" t="s">
        <v>44</v>
      </c>
      <c r="E380" s="45">
        <v>41718</v>
      </c>
      <c r="F380" s="46">
        <v>41746</v>
      </c>
      <c r="G380" s="38">
        <v>1</v>
      </c>
      <c r="H380" s="47">
        <v>1</v>
      </c>
      <c r="I380" s="48">
        <v>1</v>
      </c>
      <c r="K380"/>
      <c r="L380"/>
      <c r="M380"/>
      <c r="N380"/>
      <c r="O380"/>
      <c r="P380"/>
      <c r="Q380"/>
      <c r="R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</row>
    <row r="381" spans="1:41" ht="16.5">
      <c r="A381" s="49"/>
      <c r="B381" s="50" t="s">
        <v>853</v>
      </c>
      <c r="C381" s="51"/>
      <c r="D381" s="51"/>
      <c r="E381" s="51"/>
      <c r="F381" s="51"/>
      <c r="G381" s="51"/>
      <c r="H381" s="52">
        <v>1</v>
      </c>
      <c r="I381" s="53">
        <v>1</v>
      </c>
      <c r="K381"/>
      <c r="L381"/>
      <c r="M381"/>
      <c r="N381"/>
      <c r="O381"/>
      <c r="P381"/>
      <c r="Q381"/>
      <c r="R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</row>
    <row r="382" spans="1:41" ht="16.5">
      <c r="A382" s="49"/>
      <c r="B382" s="38" t="s">
        <v>35</v>
      </c>
      <c r="C382" s="38" t="s">
        <v>1931</v>
      </c>
      <c r="D382" s="38" t="s">
        <v>44</v>
      </c>
      <c r="E382" s="45">
        <v>41718</v>
      </c>
      <c r="F382" s="46">
        <v>41746</v>
      </c>
      <c r="G382" s="38">
        <v>1</v>
      </c>
      <c r="H382" s="47">
        <v>1</v>
      </c>
      <c r="I382" s="48">
        <v>1</v>
      </c>
      <c r="K382"/>
      <c r="L382"/>
      <c r="M382"/>
      <c r="N382"/>
      <c r="O382"/>
      <c r="P382"/>
      <c r="Q382"/>
      <c r="R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</row>
    <row r="383" spans="1:41" ht="16.5">
      <c r="A383" s="49"/>
      <c r="B383" s="49"/>
      <c r="C383" s="38" t="s">
        <v>1932</v>
      </c>
      <c r="D383" s="38" t="s">
        <v>44</v>
      </c>
      <c r="E383" s="45">
        <v>41718</v>
      </c>
      <c r="F383" s="46">
        <v>41746</v>
      </c>
      <c r="G383" s="38">
        <v>1</v>
      </c>
      <c r="H383" s="47">
        <v>1</v>
      </c>
      <c r="I383" s="48">
        <v>1</v>
      </c>
      <c r="K383"/>
      <c r="L383"/>
      <c r="M383"/>
      <c r="N383"/>
      <c r="O383"/>
      <c r="P383"/>
      <c r="Q383"/>
      <c r="R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</row>
    <row r="384" spans="1:41" ht="16.5">
      <c r="A384" s="49"/>
      <c r="B384" s="50" t="s">
        <v>1347</v>
      </c>
      <c r="C384" s="51"/>
      <c r="D384" s="51"/>
      <c r="E384" s="51"/>
      <c r="F384" s="51"/>
      <c r="G384" s="51"/>
      <c r="H384" s="52">
        <v>2</v>
      </c>
      <c r="I384" s="53">
        <v>2</v>
      </c>
      <c r="K384"/>
      <c r="L384"/>
      <c r="M384"/>
      <c r="N384"/>
      <c r="O384"/>
      <c r="P384"/>
      <c r="Q384"/>
      <c r="R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</row>
    <row r="385" spans="1:41" ht="16.5">
      <c r="A385" s="54" t="s">
        <v>1541</v>
      </c>
      <c r="B385" s="55"/>
      <c r="C385" s="55"/>
      <c r="D385" s="55"/>
      <c r="E385" s="55"/>
      <c r="F385" s="55"/>
      <c r="G385" s="55"/>
      <c r="H385" s="56">
        <v>3</v>
      </c>
      <c r="I385" s="57">
        <v>3</v>
      </c>
      <c r="K385"/>
      <c r="L385"/>
      <c r="M385"/>
      <c r="N385"/>
      <c r="O385"/>
      <c r="P385"/>
      <c r="Q385"/>
      <c r="R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</row>
    <row r="386" spans="1:41" ht="16.5">
      <c r="A386" s="38" t="s">
        <v>2006</v>
      </c>
      <c r="B386" s="38" t="s">
        <v>50</v>
      </c>
      <c r="C386" s="38" t="s">
        <v>2007</v>
      </c>
      <c r="D386" s="38" t="s">
        <v>49</v>
      </c>
      <c r="E386" s="45">
        <v>41701</v>
      </c>
      <c r="F386" s="46">
        <v>41716</v>
      </c>
      <c r="G386" s="38">
        <v>0.5</v>
      </c>
      <c r="H386" s="47">
        <v>0.5</v>
      </c>
      <c r="I386" s="48">
        <v>0.5</v>
      </c>
      <c r="K386"/>
      <c r="L386"/>
      <c r="M386"/>
      <c r="N386"/>
      <c r="O386"/>
      <c r="P386"/>
      <c r="Q386"/>
      <c r="R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</row>
    <row r="387" spans="1:41" ht="16.5">
      <c r="A387" s="49"/>
      <c r="B387" s="49"/>
      <c r="C387" s="38" t="s">
        <v>2008</v>
      </c>
      <c r="D387" s="38" t="s">
        <v>49</v>
      </c>
      <c r="E387" s="45">
        <v>41701</v>
      </c>
      <c r="F387" s="46">
        <v>41716</v>
      </c>
      <c r="G387" s="38">
        <v>0.5</v>
      </c>
      <c r="H387" s="47">
        <v>0.5</v>
      </c>
      <c r="I387" s="48">
        <v>0.5</v>
      </c>
      <c r="K387"/>
      <c r="L387"/>
      <c r="M387"/>
      <c r="N387"/>
      <c r="O387"/>
      <c r="P387"/>
      <c r="Q387"/>
      <c r="R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</row>
    <row r="388" spans="1:41" ht="16.5">
      <c r="A388" s="49"/>
      <c r="B388" s="49"/>
      <c r="C388" s="38" t="s">
        <v>2012</v>
      </c>
      <c r="D388" s="38" t="s">
        <v>49</v>
      </c>
      <c r="E388" s="45">
        <v>41701</v>
      </c>
      <c r="F388" s="46">
        <v>41716</v>
      </c>
      <c r="G388" s="38">
        <v>0.5</v>
      </c>
      <c r="H388" s="47">
        <v>0.5</v>
      </c>
      <c r="I388" s="48">
        <v>0.5</v>
      </c>
      <c r="K388"/>
      <c r="L388"/>
      <c r="M388"/>
      <c r="N388"/>
      <c r="O388"/>
      <c r="P388"/>
      <c r="Q388"/>
      <c r="R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</row>
    <row r="389" spans="1:41" ht="16.5">
      <c r="A389" s="49"/>
      <c r="B389" s="50" t="s">
        <v>855</v>
      </c>
      <c r="C389" s="51"/>
      <c r="D389" s="51"/>
      <c r="E389" s="51"/>
      <c r="F389" s="51"/>
      <c r="G389" s="51"/>
      <c r="H389" s="52">
        <v>1.5</v>
      </c>
      <c r="I389" s="53">
        <v>1.5</v>
      </c>
      <c r="K389"/>
      <c r="L389"/>
      <c r="M389"/>
      <c r="N389"/>
      <c r="O389"/>
      <c r="P389"/>
      <c r="Q389"/>
      <c r="R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</row>
    <row r="390" spans="1:41" ht="16.5">
      <c r="A390" s="54" t="s">
        <v>2027</v>
      </c>
      <c r="B390" s="55"/>
      <c r="C390" s="55"/>
      <c r="D390" s="55"/>
      <c r="E390" s="55"/>
      <c r="F390" s="55"/>
      <c r="G390" s="55"/>
      <c r="H390" s="56">
        <v>1.5</v>
      </c>
      <c r="I390" s="57">
        <v>1.5</v>
      </c>
      <c r="K390"/>
      <c r="L390"/>
      <c r="M390"/>
      <c r="N390"/>
      <c r="O390"/>
      <c r="P390"/>
      <c r="Q390"/>
      <c r="R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</row>
    <row r="391" spans="1:41" ht="16.5">
      <c r="A391" s="38" t="s">
        <v>1677</v>
      </c>
      <c r="B391" s="38" t="s">
        <v>38</v>
      </c>
      <c r="C391" s="38" t="s">
        <v>1777</v>
      </c>
      <c r="D391" s="38" t="s">
        <v>44</v>
      </c>
      <c r="E391" s="45">
        <v>41703</v>
      </c>
      <c r="F391" s="46">
        <v>41744</v>
      </c>
      <c r="G391" s="38">
        <v>1</v>
      </c>
      <c r="H391" s="47">
        <v>1</v>
      </c>
      <c r="I391" s="48">
        <v>1</v>
      </c>
      <c r="K391"/>
      <c r="L391"/>
      <c r="M391"/>
      <c r="N391"/>
      <c r="O391"/>
      <c r="P391"/>
      <c r="Q391"/>
      <c r="R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</row>
    <row r="392" spans="1:41" ht="16.5">
      <c r="A392" s="49"/>
      <c r="B392" s="49"/>
      <c r="C392" s="38" t="s">
        <v>1778</v>
      </c>
      <c r="D392" s="38" t="s">
        <v>44</v>
      </c>
      <c r="E392" s="45">
        <v>41703</v>
      </c>
      <c r="F392" s="46">
        <v>41744</v>
      </c>
      <c r="G392" s="38">
        <v>1</v>
      </c>
      <c r="H392" s="47">
        <v>1</v>
      </c>
      <c r="I392" s="48">
        <v>1</v>
      </c>
      <c r="K392"/>
      <c r="L392"/>
      <c r="M392"/>
      <c r="N392"/>
      <c r="O392"/>
      <c r="P392"/>
      <c r="Q392"/>
      <c r="R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</row>
    <row r="393" spans="1:41" ht="16.5">
      <c r="A393" s="49"/>
      <c r="B393" s="49"/>
      <c r="C393" s="38" t="s">
        <v>1779</v>
      </c>
      <c r="D393" s="38" t="s">
        <v>44</v>
      </c>
      <c r="E393" s="45">
        <v>41703</v>
      </c>
      <c r="F393" s="46">
        <v>41744</v>
      </c>
      <c r="G393" s="38">
        <v>1</v>
      </c>
      <c r="H393" s="47">
        <v>1</v>
      </c>
      <c r="I393" s="48">
        <v>1</v>
      </c>
      <c r="K393"/>
      <c r="L393"/>
      <c r="M393"/>
      <c r="N393"/>
      <c r="O393"/>
      <c r="P393"/>
      <c r="Q393"/>
      <c r="R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</row>
    <row r="394" spans="1:41" ht="16.5">
      <c r="A394" s="49"/>
      <c r="B394" s="49"/>
      <c r="C394" s="38" t="s">
        <v>1780</v>
      </c>
      <c r="D394" s="38" t="s">
        <v>44</v>
      </c>
      <c r="E394" s="45">
        <v>41703</v>
      </c>
      <c r="F394" s="46">
        <v>41744</v>
      </c>
      <c r="G394" s="38">
        <v>1</v>
      </c>
      <c r="H394" s="47">
        <v>1</v>
      </c>
      <c r="I394" s="48">
        <v>1</v>
      </c>
      <c r="K394"/>
      <c r="L394"/>
      <c r="M394"/>
      <c r="N394"/>
      <c r="O394"/>
      <c r="P394"/>
      <c r="Q394"/>
      <c r="R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</row>
    <row r="395" spans="1:41" ht="16.5">
      <c r="A395" s="49"/>
      <c r="B395" s="49"/>
      <c r="C395" s="38" t="s">
        <v>1942</v>
      </c>
      <c r="D395" s="38" t="s">
        <v>44</v>
      </c>
      <c r="E395" s="45">
        <v>41716</v>
      </c>
      <c r="F395" s="46">
        <v>41744</v>
      </c>
      <c r="G395" s="38">
        <v>1</v>
      </c>
      <c r="H395" s="47">
        <v>1</v>
      </c>
      <c r="I395" s="48">
        <v>1</v>
      </c>
      <c r="K395"/>
      <c r="L395"/>
      <c r="M395"/>
      <c r="N395"/>
      <c r="O395"/>
      <c r="P395"/>
      <c r="Q395"/>
      <c r="R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</row>
    <row r="396" spans="1:41" ht="16.5">
      <c r="A396" s="49"/>
      <c r="B396" s="49"/>
      <c r="C396" s="38" t="s">
        <v>1943</v>
      </c>
      <c r="D396" s="38" t="s">
        <v>44</v>
      </c>
      <c r="E396" s="45">
        <v>41716</v>
      </c>
      <c r="F396" s="46">
        <v>41744</v>
      </c>
      <c r="G396" s="38">
        <v>1</v>
      </c>
      <c r="H396" s="47">
        <v>1</v>
      </c>
      <c r="I396" s="48">
        <v>1</v>
      </c>
      <c r="K396"/>
      <c r="L396"/>
      <c r="M396"/>
      <c r="N396"/>
      <c r="O396"/>
      <c r="P396"/>
      <c r="Q396"/>
      <c r="R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</row>
    <row r="397" spans="1:41" ht="16.5">
      <c r="A397" s="49"/>
      <c r="B397" s="50" t="s">
        <v>853</v>
      </c>
      <c r="C397" s="51"/>
      <c r="D397" s="51"/>
      <c r="E397" s="51"/>
      <c r="F397" s="51"/>
      <c r="G397" s="51"/>
      <c r="H397" s="52">
        <v>6</v>
      </c>
      <c r="I397" s="53">
        <v>6</v>
      </c>
      <c r="K397"/>
      <c r="L397"/>
      <c r="M397"/>
      <c r="N397"/>
      <c r="O397"/>
      <c r="P397"/>
      <c r="Q397"/>
      <c r="R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</row>
    <row r="398" spans="1:41" ht="16.5">
      <c r="A398" s="49"/>
      <c r="B398" s="38" t="s">
        <v>35</v>
      </c>
      <c r="C398" s="38" t="s">
        <v>2062</v>
      </c>
      <c r="D398" s="38" t="s">
        <v>44</v>
      </c>
      <c r="E398" s="45">
        <v>41736</v>
      </c>
      <c r="F398" s="46">
        <v>41759</v>
      </c>
      <c r="G398" s="38">
        <v>1</v>
      </c>
      <c r="H398" s="47">
        <v>1</v>
      </c>
      <c r="I398" s="48">
        <v>1</v>
      </c>
      <c r="K398"/>
      <c r="L398"/>
      <c r="M398"/>
      <c r="N398"/>
      <c r="O398"/>
      <c r="P398"/>
      <c r="Q398"/>
      <c r="R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</row>
    <row r="399" spans="1:41" ht="16.5">
      <c r="A399" s="49"/>
      <c r="B399" s="49"/>
      <c r="C399" s="38" t="s">
        <v>2063</v>
      </c>
      <c r="D399" s="38" t="s">
        <v>44</v>
      </c>
      <c r="E399" s="45">
        <v>41736</v>
      </c>
      <c r="F399" s="46">
        <v>41759</v>
      </c>
      <c r="G399" s="38">
        <v>1</v>
      </c>
      <c r="H399" s="47">
        <v>1</v>
      </c>
      <c r="I399" s="48">
        <v>1</v>
      </c>
      <c r="K399"/>
      <c r="L399"/>
      <c r="M399"/>
      <c r="N399"/>
      <c r="O399"/>
      <c r="P399"/>
      <c r="Q399"/>
      <c r="R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</row>
    <row r="400" spans="1:41" ht="16.5">
      <c r="A400" s="49"/>
      <c r="B400" s="50" t="s">
        <v>1347</v>
      </c>
      <c r="C400" s="51"/>
      <c r="D400" s="51"/>
      <c r="E400" s="51"/>
      <c r="F400" s="51"/>
      <c r="G400" s="51"/>
      <c r="H400" s="52">
        <v>2</v>
      </c>
      <c r="I400" s="53">
        <v>2</v>
      </c>
      <c r="K400"/>
      <c r="L400"/>
      <c r="M400"/>
      <c r="N400"/>
      <c r="O400"/>
      <c r="P400"/>
      <c r="Q400"/>
      <c r="R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</row>
    <row r="401" spans="1:41" ht="16.5">
      <c r="A401" s="49"/>
      <c r="B401" s="38" t="s">
        <v>56</v>
      </c>
      <c r="C401" s="38" t="s">
        <v>2058</v>
      </c>
      <c r="D401" s="38" t="s">
        <v>6</v>
      </c>
      <c r="E401" s="45">
        <v>41736</v>
      </c>
      <c r="F401" s="46">
        <v>41761</v>
      </c>
      <c r="G401" s="38">
        <v>1</v>
      </c>
      <c r="H401" s="47">
        <v>0.33333333333333331</v>
      </c>
      <c r="I401" s="48">
        <v>0.5</v>
      </c>
      <c r="K401"/>
      <c r="L401"/>
      <c r="M401"/>
      <c r="N401"/>
      <c r="O401"/>
      <c r="P401"/>
      <c r="Q401"/>
      <c r="R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</row>
    <row r="402" spans="1:41" ht="16.5">
      <c r="A402" s="49"/>
      <c r="B402" s="49"/>
      <c r="C402" s="49"/>
      <c r="D402" s="38" t="s">
        <v>1120</v>
      </c>
      <c r="E402" s="45">
        <v>41736</v>
      </c>
      <c r="F402" s="46">
        <v>38137</v>
      </c>
      <c r="G402" s="38">
        <v>0</v>
      </c>
      <c r="H402" s="47">
        <v>0.33333333333333331</v>
      </c>
      <c r="I402" s="48">
        <v>0</v>
      </c>
      <c r="K402"/>
      <c r="L402"/>
      <c r="M402"/>
      <c r="N402"/>
      <c r="O402"/>
      <c r="P402"/>
      <c r="Q402"/>
      <c r="R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</row>
    <row r="403" spans="1:41" ht="16.5">
      <c r="A403" s="49"/>
      <c r="B403" s="49"/>
      <c r="C403" s="49"/>
      <c r="D403" s="38" t="s">
        <v>1434</v>
      </c>
      <c r="E403" s="45">
        <v>41748</v>
      </c>
      <c r="F403" s="363" t="s">
        <v>1959</v>
      </c>
      <c r="G403" s="38">
        <v>1</v>
      </c>
      <c r="H403" s="47">
        <v>0.33333333333333331</v>
      </c>
      <c r="I403" s="48">
        <v>0.5</v>
      </c>
      <c r="K403"/>
      <c r="L403"/>
      <c r="M403"/>
      <c r="N403"/>
      <c r="O403"/>
      <c r="P403"/>
      <c r="Q403"/>
      <c r="R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</row>
    <row r="404" spans="1:41" ht="16.5">
      <c r="A404" s="49"/>
      <c r="B404" s="49"/>
      <c r="C404" s="38" t="s">
        <v>2059</v>
      </c>
      <c r="D404" s="38" t="s">
        <v>6</v>
      </c>
      <c r="E404" s="45">
        <v>41736</v>
      </c>
      <c r="F404" s="46">
        <v>41761</v>
      </c>
      <c r="G404" s="38">
        <v>1</v>
      </c>
      <c r="H404" s="47">
        <v>0.33333333333333331</v>
      </c>
      <c r="I404" s="48">
        <v>0.5</v>
      </c>
      <c r="K404"/>
      <c r="L404"/>
      <c r="M404"/>
      <c r="N404"/>
      <c r="O404"/>
      <c r="P404"/>
      <c r="Q404"/>
      <c r="R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</row>
    <row r="405" spans="1:41" ht="16.5">
      <c r="A405" s="49"/>
      <c r="B405" s="49"/>
      <c r="C405" s="49"/>
      <c r="D405" s="38" t="s">
        <v>1120</v>
      </c>
      <c r="E405" s="45">
        <v>41736</v>
      </c>
      <c r="F405" s="46">
        <v>38137</v>
      </c>
      <c r="G405" s="38">
        <v>0</v>
      </c>
      <c r="H405" s="47">
        <v>0.33333333333333331</v>
      </c>
      <c r="I405" s="48">
        <v>0</v>
      </c>
      <c r="K405"/>
      <c r="L405"/>
      <c r="M405"/>
      <c r="N405"/>
      <c r="O405"/>
      <c r="P405"/>
      <c r="Q405"/>
      <c r="R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</row>
    <row r="406" spans="1:41" ht="16.5">
      <c r="A406" s="49"/>
      <c r="B406" s="49"/>
      <c r="C406" s="49"/>
      <c r="D406" s="38" t="s">
        <v>1434</v>
      </c>
      <c r="E406" s="45">
        <v>41748</v>
      </c>
      <c r="F406" s="363" t="s">
        <v>1959</v>
      </c>
      <c r="G406" s="38">
        <v>1</v>
      </c>
      <c r="H406" s="47">
        <v>0.33333333333333331</v>
      </c>
      <c r="I406" s="48">
        <v>0.5</v>
      </c>
      <c r="K406"/>
      <c r="L406"/>
      <c r="M406"/>
      <c r="N406"/>
      <c r="O406"/>
      <c r="P406"/>
      <c r="Q406"/>
      <c r="R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</row>
    <row r="407" spans="1:41" ht="16.5">
      <c r="A407" s="49"/>
      <c r="B407" s="49"/>
      <c r="C407" s="38" t="s">
        <v>2060</v>
      </c>
      <c r="D407" s="38" t="s">
        <v>6</v>
      </c>
      <c r="E407" s="45">
        <v>41736</v>
      </c>
      <c r="F407" s="46">
        <v>41768</v>
      </c>
      <c r="G407" s="38">
        <v>1</v>
      </c>
      <c r="H407" s="47">
        <v>0.33333333333333331</v>
      </c>
      <c r="I407" s="48">
        <v>0.5</v>
      </c>
      <c r="K407"/>
      <c r="L407"/>
      <c r="M407"/>
      <c r="N407"/>
      <c r="O407"/>
      <c r="P407"/>
      <c r="Q407"/>
      <c r="R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</row>
    <row r="408" spans="1:41" ht="16.5">
      <c r="A408" s="49"/>
      <c r="B408" s="49"/>
      <c r="C408" s="49"/>
      <c r="D408" s="38" t="s">
        <v>1120</v>
      </c>
      <c r="E408" s="45">
        <v>41736</v>
      </c>
      <c r="F408" s="46">
        <v>38137</v>
      </c>
      <c r="G408" s="38">
        <v>0</v>
      </c>
      <c r="H408" s="47">
        <v>0.33333333333333331</v>
      </c>
      <c r="I408" s="48">
        <v>0</v>
      </c>
      <c r="K408"/>
      <c r="L408"/>
      <c r="M408"/>
      <c r="N408"/>
      <c r="O408"/>
      <c r="P408"/>
      <c r="Q408"/>
      <c r="R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</row>
    <row r="409" spans="1:41" ht="16.5">
      <c r="A409" s="49"/>
      <c r="B409" s="49"/>
      <c r="C409" s="49"/>
      <c r="D409" s="38" t="s">
        <v>1434</v>
      </c>
      <c r="E409" s="45">
        <v>41748</v>
      </c>
      <c r="F409" s="363" t="s">
        <v>1959</v>
      </c>
      <c r="G409" s="38">
        <v>1</v>
      </c>
      <c r="H409" s="47">
        <v>0.33333333333333331</v>
      </c>
      <c r="I409" s="48">
        <v>0.5</v>
      </c>
      <c r="K409"/>
      <c r="L409"/>
      <c r="M409"/>
      <c r="N409"/>
      <c r="O409"/>
      <c r="P409"/>
      <c r="Q409"/>
      <c r="R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</row>
    <row r="410" spans="1:41" ht="16.5">
      <c r="A410" s="49"/>
      <c r="B410" s="49"/>
      <c r="C410" s="38" t="s">
        <v>2061</v>
      </c>
      <c r="D410" s="38" t="s">
        <v>6</v>
      </c>
      <c r="E410" s="45">
        <v>41736</v>
      </c>
      <c r="F410" s="46">
        <v>41768</v>
      </c>
      <c r="G410" s="38">
        <v>1</v>
      </c>
      <c r="H410" s="47">
        <v>0.33333333333333331</v>
      </c>
      <c r="I410" s="48">
        <v>0.5</v>
      </c>
      <c r="K410"/>
      <c r="L410"/>
      <c r="M410"/>
      <c r="N410"/>
      <c r="O410"/>
      <c r="P410"/>
      <c r="Q410"/>
      <c r="R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</row>
    <row r="411" spans="1:41" ht="16.5">
      <c r="A411" s="49"/>
      <c r="B411" s="49"/>
      <c r="C411" s="49"/>
      <c r="D411" s="38" t="s">
        <v>1120</v>
      </c>
      <c r="E411" s="45">
        <v>41736</v>
      </c>
      <c r="F411" s="46">
        <v>38137</v>
      </c>
      <c r="G411" s="38">
        <v>0</v>
      </c>
      <c r="H411" s="47">
        <v>0.33333333333333331</v>
      </c>
      <c r="I411" s="48">
        <v>0</v>
      </c>
      <c r="K411"/>
      <c r="L411"/>
      <c r="M411"/>
      <c r="N411"/>
      <c r="O411"/>
      <c r="P411"/>
      <c r="Q411"/>
      <c r="R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</row>
    <row r="412" spans="1:41" ht="16.5">
      <c r="A412" s="49"/>
      <c r="B412" s="49"/>
      <c r="C412" s="49"/>
      <c r="D412" s="38" t="s">
        <v>1434</v>
      </c>
      <c r="E412" s="45">
        <v>41748</v>
      </c>
      <c r="F412" s="363" t="s">
        <v>1959</v>
      </c>
      <c r="G412" s="38">
        <v>1</v>
      </c>
      <c r="H412" s="47">
        <v>0.33333333333333331</v>
      </c>
      <c r="I412" s="48">
        <v>0.5</v>
      </c>
      <c r="K412"/>
      <c r="L412"/>
      <c r="M412"/>
      <c r="N412"/>
      <c r="O412"/>
      <c r="P412"/>
      <c r="Q412"/>
      <c r="R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</row>
    <row r="413" spans="1:41" ht="16.5">
      <c r="A413" s="49"/>
      <c r="B413" s="50" t="s">
        <v>1080</v>
      </c>
      <c r="C413" s="51"/>
      <c r="D413" s="51"/>
      <c r="E413" s="51"/>
      <c r="F413" s="51"/>
      <c r="G413" s="51"/>
      <c r="H413" s="52">
        <v>4</v>
      </c>
      <c r="I413" s="53">
        <v>4</v>
      </c>
      <c r="K413"/>
      <c r="L413"/>
      <c r="M413"/>
      <c r="N413"/>
      <c r="O413"/>
      <c r="P413"/>
      <c r="Q413"/>
      <c r="R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</row>
    <row r="414" spans="1:41" ht="16.5">
      <c r="A414" s="54" t="s">
        <v>1738</v>
      </c>
      <c r="B414" s="55"/>
      <c r="C414" s="55"/>
      <c r="D414" s="55"/>
      <c r="E414" s="55"/>
      <c r="F414" s="55"/>
      <c r="G414" s="55"/>
      <c r="H414" s="56">
        <v>12.000000000000007</v>
      </c>
      <c r="I414" s="57">
        <v>12</v>
      </c>
      <c r="K414"/>
      <c r="L414"/>
      <c r="M414"/>
      <c r="N414"/>
      <c r="O414"/>
      <c r="P414"/>
      <c r="Q414"/>
      <c r="R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</row>
    <row r="415" spans="1:41" ht="16.5">
      <c r="A415" s="38" t="s">
        <v>1102</v>
      </c>
      <c r="B415" s="38" t="s">
        <v>50</v>
      </c>
      <c r="C415" s="38" t="s">
        <v>1719</v>
      </c>
      <c r="D415" s="38" t="s">
        <v>1365</v>
      </c>
      <c r="E415" s="45">
        <v>41703</v>
      </c>
      <c r="F415" s="46">
        <v>41730</v>
      </c>
      <c r="G415" s="38">
        <v>1</v>
      </c>
      <c r="H415" s="47">
        <v>1</v>
      </c>
      <c r="I415" s="48">
        <v>1</v>
      </c>
      <c r="K415"/>
      <c r="L415"/>
      <c r="M415"/>
      <c r="N415"/>
      <c r="O415"/>
      <c r="P415"/>
      <c r="Q415"/>
      <c r="R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</row>
    <row r="416" spans="1:41" ht="16.5">
      <c r="A416" s="49"/>
      <c r="B416" s="49"/>
      <c r="C416" s="38" t="s">
        <v>1720</v>
      </c>
      <c r="D416" s="38" t="s">
        <v>49</v>
      </c>
      <c r="E416" s="45">
        <v>41702</v>
      </c>
      <c r="F416" s="46">
        <v>41722</v>
      </c>
      <c r="G416" s="38">
        <v>1</v>
      </c>
      <c r="H416" s="47">
        <v>1</v>
      </c>
      <c r="I416" s="48">
        <v>1</v>
      </c>
      <c r="K416"/>
      <c r="L416"/>
      <c r="M416"/>
      <c r="N416"/>
      <c r="O416"/>
      <c r="P416"/>
      <c r="Q416"/>
      <c r="R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</row>
    <row r="417" spans="1:41" ht="16.5">
      <c r="A417" s="49"/>
      <c r="B417" s="49"/>
      <c r="C417" s="38" t="s">
        <v>1721</v>
      </c>
      <c r="D417" s="38" t="s">
        <v>792</v>
      </c>
      <c r="E417" s="45">
        <v>41703</v>
      </c>
      <c r="F417" s="46">
        <v>41747</v>
      </c>
      <c r="G417" s="38">
        <v>1</v>
      </c>
      <c r="H417" s="47">
        <v>1</v>
      </c>
      <c r="I417" s="48">
        <v>1</v>
      </c>
      <c r="K417"/>
      <c r="L417"/>
      <c r="M417"/>
      <c r="N417"/>
      <c r="O417"/>
      <c r="P417"/>
      <c r="Q417"/>
      <c r="R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</row>
    <row r="418" spans="1:41" ht="16.5">
      <c r="A418" s="49"/>
      <c r="B418" s="49"/>
      <c r="C418" s="38" t="s">
        <v>1722</v>
      </c>
      <c r="D418" s="38" t="s">
        <v>1365</v>
      </c>
      <c r="E418" s="45">
        <v>41703</v>
      </c>
      <c r="F418" s="46">
        <v>41730</v>
      </c>
      <c r="G418" s="38">
        <v>1</v>
      </c>
      <c r="H418" s="47">
        <v>1</v>
      </c>
      <c r="I418" s="48">
        <v>1</v>
      </c>
      <c r="K418"/>
      <c r="L418"/>
      <c r="M418"/>
      <c r="N418"/>
      <c r="O418"/>
      <c r="P418"/>
      <c r="Q418"/>
      <c r="R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</row>
    <row r="419" spans="1:41" ht="16.5">
      <c r="A419" s="49"/>
      <c r="B419" s="49"/>
      <c r="C419" s="38" t="s">
        <v>1723</v>
      </c>
      <c r="D419" s="38" t="s">
        <v>1365</v>
      </c>
      <c r="E419" s="45">
        <v>41703</v>
      </c>
      <c r="F419" s="46">
        <v>41730</v>
      </c>
      <c r="G419" s="38">
        <v>1</v>
      </c>
      <c r="H419" s="47">
        <v>1</v>
      </c>
      <c r="I419" s="48">
        <v>1</v>
      </c>
      <c r="K419"/>
      <c r="L419"/>
      <c r="M419"/>
      <c r="N419"/>
      <c r="O419"/>
      <c r="P419"/>
      <c r="Q419"/>
      <c r="R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</row>
    <row r="420" spans="1:41" ht="16.5">
      <c r="A420" s="49"/>
      <c r="B420" s="49"/>
      <c r="C420" s="38" t="s">
        <v>1724</v>
      </c>
      <c r="D420" s="38" t="s">
        <v>792</v>
      </c>
      <c r="E420" s="45">
        <v>41703</v>
      </c>
      <c r="F420" s="46">
        <v>41747</v>
      </c>
      <c r="G420" s="38">
        <v>1</v>
      </c>
      <c r="H420" s="47">
        <v>0.5</v>
      </c>
      <c r="I420" s="48">
        <v>0.5</v>
      </c>
      <c r="K420"/>
      <c r="L420"/>
      <c r="M420"/>
      <c r="N420"/>
      <c r="O420"/>
      <c r="P420"/>
      <c r="Q420"/>
      <c r="R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</row>
    <row r="421" spans="1:41" ht="16.5">
      <c r="A421" s="49"/>
      <c r="B421" s="49"/>
      <c r="C421" s="38" t="s">
        <v>1725</v>
      </c>
      <c r="D421" s="38" t="s">
        <v>792</v>
      </c>
      <c r="E421" s="45">
        <v>41703</v>
      </c>
      <c r="F421" s="46">
        <v>41747</v>
      </c>
      <c r="G421" s="38">
        <v>1</v>
      </c>
      <c r="H421" s="47">
        <v>1</v>
      </c>
      <c r="I421" s="48">
        <v>1</v>
      </c>
      <c r="K421"/>
      <c r="L421"/>
      <c r="M421"/>
      <c r="N421"/>
      <c r="O421"/>
      <c r="P421"/>
      <c r="Q421"/>
      <c r="R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</row>
    <row r="422" spans="1:41" ht="16.5">
      <c r="A422" s="49"/>
      <c r="B422" s="49"/>
      <c r="C422" s="38" t="s">
        <v>1726</v>
      </c>
      <c r="D422" s="38" t="s">
        <v>792</v>
      </c>
      <c r="E422" s="45">
        <v>41703</v>
      </c>
      <c r="F422" s="46">
        <v>41736</v>
      </c>
      <c r="G422" s="38">
        <v>1</v>
      </c>
      <c r="H422" s="47">
        <v>1</v>
      </c>
      <c r="I422" s="48">
        <v>1</v>
      </c>
      <c r="K422"/>
      <c r="L422"/>
      <c r="M422"/>
      <c r="N422"/>
      <c r="O422"/>
      <c r="P422"/>
      <c r="Q422"/>
      <c r="R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</row>
    <row r="423" spans="1:41" ht="16.5">
      <c r="A423" s="49"/>
      <c r="B423" s="49"/>
      <c r="C423" s="38" t="s">
        <v>1727</v>
      </c>
      <c r="D423" s="38" t="s">
        <v>792</v>
      </c>
      <c r="E423" s="45">
        <v>41703</v>
      </c>
      <c r="F423" s="46">
        <v>41747</v>
      </c>
      <c r="G423" s="38">
        <v>1</v>
      </c>
      <c r="H423" s="47">
        <v>1</v>
      </c>
      <c r="I423" s="48">
        <v>1</v>
      </c>
      <c r="K423"/>
      <c r="L423"/>
      <c r="M423"/>
      <c r="N423"/>
      <c r="O423"/>
      <c r="P423"/>
      <c r="Q423"/>
      <c r="R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</row>
    <row r="424" spans="1:41" ht="16.5">
      <c r="A424" s="49"/>
      <c r="B424" s="49"/>
      <c r="C424" s="38" t="s">
        <v>1728</v>
      </c>
      <c r="D424" s="38" t="s">
        <v>792</v>
      </c>
      <c r="E424" s="45">
        <v>41703</v>
      </c>
      <c r="F424" s="46">
        <v>41743</v>
      </c>
      <c r="G424" s="38">
        <v>1</v>
      </c>
      <c r="H424" s="47">
        <v>1</v>
      </c>
      <c r="I424" s="48">
        <v>1</v>
      </c>
      <c r="K424"/>
      <c r="L424"/>
      <c r="M424"/>
      <c r="N424"/>
      <c r="O424"/>
      <c r="P424"/>
      <c r="Q424"/>
      <c r="R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</row>
    <row r="425" spans="1:41" ht="16.5">
      <c r="A425" s="49"/>
      <c r="B425" s="49"/>
      <c r="C425" s="38" t="s">
        <v>1729</v>
      </c>
      <c r="D425" s="38" t="s">
        <v>49</v>
      </c>
      <c r="E425" s="45">
        <v>41702</v>
      </c>
      <c r="F425" s="46">
        <v>41722</v>
      </c>
      <c r="G425" s="38">
        <v>1</v>
      </c>
      <c r="H425" s="47">
        <v>1</v>
      </c>
      <c r="I425" s="48">
        <v>1</v>
      </c>
      <c r="K425"/>
      <c r="L425"/>
      <c r="M425"/>
      <c r="N425"/>
      <c r="O425"/>
      <c r="P425"/>
      <c r="Q425"/>
      <c r="R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</row>
    <row r="426" spans="1:41" ht="16.5">
      <c r="A426" s="49"/>
      <c r="B426" s="49"/>
      <c r="C426" s="38" t="s">
        <v>1730</v>
      </c>
      <c r="D426" s="38" t="s">
        <v>49</v>
      </c>
      <c r="E426" s="45">
        <v>41702</v>
      </c>
      <c r="F426" s="46">
        <v>41722</v>
      </c>
      <c r="G426" s="38">
        <v>1</v>
      </c>
      <c r="H426" s="47">
        <v>1</v>
      </c>
      <c r="I426" s="48">
        <v>1</v>
      </c>
      <c r="K426"/>
      <c r="L426"/>
      <c r="M426"/>
      <c r="N426"/>
      <c r="O426"/>
      <c r="P426"/>
      <c r="Q426"/>
      <c r="R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</row>
    <row r="427" spans="1:41" ht="16.5">
      <c r="A427" s="49"/>
      <c r="B427" s="49"/>
      <c r="C427" s="38" t="s">
        <v>1731</v>
      </c>
      <c r="D427" s="38" t="s">
        <v>792</v>
      </c>
      <c r="E427" s="45">
        <v>41703</v>
      </c>
      <c r="F427" s="46">
        <v>41736</v>
      </c>
      <c r="G427" s="38">
        <v>1</v>
      </c>
      <c r="H427" s="47">
        <v>1</v>
      </c>
      <c r="I427" s="48">
        <v>1</v>
      </c>
      <c r="K427"/>
      <c r="L427"/>
      <c r="M427"/>
      <c r="N427"/>
      <c r="O427"/>
      <c r="P427"/>
      <c r="Q427"/>
      <c r="R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</row>
    <row r="428" spans="1:41" ht="16.5">
      <c r="A428" s="49"/>
      <c r="B428" s="49"/>
      <c r="C428" s="38" t="s">
        <v>1732</v>
      </c>
      <c r="D428" s="38" t="s">
        <v>792</v>
      </c>
      <c r="E428" s="45">
        <v>41703</v>
      </c>
      <c r="F428" s="46">
        <v>41757</v>
      </c>
      <c r="G428" s="38">
        <v>1</v>
      </c>
      <c r="H428" s="47">
        <v>1</v>
      </c>
      <c r="I428" s="48">
        <v>1</v>
      </c>
      <c r="K428"/>
      <c r="L428"/>
      <c r="M428"/>
      <c r="N428"/>
      <c r="O428"/>
      <c r="P428"/>
      <c r="Q428"/>
      <c r="R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</row>
    <row r="429" spans="1:41" ht="16.5">
      <c r="A429" s="49"/>
      <c r="B429" s="49"/>
      <c r="C429" s="38" t="s">
        <v>1733</v>
      </c>
      <c r="D429" s="38" t="s">
        <v>1365</v>
      </c>
      <c r="E429" s="45">
        <v>41703</v>
      </c>
      <c r="F429" s="46">
        <v>41730</v>
      </c>
      <c r="G429" s="38">
        <v>1</v>
      </c>
      <c r="H429" s="47">
        <v>1</v>
      </c>
      <c r="I429" s="48">
        <v>1</v>
      </c>
      <c r="K429"/>
      <c r="L429"/>
      <c r="M429"/>
      <c r="N429"/>
      <c r="O429"/>
      <c r="P429"/>
      <c r="Q429"/>
      <c r="R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</row>
    <row r="430" spans="1:41" ht="16.5">
      <c r="A430" s="49"/>
      <c r="B430" s="49"/>
      <c r="C430" s="38" t="s">
        <v>1734</v>
      </c>
      <c r="D430" s="38" t="s">
        <v>792</v>
      </c>
      <c r="E430" s="45">
        <v>41703</v>
      </c>
      <c r="F430" s="46">
        <v>41757</v>
      </c>
      <c r="G430" s="38">
        <v>1</v>
      </c>
      <c r="H430" s="47">
        <v>1</v>
      </c>
      <c r="I430" s="48">
        <v>1</v>
      </c>
      <c r="K430"/>
      <c r="L430"/>
      <c r="M430"/>
      <c r="N430"/>
      <c r="O430"/>
      <c r="P430"/>
      <c r="Q430"/>
      <c r="R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</row>
    <row r="431" spans="1:41" ht="16.5">
      <c r="A431" s="49"/>
      <c r="B431" s="49"/>
      <c r="C431" s="38" t="s">
        <v>1735</v>
      </c>
      <c r="D431" s="38" t="s">
        <v>792</v>
      </c>
      <c r="E431" s="45">
        <v>41703</v>
      </c>
      <c r="F431" s="46">
        <v>41747</v>
      </c>
      <c r="G431" s="38">
        <v>1</v>
      </c>
      <c r="H431" s="47">
        <v>1</v>
      </c>
      <c r="I431" s="48">
        <v>1</v>
      </c>
      <c r="K431"/>
      <c r="L431"/>
      <c r="M431"/>
      <c r="N431"/>
      <c r="O431"/>
      <c r="P431"/>
      <c r="Q431"/>
      <c r="R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</row>
    <row r="432" spans="1:41" ht="16.5">
      <c r="A432" s="49"/>
      <c r="B432" s="50" t="s">
        <v>855</v>
      </c>
      <c r="C432" s="51"/>
      <c r="D432" s="51"/>
      <c r="E432" s="51"/>
      <c r="F432" s="51"/>
      <c r="G432" s="51"/>
      <c r="H432" s="52">
        <v>16.5</v>
      </c>
      <c r="I432" s="53">
        <v>16.5</v>
      </c>
      <c r="K432"/>
      <c r="L432"/>
      <c r="M432"/>
      <c r="N432"/>
      <c r="O432"/>
      <c r="P432"/>
      <c r="Q432"/>
      <c r="R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</row>
    <row r="433" spans="1:41" ht="16.5">
      <c r="A433" s="49"/>
      <c r="B433" s="38" t="s">
        <v>2116</v>
      </c>
      <c r="C433" s="38" t="s">
        <v>1724</v>
      </c>
      <c r="D433" s="38" t="s">
        <v>49</v>
      </c>
      <c r="E433" s="45">
        <v>41744</v>
      </c>
      <c r="F433" s="46">
        <v>41774</v>
      </c>
      <c r="G433" s="38">
        <v>1</v>
      </c>
      <c r="H433" s="47">
        <v>0.5</v>
      </c>
      <c r="I433" s="48">
        <v>0.5</v>
      </c>
      <c r="K433"/>
      <c r="L433"/>
      <c r="M433"/>
      <c r="N433"/>
      <c r="O433"/>
      <c r="P433"/>
      <c r="Q433"/>
      <c r="R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</row>
    <row r="434" spans="1:41" ht="16.5">
      <c r="A434" s="49"/>
      <c r="B434" s="49"/>
      <c r="C434" s="38" t="s">
        <v>2230</v>
      </c>
      <c r="D434" s="38" t="s">
        <v>49</v>
      </c>
      <c r="E434" s="45">
        <v>41744</v>
      </c>
      <c r="F434" s="46">
        <v>41774</v>
      </c>
      <c r="G434" s="38">
        <v>1</v>
      </c>
      <c r="H434" s="47">
        <v>1</v>
      </c>
      <c r="I434" s="48">
        <v>1</v>
      </c>
      <c r="K434"/>
      <c r="L434"/>
      <c r="M434"/>
      <c r="N434"/>
      <c r="O434"/>
      <c r="P434"/>
      <c r="Q434"/>
      <c r="R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</row>
    <row r="435" spans="1:41" ht="16.5">
      <c r="A435" s="49"/>
      <c r="B435" s="49"/>
      <c r="C435" s="38" t="s">
        <v>2231</v>
      </c>
      <c r="D435" s="38" t="s">
        <v>49</v>
      </c>
      <c r="E435" s="45">
        <v>41744</v>
      </c>
      <c r="F435" s="46">
        <v>41774</v>
      </c>
      <c r="G435" s="38">
        <v>1</v>
      </c>
      <c r="H435" s="47">
        <v>1</v>
      </c>
      <c r="I435" s="48">
        <v>1</v>
      </c>
      <c r="K435"/>
      <c r="L435"/>
      <c r="M435"/>
      <c r="N435"/>
      <c r="O435"/>
      <c r="P435"/>
      <c r="Q435"/>
      <c r="R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</row>
    <row r="436" spans="1:41" ht="16.5">
      <c r="A436" s="49"/>
      <c r="B436" s="50" t="s">
        <v>2158</v>
      </c>
      <c r="C436" s="51"/>
      <c r="D436" s="51"/>
      <c r="E436" s="51"/>
      <c r="F436" s="51"/>
      <c r="G436" s="51"/>
      <c r="H436" s="52">
        <v>2.5</v>
      </c>
      <c r="I436" s="53">
        <v>2.5</v>
      </c>
      <c r="K436"/>
      <c r="L436"/>
      <c r="M436"/>
      <c r="N436"/>
      <c r="O436"/>
      <c r="P436"/>
      <c r="Q436"/>
      <c r="R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</row>
    <row r="437" spans="1:41" ht="16.5">
      <c r="A437" s="54" t="s">
        <v>1737</v>
      </c>
      <c r="B437" s="55"/>
      <c r="C437" s="55"/>
      <c r="D437" s="55"/>
      <c r="E437" s="55"/>
      <c r="F437" s="55"/>
      <c r="G437" s="55"/>
      <c r="H437" s="56">
        <v>19</v>
      </c>
      <c r="I437" s="57">
        <v>19</v>
      </c>
      <c r="K437"/>
      <c r="L437"/>
      <c r="M437"/>
      <c r="N437"/>
      <c r="O437"/>
      <c r="P437"/>
      <c r="Q437"/>
      <c r="R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</row>
    <row r="438" spans="1:41" ht="16.5">
      <c r="A438" s="38" t="s">
        <v>1772</v>
      </c>
      <c r="B438" s="38" t="s">
        <v>35</v>
      </c>
      <c r="C438" s="38" t="s">
        <v>1773</v>
      </c>
      <c r="D438" s="38" t="s">
        <v>792</v>
      </c>
      <c r="E438" s="45">
        <v>41711</v>
      </c>
      <c r="F438" s="46">
        <v>41753</v>
      </c>
      <c r="G438" s="38">
        <v>1</v>
      </c>
      <c r="H438" s="47">
        <v>1</v>
      </c>
      <c r="I438" s="48">
        <v>1</v>
      </c>
      <c r="K438"/>
      <c r="L438"/>
      <c r="M438"/>
      <c r="N438"/>
      <c r="O438"/>
      <c r="P438"/>
      <c r="Q438"/>
      <c r="R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</row>
    <row r="439" spans="1:41" ht="16.5">
      <c r="A439" s="49"/>
      <c r="B439" s="49"/>
      <c r="C439" s="38" t="s">
        <v>1774</v>
      </c>
      <c r="D439" s="38" t="s">
        <v>792</v>
      </c>
      <c r="E439" s="45">
        <v>41711</v>
      </c>
      <c r="F439" s="46">
        <v>41739</v>
      </c>
      <c r="G439" s="38">
        <v>0</v>
      </c>
      <c r="H439" s="47">
        <v>1</v>
      </c>
      <c r="I439" s="48">
        <v>0</v>
      </c>
      <c r="K439"/>
      <c r="L439"/>
      <c r="M439"/>
      <c r="N439"/>
      <c r="O439"/>
      <c r="P439"/>
      <c r="Q439"/>
      <c r="R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</row>
    <row r="440" spans="1:41" ht="16.5">
      <c r="A440" s="49"/>
      <c r="B440" s="49"/>
      <c r="C440" s="38" t="s">
        <v>1775</v>
      </c>
      <c r="D440" s="38" t="s">
        <v>792</v>
      </c>
      <c r="E440" s="45">
        <v>41711</v>
      </c>
      <c r="F440" s="46">
        <v>41753</v>
      </c>
      <c r="G440" s="38">
        <v>1</v>
      </c>
      <c r="H440" s="47">
        <v>1</v>
      </c>
      <c r="I440" s="48">
        <v>1</v>
      </c>
      <c r="K440"/>
      <c r="L440"/>
      <c r="M440"/>
      <c r="N440"/>
      <c r="O440"/>
      <c r="P440"/>
      <c r="Q440"/>
      <c r="R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</row>
    <row r="441" spans="1:41" ht="16.5">
      <c r="A441" s="49"/>
      <c r="B441" s="49"/>
      <c r="C441" s="38" t="s">
        <v>1933</v>
      </c>
      <c r="D441" s="38" t="s">
        <v>49</v>
      </c>
      <c r="E441" s="45">
        <v>41716</v>
      </c>
      <c r="F441" s="46">
        <v>41737</v>
      </c>
      <c r="G441" s="38">
        <v>0</v>
      </c>
      <c r="H441" s="47">
        <v>1</v>
      </c>
      <c r="I441" s="48">
        <v>0</v>
      </c>
      <c r="K441"/>
      <c r="L441"/>
      <c r="M441"/>
      <c r="N441"/>
      <c r="O441"/>
      <c r="P441"/>
      <c r="Q441"/>
      <c r="R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</row>
    <row r="442" spans="1:41" ht="16.5">
      <c r="A442" s="49"/>
      <c r="B442" s="49"/>
      <c r="C442" s="38" t="s">
        <v>1934</v>
      </c>
      <c r="D442" s="38" t="s">
        <v>49</v>
      </c>
      <c r="E442" s="45">
        <v>41716</v>
      </c>
      <c r="F442" s="46">
        <v>41737</v>
      </c>
      <c r="G442" s="38">
        <v>0</v>
      </c>
      <c r="H442" s="47">
        <v>1</v>
      </c>
      <c r="I442" s="48">
        <v>0</v>
      </c>
      <c r="K442"/>
      <c r="L442"/>
      <c r="M442"/>
      <c r="N442"/>
      <c r="O442"/>
      <c r="P442"/>
      <c r="Q442"/>
      <c r="R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</row>
    <row r="443" spans="1:41" ht="16.5">
      <c r="A443" s="49"/>
      <c r="B443" s="49"/>
      <c r="C443" s="38" t="s">
        <v>1935</v>
      </c>
      <c r="D443" s="38" t="s">
        <v>792</v>
      </c>
      <c r="E443" s="45">
        <v>41711</v>
      </c>
      <c r="F443" s="46">
        <v>41753</v>
      </c>
      <c r="G443" s="38">
        <v>1</v>
      </c>
      <c r="H443" s="47">
        <v>1</v>
      </c>
      <c r="I443" s="48">
        <v>1</v>
      </c>
      <c r="K443"/>
      <c r="L443"/>
      <c r="M443"/>
      <c r="N443"/>
      <c r="O443"/>
      <c r="P443"/>
      <c r="Q443"/>
      <c r="R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</row>
    <row r="444" spans="1:41" ht="16.5">
      <c r="A444" s="49"/>
      <c r="B444" s="49"/>
      <c r="C444" s="38" t="s">
        <v>1941</v>
      </c>
      <c r="D444" s="38" t="s">
        <v>792</v>
      </c>
      <c r="E444" s="45">
        <v>41716</v>
      </c>
      <c r="F444" s="46">
        <v>41753</v>
      </c>
      <c r="G444" s="38">
        <v>1</v>
      </c>
      <c r="H444" s="47">
        <v>1</v>
      </c>
      <c r="I444" s="48">
        <v>1</v>
      </c>
      <c r="K444"/>
      <c r="L444"/>
      <c r="M444"/>
      <c r="N444"/>
      <c r="O444"/>
      <c r="P444"/>
      <c r="Q444"/>
      <c r="R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</row>
    <row r="445" spans="1:41" ht="16.5">
      <c r="A445" s="49"/>
      <c r="B445" s="50" t="s">
        <v>1347</v>
      </c>
      <c r="C445" s="51"/>
      <c r="D445" s="51"/>
      <c r="E445" s="51"/>
      <c r="F445" s="51"/>
      <c r="G445" s="51"/>
      <c r="H445" s="52">
        <v>7</v>
      </c>
      <c r="I445" s="53">
        <v>4</v>
      </c>
      <c r="K445"/>
      <c r="L445"/>
      <c r="M445"/>
      <c r="N445"/>
      <c r="O445"/>
      <c r="P445"/>
      <c r="Q445"/>
      <c r="R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</row>
    <row r="446" spans="1:41" ht="16.5">
      <c r="A446" s="49"/>
      <c r="B446" s="38" t="s">
        <v>28</v>
      </c>
      <c r="C446" s="38" t="s">
        <v>1936</v>
      </c>
      <c r="D446" s="38" t="s">
        <v>6</v>
      </c>
      <c r="E446" s="45">
        <v>41710</v>
      </c>
      <c r="F446" s="46">
        <v>41768</v>
      </c>
      <c r="G446" s="38">
        <v>1</v>
      </c>
      <c r="H446" s="47">
        <v>1</v>
      </c>
      <c r="I446" s="48">
        <v>1</v>
      </c>
      <c r="K446"/>
      <c r="L446"/>
      <c r="M446"/>
      <c r="N446"/>
      <c r="O446"/>
      <c r="P446"/>
      <c r="Q446"/>
      <c r="R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</row>
    <row r="447" spans="1:41" ht="16.5">
      <c r="A447" s="49"/>
      <c r="B447" s="49"/>
      <c r="C447" s="38" t="s">
        <v>1937</v>
      </c>
      <c r="D447" s="38" t="s">
        <v>6</v>
      </c>
      <c r="E447" s="45">
        <v>41710</v>
      </c>
      <c r="F447" s="46">
        <v>41761</v>
      </c>
      <c r="G447" s="38">
        <v>1</v>
      </c>
      <c r="H447" s="47">
        <v>1</v>
      </c>
      <c r="I447" s="48">
        <v>1</v>
      </c>
      <c r="K447"/>
      <c r="L447"/>
      <c r="M447"/>
      <c r="N447"/>
      <c r="O447"/>
      <c r="P447"/>
      <c r="Q447"/>
      <c r="R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</row>
    <row r="448" spans="1:41" ht="16.5">
      <c r="A448" s="49"/>
      <c r="B448" s="49"/>
      <c r="C448" s="38" t="s">
        <v>1938</v>
      </c>
      <c r="D448" s="38" t="s">
        <v>6</v>
      </c>
      <c r="E448" s="45">
        <v>41710</v>
      </c>
      <c r="F448" s="46">
        <v>41771</v>
      </c>
      <c r="G448" s="38">
        <v>1</v>
      </c>
      <c r="H448" s="47">
        <v>1</v>
      </c>
      <c r="I448" s="48">
        <v>1</v>
      </c>
      <c r="K448"/>
      <c r="L448"/>
      <c r="M448"/>
      <c r="N448"/>
      <c r="O448"/>
      <c r="P448"/>
      <c r="Q448"/>
      <c r="R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</row>
    <row r="449" spans="1:37" ht="16.5">
      <c r="A449" s="49"/>
      <c r="B449" s="49"/>
      <c r="C449" s="38" t="s">
        <v>1939</v>
      </c>
      <c r="D449" s="38" t="s">
        <v>6</v>
      </c>
      <c r="E449" s="45">
        <v>41710</v>
      </c>
      <c r="F449" s="46">
        <v>41745</v>
      </c>
      <c r="G449" s="38">
        <v>1</v>
      </c>
      <c r="H449" s="47">
        <v>1</v>
      </c>
      <c r="I449" s="48">
        <v>1</v>
      </c>
      <c r="K449"/>
      <c r="L449"/>
      <c r="M449"/>
      <c r="N449"/>
      <c r="O449"/>
      <c r="P449"/>
      <c r="Q449"/>
      <c r="R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</row>
    <row r="450" spans="1:37" ht="16.5">
      <c r="A450" s="49"/>
      <c r="B450" s="50" t="s">
        <v>1348</v>
      </c>
      <c r="C450" s="51"/>
      <c r="D450" s="51"/>
      <c r="E450" s="51"/>
      <c r="F450" s="51"/>
      <c r="G450" s="51"/>
      <c r="H450" s="52">
        <v>4</v>
      </c>
      <c r="I450" s="53">
        <v>4</v>
      </c>
      <c r="K450"/>
      <c r="L450"/>
      <c r="M450"/>
      <c r="N450"/>
      <c r="O450"/>
      <c r="P450"/>
      <c r="Q450"/>
      <c r="R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</row>
    <row r="451" spans="1:37" ht="16.5">
      <c r="A451" s="49"/>
      <c r="B451" s="38" t="s">
        <v>50</v>
      </c>
      <c r="C451" s="38" t="s">
        <v>1940</v>
      </c>
      <c r="D451" s="38" t="s">
        <v>792</v>
      </c>
      <c r="E451" s="45">
        <v>41711</v>
      </c>
      <c r="F451" s="46">
        <v>41739</v>
      </c>
      <c r="G451" s="38">
        <v>0</v>
      </c>
      <c r="H451" s="47">
        <v>1</v>
      </c>
      <c r="I451" s="48">
        <v>0</v>
      </c>
      <c r="K451"/>
      <c r="L451"/>
      <c r="M451"/>
      <c r="N451"/>
      <c r="O451"/>
      <c r="P451"/>
      <c r="Q451"/>
      <c r="R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</row>
    <row r="452" spans="1:37" ht="16.5">
      <c r="A452" s="49"/>
      <c r="B452" s="50" t="s">
        <v>855</v>
      </c>
      <c r="C452" s="51"/>
      <c r="D452" s="51"/>
      <c r="E452" s="51"/>
      <c r="F452" s="51"/>
      <c r="G452" s="51"/>
      <c r="H452" s="52">
        <v>1</v>
      </c>
      <c r="I452" s="53">
        <v>0</v>
      </c>
      <c r="K452"/>
      <c r="L452"/>
      <c r="M452"/>
      <c r="N452"/>
      <c r="O452"/>
      <c r="P452"/>
      <c r="Q452"/>
      <c r="R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</row>
    <row r="453" spans="1:37" ht="16.5">
      <c r="A453" s="54" t="s">
        <v>1824</v>
      </c>
      <c r="B453" s="55"/>
      <c r="C453" s="55"/>
      <c r="D453" s="55"/>
      <c r="E453" s="55"/>
      <c r="F453" s="55"/>
      <c r="G453" s="55"/>
      <c r="H453" s="56">
        <v>12</v>
      </c>
      <c r="I453" s="57">
        <v>8</v>
      </c>
      <c r="K453"/>
      <c r="L453"/>
      <c r="M453"/>
      <c r="N453"/>
      <c r="O453"/>
      <c r="P453"/>
      <c r="Q453"/>
      <c r="R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</row>
    <row r="454" spans="1:37" ht="16.5">
      <c r="A454" s="38" t="s">
        <v>1828</v>
      </c>
      <c r="B454" s="38" t="s">
        <v>249</v>
      </c>
      <c r="C454" s="38" t="s">
        <v>1829</v>
      </c>
      <c r="D454" s="38" t="s">
        <v>1830</v>
      </c>
      <c r="E454" s="45">
        <v>41712</v>
      </c>
      <c r="F454" s="46">
        <v>41730</v>
      </c>
      <c r="G454" s="38">
        <v>1</v>
      </c>
      <c r="H454" s="47">
        <v>0.5</v>
      </c>
      <c r="I454" s="48">
        <v>0.5</v>
      </c>
      <c r="K454"/>
      <c r="L454"/>
      <c r="M454"/>
      <c r="N454"/>
      <c r="O454"/>
      <c r="P454"/>
      <c r="Q454"/>
      <c r="R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</row>
    <row r="455" spans="1:37" ht="16.5">
      <c r="A455" s="49"/>
      <c r="B455" s="49"/>
      <c r="C455" s="49"/>
      <c r="D455" s="38" t="s">
        <v>2113</v>
      </c>
      <c r="E455" s="45">
        <v>41718</v>
      </c>
      <c r="F455" s="46">
        <v>41751</v>
      </c>
      <c r="G455" s="38">
        <v>1</v>
      </c>
      <c r="H455" s="47">
        <v>0.5</v>
      </c>
      <c r="I455" s="48">
        <v>0.5</v>
      </c>
      <c r="K455"/>
      <c r="L455"/>
      <c r="M455"/>
      <c r="N455"/>
      <c r="O455"/>
      <c r="P455"/>
      <c r="Q455"/>
      <c r="R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</row>
    <row r="456" spans="1:37" ht="16.5">
      <c r="A456" s="49"/>
      <c r="B456" s="49"/>
      <c r="C456" s="38" t="s">
        <v>1832</v>
      </c>
      <c r="D456" s="38" t="s">
        <v>1830</v>
      </c>
      <c r="E456" s="45">
        <v>41712</v>
      </c>
      <c r="F456" s="46">
        <v>41730</v>
      </c>
      <c r="G456" s="38">
        <v>1</v>
      </c>
      <c r="H456" s="47">
        <v>0.5</v>
      </c>
      <c r="I456" s="48">
        <v>0.5</v>
      </c>
      <c r="K456"/>
      <c r="L456"/>
      <c r="M456"/>
      <c r="N456"/>
      <c r="O456"/>
      <c r="P456"/>
      <c r="Q456"/>
      <c r="R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</row>
    <row r="457" spans="1:37" ht="16.5">
      <c r="A457" s="49"/>
      <c r="B457" s="49"/>
      <c r="C457" s="49"/>
      <c r="D457" s="38" t="s">
        <v>2113</v>
      </c>
      <c r="E457" s="45">
        <v>41718</v>
      </c>
      <c r="F457" s="46">
        <v>41751</v>
      </c>
      <c r="G457" s="38">
        <v>1</v>
      </c>
      <c r="H457" s="47">
        <v>0.5</v>
      </c>
      <c r="I457" s="48">
        <v>0.5</v>
      </c>
      <c r="K457"/>
      <c r="L457"/>
      <c r="M457"/>
      <c r="N457"/>
      <c r="O457"/>
      <c r="P457"/>
      <c r="Q457"/>
      <c r="R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</row>
    <row r="458" spans="1:37" ht="16.5">
      <c r="A458" s="49"/>
      <c r="B458" s="49"/>
      <c r="C458" s="38" t="s">
        <v>1833</v>
      </c>
      <c r="D458" s="38" t="s">
        <v>1830</v>
      </c>
      <c r="E458" s="45">
        <v>41712</v>
      </c>
      <c r="F458" s="46">
        <v>41730</v>
      </c>
      <c r="G458" s="38">
        <v>1</v>
      </c>
      <c r="H458" s="47">
        <v>0.5</v>
      </c>
      <c r="I458" s="48">
        <v>0.5</v>
      </c>
      <c r="K458"/>
      <c r="L458"/>
      <c r="M458"/>
      <c r="N458"/>
      <c r="O458"/>
      <c r="P458"/>
      <c r="Q458"/>
      <c r="R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</row>
    <row r="459" spans="1:37" ht="16.5">
      <c r="A459" s="49"/>
      <c r="B459" s="49"/>
      <c r="C459" s="49"/>
      <c r="D459" s="38" t="s">
        <v>2113</v>
      </c>
      <c r="E459" s="45">
        <v>41718</v>
      </c>
      <c r="F459" s="46">
        <v>41751</v>
      </c>
      <c r="G459" s="38">
        <v>1</v>
      </c>
      <c r="H459" s="47">
        <v>0.5</v>
      </c>
      <c r="I459" s="48">
        <v>0.5</v>
      </c>
      <c r="K459"/>
      <c r="L459"/>
      <c r="M459"/>
      <c r="N459"/>
      <c r="O459"/>
      <c r="P459"/>
      <c r="Q459"/>
      <c r="R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</row>
    <row r="460" spans="1:37" ht="16.5">
      <c r="A460" s="49"/>
      <c r="B460" s="49"/>
      <c r="C460" s="38" t="s">
        <v>1834</v>
      </c>
      <c r="D460" s="38" t="s">
        <v>1830</v>
      </c>
      <c r="E460" s="45">
        <v>41712</v>
      </c>
      <c r="F460" s="46">
        <v>41730</v>
      </c>
      <c r="G460" s="38">
        <v>1</v>
      </c>
      <c r="H460" s="47">
        <v>0.5</v>
      </c>
      <c r="I460" s="48">
        <v>0.5</v>
      </c>
      <c r="K460"/>
      <c r="L460"/>
      <c r="M460"/>
      <c r="N460"/>
      <c r="O460"/>
      <c r="P460"/>
      <c r="Q460"/>
      <c r="R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</row>
    <row r="461" spans="1:37" ht="16.5">
      <c r="A461" s="49"/>
      <c r="B461" s="49"/>
      <c r="C461" s="49"/>
      <c r="D461" s="38" t="s">
        <v>2113</v>
      </c>
      <c r="E461" s="45">
        <v>41718</v>
      </c>
      <c r="F461" s="46">
        <v>41751</v>
      </c>
      <c r="G461" s="38">
        <v>1</v>
      </c>
      <c r="H461" s="47">
        <v>0.5</v>
      </c>
      <c r="I461" s="48">
        <v>0.5</v>
      </c>
      <c r="K461"/>
      <c r="L461"/>
      <c r="M461"/>
      <c r="N461"/>
      <c r="O461"/>
      <c r="P461"/>
      <c r="Q461"/>
      <c r="R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</row>
    <row r="462" spans="1:37" ht="16.5">
      <c r="A462" s="49"/>
      <c r="B462" s="50" t="s">
        <v>1118</v>
      </c>
      <c r="C462" s="51"/>
      <c r="D462" s="51"/>
      <c r="E462" s="51"/>
      <c r="F462" s="51"/>
      <c r="G462" s="51"/>
      <c r="H462" s="52">
        <v>4</v>
      </c>
      <c r="I462" s="53">
        <v>4</v>
      </c>
      <c r="K462"/>
      <c r="L462"/>
      <c r="M462"/>
      <c r="N462"/>
      <c r="O462"/>
      <c r="P462"/>
      <c r="Q462"/>
      <c r="R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</row>
    <row r="463" spans="1:37" ht="16.5">
      <c r="A463" s="54" t="s">
        <v>1909</v>
      </c>
      <c r="B463" s="55"/>
      <c r="C463" s="55"/>
      <c r="D463" s="55"/>
      <c r="E463" s="55"/>
      <c r="F463" s="55"/>
      <c r="G463" s="55"/>
      <c r="H463" s="56">
        <v>4</v>
      </c>
      <c r="I463" s="57">
        <v>4</v>
      </c>
      <c r="K463"/>
      <c r="L463"/>
      <c r="M463"/>
      <c r="N463"/>
      <c r="O463"/>
      <c r="P463"/>
      <c r="Q463"/>
      <c r="R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</row>
    <row r="464" spans="1:37" ht="16.5">
      <c r="A464" s="38" t="s">
        <v>1893</v>
      </c>
      <c r="B464" s="38" t="s">
        <v>25</v>
      </c>
      <c r="C464" s="38" t="s">
        <v>1896</v>
      </c>
      <c r="D464" s="38" t="s">
        <v>1401</v>
      </c>
      <c r="E464" s="45">
        <v>41716</v>
      </c>
      <c r="F464" s="46">
        <v>41737</v>
      </c>
      <c r="G464" s="38">
        <v>1</v>
      </c>
      <c r="H464" s="47">
        <v>1</v>
      </c>
      <c r="I464" s="48">
        <v>1</v>
      </c>
      <c r="K464"/>
      <c r="L464"/>
      <c r="M464"/>
      <c r="N464"/>
      <c r="O464"/>
      <c r="P464"/>
      <c r="Q464"/>
      <c r="R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</row>
    <row r="465" spans="1:37" ht="16.5">
      <c r="A465" s="49"/>
      <c r="B465" s="49"/>
      <c r="C465" s="38" t="s">
        <v>1897</v>
      </c>
      <c r="D465" s="38" t="s">
        <v>1409</v>
      </c>
      <c r="E465" s="45">
        <v>41716</v>
      </c>
      <c r="F465" s="46">
        <v>41723</v>
      </c>
      <c r="G465" s="38">
        <v>1</v>
      </c>
      <c r="H465" s="47">
        <v>1</v>
      </c>
      <c r="I465" s="48">
        <v>1</v>
      </c>
      <c r="K465"/>
      <c r="L465"/>
      <c r="M465"/>
      <c r="N465"/>
      <c r="O465"/>
      <c r="P465"/>
      <c r="Q465"/>
      <c r="R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</row>
    <row r="466" spans="1:37" ht="16.5">
      <c r="A466" s="49"/>
      <c r="B466" s="50" t="s">
        <v>1553</v>
      </c>
      <c r="C466" s="51"/>
      <c r="D466" s="51"/>
      <c r="E466" s="51"/>
      <c r="F466" s="51"/>
      <c r="G466" s="51"/>
      <c r="H466" s="52">
        <v>2</v>
      </c>
      <c r="I466" s="53">
        <v>2</v>
      </c>
      <c r="K466"/>
      <c r="L466"/>
      <c r="M466"/>
      <c r="N466"/>
      <c r="O466"/>
      <c r="P466"/>
      <c r="Q466"/>
      <c r="R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</row>
    <row r="467" spans="1:37" ht="16.5">
      <c r="A467" s="49"/>
      <c r="B467" s="38" t="s">
        <v>26</v>
      </c>
      <c r="C467" s="38" t="s">
        <v>1900</v>
      </c>
      <c r="D467" s="38" t="s">
        <v>1401</v>
      </c>
      <c r="E467" s="45">
        <v>41716</v>
      </c>
      <c r="F467" s="46">
        <v>41737</v>
      </c>
      <c r="G467" s="38">
        <v>1</v>
      </c>
      <c r="H467" s="47">
        <v>1</v>
      </c>
      <c r="I467" s="48">
        <v>1</v>
      </c>
      <c r="K467"/>
      <c r="L467"/>
      <c r="M467"/>
      <c r="N467"/>
      <c r="O467"/>
      <c r="P467"/>
      <c r="Q467"/>
      <c r="R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</row>
    <row r="468" spans="1:37" ht="16.5">
      <c r="A468" s="49"/>
      <c r="B468" s="49"/>
      <c r="C468" s="38" t="s">
        <v>1901</v>
      </c>
      <c r="D468" s="38" t="s">
        <v>1401</v>
      </c>
      <c r="E468" s="45">
        <v>41716</v>
      </c>
      <c r="F468" s="46">
        <v>41737</v>
      </c>
      <c r="G468" s="38">
        <v>1</v>
      </c>
      <c r="H468" s="47">
        <v>1</v>
      </c>
      <c r="I468" s="48">
        <v>1</v>
      </c>
      <c r="K468"/>
      <c r="L468"/>
      <c r="M468"/>
      <c r="N468"/>
      <c r="O468"/>
      <c r="P468"/>
      <c r="Q468"/>
      <c r="R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</row>
    <row r="469" spans="1:37" ht="16.5">
      <c r="A469" s="49"/>
      <c r="B469" s="50" t="s">
        <v>1462</v>
      </c>
      <c r="C469" s="51"/>
      <c r="D469" s="51"/>
      <c r="E469" s="51"/>
      <c r="F469" s="51"/>
      <c r="G469" s="51"/>
      <c r="H469" s="52">
        <v>2</v>
      </c>
      <c r="I469" s="53">
        <v>2</v>
      </c>
      <c r="K469"/>
      <c r="L469"/>
      <c r="M469"/>
      <c r="N469"/>
      <c r="O469"/>
      <c r="P469"/>
      <c r="Q469"/>
      <c r="R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</row>
    <row r="470" spans="1:37" ht="16.5">
      <c r="A470" s="49"/>
      <c r="B470" s="38" t="s">
        <v>24</v>
      </c>
      <c r="C470" s="38" t="s">
        <v>1894</v>
      </c>
      <c r="D470" s="38" t="s">
        <v>1401</v>
      </c>
      <c r="E470" s="45">
        <v>41716</v>
      </c>
      <c r="F470" s="46">
        <v>41736</v>
      </c>
      <c r="G470" s="38">
        <v>1</v>
      </c>
      <c r="H470" s="47">
        <v>1</v>
      </c>
      <c r="I470" s="48">
        <v>1</v>
      </c>
      <c r="K470"/>
      <c r="L470"/>
      <c r="M470"/>
      <c r="N470"/>
      <c r="O470"/>
      <c r="P470"/>
      <c r="Q470"/>
      <c r="R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</row>
    <row r="471" spans="1:37" ht="16.5">
      <c r="A471" s="49"/>
      <c r="B471" s="49"/>
      <c r="C471" s="38" t="s">
        <v>1895</v>
      </c>
      <c r="D471" s="38" t="s">
        <v>1409</v>
      </c>
      <c r="E471" s="45">
        <v>41716</v>
      </c>
      <c r="F471" s="46">
        <v>41723</v>
      </c>
      <c r="G471" s="38">
        <v>1</v>
      </c>
      <c r="H471" s="47">
        <v>1</v>
      </c>
      <c r="I471" s="48">
        <v>1</v>
      </c>
      <c r="K471"/>
      <c r="L471"/>
      <c r="M471"/>
      <c r="N471"/>
      <c r="O471"/>
      <c r="P471"/>
      <c r="Q471"/>
      <c r="R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</row>
    <row r="472" spans="1:37" ht="16.5">
      <c r="A472" s="49"/>
      <c r="B472" s="50" t="s">
        <v>1554</v>
      </c>
      <c r="C472" s="51"/>
      <c r="D472" s="51"/>
      <c r="E472" s="51"/>
      <c r="F472" s="51"/>
      <c r="G472" s="51"/>
      <c r="H472" s="52">
        <v>2</v>
      </c>
      <c r="I472" s="53">
        <v>2</v>
      </c>
      <c r="K472"/>
      <c r="L472"/>
      <c r="M472"/>
      <c r="N472"/>
      <c r="O472"/>
      <c r="P472"/>
      <c r="Q472"/>
      <c r="R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</row>
    <row r="473" spans="1:37" ht="16.5">
      <c r="A473" s="49"/>
      <c r="B473" s="38" t="s">
        <v>27</v>
      </c>
      <c r="C473" s="38" t="s">
        <v>1898</v>
      </c>
      <c r="D473" s="38" t="s">
        <v>1401</v>
      </c>
      <c r="E473" s="45">
        <v>41716</v>
      </c>
      <c r="F473" s="46">
        <v>41737</v>
      </c>
      <c r="G473" s="38">
        <v>1</v>
      </c>
      <c r="H473" s="47">
        <v>1</v>
      </c>
      <c r="I473" s="48">
        <v>1</v>
      </c>
      <c r="K473"/>
      <c r="L473"/>
      <c r="M473"/>
      <c r="N473"/>
      <c r="O473"/>
      <c r="P473"/>
      <c r="Q473"/>
      <c r="R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</row>
    <row r="474" spans="1:37" ht="16.5">
      <c r="A474" s="49"/>
      <c r="B474" s="49"/>
      <c r="C474" s="38" t="s">
        <v>1899</v>
      </c>
      <c r="D474" s="38" t="s">
        <v>1409</v>
      </c>
      <c r="E474" s="45">
        <v>41716</v>
      </c>
      <c r="F474" s="46">
        <v>41723</v>
      </c>
      <c r="G474" s="38">
        <v>1</v>
      </c>
      <c r="H474" s="47">
        <v>1</v>
      </c>
      <c r="I474" s="48">
        <v>1</v>
      </c>
      <c r="K474"/>
      <c r="L474"/>
      <c r="M474"/>
      <c r="N474"/>
      <c r="O474"/>
      <c r="P474"/>
      <c r="Q474"/>
      <c r="R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</row>
    <row r="475" spans="1:37" ht="16.5">
      <c r="A475" s="49"/>
      <c r="B475" s="50" t="s">
        <v>1463</v>
      </c>
      <c r="C475" s="51"/>
      <c r="D475" s="51"/>
      <c r="E475" s="51"/>
      <c r="F475" s="51"/>
      <c r="G475" s="51"/>
      <c r="H475" s="52">
        <v>2</v>
      </c>
      <c r="I475" s="53">
        <v>2</v>
      </c>
      <c r="K475"/>
      <c r="L475"/>
      <c r="M475"/>
      <c r="N475"/>
      <c r="O475"/>
      <c r="P475"/>
      <c r="Q475"/>
      <c r="R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</row>
    <row r="476" spans="1:37" ht="16.5">
      <c r="A476" s="54" t="s">
        <v>1910</v>
      </c>
      <c r="B476" s="55"/>
      <c r="C476" s="55"/>
      <c r="D476" s="55"/>
      <c r="E476" s="55"/>
      <c r="F476" s="55"/>
      <c r="G476" s="55"/>
      <c r="H476" s="56">
        <v>8</v>
      </c>
      <c r="I476" s="57">
        <v>8</v>
      </c>
      <c r="K476"/>
      <c r="L476"/>
      <c r="M476"/>
      <c r="N476"/>
      <c r="O476"/>
      <c r="P476"/>
      <c r="Q476"/>
      <c r="R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</row>
    <row r="477" spans="1:37" ht="16.5">
      <c r="A477" s="38" t="s">
        <v>2089</v>
      </c>
      <c r="B477" s="38" t="s">
        <v>1946</v>
      </c>
      <c r="C477" s="38" t="s">
        <v>2090</v>
      </c>
      <c r="D477" s="38" t="s">
        <v>792</v>
      </c>
      <c r="E477" s="45">
        <v>41739</v>
      </c>
      <c r="F477" s="46">
        <v>41767</v>
      </c>
      <c r="G477" s="38">
        <v>0</v>
      </c>
      <c r="H477" s="47">
        <v>1</v>
      </c>
      <c r="I477" s="48">
        <v>0</v>
      </c>
      <c r="K477"/>
      <c r="L477"/>
      <c r="M477"/>
      <c r="N477"/>
      <c r="O477"/>
      <c r="P477"/>
      <c r="Q477"/>
      <c r="R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</row>
    <row r="478" spans="1:37" ht="16.5">
      <c r="A478" s="49"/>
      <c r="B478" s="49"/>
      <c r="C478" s="38" t="s">
        <v>2091</v>
      </c>
      <c r="D478" s="38" t="s">
        <v>792</v>
      </c>
      <c r="E478" s="45">
        <v>41739</v>
      </c>
      <c r="F478" s="46">
        <v>41767</v>
      </c>
      <c r="G478" s="38">
        <v>0</v>
      </c>
      <c r="H478" s="47">
        <v>1</v>
      </c>
      <c r="I478" s="48">
        <v>0</v>
      </c>
      <c r="K478"/>
      <c r="L478"/>
      <c r="M478"/>
      <c r="N478"/>
      <c r="O478"/>
      <c r="P478"/>
      <c r="Q478"/>
      <c r="R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</row>
    <row r="479" spans="1:37" ht="16.5">
      <c r="A479" s="49"/>
      <c r="B479" s="49"/>
      <c r="C479" s="38" t="s">
        <v>2092</v>
      </c>
      <c r="D479" s="38" t="s">
        <v>792</v>
      </c>
      <c r="E479" s="45">
        <v>41739</v>
      </c>
      <c r="F479" s="46">
        <v>41767</v>
      </c>
      <c r="G479" s="38">
        <v>0</v>
      </c>
      <c r="H479" s="47">
        <v>1</v>
      </c>
      <c r="I479" s="48">
        <v>0</v>
      </c>
      <c r="K479"/>
      <c r="L479"/>
      <c r="M479"/>
      <c r="N479"/>
      <c r="O479"/>
      <c r="P479"/>
      <c r="Q479"/>
      <c r="R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</row>
    <row r="480" spans="1:37" ht="16.5">
      <c r="A480" s="49"/>
      <c r="B480" s="49"/>
      <c r="C480" s="38" t="s">
        <v>2093</v>
      </c>
      <c r="D480" s="38" t="s">
        <v>792</v>
      </c>
      <c r="E480" s="45">
        <v>41739</v>
      </c>
      <c r="F480" s="46">
        <v>41767</v>
      </c>
      <c r="G480" s="38">
        <v>0</v>
      </c>
      <c r="H480" s="47">
        <v>1</v>
      </c>
      <c r="I480" s="48">
        <v>0</v>
      </c>
      <c r="K480"/>
      <c r="L480"/>
      <c r="M480"/>
      <c r="N480"/>
      <c r="O480"/>
      <c r="P480"/>
      <c r="Q480"/>
      <c r="R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</row>
    <row r="481" spans="1:37" ht="16.5">
      <c r="A481" s="49"/>
      <c r="B481" s="49"/>
      <c r="C481" s="38" t="s">
        <v>2094</v>
      </c>
      <c r="D481" s="38" t="s">
        <v>792</v>
      </c>
      <c r="E481" s="45">
        <v>41739</v>
      </c>
      <c r="F481" s="46">
        <v>41767</v>
      </c>
      <c r="G481" s="38">
        <v>0</v>
      </c>
      <c r="H481" s="47">
        <v>1</v>
      </c>
      <c r="I481" s="48">
        <v>0</v>
      </c>
      <c r="K481"/>
      <c r="L481"/>
      <c r="M481"/>
      <c r="N481"/>
      <c r="O481"/>
      <c r="P481"/>
      <c r="Q481"/>
      <c r="R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</row>
    <row r="482" spans="1:37" ht="16.5">
      <c r="A482" s="49"/>
      <c r="B482" s="49"/>
      <c r="C482" s="38" t="s">
        <v>2095</v>
      </c>
      <c r="D482" s="38" t="s">
        <v>792</v>
      </c>
      <c r="E482" s="45">
        <v>41739</v>
      </c>
      <c r="F482" s="46">
        <v>41767</v>
      </c>
      <c r="G482" s="38">
        <v>0</v>
      </c>
      <c r="H482" s="47">
        <v>1</v>
      </c>
      <c r="I482" s="48">
        <v>0</v>
      </c>
      <c r="K482"/>
      <c r="L482"/>
      <c r="M482"/>
      <c r="N482"/>
      <c r="O482"/>
      <c r="P482"/>
      <c r="Q482"/>
      <c r="R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</row>
    <row r="483" spans="1:37" ht="16.5">
      <c r="A483" s="49"/>
      <c r="B483" s="49"/>
      <c r="C483" s="38" t="s">
        <v>2096</v>
      </c>
      <c r="D483" s="38" t="s">
        <v>792</v>
      </c>
      <c r="E483" s="45">
        <v>41739</v>
      </c>
      <c r="F483" s="46">
        <v>41767</v>
      </c>
      <c r="G483" s="38">
        <v>0</v>
      </c>
      <c r="H483" s="47">
        <v>1</v>
      </c>
      <c r="I483" s="48">
        <v>0</v>
      </c>
      <c r="K483"/>
      <c r="L483"/>
      <c r="M483"/>
      <c r="N483"/>
      <c r="O483"/>
      <c r="P483"/>
      <c r="Q483"/>
      <c r="R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</row>
    <row r="484" spans="1:37" ht="16.5">
      <c r="A484" s="49"/>
      <c r="B484" s="49"/>
      <c r="C484" s="38" t="s">
        <v>2097</v>
      </c>
      <c r="D484" s="38" t="s">
        <v>792</v>
      </c>
      <c r="E484" s="45">
        <v>41739</v>
      </c>
      <c r="F484" s="46">
        <v>41767</v>
      </c>
      <c r="G484" s="38">
        <v>0</v>
      </c>
      <c r="H484" s="47">
        <v>1</v>
      </c>
      <c r="I484" s="48">
        <v>0</v>
      </c>
      <c r="K484"/>
      <c r="L484"/>
      <c r="M484"/>
      <c r="N484"/>
      <c r="O484"/>
      <c r="P484"/>
      <c r="Q484"/>
      <c r="R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</row>
    <row r="485" spans="1:37" ht="16.5">
      <c r="A485" s="49"/>
      <c r="B485" s="50" t="s">
        <v>1957</v>
      </c>
      <c r="C485" s="51"/>
      <c r="D485" s="51"/>
      <c r="E485" s="51"/>
      <c r="F485" s="51"/>
      <c r="G485" s="51"/>
      <c r="H485" s="52">
        <v>8</v>
      </c>
      <c r="I485" s="53">
        <v>0</v>
      </c>
      <c r="K485"/>
      <c r="L485"/>
      <c r="M485"/>
      <c r="N485"/>
      <c r="O485"/>
      <c r="P485"/>
      <c r="Q485"/>
      <c r="R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</row>
    <row r="486" spans="1:37" ht="16.5">
      <c r="A486" s="54" t="s">
        <v>2154</v>
      </c>
      <c r="B486" s="55"/>
      <c r="C486" s="55"/>
      <c r="D486" s="55"/>
      <c r="E486" s="55"/>
      <c r="F486" s="55"/>
      <c r="G486" s="55"/>
      <c r="H486" s="56">
        <v>8</v>
      </c>
      <c r="I486" s="57">
        <v>0</v>
      </c>
      <c r="K486"/>
      <c r="L486"/>
      <c r="M486"/>
      <c r="N486"/>
      <c r="O486"/>
      <c r="P486"/>
      <c r="Q486"/>
      <c r="R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</row>
    <row r="487" spans="1:37" ht="16.5">
      <c r="A487" s="38" t="s">
        <v>2196</v>
      </c>
      <c r="B487" s="38" t="s">
        <v>31</v>
      </c>
      <c r="C487" s="38" t="s">
        <v>2197</v>
      </c>
      <c r="D487" s="38" t="s">
        <v>1837</v>
      </c>
      <c r="E487" s="45">
        <v>41759</v>
      </c>
      <c r="F487" s="46">
        <v>41779</v>
      </c>
      <c r="G487" s="38">
        <v>0</v>
      </c>
      <c r="H487" s="47">
        <v>1</v>
      </c>
      <c r="I487" s="48">
        <v>0</v>
      </c>
      <c r="K487"/>
      <c r="L487"/>
      <c r="M487"/>
      <c r="N487"/>
      <c r="O487"/>
      <c r="P487"/>
      <c r="Q487"/>
      <c r="R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</row>
    <row r="488" spans="1:37" ht="16.5">
      <c r="A488" s="49"/>
      <c r="B488" s="49"/>
      <c r="C488" s="38" t="s">
        <v>2198</v>
      </c>
      <c r="D488" s="38" t="s">
        <v>1837</v>
      </c>
      <c r="E488" s="45">
        <v>41759</v>
      </c>
      <c r="F488" s="46">
        <v>41779</v>
      </c>
      <c r="G488" s="38">
        <v>0</v>
      </c>
      <c r="H488" s="47">
        <v>1</v>
      </c>
      <c r="I488" s="48">
        <v>0</v>
      </c>
      <c r="K488"/>
      <c r="L488"/>
      <c r="M488"/>
      <c r="N488"/>
      <c r="O488"/>
      <c r="P488"/>
      <c r="Q488"/>
      <c r="R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</row>
    <row r="489" spans="1:37" ht="16.5">
      <c r="A489" s="49"/>
      <c r="B489" s="49"/>
      <c r="C489" s="38" t="s">
        <v>2199</v>
      </c>
      <c r="D489" s="38" t="s">
        <v>1837</v>
      </c>
      <c r="E489" s="45">
        <v>41759</v>
      </c>
      <c r="F489" s="46">
        <v>41779</v>
      </c>
      <c r="G489" s="38">
        <v>0</v>
      </c>
      <c r="H489" s="47">
        <v>1</v>
      </c>
      <c r="I489" s="48">
        <v>0</v>
      </c>
      <c r="K489"/>
      <c r="L489"/>
      <c r="M489"/>
      <c r="N489"/>
      <c r="O489"/>
      <c r="P489"/>
      <c r="Q489"/>
      <c r="R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</row>
    <row r="490" spans="1:37" ht="16.5">
      <c r="A490" s="49"/>
      <c r="B490" s="49"/>
      <c r="C490" s="38" t="s">
        <v>2200</v>
      </c>
      <c r="D490" s="38" t="s">
        <v>1837</v>
      </c>
      <c r="E490" s="45">
        <v>41759</v>
      </c>
      <c r="F490" s="46">
        <v>41779</v>
      </c>
      <c r="G490" s="38">
        <v>0</v>
      </c>
      <c r="H490" s="47">
        <v>1</v>
      </c>
      <c r="I490" s="48">
        <v>0</v>
      </c>
      <c r="K490"/>
      <c r="L490"/>
      <c r="M490"/>
      <c r="N490"/>
      <c r="O490"/>
      <c r="P490"/>
      <c r="Q490"/>
      <c r="R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</row>
    <row r="491" spans="1:37" ht="16.5">
      <c r="A491" s="49"/>
      <c r="B491" s="49"/>
      <c r="C491" s="38" t="s">
        <v>2201</v>
      </c>
      <c r="D491" s="38" t="s">
        <v>1837</v>
      </c>
      <c r="E491" s="45">
        <v>41759</v>
      </c>
      <c r="F491" s="46">
        <v>41779</v>
      </c>
      <c r="G491" s="38">
        <v>0</v>
      </c>
      <c r="H491" s="47">
        <v>1</v>
      </c>
      <c r="I491" s="48">
        <v>0</v>
      </c>
      <c r="K491"/>
      <c r="L491"/>
      <c r="M491"/>
      <c r="N491"/>
      <c r="O491"/>
      <c r="P491"/>
      <c r="Q491"/>
      <c r="R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</row>
    <row r="492" spans="1:37" ht="16.5">
      <c r="A492" s="49"/>
      <c r="B492" s="49"/>
      <c r="C492" s="38" t="s">
        <v>2202</v>
      </c>
      <c r="D492" s="38" t="s">
        <v>1837</v>
      </c>
      <c r="E492" s="45">
        <v>41759</v>
      </c>
      <c r="F492" s="46">
        <v>41789</v>
      </c>
      <c r="G492" s="38">
        <v>0</v>
      </c>
      <c r="H492" s="47">
        <v>1</v>
      </c>
      <c r="I492" s="48">
        <v>0</v>
      </c>
      <c r="K492"/>
      <c r="L492"/>
      <c r="M492"/>
      <c r="N492"/>
      <c r="O492"/>
      <c r="P492"/>
      <c r="Q492"/>
      <c r="R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</row>
    <row r="493" spans="1:37" ht="16.5">
      <c r="A493" s="49"/>
      <c r="B493" s="49"/>
      <c r="C493" s="38" t="s">
        <v>2203</v>
      </c>
      <c r="D493" s="38" t="s">
        <v>1837</v>
      </c>
      <c r="E493" s="45">
        <v>41759</v>
      </c>
      <c r="F493" s="46">
        <v>41789</v>
      </c>
      <c r="G493" s="38">
        <v>0</v>
      </c>
      <c r="H493" s="47">
        <v>1</v>
      </c>
      <c r="I493" s="48">
        <v>0</v>
      </c>
      <c r="K493"/>
      <c r="L493"/>
      <c r="M493"/>
      <c r="N493"/>
      <c r="O493"/>
      <c r="P493"/>
      <c r="Q493"/>
      <c r="R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</row>
    <row r="494" spans="1:37" ht="16.5">
      <c r="A494" s="49"/>
      <c r="B494" s="49"/>
      <c r="C494" s="38" t="s">
        <v>2204</v>
      </c>
      <c r="D494" s="38" t="s">
        <v>1837</v>
      </c>
      <c r="E494" s="45">
        <v>41759</v>
      </c>
      <c r="F494" s="46">
        <v>41789</v>
      </c>
      <c r="G494" s="38">
        <v>0</v>
      </c>
      <c r="H494" s="47">
        <v>1</v>
      </c>
      <c r="I494" s="48">
        <v>0</v>
      </c>
      <c r="K494"/>
      <c r="L494"/>
      <c r="M494"/>
      <c r="N494"/>
      <c r="O494"/>
      <c r="P494"/>
      <c r="Q494"/>
      <c r="R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</row>
    <row r="495" spans="1:37" ht="16.5">
      <c r="A495" s="49"/>
      <c r="B495" s="49"/>
      <c r="C495" s="38" t="s">
        <v>2205</v>
      </c>
      <c r="D495" s="38" t="s">
        <v>1837</v>
      </c>
      <c r="E495" s="45">
        <v>41759</v>
      </c>
      <c r="F495" s="46">
        <v>41789</v>
      </c>
      <c r="G495" s="38">
        <v>0</v>
      </c>
      <c r="H495" s="47">
        <v>1</v>
      </c>
      <c r="I495" s="48">
        <v>0</v>
      </c>
      <c r="K495"/>
      <c r="L495"/>
      <c r="M495"/>
      <c r="N495"/>
      <c r="O495"/>
      <c r="P495"/>
      <c r="Q495"/>
      <c r="R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</row>
    <row r="496" spans="1:37" ht="16.5">
      <c r="A496" s="49"/>
      <c r="B496" s="50" t="s">
        <v>1915</v>
      </c>
      <c r="C496" s="51"/>
      <c r="D496" s="51"/>
      <c r="E496" s="51"/>
      <c r="F496" s="51"/>
      <c r="G496" s="51"/>
      <c r="H496" s="52">
        <v>9</v>
      </c>
      <c r="I496" s="53">
        <v>0</v>
      </c>
      <c r="K496"/>
      <c r="L496"/>
      <c r="M496"/>
      <c r="N496"/>
      <c r="O496"/>
      <c r="P496"/>
      <c r="Q496"/>
      <c r="R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</row>
    <row r="497" spans="1:37" ht="16.5">
      <c r="A497" s="54" t="s">
        <v>2265</v>
      </c>
      <c r="B497" s="55"/>
      <c r="C497" s="55"/>
      <c r="D497" s="55"/>
      <c r="E497" s="55"/>
      <c r="F497" s="55"/>
      <c r="G497" s="55"/>
      <c r="H497" s="56">
        <v>9</v>
      </c>
      <c r="I497" s="57">
        <v>0</v>
      </c>
      <c r="K497"/>
      <c r="L497"/>
      <c r="M497"/>
      <c r="N497"/>
      <c r="O497"/>
      <c r="P497"/>
      <c r="Q497"/>
      <c r="R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</row>
    <row r="498" spans="1:37" ht="16.5">
      <c r="A498" s="58" t="s">
        <v>4</v>
      </c>
      <c r="B498" s="59"/>
      <c r="C498" s="59"/>
      <c r="D498" s="59"/>
      <c r="E498" s="59"/>
      <c r="F498" s="59"/>
      <c r="G498" s="59"/>
      <c r="H498" s="60">
        <v>372.99999999999983</v>
      </c>
      <c r="I498" s="61">
        <v>289</v>
      </c>
      <c r="K498"/>
      <c r="L498"/>
      <c r="M498"/>
      <c r="N498"/>
      <c r="O498"/>
      <c r="P498"/>
      <c r="Q498"/>
      <c r="R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</row>
    <row r="499" spans="1:37" ht="16.5">
      <c r="A499"/>
      <c r="B499"/>
      <c r="C499"/>
      <c r="D499"/>
      <c r="E499"/>
      <c r="F499"/>
      <c r="G499"/>
      <c r="H499"/>
      <c r="I499"/>
      <c r="K499"/>
      <c r="L499"/>
      <c r="M499"/>
      <c r="N499"/>
      <c r="O499"/>
      <c r="P499"/>
      <c r="Q499"/>
      <c r="R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</row>
    <row r="500" spans="1:37" ht="16.5">
      <c r="A500"/>
      <c r="B500"/>
      <c r="C500"/>
      <c r="D500"/>
      <c r="E500"/>
      <c r="F500"/>
      <c r="G500"/>
      <c r="H500"/>
      <c r="I500"/>
      <c r="K500"/>
      <c r="L500"/>
      <c r="M500"/>
      <c r="N500"/>
      <c r="O500"/>
      <c r="P500"/>
      <c r="Q500"/>
      <c r="R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</row>
    <row r="501" spans="1:37" ht="16.5">
      <c r="A501"/>
      <c r="B501"/>
      <c r="C501"/>
      <c r="D501"/>
      <c r="E501"/>
      <c r="F501"/>
      <c r="G501"/>
      <c r="H501"/>
      <c r="I501"/>
      <c r="K501"/>
      <c r="L501"/>
      <c r="M501"/>
      <c r="N501"/>
      <c r="O501"/>
      <c r="P501"/>
      <c r="Q501"/>
      <c r="R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</row>
    <row r="502" spans="1:37" ht="16.5">
      <c r="A502"/>
      <c r="B502"/>
      <c r="C502"/>
      <c r="D502"/>
      <c r="E502"/>
      <c r="F502"/>
      <c r="G502"/>
      <c r="H502"/>
      <c r="I502"/>
      <c r="K502"/>
      <c r="L502"/>
      <c r="M502"/>
      <c r="N502"/>
      <c r="O502"/>
      <c r="P502"/>
      <c r="Q502"/>
      <c r="R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</row>
    <row r="503" spans="1:37" ht="16.5">
      <c r="A503"/>
      <c r="B503"/>
      <c r="C503"/>
      <c r="D503"/>
      <c r="E503"/>
      <c r="F503"/>
      <c r="G503"/>
      <c r="H503"/>
      <c r="I503"/>
      <c r="K503"/>
      <c r="L503"/>
      <c r="M503"/>
      <c r="N503"/>
      <c r="O503"/>
      <c r="P503"/>
      <c r="Q503"/>
      <c r="R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</row>
    <row r="504" spans="1:37" ht="16.5">
      <c r="A504"/>
      <c r="B504"/>
      <c r="C504"/>
      <c r="D504"/>
      <c r="E504"/>
      <c r="F504"/>
      <c r="G504"/>
      <c r="H504"/>
      <c r="I504"/>
      <c r="K504"/>
      <c r="L504"/>
      <c r="M504"/>
      <c r="N504"/>
      <c r="O504"/>
      <c r="P504"/>
      <c r="Q504"/>
      <c r="R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</row>
    <row r="505" spans="1:37" ht="16.5">
      <c r="A505"/>
      <c r="B505"/>
      <c r="C505"/>
      <c r="D505"/>
      <c r="E505"/>
      <c r="F505"/>
      <c r="G505"/>
      <c r="H505"/>
      <c r="I505"/>
      <c r="K505"/>
      <c r="L505"/>
      <c r="M505"/>
      <c r="N505"/>
      <c r="O505"/>
      <c r="P505"/>
      <c r="Q505"/>
      <c r="R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</row>
    <row r="506" spans="1:37" ht="16.5">
      <c r="A506"/>
      <c r="B506"/>
      <c r="C506"/>
      <c r="D506"/>
      <c r="E506"/>
      <c r="F506"/>
      <c r="G506"/>
      <c r="H506"/>
      <c r="I506"/>
      <c r="K506"/>
      <c r="L506"/>
      <c r="M506"/>
      <c r="N506"/>
      <c r="O506"/>
      <c r="P506"/>
      <c r="Q506"/>
      <c r="R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</row>
    <row r="507" spans="1:37" ht="16.5">
      <c r="A507"/>
      <c r="B507"/>
      <c r="C507"/>
      <c r="D507"/>
      <c r="E507"/>
      <c r="F507"/>
      <c r="G507"/>
      <c r="H507"/>
      <c r="I507"/>
      <c r="K507"/>
      <c r="L507"/>
      <c r="M507"/>
      <c r="N507"/>
      <c r="O507"/>
      <c r="P507"/>
      <c r="Q507"/>
      <c r="R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</row>
    <row r="508" spans="1:37" ht="16.5">
      <c r="A508"/>
      <c r="B508"/>
      <c r="C508"/>
      <c r="D508"/>
      <c r="E508"/>
      <c r="F508"/>
      <c r="G508"/>
      <c r="H508"/>
      <c r="I508"/>
      <c r="K508"/>
      <c r="L508"/>
      <c r="M508"/>
      <c r="N508"/>
      <c r="O508"/>
      <c r="P508"/>
      <c r="Q508"/>
      <c r="R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</row>
    <row r="509" spans="1:37" ht="16.5">
      <c r="A509"/>
      <c r="B509"/>
      <c r="C509"/>
      <c r="D509"/>
      <c r="E509"/>
      <c r="F509"/>
      <c r="G509"/>
      <c r="H509"/>
      <c r="I509"/>
      <c r="K509"/>
      <c r="L509"/>
      <c r="M509"/>
      <c r="N509"/>
      <c r="O509"/>
      <c r="P509"/>
      <c r="Q509"/>
      <c r="R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</row>
    <row r="510" spans="1:37" ht="16.5">
      <c r="A510"/>
      <c r="B510"/>
      <c r="C510"/>
      <c r="D510"/>
      <c r="E510"/>
      <c r="F510"/>
      <c r="G510"/>
      <c r="H510"/>
      <c r="I510"/>
      <c r="K510"/>
      <c r="L510"/>
      <c r="M510"/>
      <c r="N510"/>
      <c r="O510"/>
      <c r="P510"/>
      <c r="Q510"/>
      <c r="R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</row>
    <row r="511" spans="1:37" ht="16.5">
      <c r="A511"/>
      <c r="B511"/>
      <c r="C511"/>
      <c r="D511"/>
      <c r="E511"/>
      <c r="F511"/>
      <c r="G511"/>
      <c r="H511"/>
      <c r="I511"/>
      <c r="K511"/>
      <c r="L511"/>
      <c r="M511"/>
      <c r="N511"/>
      <c r="O511"/>
      <c r="P511"/>
      <c r="Q511"/>
      <c r="R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</row>
    <row r="512" spans="1:37" ht="16.5">
      <c r="A512"/>
      <c r="B512"/>
      <c r="C512"/>
      <c r="D512"/>
      <c r="E512"/>
      <c r="F512"/>
      <c r="G512"/>
      <c r="H512"/>
      <c r="I512"/>
      <c r="K512"/>
      <c r="L512"/>
      <c r="M512"/>
      <c r="N512"/>
      <c r="O512"/>
      <c r="P512"/>
      <c r="Q512"/>
      <c r="R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</row>
    <row r="513" spans="1:37" ht="16.5">
      <c r="A513"/>
      <c r="B513"/>
      <c r="C513"/>
      <c r="D513"/>
      <c r="E513"/>
      <c r="F513"/>
      <c r="G513"/>
      <c r="H513"/>
      <c r="I513"/>
      <c r="K513"/>
      <c r="L513"/>
      <c r="M513"/>
      <c r="N513"/>
      <c r="O513"/>
      <c r="P513"/>
      <c r="Q513"/>
      <c r="R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</row>
    <row r="514" spans="1:37" ht="16.5">
      <c r="A514"/>
      <c r="B514"/>
      <c r="C514"/>
      <c r="D514"/>
      <c r="E514"/>
      <c r="F514"/>
      <c r="G514"/>
      <c r="H514"/>
      <c r="I514"/>
      <c r="K514"/>
      <c r="L514"/>
      <c r="M514"/>
      <c r="N514"/>
      <c r="O514"/>
      <c r="P514"/>
      <c r="Q514"/>
      <c r="R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</row>
    <row r="515" spans="1:37" ht="16.5">
      <c r="A515"/>
      <c r="B515"/>
      <c r="C515"/>
      <c r="D515"/>
      <c r="E515"/>
      <c r="F515"/>
      <c r="G515"/>
      <c r="H515"/>
      <c r="I515"/>
      <c r="K515"/>
      <c r="L515"/>
      <c r="M515"/>
      <c r="N515"/>
      <c r="O515"/>
      <c r="P515"/>
      <c r="Q515"/>
      <c r="R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</row>
    <row r="516" spans="1:37" ht="16.5">
      <c r="A516"/>
      <c r="B516"/>
      <c r="C516"/>
      <c r="D516"/>
      <c r="E516"/>
      <c r="F516"/>
      <c r="G516"/>
      <c r="H516"/>
      <c r="I516"/>
      <c r="K516"/>
      <c r="L516"/>
      <c r="M516"/>
      <c r="N516"/>
      <c r="O516"/>
      <c r="P516"/>
      <c r="Q516"/>
      <c r="R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</row>
    <row r="517" spans="1:37" ht="16.5">
      <c r="A517"/>
      <c r="B517"/>
      <c r="C517"/>
      <c r="D517"/>
      <c r="E517"/>
      <c r="F517"/>
      <c r="G517"/>
      <c r="H517"/>
      <c r="I517"/>
      <c r="K517"/>
      <c r="L517"/>
      <c r="M517"/>
      <c r="N517"/>
      <c r="O517"/>
      <c r="P517"/>
      <c r="Q517"/>
      <c r="R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</row>
    <row r="518" spans="1:37" ht="16.5">
      <c r="A518"/>
      <c r="B518"/>
      <c r="C518"/>
      <c r="D518"/>
      <c r="E518"/>
      <c r="F518"/>
      <c r="G518"/>
      <c r="H518"/>
      <c r="I518"/>
      <c r="K518"/>
      <c r="L518"/>
      <c r="M518"/>
      <c r="N518"/>
      <c r="O518"/>
      <c r="P518"/>
      <c r="Q518"/>
      <c r="R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</row>
    <row r="519" spans="1:37" ht="16.5">
      <c r="A519"/>
      <c r="B519"/>
      <c r="C519"/>
      <c r="D519"/>
      <c r="E519"/>
      <c r="F519"/>
      <c r="G519"/>
      <c r="H519"/>
      <c r="I519"/>
      <c r="K519"/>
      <c r="L519"/>
      <c r="M519"/>
      <c r="N519"/>
      <c r="O519"/>
      <c r="P519"/>
      <c r="Q519"/>
      <c r="R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</row>
    <row r="520" spans="1:37" ht="16.5">
      <c r="A520"/>
      <c r="B520"/>
      <c r="C520"/>
      <c r="D520"/>
      <c r="E520"/>
      <c r="F520"/>
      <c r="G520"/>
      <c r="H520"/>
      <c r="I520"/>
      <c r="K520"/>
      <c r="L520"/>
      <c r="M520"/>
      <c r="N520"/>
      <c r="O520"/>
      <c r="P520"/>
      <c r="Q520"/>
      <c r="R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</row>
    <row r="521" spans="1:37" ht="16.5">
      <c r="A521"/>
      <c r="B521"/>
      <c r="C521"/>
      <c r="D521"/>
      <c r="E521"/>
      <c r="F521"/>
      <c r="G521"/>
      <c r="H521"/>
      <c r="I521"/>
      <c r="K521"/>
      <c r="L521"/>
      <c r="M521"/>
      <c r="N521"/>
      <c r="O521"/>
      <c r="P521"/>
      <c r="Q521"/>
      <c r="R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</row>
    <row r="522" spans="1:37" ht="16.5">
      <c r="A522"/>
      <c r="B522"/>
      <c r="C522"/>
      <c r="D522"/>
      <c r="E522"/>
      <c r="F522"/>
      <c r="G522"/>
      <c r="H522"/>
      <c r="I522"/>
      <c r="K522"/>
      <c r="L522"/>
      <c r="M522"/>
      <c r="N522"/>
      <c r="O522"/>
      <c r="P522"/>
      <c r="Q522"/>
      <c r="R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</row>
    <row r="523" spans="1:37" ht="16.5">
      <c r="A523"/>
      <c r="B523"/>
      <c r="C523"/>
      <c r="D523"/>
      <c r="E523"/>
      <c r="F523"/>
      <c r="G523"/>
      <c r="H523"/>
      <c r="I523"/>
      <c r="K523"/>
      <c r="L523"/>
      <c r="M523"/>
      <c r="N523"/>
      <c r="O523"/>
      <c r="P523"/>
      <c r="Q523"/>
      <c r="R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</row>
    <row r="524" spans="1:37" ht="16.5">
      <c r="A524"/>
      <c r="B524"/>
      <c r="C524"/>
      <c r="D524"/>
      <c r="E524"/>
      <c r="F524"/>
      <c r="G524"/>
      <c r="H524"/>
      <c r="I524"/>
      <c r="K524"/>
      <c r="L524"/>
      <c r="M524"/>
      <c r="N524"/>
      <c r="O524"/>
      <c r="P524"/>
      <c r="Q524"/>
      <c r="R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</row>
    <row r="525" spans="1:37" ht="16.5">
      <c r="A525"/>
      <c r="B525"/>
      <c r="C525"/>
      <c r="D525"/>
      <c r="E525"/>
      <c r="F525"/>
      <c r="G525"/>
      <c r="H525"/>
      <c r="I525"/>
      <c r="K525"/>
      <c r="L525"/>
      <c r="M525"/>
      <c r="N525"/>
      <c r="O525"/>
      <c r="P525"/>
      <c r="Q525"/>
      <c r="R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</row>
    <row r="526" spans="1:37" ht="16.5">
      <c r="A526"/>
      <c r="B526"/>
      <c r="C526"/>
      <c r="D526"/>
      <c r="E526"/>
      <c r="F526"/>
      <c r="G526"/>
      <c r="H526"/>
      <c r="I526"/>
      <c r="K526"/>
      <c r="L526"/>
      <c r="M526"/>
      <c r="N526"/>
      <c r="O526"/>
      <c r="P526"/>
      <c r="Q526"/>
      <c r="R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</row>
    <row r="527" spans="1:37" ht="16.5">
      <c r="A527"/>
      <c r="B527"/>
      <c r="C527"/>
      <c r="D527"/>
      <c r="E527"/>
      <c r="F527"/>
      <c r="G527"/>
      <c r="H527"/>
      <c r="I527"/>
      <c r="K527"/>
      <c r="L527"/>
      <c r="M527"/>
      <c r="N527"/>
      <c r="O527"/>
      <c r="P527"/>
      <c r="Q527"/>
      <c r="R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</row>
    <row r="528" spans="1:37" ht="16.5">
      <c r="A528"/>
      <c r="B528"/>
      <c r="C528"/>
      <c r="D528"/>
      <c r="E528"/>
      <c r="F528"/>
      <c r="G528"/>
      <c r="H528"/>
      <c r="I528"/>
      <c r="K528"/>
      <c r="L528"/>
      <c r="M528"/>
      <c r="N528"/>
      <c r="O528"/>
      <c r="P528"/>
      <c r="Q528"/>
      <c r="R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</row>
    <row r="529" spans="1:37" ht="16.5">
      <c r="A529"/>
      <c r="B529"/>
      <c r="C529"/>
      <c r="D529"/>
      <c r="E529"/>
      <c r="F529"/>
      <c r="G529"/>
      <c r="H529"/>
      <c r="I529"/>
      <c r="K529"/>
      <c r="L529"/>
      <c r="M529"/>
      <c r="N529"/>
      <c r="O529"/>
      <c r="P529"/>
      <c r="Q529"/>
      <c r="R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</row>
    <row r="530" spans="1:37" ht="16.5">
      <c r="A530"/>
      <c r="B530"/>
      <c r="C530"/>
      <c r="D530"/>
      <c r="E530"/>
      <c r="F530"/>
      <c r="G530"/>
      <c r="H530"/>
      <c r="I530"/>
      <c r="K530"/>
      <c r="L530"/>
      <c r="M530"/>
      <c r="N530"/>
      <c r="O530"/>
      <c r="P530"/>
      <c r="Q530"/>
      <c r="R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</row>
    <row r="531" spans="1:37" ht="16.5">
      <c r="A531"/>
      <c r="B531"/>
      <c r="C531"/>
      <c r="D531"/>
      <c r="E531"/>
      <c r="F531"/>
      <c r="G531"/>
      <c r="H531"/>
      <c r="I531"/>
      <c r="K531"/>
      <c r="L531"/>
      <c r="M531"/>
      <c r="N531"/>
      <c r="O531"/>
      <c r="P531"/>
      <c r="Q531"/>
      <c r="R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</row>
    <row r="532" spans="1:37" ht="16.5">
      <c r="A532"/>
      <c r="B532"/>
      <c r="C532"/>
      <c r="D532"/>
      <c r="E532"/>
      <c r="F532"/>
      <c r="G532"/>
      <c r="H532"/>
      <c r="I532"/>
      <c r="K532"/>
      <c r="L532"/>
      <c r="M532"/>
      <c r="N532"/>
      <c r="O532"/>
      <c r="P532"/>
      <c r="Q532"/>
      <c r="R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</row>
    <row r="533" spans="1:37" ht="16.5">
      <c r="A533"/>
      <c r="B533"/>
      <c r="C533"/>
      <c r="D533"/>
      <c r="E533"/>
      <c r="F533"/>
      <c r="G533"/>
      <c r="H533"/>
      <c r="I533"/>
      <c r="K533"/>
      <c r="L533"/>
      <c r="M533"/>
      <c r="N533"/>
      <c r="O533"/>
      <c r="P533"/>
      <c r="Q533"/>
      <c r="R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</row>
    <row r="534" spans="1:37" ht="16.5">
      <c r="A534"/>
      <c r="B534"/>
      <c r="C534"/>
      <c r="D534"/>
      <c r="E534"/>
      <c r="F534"/>
      <c r="G534"/>
      <c r="H534"/>
      <c r="I534"/>
      <c r="K534"/>
      <c r="L534"/>
      <c r="M534"/>
      <c r="N534"/>
      <c r="O534"/>
      <c r="P534"/>
      <c r="Q534"/>
      <c r="R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</row>
    <row r="535" spans="1:37" ht="16.5">
      <c r="A535"/>
      <c r="B535"/>
      <c r="C535"/>
      <c r="D535"/>
      <c r="E535"/>
      <c r="F535"/>
      <c r="G535"/>
      <c r="H535"/>
      <c r="I535"/>
      <c r="K535"/>
      <c r="L535"/>
      <c r="M535"/>
      <c r="N535"/>
      <c r="O535"/>
      <c r="P535"/>
      <c r="Q535"/>
      <c r="R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</row>
    <row r="536" spans="1:37" ht="16.5">
      <c r="A536"/>
      <c r="B536"/>
      <c r="C536"/>
      <c r="D536"/>
      <c r="E536"/>
      <c r="F536"/>
      <c r="G536"/>
      <c r="H536"/>
      <c r="I536"/>
      <c r="K536"/>
      <c r="L536"/>
      <c r="M536"/>
      <c r="N536"/>
      <c r="O536"/>
      <c r="P536"/>
      <c r="Q536"/>
      <c r="R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</row>
    <row r="537" spans="1:37" ht="16.5">
      <c r="A537"/>
      <c r="B537"/>
      <c r="C537"/>
      <c r="D537"/>
      <c r="E537"/>
      <c r="F537"/>
      <c r="G537"/>
      <c r="H537"/>
      <c r="I537"/>
      <c r="K537"/>
      <c r="L537"/>
      <c r="M537"/>
      <c r="N537"/>
      <c r="O537"/>
      <c r="P537"/>
      <c r="Q537"/>
      <c r="R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</row>
    <row r="538" spans="1:37" ht="16.5">
      <c r="A538"/>
      <c r="B538"/>
      <c r="C538"/>
      <c r="D538"/>
      <c r="E538"/>
      <c r="F538"/>
      <c r="G538"/>
      <c r="H538"/>
      <c r="I538"/>
      <c r="K538"/>
      <c r="L538"/>
      <c r="M538"/>
      <c r="N538"/>
      <c r="O538"/>
      <c r="P538"/>
      <c r="Q538"/>
      <c r="R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</row>
    <row r="539" spans="1:37" ht="16.5">
      <c r="A539"/>
      <c r="B539"/>
      <c r="C539"/>
      <c r="D539"/>
      <c r="E539"/>
      <c r="F539"/>
      <c r="G539"/>
      <c r="H539"/>
      <c r="I539"/>
      <c r="K539"/>
      <c r="L539"/>
      <c r="M539"/>
      <c r="N539"/>
      <c r="O539"/>
      <c r="P539"/>
      <c r="Q539"/>
      <c r="R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</row>
    <row r="540" spans="1:37" ht="16.5">
      <c r="A540"/>
      <c r="B540"/>
      <c r="C540"/>
      <c r="D540"/>
      <c r="E540"/>
      <c r="F540"/>
      <c r="G540"/>
      <c r="H540"/>
      <c r="I540"/>
      <c r="K540"/>
      <c r="L540"/>
      <c r="M540"/>
      <c r="N540"/>
      <c r="O540"/>
      <c r="P540"/>
      <c r="Q540"/>
      <c r="R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</row>
    <row r="541" spans="1:37" ht="16.5">
      <c r="A541"/>
      <c r="B541"/>
      <c r="C541"/>
      <c r="D541"/>
      <c r="E541"/>
      <c r="F541"/>
      <c r="G541"/>
      <c r="H541"/>
      <c r="I541"/>
      <c r="K541"/>
      <c r="L541"/>
      <c r="M541"/>
      <c r="N541"/>
      <c r="O541"/>
      <c r="P541"/>
      <c r="Q541"/>
      <c r="R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</row>
    <row r="542" spans="1:37" ht="16.5">
      <c r="A542"/>
      <c r="B542"/>
      <c r="C542"/>
      <c r="D542"/>
      <c r="E542"/>
      <c r="F542"/>
      <c r="G542"/>
      <c r="H542"/>
      <c r="I542"/>
      <c r="K542"/>
      <c r="L542"/>
      <c r="M542"/>
      <c r="N542"/>
      <c r="O542"/>
      <c r="P542"/>
      <c r="Q542"/>
      <c r="R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</row>
    <row r="543" spans="1:37" ht="16.5">
      <c r="A543"/>
      <c r="B543"/>
      <c r="C543"/>
      <c r="D543"/>
      <c r="E543"/>
      <c r="F543"/>
      <c r="G543"/>
      <c r="H543"/>
      <c r="I543"/>
      <c r="K543"/>
      <c r="L543"/>
      <c r="M543"/>
      <c r="N543"/>
      <c r="O543"/>
      <c r="P543"/>
      <c r="Q543"/>
      <c r="R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</row>
    <row r="544" spans="1:37" ht="16.5">
      <c r="A544"/>
      <c r="B544"/>
      <c r="C544"/>
      <c r="D544"/>
      <c r="E544"/>
      <c r="F544"/>
      <c r="G544"/>
      <c r="H544"/>
      <c r="I544"/>
      <c r="K544"/>
      <c r="L544"/>
      <c r="M544"/>
      <c r="N544"/>
      <c r="O544"/>
      <c r="P544"/>
      <c r="Q544"/>
      <c r="R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</row>
    <row r="545" spans="1:37" ht="16.5">
      <c r="A545"/>
      <c r="B545"/>
      <c r="C545"/>
      <c r="D545"/>
      <c r="E545"/>
      <c r="F545"/>
      <c r="G545"/>
      <c r="H545"/>
      <c r="I545"/>
      <c r="K545"/>
      <c r="L545"/>
      <c r="M545"/>
      <c r="N545"/>
      <c r="O545"/>
      <c r="P545"/>
      <c r="Q545"/>
      <c r="R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</row>
    <row r="546" spans="1:37" ht="16.5">
      <c r="A546"/>
      <c r="B546"/>
      <c r="C546"/>
      <c r="D546"/>
      <c r="E546"/>
      <c r="F546"/>
      <c r="G546"/>
      <c r="H546"/>
      <c r="I546"/>
      <c r="K546"/>
      <c r="L546"/>
      <c r="M546"/>
      <c r="N546"/>
      <c r="O546"/>
      <c r="P546"/>
      <c r="Q546"/>
      <c r="R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</row>
    <row r="547" spans="1:37" ht="16.5">
      <c r="A547"/>
      <c r="B547"/>
      <c r="C547"/>
      <c r="D547"/>
      <c r="E547"/>
      <c r="F547"/>
      <c r="G547"/>
      <c r="H547"/>
      <c r="I547"/>
      <c r="K547"/>
      <c r="L547"/>
      <c r="M547"/>
      <c r="N547"/>
      <c r="O547"/>
      <c r="P547"/>
      <c r="Q547"/>
      <c r="R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</row>
    <row r="548" spans="1:37" ht="16.5">
      <c r="A548"/>
      <c r="B548"/>
      <c r="C548"/>
      <c r="D548"/>
      <c r="E548"/>
      <c r="F548"/>
      <c r="G548"/>
      <c r="H548"/>
      <c r="I548"/>
      <c r="K548"/>
      <c r="L548"/>
      <c r="M548"/>
      <c r="N548"/>
      <c r="O548"/>
      <c r="P548"/>
      <c r="Q548"/>
      <c r="R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</row>
    <row r="549" spans="1:37" ht="16.5">
      <c r="A549"/>
      <c r="B549"/>
      <c r="C549"/>
      <c r="D549"/>
      <c r="E549"/>
      <c r="F549"/>
      <c r="G549"/>
      <c r="H549"/>
      <c r="I549"/>
      <c r="K549"/>
      <c r="L549"/>
      <c r="M549"/>
      <c r="N549"/>
      <c r="O549"/>
      <c r="P549"/>
      <c r="Q549"/>
      <c r="R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</row>
    <row r="550" spans="1:37" ht="16.5">
      <c r="A550"/>
      <c r="B550"/>
      <c r="C550"/>
      <c r="D550"/>
      <c r="E550"/>
      <c r="F550"/>
      <c r="G550"/>
      <c r="H550"/>
      <c r="I550"/>
      <c r="K550"/>
      <c r="L550"/>
      <c r="M550"/>
      <c r="N550"/>
      <c r="O550"/>
      <c r="P550"/>
      <c r="Q550"/>
      <c r="R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</row>
    <row r="551" spans="1:37" ht="16.5">
      <c r="A551"/>
      <c r="B551"/>
      <c r="C551"/>
      <c r="D551"/>
      <c r="E551"/>
      <c r="F551"/>
      <c r="G551"/>
      <c r="H551"/>
      <c r="I551"/>
      <c r="K551"/>
      <c r="L551"/>
      <c r="M551"/>
      <c r="N551"/>
      <c r="O551"/>
      <c r="P551"/>
      <c r="Q551"/>
      <c r="R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</row>
    <row r="552" spans="1:37" ht="16.5">
      <c r="A552"/>
      <c r="B552"/>
      <c r="C552"/>
      <c r="D552"/>
      <c r="E552"/>
      <c r="F552"/>
      <c r="G552"/>
      <c r="H552"/>
      <c r="I552"/>
      <c r="K552"/>
      <c r="L552"/>
      <c r="M552"/>
      <c r="N552"/>
      <c r="O552"/>
      <c r="P552"/>
      <c r="Q552"/>
      <c r="R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</row>
    <row r="553" spans="1:37" ht="16.5">
      <c r="A553"/>
      <c r="B553"/>
      <c r="C553"/>
      <c r="D553"/>
      <c r="E553"/>
      <c r="F553"/>
      <c r="G553"/>
      <c r="H553"/>
      <c r="I553"/>
      <c r="K553"/>
      <c r="L553"/>
      <c r="M553"/>
      <c r="N553"/>
      <c r="O553"/>
      <c r="P553"/>
      <c r="Q553"/>
      <c r="R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</row>
    <row r="554" spans="1:37" ht="16.5">
      <c r="A554"/>
      <c r="B554"/>
      <c r="C554"/>
      <c r="D554"/>
      <c r="E554"/>
      <c r="F554"/>
      <c r="G554"/>
      <c r="H554"/>
      <c r="I554"/>
      <c r="K554"/>
      <c r="L554"/>
      <c r="M554"/>
      <c r="N554"/>
      <c r="O554"/>
      <c r="P554"/>
      <c r="Q554"/>
      <c r="R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</row>
    <row r="555" spans="1:37" ht="16.5">
      <c r="A555"/>
      <c r="B555"/>
      <c r="C555"/>
      <c r="D555"/>
      <c r="E555"/>
      <c r="F555"/>
      <c r="G555"/>
      <c r="H555"/>
      <c r="I555"/>
      <c r="K555"/>
      <c r="L555"/>
      <c r="M555"/>
      <c r="N555"/>
      <c r="O555"/>
      <c r="P555"/>
      <c r="Q555"/>
      <c r="R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</row>
    <row r="556" spans="1:37" ht="16.5">
      <c r="A556"/>
      <c r="B556"/>
      <c r="C556"/>
      <c r="D556"/>
      <c r="E556"/>
      <c r="F556"/>
      <c r="G556"/>
      <c r="H556"/>
      <c r="I556"/>
      <c r="K556"/>
      <c r="L556"/>
      <c r="M556"/>
      <c r="N556"/>
      <c r="O556"/>
      <c r="P556"/>
      <c r="Q556"/>
      <c r="R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</row>
    <row r="557" spans="1:37" ht="16.5">
      <c r="A557"/>
      <c r="B557"/>
      <c r="C557"/>
      <c r="D557"/>
      <c r="E557"/>
      <c r="F557"/>
      <c r="G557"/>
      <c r="H557"/>
      <c r="I557"/>
      <c r="K557"/>
      <c r="L557"/>
      <c r="M557"/>
      <c r="N557"/>
      <c r="O557"/>
      <c r="P557"/>
      <c r="Q557"/>
      <c r="R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</row>
    <row r="558" spans="1:37" ht="16.5">
      <c r="A558"/>
      <c r="B558"/>
      <c r="C558"/>
      <c r="D558"/>
      <c r="E558"/>
      <c r="F558"/>
      <c r="G558"/>
      <c r="H558"/>
      <c r="I558"/>
      <c r="K558"/>
      <c r="L558"/>
      <c r="M558"/>
      <c r="N558"/>
      <c r="O558"/>
      <c r="P558"/>
      <c r="Q558"/>
      <c r="R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</row>
    <row r="559" spans="1:37" ht="16.5">
      <c r="A559"/>
      <c r="B559"/>
      <c r="C559"/>
      <c r="D559"/>
      <c r="E559"/>
      <c r="F559"/>
      <c r="G559"/>
      <c r="H559"/>
      <c r="I559"/>
      <c r="K559"/>
      <c r="L559"/>
      <c r="M559"/>
      <c r="N559"/>
      <c r="O559"/>
      <c r="P559"/>
      <c r="Q559"/>
      <c r="R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</row>
    <row r="560" spans="1:37" ht="16.5">
      <c r="A560"/>
      <c r="B560"/>
      <c r="C560"/>
      <c r="D560"/>
      <c r="E560"/>
      <c r="F560"/>
      <c r="G560"/>
      <c r="H560"/>
      <c r="I560"/>
      <c r="K560"/>
      <c r="L560"/>
      <c r="M560"/>
      <c r="N560"/>
      <c r="O560"/>
      <c r="P560"/>
      <c r="Q560"/>
      <c r="R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</row>
    <row r="561" spans="1:37" ht="16.5">
      <c r="A561"/>
      <c r="B561"/>
      <c r="C561"/>
      <c r="D561"/>
      <c r="E561"/>
      <c r="F561"/>
      <c r="G561"/>
      <c r="H561"/>
      <c r="I561"/>
      <c r="K561"/>
      <c r="L561"/>
      <c r="M561"/>
      <c r="N561"/>
      <c r="O561"/>
      <c r="P561"/>
      <c r="Q561"/>
      <c r="R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</row>
    <row r="562" spans="1:37" ht="16.5">
      <c r="A562"/>
      <c r="B562"/>
      <c r="C562"/>
      <c r="D562"/>
      <c r="E562"/>
      <c r="F562"/>
      <c r="G562"/>
      <c r="H562"/>
      <c r="I562"/>
      <c r="K562"/>
      <c r="L562"/>
      <c r="M562"/>
      <c r="N562"/>
      <c r="O562"/>
      <c r="P562"/>
      <c r="Q562"/>
      <c r="R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</row>
    <row r="563" spans="1:37" ht="16.5">
      <c r="A563"/>
      <c r="B563"/>
      <c r="C563"/>
      <c r="D563"/>
      <c r="E563"/>
      <c r="F563"/>
      <c r="G563"/>
      <c r="H563"/>
      <c r="I563"/>
      <c r="K563"/>
      <c r="L563"/>
      <c r="M563"/>
      <c r="N563"/>
      <c r="O563"/>
      <c r="P563"/>
      <c r="Q563"/>
      <c r="R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</row>
    <row r="564" spans="1:37" ht="16.5">
      <c r="A564"/>
      <c r="B564"/>
      <c r="C564"/>
      <c r="D564"/>
      <c r="E564"/>
      <c r="F564"/>
      <c r="G564"/>
      <c r="H564"/>
      <c r="I564"/>
      <c r="K564"/>
      <c r="L564"/>
      <c r="M564"/>
      <c r="N564"/>
      <c r="O564"/>
      <c r="P564"/>
      <c r="Q564"/>
      <c r="R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</row>
    <row r="565" spans="1:37" ht="16.5">
      <c r="A565"/>
      <c r="B565"/>
      <c r="C565"/>
      <c r="D565"/>
      <c r="E565"/>
      <c r="F565"/>
      <c r="G565"/>
      <c r="H565"/>
      <c r="I565"/>
      <c r="K565"/>
      <c r="L565"/>
      <c r="M565"/>
      <c r="N565"/>
      <c r="O565"/>
      <c r="P565"/>
      <c r="Q565"/>
      <c r="R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</row>
    <row r="566" spans="1:37" ht="16.5">
      <c r="A566"/>
      <c r="B566"/>
      <c r="C566"/>
      <c r="D566"/>
      <c r="E566"/>
      <c r="F566"/>
      <c r="G566"/>
      <c r="H566"/>
      <c r="I566"/>
      <c r="K566"/>
      <c r="L566"/>
      <c r="M566"/>
      <c r="N566"/>
      <c r="O566"/>
      <c r="P566"/>
      <c r="Q566"/>
      <c r="R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</row>
    <row r="567" spans="1:37" ht="16.5">
      <c r="A567"/>
      <c r="B567"/>
      <c r="C567"/>
      <c r="D567"/>
      <c r="E567"/>
      <c r="F567"/>
      <c r="G567"/>
      <c r="H567"/>
      <c r="I567"/>
      <c r="K567"/>
      <c r="L567"/>
      <c r="M567"/>
      <c r="N567"/>
      <c r="O567"/>
      <c r="P567"/>
      <c r="Q567"/>
      <c r="R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</row>
    <row r="568" spans="1:37" ht="16.5">
      <c r="A568"/>
      <c r="B568"/>
      <c r="C568"/>
      <c r="D568"/>
      <c r="E568"/>
      <c r="F568"/>
      <c r="G568"/>
      <c r="H568"/>
      <c r="I568"/>
      <c r="K568"/>
      <c r="L568"/>
      <c r="M568"/>
      <c r="N568"/>
      <c r="O568"/>
      <c r="P568"/>
      <c r="Q568"/>
      <c r="R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</row>
    <row r="569" spans="1:37" ht="16.5">
      <c r="A569"/>
      <c r="B569"/>
      <c r="C569"/>
      <c r="D569"/>
      <c r="E569"/>
      <c r="F569"/>
      <c r="G569"/>
      <c r="H569"/>
      <c r="I569"/>
      <c r="K569"/>
      <c r="L569"/>
      <c r="M569"/>
      <c r="N569"/>
      <c r="O569"/>
      <c r="P569"/>
      <c r="Q569"/>
      <c r="R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</row>
    <row r="570" spans="1:37" ht="16.5">
      <c r="A570"/>
      <c r="B570"/>
      <c r="C570"/>
      <c r="D570"/>
      <c r="E570"/>
      <c r="F570"/>
      <c r="G570"/>
      <c r="H570"/>
      <c r="I570"/>
      <c r="K570"/>
      <c r="L570"/>
      <c r="M570"/>
      <c r="N570"/>
      <c r="O570"/>
      <c r="P570"/>
      <c r="Q570"/>
      <c r="R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</row>
    <row r="571" spans="1:37" ht="16.5">
      <c r="A571"/>
      <c r="B571"/>
      <c r="C571"/>
      <c r="D571"/>
      <c r="E571"/>
      <c r="F571"/>
      <c r="G571"/>
      <c r="H571"/>
      <c r="I571"/>
      <c r="K571"/>
      <c r="L571"/>
      <c r="M571"/>
      <c r="N571"/>
      <c r="O571"/>
      <c r="P571"/>
      <c r="Q571"/>
      <c r="R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</row>
    <row r="572" spans="1:37" ht="16.5">
      <c r="A572"/>
      <c r="B572"/>
      <c r="C572"/>
      <c r="D572"/>
      <c r="E572"/>
      <c r="F572"/>
      <c r="G572"/>
      <c r="H572"/>
      <c r="I572"/>
      <c r="K572"/>
      <c r="L572"/>
      <c r="M572"/>
      <c r="N572"/>
      <c r="O572"/>
      <c r="P572"/>
      <c r="Q572"/>
      <c r="R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</row>
    <row r="573" spans="1:37" ht="16.5">
      <c r="A573"/>
      <c r="B573"/>
      <c r="C573"/>
      <c r="D573"/>
      <c r="E573"/>
      <c r="F573"/>
      <c r="G573"/>
      <c r="H573"/>
      <c r="I573"/>
      <c r="K573"/>
      <c r="L573"/>
      <c r="M573"/>
      <c r="N573"/>
      <c r="O573"/>
      <c r="P573"/>
      <c r="Q573"/>
      <c r="R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</row>
    <row r="574" spans="1:37" ht="16.5">
      <c r="A574"/>
      <c r="B574"/>
      <c r="C574"/>
      <c r="D574"/>
      <c r="E574"/>
      <c r="F574"/>
      <c r="G574"/>
      <c r="H574"/>
      <c r="I574"/>
      <c r="K574"/>
      <c r="L574"/>
      <c r="M574"/>
      <c r="N574"/>
      <c r="O574"/>
      <c r="P574"/>
      <c r="Q574"/>
      <c r="R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</row>
    <row r="575" spans="1:37" ht="16.5">
      <c r="A575"/>
      <c r="B575"/>
      <c r="C575"/>
      <c r="D575"/>
      <c r="E575"/>
      <c r="F575"/>
      <c r="G575"/>
      <c r="H575"/>
      <c r="I575"/>
      <c r="K575"/>
      <c r="L575"/>
      <c r="M575"/>
      <c r="N575"/>
      <c r="O575"/>
      <c r="P575"/>
      <c r="Q575"/>
      <c r="R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</row>
    <row r="576" spans="1:37" ht="16.5">
      <c r="A576"/>
      <c r="B576"/>
      <c r="C576"/>
      <c r="D576"/>
      <c r="E576"/>
      <c r="F576"/>
      <c r="G576"/>
      <c r="H576"/>
      <c r="I576"/>
      <c r="K576"/>
      <c r="L576"/>
      <c r="M576"/>
      <c r="N576"/>
      <c r="O576"/>
      <c r="P576"/>
      <c r="Q576"/>
      <c r="R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</row>
    <row r="577" spans="1:37" ht="16.5">
      <c r="A577"/>
      <c r="B577"/>
      <c r="C577"/>
      <c r="D577"/>
      <c r="E577"/>
      <c r="F577"/>
      <c r="G577"/>
      <c r="H577"/>
      <c r="I577"/>
      <c r="K577"/>
      <c r="L577"/>
      <c r="M577"/>
      <c r="N577"/>
      <c r="O577"/>
      <c r="P577"/>
      <c r="Q577"/>
      <c r="R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</row>
    <row r="578" spans="1:37" ht="16.5">
      <c r="A578"/>
      <c r="B578"/>
      <c r="C578"/>
      <c r="D578"/>
      <c r="E578"/>
      <c r="F578"/>
      <c r="G578"/>
      <c r="H578"/>
      <c r="I578"/>
      <c r="K578"/>
      <c r="L578"/>
      <c r="M578"/>
      <c r="N578"/>
      <c r="O578"/>
      <c r="P578"/>
      <c r="Q578"/>
      <c r="R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</row>
    <row r="579" spans="1:37" ht="16.5">
      <c r="A579"/>
      <c r="B579"/>
      <c r="C579"/>
      <c r="D579"/>
      <c r="E579"/>
      <c r="F579"/>
      <c r="G579"/>
      <c r="H579"/>
      <c r="I579"/>
      <c r="K579"/>
      <c r="L579"/>
      <c r="M579"/>
      <c r="N579"/>
      <c r="O579"/>
      <c r="P579"/>
      <c r="Q579"/>
      <c r="R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</row>
    <row r="580" spans="1:37" ht="16.5">
      <c r="A580"/>
      <c r="B580"/>
      <c r="C580"/>
      <c r="D580"/>
      <c r="E580"/>
      <c r="F580"/>
      <c r="G580"/>
      <c r="H580"/>
      <c r="I580"/>
      <c r="K580"/>
      <c r="L580"/>
      <c r="M580"/>
      <c r="N580"/>
      <c r="O580"/>
      <c r="P580"/>
      <c r="Q580"/>
      <c r="R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</row>
    <row r="581" spans="1:37" ht="16.5">
      <c r="A581"/>
      <c r="B581"/>
      <c r="C581"/>
      <c r="D581"/>
      <c r="E581"/>
      <c r="F581"/>
      <c r="G581"/>
      <c r="H581"/>
      <c r="I581"/>
      <c r="K581"/>
      <c r="L581"/>
      <c r="M581"/>
      <c r="N581"/>
      <c r="O581"/>
      <c r="P581"/>
      <c r="Q581"/>
      <c r="R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</row>
    <row r="582" spans="1:37" ht="16.5">
      <c r="A582"/>
      <c r="B582"/>
      <c r="C582"/>
      <c r="D582"/>
      <c r="E582"/>
      <c r="F582"/>
      <c r="G582"/>
      <c r="H582"/>
      <c r="I582"/>
      <c r="K582"/>
      <c r="L582"/>
      <c r="M582"/>
      <c r="N582"/>
      <c r="O582"/>
      <c r="P582"/>
      <c r="Q582"/>
      <c r="R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</row>
    <row r="583" spans="1:37" ht="16.5">
      <c r="A583"/>
      <c r="B583"/>
      <c r="C583"/>
      <c r="D583"/>
      <c r="E583"/>
      <c r="F583"/>
      <c r="G583"/>
      <c r="H583"/>
      <c r="I583"/>
      <c r="K583"/>
      <c r="L583"/>
      <c r="M583"/>
      <c r="N583"/>
      <c r="O583"/>
      <c r="P583"/>
      <c r="Q583"/>
      <c r="R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</row>
    <row r="584" spans="1:37" ht="16.5">
      <c r="A584"/>
      <c r="B584"/>
      <c r="C584"/>
      <c r="D584"/>
      <c r="E584"/>
      <c r="F584"/>
      <c r="G584"/>
      <c r="H584"/>
      <c r="I584"/>
      <c r="K584"/>
      <c r="L584"/>
      <c r="M584"/>
      <c r="N584"/>
      <c r="O584"/>
      <c r="P584"/>
      <c r="Q584"/>
      <c r="R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</row>
    <row r="585" spans="1:37" ht="16.5">
      <c r="A585"/>
      <c r="B585"/>
      <c r="C585"/>
      <c r="D585"/>
      <c r="E585"/>
      <c r="F585"/>
      <c r="G585"/>
      <c r="H585"/>
      <c r="I585"/>
      <c r="K585"/>
      <c r="L585"/>
      <c r="M585"/>
      <c r="N585"/>
      <c r="O585"/>
      <c r="P585"/>
      <c r="Q585"/>
      <c r="R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</row>
    <row r="586" spans="1:37" ht="16.5">
      <c r="A586"/>
      <c r="B586"/>
      <c r="C586"/>
      <c r="D586"/>
      <c r="E586"/>
      <c r="F586"/>
      <c r="G586"/>
      <c r="H586"/>
      <c r="I586"/>
      <c r="K586"/>
      <c r="L586"/>
      <c r="M586"/>
      <c r="N586"/>
      <c r="O586"/>
      <c r="P586"/>
      <c r="Q586"/>
      <c r="R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</row>
    <row r="587" spans="1:37" ht="16.5">
      <c r="A587"/>
      <c r="B587"/>
      <c r="C587"/>
      <c r="D587"/>
      <c r="E587"/>
      <c r="F587"/>
      <c r="G587"/>
      <c r="H587"/>
      <c r="I587"/>
      <c r="K587"/>
      <c r="L587"/>
      <c r="M587"/>
      <c r="N587"/>
      <c r="O587"/>
      <c r="P587"/>
      <c r="Q587"/>
      <c r="R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</row>
    <row r="588" spans="1:37" ht="16.5">
      <c r="A588"/>
      <c r="B588"/>
      <c r="C588"/>
      <c r="D588"/>
      <c r="E588"/>
      <c r="F588"/>
      <c r="G588"/>
      <c r="H588"/>
      <c r="I588"/>
      <c r="K588"/>
      <c r="L588"/>
      <c r="M588"/>
      <c r="N588"/>
      <c r="O588"/>
      <c r="P588"/>
      <c r="Q588"/>
      <c r="R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</row>
    <row r="589" spans="1:37" ht="16.5">
      <c r="A589"/>
      <c r="B589"/>
      <c r="C589"/>
      <c r="D589"/>
      <c r="E589"/>
      <c r="F589"/>
      <c r="G589"/>
      <c r="H589"/>
      <c r="I589"/>
      <c r="K589"/>
      <c r="L589"/>
      <c r="M589"/>
      <c r="N589"/>
      <c r="O589"/>
      <c r="P589"/>
      <c r="Q589"/>
      <c r="R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</row>
    <row r="590" spans="1:37" ht="16.5">
      <c r="A590"/>
      <c r="B590"/>
      <c r="C590"/>
      <c r="D590"/>
      <c r="E590"/>
      <c r="F590"/>
      <c r="G590"/>
      <c r="H590"/>
      <c r="I590"/>
      <c r="K590"/>
      <c r="L590"/>
      <c r="M590"/>
      <c r="N590"/>
      <c r="O590"/>
      <c r="P590"/>
      <c r="Q590"/>
      <c r="R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</row>
    <row r="591" spans="1:37" ht="16.5">
      <c r="A591"/>
      <c r="B591"/>
      <c r="C591"/>
      <c r="D591"/>
      <c r="E591"/>
      <c r="F591"/>
      <c r="G591"/>
      <c r="H591"/>
      <c r="I591"/>
      <c r="K591"/>
      <c r="L591"/>
      <c r="M591"/>
      <c r="N591"/>
      <c r="O591"/>
      <c r="P591"/>
      <c r="Q591"/>
      <c r="R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</row>
    <row r="592" spans="1:37" ht="16.5">
      <c r="A592"/>
      <c r="B592"/>
      <c r="C592"/>
      <c r="D592"/>
      <c r="E592"/>
      <c r="F592"/>
      <c r="G592"/>
      <c r="H592"/>
      <c r="I592"/>
      <c r="K592"/>
      <c r="L592"/>
      <c r="M592"/>
      <c r="N592"/>
      <c r="O592"/>
      <c r="P592"/>
      <c r="Q592"/>
      <c r="R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</row>
    <row r="593" spans="1:37" ht="16.5">
      <c r="A593"/>
      <c r="B593"/>
      <c r="C593"/>
      <c r="D593"/>
      <c r="E593"/>
      <c r="F593"/>
      <c r="G593"/>
      <c r="H593"/>
      <c r="I593"/>
      <c r="K593"/>
      <c r="L593"/>
      <c r="M593"/>
      <c r="N593"/>
      <c r="O593"/>
      <c r="P593"/>
      <c r="Q593"/>
      <c r="R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</row>
    <row r="594" spans="1:37" ht="16.5">
      <c r="A594"/>
      <c r="B594"/>
      <c r="C594"/>
      <c r="D594"/>
      <c r="E594"/>
      <c r="F594"/>
      <c r="G594"/>
      <c r="H594"/>
      <c r="I594"/>
      <c r="K594"/>
      <c r="L594"/>
      <c r="M594"/>
      <c r="N594"/>
      <c r="O594"/>
      <c r="P594"/>
      <c r="Q594"/>
      <c r="R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</row>
    <row r="595" spans="1:37" ht="16.5">
      <c r="A595"/>
      <c r="B595"/>
      <c r="C595"/>
      <c r="D595"/>
      <c r="E595"/>
      <c r="F595"/>
      <c r="G595"/>
      <c r="H595"/>
      <c r="I595"/>
      <c r="K595"/>
      <c r="L595"/>
      <c r="M595"/>
      <c r="N595"/>
      <c r="O595"/>
      <c r="P595"/>
      <c r="Q595"/>
      <c r="R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</row>
    <row r="596" spans="1:37" ht="16.5">
      <c r="A596"/>
      <c r="B596"/>
      <c r="C596"/>
      <c r="D596"/>
      <c r="E596"/>
      <c r="F596"/>
      <c r="G596"/>
      <c r="H596"/>
      <c r="I596"/>
      <c r="K596"/>
      <c r="L596"/>
      <c r="M596"/>
      <c r="N596"/>
      <c r="O596"/>
      <c r="P596"/>
      <c r="Q596"/>
      <c r="R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</row>
    <row r="597" spans="1:37" ht="16.5">
      <c r="A597"/>
      <c r="B597"/>
      <c r="C597"/>
      <c r="D597"/>
      <c r="E597"/>
      <c r="F597"/>
      <c r="G597"/>
      <c r="H597"/>
      <c r="I597"/>
      <c r="K597"/>
      <c r="L597"/>
      <c r="M597"/>
      <c r="N597"/>
      <c r="O597"/>
      <c r="P597"/>
      <c r="Q597"/>
      <c r="R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</row>
    <row r="598" spans="1:37" ht="16.5">
      <c r="A598"/>
      <c r="B598"/>
      <c r="C598"/>
      <c r="D598"/>
      <c r="E598"/>
      <c r="F598"/>
      <c r="G598"/>
      <c r="H598"/>
      <c r="I598"/>
      <c r="K598"/>
      <c r="L598"/>
      <c r="M598"/>
      <c r="N598"/>
      <c r="O598"/>
      <c r="P598"/>
      <c r="Q598"/>
      <c r="R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</row>
    <row r="599" spans="1:37" ht="16.5">
      <c r="A599"/>
      <c r="B599"/>
      <c r="C599"/>
      <c r="D599"/>
      <c r="E599"/>
      <c r="F599"/>
      <c r="G599"/>
      <c r="H599"/>
      <c r="I599"/>
      <c r="K599"/>
      <c r="L599"/>
      <c r="M599"/>
      <c r="N599"/>
      <c r="O599"/>
      <c r="P599"/>
      <c r="Q599"/>
      <c r="R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</row>
    <row r="600" spans="1:37" ht="16.5">
      <c r="A600"/>
      <c r="B600"/>
      <c r="C600"/>
      <c r="D600"/>
      <c r="E600"/>
      <c r="F600"/>
      <c r="G600"/>
      <c r="H600"/>
      <c r="I600"/>
      <c r="K600"/>
      <c r="L600"/>
      <c r="M600"/>
      <c r="N600"/>
      <c r="O600"/>
      <c r="P600"/>
      <c r="Q600"/>
      <c r="R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</row>
    <row r="601" spans="1:37" ht="16.5">
      <c r="A601"/>
      <c r="B601"/>
      <c r="C601"/>
      <c r="D601"/>
      <c r="E601"/>
      <c r="F601"/>
      <c r="G601"/>
      <c r="H601"/>
      <c r="I601"/>
      <c r="K601"/>
      <c r="L601"/>
      <c r="M601"/>
      <c r="N601"/>
      <c r="O601"/>
      <c r="P601"/>
      <c r="Q601"/>
      <c r="R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</row>
    <row r="602" spans="1:37" ht="16.5">
      <c r="A602"/>
      <c r="B602"/>
      <c r="C602"/>
      <c r="D602"/>
      <c r="E602"/>
      <c r="F602"/>
      <c r="G602"/>
      <c r="H602"/>
      <c r="I602"/>
      <c r="K602"/>
      <c r="L602"/>
      <c r="M602"/>
      <c r="N602"/>
      <c r="O602"/>
      <c r="P602"/>
      <c r="Q602"/>
      <c r="R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</row>
    <row r="603" spans="1:37" ht="16.5">
      <c r="A603"/>
      <c r="B603"/>
      <c r="C603"/>
      <c r="D603"/>
      <c r="E603"/>
      <c r="F603"/>
      <c r="G603"/>
      <c r="H603"/>
      <c r="I603"/>
      <c r="K603"/>
      <c r="L603"/>
      <c r="M603"/>
      <c r="N603"/>
      <c r="O603"/>
      <c r="P603"/>
      <c r="Q603"/>
      <c r="R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</row>
    <row r="604" spans="1:37" ht="16.5">
      <c r="A604"/>
      <c r="B604"/>
      <c r="C604"/>
      <c r="D604"/>
      <c r="E604"/>
      <c r="F604"/>
      <c r="G604"/>
      <c r="H604"/>
      <c r="I604"/>
      <c r="K604"/>
      <c r="L604"/>
      <c r="M604"/>
      <c r="N604"/>
      <c r="O604"/>
      <c r="P604"/>
      <c r="Q604"/>
      <c r="R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</row>
    <row r="605" spans="1:37" ht="16.5">
      <c r="A605"/>
      <c r="B605"/>
      <c r="C605"/>
      <c r="D605"/>
      <c r="E605"/>
      <c r="F605"/>
      <c r="G605"/>
      <c r="H605"/>
      <c r="I605"/>
      <c r="K605"/>
      <c r="L605"/>
      <c r="M605"/>
      <c r="N605"/>
      <c r="O605"/>
      <c r="P605"/>
      <c r="Q605"/>
      <c r="R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</row>
    <row r="606" spans="1:37" ht="16.5">
      <c r="A606"/>
      <c r="B606"/>
      <c r="C606"/>
      <c r="D606"/>
      <c r="E606"/>
      <c r="F606"/>
      <c r="G606"/>
      <c r="H606"/>
      <c r="I606"/>
      <c r="K606"/>
      <c r="L606"/>
      <c r="M606"/>
      <c r="N606"/>
      <c r="O606"/>
      <c r="P606"/>
      <c r="Q606"/>
      <c r="R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</row>
    <row r="607" spans="1:37" ht="16.5">
      <c r="A607"/>
      <c r="B607"/>
      <c r="C607"/>
      <c r="D607"/>
      <c r="E607"/>
      <c r="F607"/>
      <c r="G607"/>
      <c r="H607"/>
      <c r="I607"/>
      <c r="K607"/>
      <c r="L607"/>
      <c r="M607"/>
      <c r="N607"/>
      <c r="O607"/>
      <c r="P607"/>
      <c r="Q607"/>
      <c r="R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</row>
    <row r="608" spans="1:37" ht="16.5">
      <c r="A608"/>
      <c r="B608"/>
      <c r="C608"/>
      <c r="D608"/>
      <c r="E608"/>
      <c r="F608"/>
      <c r="G608"/>
      <c r="H608"/>
      <c r="I608"/>
      <c r="K608"/>
      <c r="L608"/>
      <c r="M608"/>
      <c r="N608"/>
      <c r="O608"/>
      <c r="P608"/>
      <c r="Q608"/>
      <c r="R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</row>
    <row r="609" spans="1:37" ht="16.5">
      <c r="A609"/>
      <c r="B609"/>
      <c r="C609"/>
      <c r="D609"/>
      <c r="E609"/>
      <c r="F609"/>
      <c r="G609"/>
      <c r="H609"/>
      <c r="I609"/>
      <c r="K609"/>
      <c r="L609"/>
      <c r="M609"/>
      <c r="N609"/>
      <c r="O609"/>
      <c r="P609"/>
      <c r="Q609"/>
      <c r="R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</row>
    <row r="610" spans="1:37" ht="16.5">
      <c r="A610"/>
      <c r="B610"/>
      <c r="C610"/>
      <c r="D610"/>
      <c r="E610"/>
      <c r="F610"/>
      <c r="G610"/>
      <c r="H610"/>
      <c r="I610"/>
      <c r="K610"/>
      <c r="L610"/>
      <c r="M610"/>
      <c r="N610"/>
      <c r="O610"/>
      <c r="P610"/>
      <c r="Q610"/>
      <c r="R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</row>
    <row r="611" spans="1:37" ht="16.5">
      <c r="A611"/>
      <c r="B611"/>
      <c r="C611"/>
      <c r="D611"/>
      <c r="E611"/>
      <c r="F611"/>
      <c r="G611"/>
      <c r="H611"/>
      <c r="I611"/>
      <c r="K611"/>
      <c r="L611"/>
      <c r="M611"/>
      <c r="N611"/>
      <c r="O611"/>
      <c r="P611"/>
      <c r="Q611"/>
      <c r="R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</row>
    <row r="612" spans="1:37" ht="16.5">
      <c r="A612"/>
      <c r="B612"/>
      <c r="C612"/>
      <c r="D612"/>
      <c r="E612"/>
      <c r="F612"/>
      <c r="G612"/>
      <c r="H612"/>
      <c r="I612"/>
      <c r="K612"/>
      <c r="L612"/>
      <c r="M612"/>
      <c r="N612"/>
      <c r="O612"/>
      <c r="P612"/>
      <c r="Q612"/>
      <c r="R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</row>
    <row r="613" spans="1:37" ht="16.5">
      <c r="A613"/>
      <c r="B613"/>
      <c r="C613"/>
      <c r="D613"/>
      <c r="E613"/>
      <c r="F613"/>
      <c r="G613"/>
      <c r="H613"/>
      <c r="I613"/>
      <c r="K613"/>
      <c r="L613"/>
      <c r="M613"/>
      <c r="N613"/>
      <c r="O613"/>
      <c r="P613"/>
      <c r="Q613"/>
      <c r="R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</row>
    <row r="614" spans="1:37" ht="16.5">
      <c r="A614"/>
      <c r="B614"/>
      <c r="C614"/>
      <c r="D614"/>
      <c r="E614"/>
      <c r="F614"/>
      <c r="G614"/>
      <c r="H614"/>
      <c r="I614"/>
      <c r="K614"/>
      <c r="L614"/>
      <c r="M614"/>
      <c r="N614"/>
      <c r="O614"/>
      <c r="P614"/>
      <c r="Q614"/>
      <c r="R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</row>
    <row r="615" spans="1:37" ht="16.5">
      <c r="A615"/>
      <c r="B615"/>
      <c r="C615"/>
      <c r="D615"/>
      <c r="E615"/>
      <c r="F615"/>
      <c r="G615"/>
      <c r="H615"/>
      <c r="I615"/>
      <c r="K615"/>
      <c r="L615"/>
      <c r="M615"/>
      <c r="N615"/>
      <c r="O615"/>
      <c r="P615"/>
      <c r="Q615"/>
      <c r="R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</row>
    <row r="616" spans="1:37" ht="16.5">
      <c r="A616"/>
      <c r="B616"/>
      <c r="C616"/>
      <c r="D616"/>
      <c r="E616"/>
      <c r="F616"/>
      <c r="G616"/>
      <c r="H616"/>
      <c r="I616"/>
      <c r="K616"/>
      <c r="L616"/>
      <c r="M616"/>
      <c r="N616"/>
      <c r="O616"/>
      <c r="P616"/>
      <c r="Q616"/>
      <c r="R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</row>
    <row r="617" spans="1:37" ht="16.5">
      <c r="A617"/>
      <c r="B617"/>
      <c r="C617"/>
      <c r="D617"/>
      <c r="E617"/>
      <c r="F617"/>
      <c r="G617"/>
      <c r="H617"/>
      <c r="I617"/>
      <c r="K617"/>
      <c r="L617"/>
      <c r="M617"/>
      <c r="N617"/>
      <c r="O617"/>
      <c r="P617"/>
      <c r="Q617"/>
      <c r="R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</row>
    <row r="618" spans="1:37" ht="16.5">
      <c r="A618"/>
      <c r="B618"/>
      <c r="C618"/>
      <c r="D618"/>
      <c r="E618"/>
      <c r="F618"/>
      <c r="G618"/>
      <c r="H618"/>
      <c r="I618"/>
      <c r="K618"/>
      <c r="L618"/>
      <c r="M618"/>
      <c r="N618"/>
      <c r="O618"/>
      <c r="P618"/>
      <c r="Q618"/>
      <c r="R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</row>
    <row r="619" spans="1:37" ht="16.5">
      <c r="A619"/>
      <c r="B619"/>
      <c r="C619"/>
      <c r="D619"/>
      <c r="E619"/>
      <c r="F619"/>
      <c r="G619"/>
      <c r="H619"/>
      <c r="I619"/>
      <c r="K619"/>
      <c r="L619"/>
      <c r="M619"/>
      <c r="N619"/>
      <c r="O619"/>
      <c r="P619"/>
      <c r="Q619"/>
      <c r="R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</row>
    <row r="620" spans="1:37" ht="16.5">
      <c r="A620"/>
      <c r="B620"/>
      <c r="C620"/>
      <c r="D620"/>
      <c r="E620"/>
      <c r="F620"/>
      <c r="G620"/>
      <c r="H620"/>
      <c r="I620"/>
      <c r="K620"/>
      <c r="L620"/>
      <c r="M620"/>
      <c r="N620"/>
      <c r="O620"/>
      <c r="P620"/>
      <c r="Q620"/>
      <c r="R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</row>
    <row r="621" spans="1:37" ht="16.5">
      <c r="A621"/>
      <c r="B621"/>
      <c r="C621"/>
      <c r="D621"/>
      <c r="E621"/>
      <c r="F621"/>
      <c r="G621"/>
      <c r="H621"/>
      <c r="I621"/>
      <c r="K621"/>
      <c r="L621"/>
      <c r="M621"/>
      <c r="N621"/>
      <c r="O621"/>
      <c r="P621"/>
      <c r="Q621"/>
      <c r="R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</row>
    <row r="622" spans="1:37" ht="16.5">
      <c r="A622"/>
      <c r="B622"/>
      <c r="C622"/>
      <c r="D622"/>
      <c r="E622"/>
      <c r="F622"/>
      <c r="G622"/>
      <c r="H622"/>
      <c r="I622"/>
      <c r="K622"/>
      <c r="L622"/>
      <c r="M622"/>
      <c r="N622"/>
      <c r="O622"/>
      <c r="P622"/>
      <c r="Q622"/>
      <c r="R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</row>
    <row r="623" spans="1:37" ht="16.5">
      <c r="A623"/>
      <c r="B623"/>
      <c r="C623"/>
      <c r="D623"/>
      <c r="E623"/>
      <c r="F623"/>
      <c r="G623"/>
      <c r="H623"/>
      <c r="I623"/>
      <c r="K623"/>
      <c r="L623"/>
      <c r="M623"/>
      <c r="N623"/>
      <c r="O623"/>
      <c r="P623"/>
      <c r="Q623"/>
      <c r="R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</row>
    <row r="624" spans="1:37" ht="16.5">
      <c r="A624"/>
      <c r="B624"/>
      <c r="C624"/>
      <c r="D624"/>
      <c r="E624"/>
      <c r="F624"/>
      <c r="G624"/>
      <c r="H624"/>
      <c r="I624"/>
      <c r="K624"/>
      <c r="L624"/>
      <c r="M624"/>
      <c r="N624"/>
      <c r="O624"/>
      <c r="P624"/>
      <c r="Q624"/>
      <c r="R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</row>
    <row r="625" spans="1:37" ht="16.5">
      <c r="A625"/>
      <c r="B625"/>
      <c r="C625"/>
      <c r="D625"/>
      <c r="E625"/>
      <c r="F625"/>
      <c r="G625"/>
      <c r="H625"/>
      <c r="I625"/>
      <c r="K625"/>
      <c r="L625"/>
      <c r="M625"/>
      <c r="N625"/>
      <c r="O625"/>
      <c r="P625"/>
      <c r="Q625"/>
      <c r="R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</row>
    <row r="626" spans="1:37" ht="16.5">
      <c r="A626"/>
      <c r="B626"/>
      <c r="C626"/>
      <c r="D626"/>
      <c r="E626"/>
      <c r="F626"/>
      <c r="G626"/>
      <c r="H626"/>
      <c r="I626"/>
      <c r="K626"/>
      <c r="L626"/>
      <c r="M626"/>
      <c r="N626"/>
      <c r="O626"/>
      <c r="P626"/>
      <c r="Q626"/>
      <c r="R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</row>
    <row r="627" spans="1:37" ht="16.5">
      <c r="A627"/>
      <c r="B627"/>
      <c r="C627"/>
      <c r="D627"/>
      <c r="E627"/>
      <c r="F627"/>
      <c r="G627"/>
      <c r="H627"/>
      <c r="I627"/>
      <c r="K627"/>
      <c r="L627"/>
      <c r="M627"/>
      <c r="N627"/>
      <c r="O627"/>
      <c r="P627"/>
      <c r="Q627"/>
      <c r="R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</row>
    <row r="628" spans="1:37" ht="16.5">
      <c r="A628"/>
      <c r="B628"/>
      <c r="C628"/>
      <c r="D628"/>
      <c r="E628"/>
      <c r="F628"/>
      <c r="G628"/>
      <c r="H628"/>
      <c r="I628"/>
      <c r="K628"/>
      <c r="L628"/>
      <c r="M628"/>
      <c r="N628"/>
      <c r="O628"/>
      <c r="P628"/>
      <c r="Q628"/>
      <c r="R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</row>
    <row r="629" spans="1:37" ht="16.5">
      <c r="A629"/>
      <c r="B629"/>
      <c r="C629"/>
      <c r="D629"/>
      <c r="E629"/>
      <c r="F629"/>
      <c r="G629"/>
      <c r="H629"/>
      <c r="I629"/>
      <c r="K629"/>
      <c r="L629"/>
      <c r="M629"/>
      <c r="N629"/>
      <c r="O629"/>
      <c r="P629"/>
      <c r="Q629"/>
      <c r="R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</row>
    <row r="630" spans="1:37" ht="16.5">
      <c r="A630"/>
      <c r="B630"/>
      <c r="C630"/>
      <c r="D630"/>
      <c r="E630"/>
      <c r="F630"/>
      <c r="G630"/>
      <c r="H630"/>
      <c r="I630"/>
      <c r="K630"/>
      <c r="L630"/>
      <c r="M630"/>
      <c r="N630"/>
      <c r="O630"/>
      <c r="P630"/>
      <c r="Q630"/>
      <c r="R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</row>
    <row r="631" spans="1:37" ht="16.5">
      <c r="A631"/>
      <c r="B631"/>
      <c r="C631"/>
      <c r="D631"/>
      <c r="E631"/>
      <c r="F631"/>
      <c r="G631"/>
      <c r="H631"/>
      <c r="I631"/>
      <c r="K631"/>
      <c r="L631"/>
      <c r="M631"/>
      <c r="N631"/>
      <c r="O631"/>
      <c r="P631"/>
      <c r="Q631"/>
      <c r="R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</row>
    <row r="632" spans="1:37" ht="16.5">
      <c r="A632"/>
      <c r="B632"/>
      <c r="C632"/>
      <c r="D632"/>
      <c r="E632"/>
      <c r="F632"/>
      <c r="G632"/>
      <c r="H632"/>
      <c r="I632"/>
      <c r="K632"/>
      <c r="L632"/>
      <c r="M632"/>
      <c r="N632"/>
      <c r="O632"/>
      <c r="P632"/>
      <c r="Q632"/>
      <c r="R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</row>
    <row r="633" spans="1:37" ht="16.5">
      <c r="A633"/>
      <c r="B633"/>
      <c r="C633"/>
      <c r="D633"/>
      <c r="E633"/>
      <c r="F633"/>
      <c r="G633"/>
      <c r="H633"/>
      <c r="I633"/>
      <c r="K633"/>
      <c r="L633"/>
      <c r="M633"/>
      <c r="N633"/>
      <c r="O633"/>
      <c r="P633"/>
      <c r="Q633"/>
      <c r="R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</row>
    <row r="634" spans="1:37" ht="16.5">
      <c r="A634"/>
      <c r="B634"/>
      <c r="C634"/>
      <c r="D634"/>
      <c r="E634"/>
      <c r="F634"/>
      <c r="G634"/>
      <c r="H634"/>
      <c r="I634"/>
      <c r="K634"/>
      <c r="L634"/>
      <c r="M634"/>
      <c r="N634"/>
      <c r="O634"/>
      <c r="P634"/>
      <c r="Q634"/>
      <c r="R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</row>
    <row r="635" spans="1:37" ht="16.5">
      <c r="A635"/>
      <c r="B635"/>
      <c r="C635"/>
      <c r="D635"/>
      <c r="E635"/>
      <c r="F635"/>
      <c r="G635"/>
      <c r="H635"/>
      <c r="I635"/>
      <c r="K635"/>
      <c r="L635"/>
      <c r="M635"/>
      <c r="N635"/>
      <c r="O635"/>
      <c r="P635"/>
      <c r="Q635"/>
      <c r="R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</row>
    <row r="636" spans="1:37" ht="16.5">
      <c r="A636"/>
      <c r="B636"/>
      <c r="C636"/>
      <c r="D636"/>
      <c r="E636"/>
      <c r="F636"/>
      <c r="G636"/>
      <c r="H636"/>
      <c r="I636"/>
      <c r="K636"/>
      <c r="L636"/>
      <c r="M636"/>
      <c r="N636"/>
      <c r="O636"/>
      <c r="P636"/>
      <c r="Q636"/>
      <c r="R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</row>
    <row r="637" spans="1:37" ht="16.5">
      <c r="A637"/>
      <c r="B637"/>
      <c r="C637"/>
      <c r="D637"/>
      <c r="E637"/>
      <c r="F637"/>
      <c r="G637"/>
      <c r="H637"/>
      <c r="I637"/>
      <c r="K637"/>
      <c r="L637"/>
      <c r="M637"/>
      <c r="N637"/>
      <c r="O637"/>
      <c r="P637"/>
      <c r="Q637"/>
      <c r="R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</row>
    <row r="638" spans="1:37" ht="16.5">
      <c r="A638"/>
      <c r="B638"/>
      <c r="C638"/>
      <c r="D638"/>
      <c r="E638"/>
      <c r="F638"/>
      <c r="G638"/>
      <c r="H638"/>
      <c r="I638"/>
      <c r="K638"/>
      <c r="L638"/>
      <c r="M638"/>
      <c r="N638"/>
      <c r="O638"/>
      <c r="P638"/>
      <c r="Q638"/>
      <c r="R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</row>
    <row r="639" spans="1:37" ht="16.5">
      <c r="A639"/>
      <c r="B639"/>
      <c r="C639"/>
      <c r="D639"/>
      <c r="E639"/>
      <c r="F639"/>
      <c r="G639"/>
      <c r="H639"/>
      <c r="I639"/>
      <c r="K639"/>
      <c r="L639"/>
      <c r="M639"/>
      <c r="N639"/>
      <c r="O639"/>
      <c r="P639"/>
      <c r="Q639"/>
      <c r="R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</row>
    <row r="640" spans="1:37" ht="16.5">
      <c r="A640"/>
      <c r="B640"/>
      <c r="C640"/>
      <c r="D640"/>
      <c r="E640"/>
      <c r="F640"/>
      <c r="G640"/>
      <c r="H640"/>
      <c r="I640"/>
      <c r="K640"/>
      <c r="L640"/>
      <c r="M640"/>
      <c r="N640"/>
      <c r="O640"/>
      <c r="P640"/>
      <c r="Q640"/>
      <c r="R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</row>
    <row r="641" spans="1:37" ht="16.5">
      <c r="A641"/>
      <c r="B641"/>
      <c r="C641"/>
      <c r="D641"/>
      <c r="E641"/>
      <c r="F641"/>
      <c r="G641"/>
      <c r="H641"/>
      <c r="I641"/>
      <c r="K641"/>
      <c r="L641"/>
      <c r="M641"/>
      <c r="N641"/>
      <c r="O641"/>
      <c r="P641"/>
      <c r="Q641"/>
      <c r="R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</row>
    <row r="642" spans="1:37" ht="16.5">
      <c r="A642"/>
      <c r="B642"/>
      <c r="C642"/>
      <c r="D642"/>
      <c r="E642"/>
      <c r="F642"/>
      <c r="G642"/>
      <c r="H642"/>
      <c r="I642"/>
      <c r="K642"/>
      <c r="L642"/>
      <c r="M642"/>
      <c r="N642"/>
      <c r="O642"/>
      <c r="P642"/>
      <c r="Q642"/>
      <c r="R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</row>
    <row r="643" spans="1:37" ht="16.5">
      <c r="A643"/>
      <c r="B643"/>
      <c r="C643"/>
      <c r="D643"/>
      <c r="E643"/>
      <c r="F643"/>
      <c r="G643"/>
      <c r="H643"/>
      <c r="I643"/>
      <c r="K643"/>
      <c r="L643"/>
      <c r="M643"/>
      <c r="N643"/>
      <c r="O643"/>
      <c r="P643"/>
      <c r="Q643"/>
      <c r="R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</row>
    <row r="644" spans="1:37" ht="16.5">
      <c r="A644"/>
      <c r="B644"/>
      <c r="C644"/>
      <c r="D644"/>
      <c r="E644"/>
      <c r="F644"/>
      <c r="G644"/>
      <c r="H644"/>
      <c r="I644"/>
      <c r="K644"/>
      <c r="L644"/>
      <c r="M644"/>
      <c r="N644"/>
      <c r="O644"/>
      <c r="P644"/>
      <c r="Q644"/>
      <c r="R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</row>
    <row r="645" spans="1:37" ht="16.5">
      <c r="A645"/>
      <c r="B645"/>
      <c r="C645"/>
      <c r="D645"/>
      <c r="E645"/>
      <c r="F645"/>
      <c r="G645"/>
      <c r="H645"/>
      <c r="I645"/>
      <c r="K645"/>
      <c r="L645"/>
      <c r="M645"/>
      <c r="N645"/>
      <c r="O645"/>
      <c r="P645"/>
      <c r="Q645"/>
      <c r="R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</row>
    <row r="646" spans="1:37" ht="16.5">
      <c r="A646"/>
      <c r="B646"/>
      <c r="C646"/>
      <c r="D646"/>
      <c r="E646"/>
      <c r="F646"/>
      <c r="G646"/>
      <c r="H646"/>
      <c r="I646"/>
      <c r="K646"/>
      <c r="L646"/>
      <c r="M646"/>
      <c r="N646"/>
      <c r="O646"/>
      <c r="P646"/>
      <c r="Q646"/>
      <c r="R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</row>
    <row r="647" spans="1:37" ht="16.5">
      <c r="A647"/>
      <c r="B647"/>
      <c r="C647"/>
      <c r="D647"/>
      <c r="E647"/>
      <c r="F647"/>
      <c r="G647"/>
      <c r="H647"/>
      <c r="I647"/>
      <c r="K647"/>
      <c r="L647"/>
      <c r="M647"/>
      <c r="N647"/>
      <c r="O647"/>
      <c r="P647"/>
      <c r="Q647"/>
      <c r="R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</row>
    <row r="648" spans="1:37" ht="16.5">
      <c r="A648"/>
      <c r="B648"/>
      <c r="C648"/>
      <c r="D648"/>
      <c r="E648"/>
      <c r="F648"/>
      <c r="G648"/>
      <c r="H648"/>
      <c r="I648"/>
      <c r="K648"/>
      <c r="L648"/>
      <c r="M648"/>
      <c r="N648"/>
      <c r="O648"/>
      <c r="P648"/>
      <c r="Q648"/>
      <c r="R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</row>
    <row r="649" spans="1:37" ht="16.5">
      <c r="A649"/>
      <c r="B649"/>
      <c r="C649"/>
      <c r="D649"/>
      <c r="E649"/>
      <c r="F649"/>
      <c r="G649"/>
      <c r="H649"/>
      <c r="I649"/>
      <c r="K649"/>
      <c r="L649"/>
      <c r="M649"/>
      <c r="N649"/>
      <c r="O649"/>
      <c r="P649"/>
      <c r="Q649"/>
      <c r="R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</row>
    <row r="650" spans="1:37" ht="16.5">
      <c r="A650"/>
      <c r="B650"/>
      <c r="C650"/>
      <c r="D650"/>
      <c r="E650"/>
      <c r="F650"/>
      <c r="G650"/>
      <c r="H650"/>
      <c r="I650"/>
      <c r="K650"/>
      <c r="L650"/>
      <c r="M650"/>
      <c r="N650"/>
      <c r="O650"/>
      <c r="P650"/>
      <c r="Q650"/>
      <c r="R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</row>
    <row r="651" spans="1:37" ht="16.5">
      <c r="A651"/>
      <c r="B651"/>
      <c r="C651"/>
      <c r="D651"/>
      <c r="E651"/>
      <c r="F651"/>
      <c r="G651"/>
      <c r="H651"/>
      <c r="I651"/>
      <c r="K651"/>
      <c r="L651"/>
      <c r="M651"/>
      <c r="N651"/>
      <c r="O651"/>
      <c r="P651"/>
      <c r="Q651"/>
      <c r="R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</row>
    <row r="652" spans="1:37" ht="16.5">
      <c r="A652"/>
      <c r="B652"/>
      <c r="C652"/>
      <c r="D652"/>
      <c r="E652"/>
      <c r="F652"/>
      <c r="G652"/>
      <c r="H652"/>
      <c r="I652"/>
      <c r="K652"/>
      <c r="L652"/>
      <c r="M652"/>
      <c r="N652"/>
      <c r="O652"/>
      <c r="P652"/>
      <c r="Q652"/>
      <c r="R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</row>
    <row r="653" spans="1:37" ht="16.5">
      <c r="A653"/>
      <c r="B653"/>
      <c r="C653"/>
      <c r="D653"/>
      <c r="E653"/>
      <c r="F653"/>
      <c r="G653"/>
      <c r="H653"/>
      <c r="I653"/>
      <c r="K653"/>
      <c r="L653"/>
      <c r="M653"/>
      <c r="N653"/>
      <c r="O653"/>
      <c r="P653"/>
      <c r="Q653"/>
      <c r="R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</row>
    <row r="654" spans="1:37" ht="16.5">
      <c r="A654"/>
      <c r="B654"/>
      <c r="C654"/>
      <c r="D654"/>
      <c r="E654"/>
      <c r="F654"/>
      <c r="G654"/>
      <c r="H654"/>
      <c r="I654"/>
      <c r="K654"/>
      <c r="L654"/>
      <c r="M654"/>
      <c r="N654"/>
      <c r="O654"/>
      <c r="P654"/>
      <c r="Q654"/>
      <c r="R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</row>
    <row r="655" spans="1:37" ht="16.5">
      <c r="A655"/>
      <c r="B655"/>
      <c r="C655"/>
      <c r="D655"/>
      <c r="E655"/>
      <c r="F655"/>
      <c r="G655"/>
      <c r="H655"/>
      <c r="I655"/>
      <c r="K655"/>
      <c r="L655"/>
      <c r="M655"/>
      <c r="N655"/>
      <c r="O655"/>
      <c r="P655"/>
      <c r="Q655"/>
      <c r="R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</row>
    <row r="656" spans="1:37" ht="16.5">
      <c r="A656"/>
      <c r="B656"/>
      <c r="C656"/>
      <c r="D656"/>
      <c r="E656"/>
      <c r="F656"/>
      <c r="G656"/>
      <c r="H656"/>
      <c r="I656"/>
      <c r="K656"/>
      <c r="L656"/>
      <c r="M656"/>
      <c r="N656"/>
      <c r="O656"/>
      <c r="P656"/>
      <c r="Q656"/>
      <c r="R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</row>
    <row r="657" spans="1:37" ht="16.5">
      <c r="A657"/>
      <c r="B657"/>
      <c r="C657"/>
      <c r="D657"/>
      <c r="E657"/>
      <c r="F657"/>
      <c r="G657"/>
      <c r="H657"/>
      <c r="I657"/>
      <c r="K657"/>
      <c r="L657"/>
      <c r="M657"/>
      <c r="N657"/>
      <c r="O657"/>
      <c r="P657"/>
      <c r="Q657"/>
      <c r="R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</row>
    <row r="658" spans="1:37" ht="16.5">
      <c r="A658"/>
      <c r="B658"/>
      <c r="C658"/>
      <c r="D658"/>
      <c r="E658"/>
      <c r="F658"/>
      <c r="G658"/>
      <c r="H658"/>
      <c r="I658"/>
      <c r="K658"/>
      <c r="L658"/>
      <c r="M658"/>
      <c r="N658"/>
      <c r="O658"/>
      <c r="P658"/>
      <c r="Q658"/>
      <c r="R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</row>
    <row r="659" spans="1:37" ht="16.5">
      <c r="A659"/>
      <c r="B659"/>
      <c r="C659"/>
      <c r="D659"/>
      <c r="E659"/>
      <c r="F659"/>
      <c r="G659"/>
      <c r="H659"/>
      <c r="I659"/>
      <c r="K659"/>
      <c r="L659"/>
      <c r="M659"/>
      <c r="N659"/>
      <c r="O659"/>
      <c r="P659"/>
      <c r="Q659"/>
      <c r="R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</row>
    <row r="660" spans="1:37" ht="16.5">
      <c r="A660"/>
      <c r="B660"/>
      <c r="C660"/>
      <c r="D660"/>
      <c r="E660"/>
      <c r="F660"/>
      <c r="G660"/>
      <c r="H660"/>
      <c r="I660"/>
      <c r="K660"/>
      <c r="L660"/>
      <c r="M660"/>
      <c r="N660"/>
      <c r="O660"/>
      <c r="P660"/>
      <c r="Q660"/>
      <c r="R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</row>
    <row r="661" spans="1:37" ht="16.5">
      <c r="A661"/>
      <c r="B661"/>
      <c r="C661"/>
      <c r="D661"/>
      <c r="E661"/>
      <c r="F661"/>
      <c r="G661"/>
      <c r="H661"/>
      <c r="I661"/>
      <c r="K661"/>
      <c r="L661"/>
      <c r="M661"/>
      <c r="N661"/>
      <c r="O661"/>
      <c r="P661"/>
      <c r="Q661"/>
      <c r="R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</row>
    <row r="662" spans="1:37" ht="16.5">
      <c r="A662"/>
      <c r="B662"/>
      <c r="C662"/>
      <c r="D662"/>
      <c r="E662"/>
      <c r="F662"/>
      <c r="G662"/>
      <c r="H662"/>
      <c r="I662"/>
      <c r="K662"/>
      <c r="L662"/>
      <c r="M662"/>
      <c r="N662"/>
      <c r="O662"/>
      <c r="P662"/>
      <c r="Q662"/>
      <c r="R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</row>
    <row r="663" spans="1:37" ht="16.5">
      <c r="A663"/>
      <c r="B663"/>
      <c r="C663"/>
      <c r="D663"/>
      <c r="E663"/>
      <c r="F663"/>
      <c r="G663"/>
      <c r="H663"/>
      <c r="I663"/>
      <c r="K663"/>
      <c r="L663"/>
      <c r="M663"/>
      <c r="N663"/>
      <c r="O663"/>
      <c r="P663"/>
      <c r="Q663"/>
      <c r="R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</row>
    <row r="664" spans="1:37" ht="16.5">
      <c r="A664"/>
      <c r="B664"/>
      <c r="C664"/>
      <c r="D664"/>
      <c r="E664"/>
      <c r="F664"/>
      <c r="G664"/>
      <c r="H664"/>
      <c r="I664"/>
      <c r="K664"/>
      <c r="L664"/>
      <c r="M664"/>
      <c r="N664"/>
      <c r="O664"/>
      <c r="P664"/>
      <c r="Q664"/>
      <c r="R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</row>
    <row r="665" spans="1:37" ht="16.5">
      <c r="A665"/>
      <c r="B665"/>
      <c r="C665"/>
      <c r="D665"/>
      <c r="E665"/>
      <c r="F665"/>
      <c r="G665"/>
      <c r="H665"/>
      <c r="I665"/>
      <c r="K665"/>
      <c r="L665"/>
      <c r="M665"/>
      <c r="N665"/>
      <c r="O665"/>
      <c r="P665"/>
      <c r="Q665"/>
      <c r="R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</row>
    <row r="666" spans="1:37" ht="16.5">
      <c r="A666"/>
      <c r="B666"/>
      <c r="C666"/>
      <c r="D666"/>
      <c r="E666"/>
      <c r="F666"/>
      <c r="G666"/>
      <c r="H666"/>
      <c r="I666"/>
      <c r="K666"/>
      <c r="L666"/>
      <c r="M666"/>
      <c r="N666"/>
      <c r="O666"/>
      <c r="P666"/>
      <c r="Q666"/>
      <c r="R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</row>
    <row r="667" spans="1:37" ht="16.5">
      <c r="A667"/>
      <c r="B667"/>
      <c r="C667"/>
      <c r="D667"/>
      <c r="E667"/>
      <c r="F667"/>
      <c r="G667"/>
      <c r="H667"/>
      <c r="I667"/>
      <c r="K667"/>
      <c r="L667"/>
      <c r="M667"/>
      <c r="N667"/>
      <c r="O667"/>
      <c r="P667"/>
      <c r="Q667"/>
      <c r="R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</row>
    <row r="668" spans="1:37" ht="16.5">
      <c r="A668"/>
      <c r="B668"/>
      <c r="C668"/>
      <c r="D668"/>
      <c r="E668"/>
      <c r="F668"/>
      <c r="G668"/>
      <c r="H668"/>
      <c r="I668"/>
      <c r="K668"/>
      <c r="L668"/>
      <c r="M668"/>
      <c r="N668"/>
      <c r="O668"/>
      <c r="P668"/>
      <c r="Q668"/>
      <c r="R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</row>
    <row r="669" spans="1:37" ht="16.5">
      <c r="A669"/>
      <c r="B669"/>
      <c r="C669"/>
      <c r="D669"/>
      <c r="E669"/>
      <c r="F669"/>
      <c r="G669"/>
      <c r="H669"/>
      <c r="I669"/>
      <c r="K669"/>
      <c r="L669"/>
      <c r="M669"/>
      <c r="N669"/>
      <c r="O669"/>
      <c r="P669"/>
      <c r="Q669"/>
      <c r="R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</row>
    <row r="670" spans="1:37" ht="16.5">
      <c r="A670"/>
      <c r="B670"/>
      <c r="C670"/>
      <c r="D670"/>
      <c r="E670"/>
      <c r="F670"/>
      <c r="G670"/>
      <c r="H670"/>
      <c r="I670"/>
      <c r="K670"/>
      <c r="L670"/>
      <c r="M670"/>
      <c r="N670"/>
      <c r="O670"/>
      <c r="P670"/>
      <c r="Q670"/>
      <c r="R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</row>
    <row r="671" spans="1:37" ht="16.5">
      <c r="A671"/>
      <c r="B671"/>
      <c r="C671"/>
      <c r="D671"/>
      <c r="E671"/>
      <c r="F671"/>
      <c r="G671"/>
      <c r="H671"/>
      <c r="I671"/>
      <c r="K671"/>
      <c r="L671"/>
      <c r="M671"/>
      <c r="N671"/>
      <c r="O671"/>
      <c r="P671"/>
      <c r="Q671"/>
      <c r="R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</row>
    <row r="672" spans="1:37" ht="16.5">
      <c r="A672"/>
      <c r="B672"/>
      <c r="C672"/>
      <c r="D672"/>
      <c r="E672"/>
      <c r="F672"/>
      <c r="G672"/>
      <c r="H672"/>
      <c r="I672"/>
      <c r="K672"/>
      <c r="L672"/>
      <c r="M672"/>
      <c r="N672"/>
      <c r="O672"/>
      <c r="P672"/>
      <c r="Q672"/>
      <c r="R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</row>
    <row r="673" spans="1:37" ht="16.5">
      <c r="A673"/>
      <c r="B673"/>
      <c r="C673"/>
      <c r="D673"/>
      <c r="E673"/>
      <c r="F673"/>
      <c r="G673"/>
      <c r="H673"/>
      <c r="I673"/>
      <c r="K673"/>
      <c r="L673"/>
      <c r="M673"/>
      <c r="N673"/>
      <c r="O673"/>
      <c r="P673"/>
      <c r="Q673"/>
      <c r="R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</row>
    <row r="674" spans="1:37" ht="16.5">
      <c r="A674"/>
      <c r="B674"/>
      <c r="C674"/>
      <c r="D674"/>
      <c r="E674"/>
      <c r="F674"/>
      <c r="G674"/>
      <c r="H674"/>
      <c r="I674"/>
      <c r="K674"/>
      <c r="L674"/>
      <c r="M674"/>
      <c r="N674"/>
      <c r="O674"/>
      <c r="P674"/>
      <c r="Q674"/>
      <c r="R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</row>
    <row r="675" spans="1:37" ht="16.5">
      <c r="A675"/>
      <c r="B675"/>
      <c r="C675"/>
      <c r="D675"/>
      <c r="E675"/>
      <c r="F675"/>
      <c r="G675"/>
      <c r="H675"/>
      <c r="I675"/>
      <c r="K675"/>
      <c r="L675"/>
      <c r="M675"/>
      <c r="N675"/>
      <c r="O675"/>
      <c r="P675"/>
      <c r="Q675"/>
      <c r="R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</row>
    <row r="676" spans="1:37" ht="16.5">
      <c r="A676"/>
      <c r="B676"/>
      <c r="C676"/>
      <c r="D676"/>
      <c r="E676"/>
      <c r="F676"/>
      <c r="G676"/>
      <c r="H676"/>
      <c r="I676"/>
      <c r="K676"/>
      <c r="L676"/>
      <c r="M676"/>
      <c r="N676"/>
      <c r="O676"/>
      <c r="P676"/>
      <c r="Q676"/>
      <c r="R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</row>
    <row r="677" spans="1:37" ht="16.5">
      <c r="A677"/>
      <c r="B677"/>
      <c r="C677"/>
      <c r="D677"/>
      <c r="E677"/>
      <c r="F677"/>
      <c r="G677"/>
      <c r="H677"/>
      <c r="I677"/>
      <c r="K677"/>
      <c r="L677"/>
      <c r="M677"/>
      <c r="N677"/>
      <c r="O677"/>
      <c r="P677"/>
      <c r="Q677"/>
      <c r="R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</row>
    <row r="678" spans="1:37" ht="16.5">
      <c r="A678"/>
      <c r="B678"/>
      <c r="C678"/>
      <c r="D678"/>
      <c r="E678"/>
      <c r="F678"/>
      <c r="G678"/>
      <c r="H678"/>
      <c r="I678"/>
      <c r="K678"/>
      <c r="L678"/>
      <c r="M678"/>
      <c r="N678"/>
      <c r="O678"/>
      <c r="P678"/>
      <c r="Q678"/>
      <c r="R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</row>
    <row r="679" spans="1:37" ht="16.5">
      <c r="A679"/>
      <c r="B679"/>
      <c r="C679"/>
      <c r="D679"/>
      <c r="E679"/>
      <c r="F679"/>
      <c r="G679"/>
      <c r="H679"/>
      <c r="I679"/>
      <c r="K679"/>
      <c r="L679"/>
      <c r="M679"/>
      <c r="N679"/>
      <c r="O679"/>
      <c r="P679"/>
      <c r="Q679"/>
      <c r="R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</row>
    <row r="680" spans="1:37" ht="16.5">
      <c r="A680"/>
      <c r="B680"/>
      <c r="C680"/>
      <c r="D680"/>
      <c r="E680"/>
      <c r="F680"/>
      <c r="G680"/>
      <c r="H680"/>
      <c r="I680"/>
      <c r="K680"/>
      <c r="L680"/>
      <c r="M680"/>
      <c r="N680"/>
      <c r="O680"/>
      <c r="P680"/>
      <c r="Q680"/>
      <c r="R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</row>
    <row r="681" spans="1:37" ht="16.5">
      <c r="A681"/>
      <c r="B681"/>
      <c r="C681"/>
      <c r="D681"/>
      <c r="E681"/>
      <c r="F681"/>
      <c r="G681"/>
      <c r="H681"/>
      <c r="I681"/>
      <c r="K681"/>
      <c r="L681"/>
      <c r="M681"/>
      <c r="N681"/>
      <c r="O681"/>
      <c r="P681"/>
      <c r="Q681"/>
      <c r="R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</row>
    <row r="682" spans="1:37" ht="16.5">
      <c r="A682"/>
      <c r="B682"/>
      <c r="C682"/>
      <c r="D682"/>
      <c r="E682"/>
      <c r="F682"/>
      <c r="G682"/>
      <c r="H682"/>
      <c r="I682"/>
      <c r="K682"/>
      <c r="L682"/>
      <c r="M682"/>
      <c r="N682"/>
      <c r="O682"/>
      <c r="P682"/>
      <c r="Q682"/>
      <c r="R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</row>
    <row r="683" spans="1:37" ht="16.5">
      <c r="A683"/>
      <c r="B683"/>
      <c r="C683"/>
      <c r="D683"/>
      <c r="E683"/>
      <c r="F683"/>
      <c r="G683"/>
      <c r="H683"/>
      <c r="I683"/>
      <c r="K683"/>
      <c r="L683"/>
      <c r="M683"/>
      <c r="N683"/>
      <c r="O683"/>
      <c r="P683"/>
      <c r="Q683"/>
      <c r="R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</row>
    <row r="684" spans="1:37" ht="16.5">
      <c r="A684"/>
      <c r="B684"/>
      <c r="C684"/>
      <c r="D684"/>
      <c r="E684"/>
      <c r="F684"/>
      <c r="G684"/>
      <c r="H684"/>
      <c r="I684"/>
      <c r="K684"/>
      <c r="L684"/>
      <c r="M684"/>
      <c r="N684"/>
      <c r="O684"/>
      <c r="P684"/>
      <c r="Q684"/>
      <c r="R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</row>
    <row r="685" spans="1:37" ht="16.5">
      <c r="A685"/>
      <c r="B685"/>
      <c r="C685"/>
      <c r="D685"/>
      <c r="E685"/>
      <c r="F685"/>
      <c r="G685"/>
      <c r="H685"/>
      <c r="I685"/>
      <c r="K685"/>
      <c r="L685"/>
      <c r="M685"/>
      <c r="N685"/>
      <c r="O685"/>
      <c r="P685"/>
      <c r="Q685"/>
      <c r="R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</row>
    <row r="686" spans="1:37" ht="16.5">
      <c r="A686"/>
      <c r="B686"/>
      <c r="C686"/>
      <c r="D686"/>
      <c r="E686"/>
      <c r="F686"/>
      <c r="G686"/>
      <c r="H686"/>
      <c r="I686"/>
      <c r="K686"/>
      <c r="L686"/>
      <c r="M686"/>
      <c r="N686"/>
      <c r="O686"/>
      <c r="P686"/>
      <c r="Q686"/>
      <c r="R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</row>
    <row r="687" spans="1:37" ht="16.5">
      <c r="A687"/>
      <c r="B687"/>
      <c r="C687"/>
      <c r="D687"/>
      <c r="E687"/>
      <c r="F687"/>
      <c r="G687"/>
      <c r="H687"/>
      <c r="I687"/>
      <c r="K687"/>
      <c r="L687"/>
      <c r="M687"/>
      <c r="N687"/>
      <c r="O687"/>
      <c r="P687"/>
      <c r="Q687"/>
      <c r="R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</row>
    <row r="688" spans="1:37" ht="16.5">
      <c r="A688"/>
      <c r="B688"/>
      <c r="C688"/>
      <c r="D688"/>
      <c r="E688"/>
      <c r="F688"/>
      <c r="G688"/>
      <c r="H688"/>
      <c r="I688"/>
      <c r="K688"/>
      <c r="L688"/>
      <c r="M688"/>
      <c r="N688"/>
      <c r="O688"/>
      <c r="P688"/>
      <c r="Q688"/>
      <c r="R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</row>
    <row r="689" spans="1:37" ht="16.5">
      <c r="A689"/>
      <c r="B689"/>
      <c r="C689"/>
      <c r="D689"/>
      <c r="E689"/>
      <c r="F689"/>
      <c r="G689"/>
      <c r="H689"/>
      <c r="I689"/>
      <c r="K689"/>
      <c r="L689"/>
      <c r="M689"/>
      <c r="N689"/>
      <c r="O689"/>
      <c r="P689"/>
      <c r="Q689"/>
      <c r="R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</row>
    <row r="690" spans="1:37" ht="16.5">
      <c r="A690"/>
      <c r="B690"/>
      <c r="C690"/>
      <c r="D690"/>
      <c r="E690"/>
      <c r="F690"/>
      <c r="G690"/>
      <c r="H690"/>
      <c r="I690"/>
      <c r="K690"/>
      <c r="L690"/>
      <c r="M690"/>
      <c r="N690"/>
      <c r="O690"/>
      <c r="P690"/>
      <c r="Q690"/>
      <c r="R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</row>
    <row r="691" spans="1:37" ht="16.5">
      <c r="A691"/>
      <c r="B691"/>
      <c r="C691"/>
      <c r="D691"/>
      <c r="E691"/>
      <c r="F691"/>
      <c r="G691"/>
      <c r="H691"/>
      <c r="I691"/>
      <c r="K691"/>
      <c r="L691"/>
      <c r="M691"/>
      <c r="N691"/>
      <c r="O691"/>
      <c r="P691"/>
      <c r="Q691"/>
      <c r="R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</row>
    <row r="692" spans="1:37" ht="16.5">
      <c r="A692"/>
      <c r="B692"/>
      <c r="C692"/>
      <c r="D692"/>
      <c r="E692"/>
      <c r="F692"/>
      <c r="G692"/>
      <c r="H692"/>
      <c r="I692"/>
      <c r="K692"/>
      <c r="L692"/>
      <c r="M692"/>
      <c r="N692"/>
      <c r="O692"/>
      <c r="P692"/>
      <c r="Q692"/>
      <c r="R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</row>
    <row r="693" spans="1:37" ht="16.5">
      <c r="A693"/>
      <c r="B693"/>
      <c r="C693"/>
      <c r="D693"/>
      <c r="E693"/>
      <c r="F693"/>
      <c r="G693"/>
      <c r="H693"/>
      <c r="I693"/>
      <c r="K693"/>
      <c r="L693"/>
      <c r="M693"/>
      <c r="N693"/>
      <c r="O693"/>
      <c r="P693"/>
      <c r="Q693"/>
      <c r="R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</row>
    <row r="694" spans="1:37" ht="16.5">
      <c r="A694"/>
      <c r="B694"/>
      <c r="C694"/>
      <c r="D694"/>
      <c r="E694"/>
      <c r="F694"/>
      <c r="G694"/>
      <c r="H694"/>
      <c r="I694"/>
      <c r="K694"/>
      <c r="L694"/>
      <c r="M694"/>
      <c r="N694"/>
      <c r="O694"/>
      <c r="P694"/>
      <c r="Q694"/>
      <c r="R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</row>
    <row r="695" spans="1:37" ht="16.5">
      <c r="A695"/>
      <c r="B695"/>
      <c r="C695"/>
      <c r="D695"/>
      <c r="E695"/>
      <c r="F695"/>
      <c r="G695"/>
      <c r="H695"/>
      <c r="I695"/>
      <c r="K695"/>
      <c r="L695"/>
      <c r="M695"/>
      <c r="N695"/>
      <c r="O695"/>
      <c r="P695"/>
      <c r="Q695"/>
      <c r="R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</row>
    <row r="696" spans="1:37" ht="16.5">
      <c r="A696"/>
      <c r="B696"/>
      <c r="C696"/>
      <c r="D696"/>
      <c r="E696"/>
      <c r="F696"/>
      <c r="G696"/>
      <c r="H696"/>
      <c r="I696"/>
      <c r="K696"/>
      <c r="L696"/>
      <c r="M696"/>
      <c r="N696"/>
      <c r="O696"/>
      <c r="P696"/>
      <c r="Q696"/>
      <c r="R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</row>
    <row r="697" spans="1:37" ht="16.5">
      <c r="A697"/>
      <c r="B697"/>
      <c r="C697"/>
      <c r="D697"/>
      <c r="E697"/>
      <c r="F697"/>
      <c r="G697"/>
      <c r="H697"/>
      <c r="I697"/>
      <c r="K697"/>
      <c r="L697"/>
      <c r="M697"/>
      <c r="N697"/>
      <c r="O697"/>
      <c r="P697"/>
      <c r="Q697"/>
      <c r="R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</row>
    <row r="698" spans="1:37" ht="16.5">
      <c r="A698"/>
      <c r="B698"/>
      <c r="C698"/>
      <c r="D698"/>
      <c r="E698"/>
      <c r="F698"/>
      <c r="G698"/>
      <c r="H698"/>
      <c r="K698"/>
      <c r="L698"/>
      <c r="M698"/>
      <c r="N698"/>
      <c r="O698"/>
      <c r="P698"/>
      <c r="Q698"/>
      <c r="R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</row>
    <row r="699" spans="1:37" ht="16.5">
      <c r="A699"/>
      <c r="B699"/>
      <c r="C699"/>
      <c r="D699"/>
      <c r="E699"/>
      <c r="F699"/>
      <c r="G699"/>
      <c r="H699"/>
      <c r="K699"/>
      <c r="L699"/>
      <c r="M699"/>
      <c r="N699"/>
      <c r="O699"/>
      <c r="P699"/>
      <c r="Q699"/>
      <c r="R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</row>
    <row r="700" spans="1:37" ht="16.5">
      <c r="A700"/>
      <c r="B700"/>
      <c r="C700"/>
      <c r="D700"/>
      <c r="E700"/>
      <c r="F700"/>
      <c r="G700"/>
      <c r="H700"/>
      <c r="K700"/>
      <c r="L700"/>
      <c r="M700"/>
      <c r="N700"/>
      <c r="O700"/>
      <c r="P700"/>
      <c r="Q700"/>
      <c r="R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</row>
    <row r="701" spans="1:37" ht="16.5">
      <c r="A701"/>
      <c r="B701"/>
      <c r="C701"/>
      <c r="D701"/>
      <c r="E701"/>
      <c r="F701"/>
      <c r="G701"/>
      <c r="H701"/>
      <c r="K701"/>
      <c r="L701"/>
      <c r="M701"/>
      <c r="N701"/>
      <c r="O701"/>
      <c r="P701"/>
      <c r="Q701"/>
      <c r="R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</row>
    <row r="702" spans="1:37" ht="16.5">
      <c r="A702"/>
      <c r="B702"/>
      <c r="C702"/>
      <c r="D702"/>
      <c r="E702"/>
      <c r="F702"/>
      <c r="G702"/>
      <c r="H702"/>
      <c r="K702"/>
      <c r="L702"/>
      <c r="M702"/>
      <c r="N702"/>
      <c r="O702"/>
      <c r="P702"/>
      <c r="Q702"/>
      <c r="R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</row>
    <row r="703" spans="1:37" ht="16.5">
      <c r="A703"/>
      <c r="B703"/>
      <c r="C703"/>
      <c r="D703"/>
      <c r="E703"/>
      <c r="F703"/>
      <c r="G703"/>
      <c r="H703"/>
      <c r="K703"/>
      <c r="L703"/>
      <c r="M703"/>
      <c r="N703"/>
      <c r="O703"/>
      <c r="P703"/>
      <c r="Q703"/>
      <c r="R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</row>
    <row r="704" spans="1:37" ht="16.5">
      <c r="A704"/>
      <c r="B704"/>
      <c r="C704"/>
      <c r="D704"/>
      <c r="E704"/>
      <c r="F704"/>
      <c r="G704"/>
      <c r="H704"/>
      <c r="K704"/>
      <c r="L704"/>
      <c r="M704"/>
      <c r="N704"/>
      <c r="O704"/>
      <c r="P704"/>
      <c r="Q704"/>
      <c r="R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</row>
    <row r="705" spans="1:37" ht="16.5">
      <c r="A705"/>
      <c r="B705"/>
      <c r="C705"/>
      <c r="D705"/>
      <c r="E705"/>
      <c r="F705"/>
      <c r="G705"/>
      <c r="H705"/>
      <c r="K705"/>
      <c r="L705"/>
      <c r="M705"/>
      <c r="N705"/>
      <c r="O705"/>
      <c r="P705"/>
      <c r="Q705"/>
      <c r="R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</row>
    <row r="706" spans="1:37" ht="16.5">
      <c r="A706"/>
      <c r="B706"/>
      <c r="C706"/>
      <c r="D706"/>
      <c r="E706"/>
      <c r="F706"/>
      <c r="G706"/>
      <c r="H706"/>
      <c r="K706"/>
      <c r="L706"/>
      <c r="M706"/>
      <c r="N706"/>
      <c r="O706"/>
      <c r="P706"/>
      <c r="Q706"/>
      <c r="R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</row>
    <row r="707" spans="1:37" ht="16.5">
      <c r="A707"/>
      <c r="B707"/>
      <c r="C707"/>
      <c r="D707"/>
      <c r="E707"/>
      <c r="F707"/>
      <c r="G707"/>
      <c r="H707"/>
      <c r="K707"/>
      <c r="L707"/>
      <c r="M707"/>
      <c r="N707"/>
      <c r="O707"/>
      <c r="P707"/>
      <c r="Q707"/>
      <c r="R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</row>
    <row r="708" spans="1:37" ht="16.5">
      <c r="A708"/>
      <c r="B708"/>
      <c r="C708"/>
      <c r="D708"/>
      <c r="E708"/>
      <c r="F708"/>
      <c r="G708"/>
      <c r="H708"/>
      <c r="K708"/>
      <c r="L708"/>
      <c r="M708"/>
      <c r="N708"/>
      <c r="O708"/>
      <c r="P708"/>
      <c r="Q708"/>
      <c r="R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</row>
    <row r="709" spans="1:37" ht="16.5">
      <c r="A709"/>
      <c r="B709"/>
      <c r="C709"/>
      <c r="D709"/>
      <c r="E709"/>
      <c r="F709"/>
      <c r="G709"/>
      <c r="H709"/>
      <c r="K709"/>
      <c r="L709"/>
      <c r="M709"/>
      <c r="N709"/>
      <c r="O709"/>
      <c r="P709"/>
      <c r="Q709"/>
      <c r="R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</row>
    <row r="710" spans="1:37" ht="16.5">
      <c r="A710"/>
      <c r="B710"/>
      <c r="C710"/>
      <c r="D710"/>
      <c r="E710"/>
      <c r="F710"/>
      <c r="G710"/>
      <c r="H710"/>
      <c r="K710"/>
      <c r="L710"/>
      <c r="M710"/>
      <c r="N710"/>
      <c r="O710"/>
      <c r="P710"/>
      <c r="Q710"/>
      <c r="R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</row>
    <row r="711" spans="1:37" ht="16.5">
      <c r="A711"/>
      <c r="B711"/>
      <c r="C711"/>
      <c r="D711"/>
      <c r="E711"/>
      <c r="F711"/>
      <c r="G711"/>
      <c r="H711"/>
      <c r="K711"/>
      <c r="L711"/>
      <c r="M711"/>
      <c r="N711"/>
      <c r="O711"/>
      <c r="P711"/>
      <c r="Q711"/>
      <c r="R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</row>
    <row r="712" spans="1:37" ht="16.5">
      <c r="A712"/>
      <c r="B712"/>
      <c r="C712"/>
      <c r="D712"/>
      <c r="E712"/>
      <c r="F712"/>
      <c r="G712"/>
      <c r="H712"/>
      <c r="K712"/>
      <c r="L712"/>
      <c r="M712"/>
      <c r="N712"/>
      <c r="O712"/>
      <c r="P712"/>
      <c r="Q712"/>
      <c r="R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</row>
    <row r="713" spans="1:37" ht="16.5">
      <c r="A713"/>
      <c r="B713"/>
      <c r="C713"/>
      <c r="D713"/>
      <c r="E713"/>
      <c r="F713"/>
      <c r="G713"/>
      <c r="H713"/>
      <c r="K713"/>
      <c r="L713"/>
      <c r="M713"/>
      <c r="N713"/>
      <c r="O713"/>
      <c r="P713"/>
      <c r="Q713"/>
      <c r="R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</row>
    <row r="714" spans="1:37" ht="16.5">
      <c r="A714"/>
      <c r="B714"/>
      <c r="C714"/>
      <c r="D714"/>
      <c r="E714"/>
      <c r="F714"/>
      <c r="G714"/>
      <c r="H714"/>
      <c r="K714"/>
      <c r="L714"/>
      <c r="M714"/>
      <c r="N714"/>
      <c r="O714"/>
      <c r="P714"/>
      <c r="Q714"/>
      <c r="R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</row>
    <row r="715" spans="1:37" ht="16.5">
      <c r="A715"/>
      <c r="B715"/>
      <c r="C715"/>
      <c r="D715"/>
      <c r="E715"/>
      <c r="F715"/>
      <c r="G715"/>
      <c r="H715"/>
      <c r="K715"/>
      <c r="L715"/>
      <c r="M715"/>
      <c r="N715"/>
      <c r="O715"/>
      <c r="P715"/>
      <c r="Q715"/>
      <c r="R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</row>
    <row r="716" spans="1:37" ht="16.5">
      <c r="A716"/>
      <c r="B716"/>
      <c r="C716"/>
      <c r="D716"/>
      <c r="E716"/>
      <c r="F716"/>
      <c r="G716"/>
      <c r="H716"/>
      <c r="K716"/>
      <c r="L716"/>
      <c r="M716"/>
      <c r="N716"/>
      <c r="O716"/>
      <c r="P716"/>
      <c r="Q716"/>
      <c r="R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</row>
    <row r="717" spans="1:37" ht="16.5">
      <c r="A717"/>
      <c r="B717"/>
      <c r="C717"/>
      <c r="D717"/>
      <c r="E717"/>
      <c r="F717"/>
      <c r="G717"/>
      <c r="H717"/>
      <c r="K717"/>
      <c r="L717"/>
      <c r="M717"/>
      <c r="N717"/>
      <c r="O717"/>
      <c r="P717"/>
      <c r="Q717"/>
      <c r="R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</row>
    <row r="718" spans="1:37" ht="16.5">
      <c r="A718"/>
      <c r="B718"/>
      <c r="C718"/>
      <c r="D718"/>
      <c r="E718"/>
      <c r="F718"/>
      <c r="G718"/>
      <c r="H718"/>
      <c r="K718"/>
      <c r="L718"/>
      <c r="M718"/>
      <c r="N718"/>
      <c r="O718"/>
      <c r="P718"/>
      <c r="Q718"/>
      <c r="R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</row>
    <row r="719" spans="1:37" ht="16.5">
      <c r="A719"/>
      <c r="B719"/>
      <c r="C719"/>
      <c r="D719"/>
      <c r="E719"/>
      <c r="F719"/>
      <c r="G719"/>
      <c r="H719"/>
      <c r="K719"/>
      <c r="L719"/>
      <c r="M719"/>
      <c r="N719"/>
      <c r="O719"/>
      <c r="P719"/>
      <c r="Q719"/>
      <c r="R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</row>
    <row r="720" spans="1:37" ht="16.5">
      <c r="A720"/>
      <c r="B720"/>
      <c r="C720"/>
      <c r="D720"/>
      <c r="E720"/>
      <c r="F720"/>
      <c r="G720"/>
      <c r="H720"/>
      <c r="K720"/>
      <c r="L720"/>
      <c r="M720"/>
      <c r="N720"/>
      <c r="O720"/>
      <c r="P720"/>
      <c r="Q720"/>
      <c r="R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</row>
    <row r="721" spans="1:37" ht="16.5">
      <c r="A721"/>
      <c r="B721"/>
      <c r="C721"/>
      <c r="D721"/>
      <c r="E721"/>
      <c r="F721"/>
      <c r="G721"/>
      <c r="H721"/>
      <c r="K721"/>
      <c r="L721"/>
      <c r="M721"/>
      <c r="N721"/>
      <c r="O721"/>
      <c r="P721"/>
      <c r="Q721"/>
      <c r="R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</row>
    <row r="722" spans="1:37" ht="16.5">
      <c r="A722"/>
      <c r="B722"/>
      <c r="C722"/>
      <c r="D722"/>
      <c r="E722"/>
      <c r="F722"/>
      <c r="G722"/>
      <c r="H722"/>
      <c r="K722"/>
      <c r="L722"/>
      <c r="M722"/>
      <c r="N722"/>
      <c r="O722"/>
      <c r="P722"/>
      <c r="Q722"/>
      <c r="R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</row>
    <row r="723" spans="1:37" ht="16.5">
      <c r="A723"/>
      <c r="B723"/>
      <c r="C723"/>
      <c r="D723"/>
      <c r="E723"/>
      <c r="F723"/>
      <c r="G723"/>
      <c r="H723"/>
      <c r="K723"/>
      <c r="L723"/>
      <c r="M723"/>
      <c r="N723"/>
      <c r="O723"/>
      <c r="P723"/>
      <c r="Q723"/>
      <c r="R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</row>
    <row r="724" spans="1:37" ht="16.5">
      <c r="A724"/>
      <c r="B724"/>
      <c r="C724"/>
      <c r="D724"/>
      <c r="E724"/>
      <c r="F724"/>
      <c r="G724"/>
      <c r="H724"/>
      <c r="K724"/>
      <c r="L724"/>
      <c r="M724"/>
      <c r="N724"/>
      <c r="O724"/>
      <c r="P724"/>
      <c r="Q724"/>
      <c r="R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</row>
    <row r="725" spans="1:37" ht="16.5">
      <c r="A725"/>
      <c r="B725"/>
      <c r="C725"/>
      <c r="D725"/>
      <c r="E725"/>
      <c r="F725"/>
      <c r="G725"/>
      <c r="H725"/>
      <c r="K725"/>
      <c r="L725"/>
      <c r="M725"/>
      <c r="N725"/>
      <c r="O725"/>
      <c r="P725"/>
      <c r="Q725"/>
      <c r="R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</row>
    <row r="726" spans="1:37" ht="16.5">
      <c r="A726"/>
      <c r="B726"/>
      <c r="C726"/>
      <c r="D726"/>
      <c r="E726"/>
      <c r="F726"/>
      <c r="G726"/>
      <c r="H726"/>
      <c r="K726"/>
      <c r="L726"/>
      <c r="M726"/>
      <c r="N726"/>
      <c r="O726"/>
      <c r="P726"/>
      <c r="Q726"/>
      <c r="R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</row>
    <row r="727" spans="1:37" ht="16.5">
      <c r="A727"/>
      <c r="B727"/>
      <c r="C727"/>
      <c r="D727"/>
      <c r="E727"/>
      <c r="F727"/>
      <c r="G727"/>
      <c r="H727"/>
      <c r="K727"/>
      <c r="L727"/>
      <c r="M727"/>
      <c r="N727"/>
      <c r="O727"/>
      <c r="P727"/>
      <c r="Q727"/>
      <c r="R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</row>
    <row r="728" spans="1:37" ht="16.5">
      <c r="A728"/>
      <c r="B728"/>
      <c r="C728"/>
      <c r="D728"/>
      <c r="E728"/>
      <c r="F728"/>
      <c r="G728"/>
      <c r="H728"/>
      <c r="K728"/>
      <c r="L728"/>
      <c r="M728"/>
      <c r="N728"/>
      <c r="O728"/>
      <c r="P728"/>
      <c r="Q728"/>
      <c r="R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</row>
    <row r="729" spans="1:37" ht="16.5">
      <c r="A729"/>
      <c r="B729"/>
      <c r="C729"/>
      <c r="D729"/>
      <c r="E729"/>
      <c r="F729"/>
      <c r="G729"/>
      <c r="H729"/>
      <c r="K729"/>
      <c r="L729"/>
      <c r="M729"/>
      <c r="N729"/>
      <c r="O729"/>
      <c r="P729"/>
      <c r="Q729"/>
      <c r="R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</row>
    <row r="730" spans="1:37" ht="16.5">
      <c r="A730"/>
      <c r="B730"/>
      <c r="C730"/>
      <c r="D730"/>
      <c r="E730"/>
      <c r="F730"/>
      <c r="G730"/>
      <c r="H730"/>
      <c r="K730"/>
      <c r="L730"/>
      <c r="M730"/>
      <c r="N730"/>
      <c r="O730"/>
      <c r="P730"/>
      <c r="Q730"/>
      <c r="R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</row>
    <row r="731" spans="1:37" ht="16.5">
      <c r="A731"/>
      <c r="B731"/>
      <c r="C731"/>
      <c r="D731"/>
      <c r="E731"/>
      <c r="F731"/>
      <c r="G731"/>
      <c r="H731"/>
      <c r="K731"/>
      <c r="L731"/>
      <c r="M731"/>
      <c r="N731"/>
      <c r="O731"/>
      <c r="P731"/>
      <c r="Q731"/>
      <c r="R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</row>
    <row r="732" spans="1:37" ht="16.5">
      <c r="A732"/>
      <c r="B732"/>
      <c r="C732"/>
      <c r="D732"/>
      <c r="E732"/>
      <c r="F732"/>
      <c r="G732"/>
      <c r="H732"/>
      <c r="K732"/>
      <c r="L732"/>
      <c r="M732"/>
      <c r="N732"/>
      <c r="O732"/>
      <c r="P732"/>
      <c r="Q732"/>
      <c r="R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</row>
    <row r="733" spans="1:37" ht="16.5">
      <c r="A733"/>
      <c r="B733"/>
      <c r="C733"/>
      <c r="D733"/>
      <c r="E733"/>
      <c r="F733"/>
      <c r="G733"/>
      <c r="H733"/>
      <c r="K733"/>
      <c r="L733"/>
      <c r="M733"/>
      <c r="N733"/>
      <c r="O733"/>
      <c r="P733"/>
      <c r="Q733"/>
      <c r="R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</row>
    <row r="734" spans="1:37" ht="16.5">
      <c r="A734"/>
      <c r="B734"/>
      <c r="C734"/>
      <c r="D734"/>
      <c r="E734"/>
      <c r="F734"/>
      <c r="G734"/>
      <c r="H734"/>
      <c r="K734"/>
      <c r="L734"/>
      <c r="M734"/>
      <c r="N734"/>
      <c r="O734"/>
      <c r="P734"/>
      <c r="Q734"/>
      <c r="R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</row>
    <row r="735" spans="1:37" ht="16.5">
      <c r="A735"/>
      <c r="B735"/>
      <c r="C735"/>
      <c r="D735"/>
      <c r="E735"/>
      <c r="F735"/>
      <c r="G735"/>
      <c r="H735"/>
      <c r="K735"/>
      <c r="L735"/>
      <c r="M735"/>
      <c r="N735"/>
      <c r="O735"/>
      <c r="P735"/>
      <c r="Q735"/>
      <c r="R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</row>
    <row r="736" spans="1:37" ht="16.5">
      <c r="A736"/>
      <c r="B736"/>
      <c r="C736"/>
      <c r="D736"/>
      <c r="E736"/>
      <c r="F736"/>
      <c r="G736"/>
      <c r="H736"/>
      <c r="K736"/>
      <c r="L736"/>
      <c r="M736"/>
      <c r="N736"/>
      <c r="O736"/>
      <c r="P736"/>
      <c r="Q736"/>
      <c r="R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</row>
    <row r="737" spans="1:37" ht="16.5">
      <c r="A737"/>
      <c r="B737"/>
      <c r="C737"/>
      <c r="D737"/>
      <c r="E737"/>
      <c r="F737"/>
      <c r="G737"/>
      <c r="H737"/>
      <c r="K737"/>
      <c r="L737"/>
      <c r="M737"/>
      <c r="N737"/>
      <c r="O737"/>
      <c r="P737"/>
      <c r="Q737"/>
      <c r="R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</row>
    <row r="738" spans="1:37" ht="16.5">
      <c r="A738"/>
      <c r="B738"/>
      <c r="C738"/>
      <c r="D738"/>
      <c r="E738"/>
      <c r="F738"/>
      <c r="G738"/>
      <c r="H738"/>
      <c r="K738"/>
      <c r="L738"/>
      <c r="M738"/>
      <c r="N738"/>
      <c r="O738"/>
      <c r="P738"/>
      <c r="Q738"/>
      <c r="R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</row>
    <row r="739" spans="1:37" ht="16.5">
      <c r="A739"/>
      <c r="B739"/>
      <c r="C739"/>
      <c r="D739"/>
      <c r="E739"/>
      <c r="F739"/>
      <c r="G739"/>
      <c r="H739"/>
      <c r="K739"/>
      <c r="L739"/>
      <c r="M739"/>
      <c r="N739"/>
      <c r="O739"/>
      <c r="P739"/>
      <c r="Q739"/>
      <c r="R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</row>
    <row r="740" spans="1:37" ht="16.5">
      <c r="A740"/>
      <c r="B740"/>
      <c r="C740"/>
      <c r="D740"/>
      <c r="E740"/>
      <c r="F740"/>
      <c r="G740"/>
      <c r="H740"/>
      <c r="K740"/>
      <c r="L740"/>
      <c r="M740"/>
      <c r="N740"/>
      <c r="O740"/>
      <c r="P740"/>
      <c r="Q740"/>
      <c r="R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</row>
    <row r="741" spans="1:37" ht="16.5">
      <c r="A741"/>
      <c r="B741"/>
      <c r="C741"/>
      <c r="D741"/>
      <c r="E741"/>
      <c r="F741"/>
      <c r="G741"/>
      <c r="H741"/>
      <c r="K741"/>
      <c r="L741"/>
      <c r="M741"/>
      <c r="N741"/>
      <c r="O741"/>
      <c r="P741"/>
      <c r="Q741"/>
      <c r="R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</row>
    <row r="742" spans="1:37" ht="16.5">
      <c r="A742"/>
      <c r="B742"/>
      <c r="C742"/>
      <c r="D742"/>
      <c r="E742"/>
      <c r="F742"/>
      <c r="G742"/>
      <c r="H742"/>
      <c r="K742"/>
      <c r="L742"/>
      <c r="M742"/>
      <c r="N742"/>
      <c r="O742"/>
      <c r="P742"/>
      <c r="Q742"/>
      <c r="R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</row>
    <row r="743" spans="1:37" ht="16.5">
      <c r="A743"/>
      <c r="B743"/>
      <c r="C743"/>
      <c r="D743"/>
      <c r="E743"/>
      <c r="F743"/>
      <c r="G743"/>
      <c r="H743"/>
      <c r="K743"/>
      <c r="L743"/>
      <c r="M743"/>
      <c r="N743"/>
      <c r="O743"/>
      <c r="P743"/>
      <c r="Q743"/>
      <c r="R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</row>
    <row r="744" spans="1:37" ht="16.5">
      <c r="A744"/>
      <c r="B744"/>
      <c r="C744"/>
      <c r="D744"/>
      <c r="E744"/>
      <c r="F744"/>
      <c r="G744"/>
      <c r="H744"/>
      <c r="K744"/>
      <c r="L744"/>
      <c r="M744"/>
      <c r="N744"/>
      <c r="O744"/>
      <c r="P744"/>
      <c r="Q744"/>
      <c r="R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</row>
    <row r="745" spans="1:37" ht="16.5">
      <c r="A745"/>
      <c r="B745"/>
      <c r="C745"/>
      <c r="D745"/>
      <c r="E745"/>
      <c r="F745"/>
      <c r="G745"/>
      <c r="H745"/>
      <c r="K745"/>
      <c r="L745"/>
      <c r="M745"/>
      <c r="N745"/>
      <c r="O745"/>
      <c r="P745"/>
      <c r="Q745"/>
      <c r="R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</row>
    <row r="746" spans="1:37" ht="16.5">
      <c r="A746"/>
      <c r="B746"/>
      <c r="C746"/>
      <c r="D746"/>
      <c r="E746"/>
      <c r="F746"/>
      <c r="G746"/>
      <c r="H746"/>
    </row>
    <row r="747" spans="1:37" ht="16.5">
      <c r="A747"/>
      <c r="B747"/>
      <c r="C747"/>
      <c r="D747"/>
      <c r="E747"/>
      <c r="F747"/>
      <c r="G747"/>
      <c r="H747"/>
    </row>
    <row r="748" spans="1:37" ht="16.5">
      <c r="A748"/>
      <c r="B748"/>
      <c r="C748"/>
      <c r="D748"/>
      <c r="E748"/>
      <c r="F748"/>
      <c r="G748"/>
      <c r="H748"/>
    </row>
    <row r="749" spans="1:37" ht="16.5">
      <c r="A749"/>
      <c r="B749"/>
      <c r="C749"/>
      <c r="D749"/>
      <c r="E749"/>
      <c r="F749"/>
      <c r="G749"/>
      <c r="H749"/>
    </row>
    <row r="750" spans="1:37" ht="16.5">
      <c r="A750"/>
      <c r="B750"/>
      <c r="C750"/>
      <c r="D750"/>
      <c r="E750"/>
      <c r="F750"/>
      <c r="G750"/>
      <c r="H750"/>
    </row>
    <row r="751" spans="1:37" ht="16.5">
      <c r="A751"/>
      <c r="B751"/>
      <c r="C751"/>
      <c r="D751"/>
      <c r="E751"/>
      <c r="F751"/>
      <c r="G751"/>
      <c r="H751"/>
    </row>
    <row r="752" spans="1:37" ht="16.5">
      <c r="A752"/>
      <c r="B752"/>
      <c r="C752"/>
      <c r="D752"/>
      <c r="E752"/>
      <c r="F752"/>
      <c r="G752"/>
      <c r="H752"/>
    </row>
    <row r="753" spans="1:8" ht="16.5">
      <c r="A753"/>
      <c r="B753"/>
      <c r="C753"/>
      <c r="D753"/>
      <c r="E753"/>
      <c r="F753"/>
      <c r="G753"/>
      <c r="H753"/>
    </row>
    <row r="754" spans="1:8" ht="16.5">
      <c r="A754"/>
      <c r="B754"/>
      <c r="C754"/>
      <c r="D754"/>
      <c r="E754"/>
      <c r="F754"/>
      <c r="G754"/>
      <c r="H754"/>
    </row>
    <row r="755" spans="1:8" ht="16.5">
      <c r="A755"/>
      <c r="B755"/>
      <c r="C755"/>
      <c r="D755"/>
      <c r="E755"/>
      <c r="F755"/>
      <c r="G755"/>
      <c r="H755"/>
    </row>
    <row r="756" spans="1:8" ht="16.5">
      <c r="A756"/>
      <c r="B756"/>
      <c r="C756"/>
      <c r="D756"/>
      <c r="E756"/>
      <c r="F756"/>
      <c r="G756"/>
      <c r="H756"/>
    </row>
    <row r="757" spans="1:8" ht="16.5">
      <c r="A757"/>
      <c r="B757"/>
      <c r="C757"/>
      <c r="D757"/>
      <c r="E757"/>
      <c r="F757"/>
      <c r="G757"/>
      <c r="H757"/>
    </row>
    <row r="758" spans="1:8" ht="16.5">
      <c r="A758"/>
      <c r="B758"/>
      <c r="C758"/>
      <c r="D758"/>
      <c r="E758"/>
      <c r="F758"/>
      <c r="G758"/>
      <c r="H758"/>
    </row>
    <row r="759" spans="1:8" ht="16.5">
      <c r="A759"/>
      <c r="B759"/>
      <c r="C759"/>
      <c r="D759"/>
      <c r="E759"/>
      <c r="F759"/>
      <c r="G759"/>
      <c r="H759"/>
    </row>
    <row r="760" spans="1:8" ht="16.5">
      <c r="A760"/>
      <c r="B760"/>
      <c r="C760"/>
      <c r="D760"/>
      <c r="E760"/>
      <c r="F760"/>
      <c r="G760"/>
      <c r="H760"/>
    </row>
    <row r="761" spans="1:8" ht="16.5">
      <c r="A761"/>
      <c r="B761"/>
      <c r="C761"/>
      <c r="D761"/>
      <c r="E761"/>
      <c r="F761"/>
      <c r="G761"/>
      <c r="H761"/>
    </row>
    <row r="762" spans="1:8" ht="16.5">
      <c r="A762"/>
      <c r="B762"/>
      <c r="C762"/>
      <c r="D762"/>
      <c r="E762"/>
      <c r="F762"/>
      <c r="G762"/>
      <c r="H762"/>
    </row>
    <row r="763" spans="1:8" ht="16.5">
      <c r="A763"/>
      <c r="B763"/>
      <c r="C763"/>
      <c r="D763"/>
      <c r="E763"/>
      <c r="F763"/>
      <c r="G763"/>
      <c r="H763"/>
    </row>
    <row r="764" spans="1:8" ht="16.5">
      <c r="A764"/>
      <c r="B764"/>
      <c r="C764"/>
      <c r="D764"/>
      <c r="E764"/>
      <c r="F764"/>
      <c r="G764"/>
      <c r="H764"/>
    </row>
    <row r="765" spans="1:8" ht="16.5">
      <c r="A765"/>
      <c r="B765"/>
      <c r="C765"/>
      <c r="D765"/>
      <c r="E765"/>
      <c r="F765"/>
      <c r="G765"/>
      <c r="H765"/>
    </row>
    <row r="766" spans="1:8" ht="16.5">
      <c r="A766"/>
      <c r="B766"/>
      <c r="C766"/>
      <c r="D766"/>
      <c r="E766"/>
      <c r="F766"/>
      <c r="G766"/>
      <c r="H766"/>
    </row>
    <row r="767" spans="1:8" ht="16.5">
      <c r="A767"/>
      <c r="B767"/>
      <c r="C767"/>
      <c r="D767"/>
      <c r="E767"/>
      <c r="F767"/>
      <c r="G767"/>
      <c r="H767"/>
    </row>
    <row r="768" spans="1:8" ht="16.5">
      <c r="A768"/>
      <c r="B768"/>
      <c r="C768"/>
      <c r="D768"/>
      <c r="E768"/>
      <c r="F768"/>
      <c r="G768"/>
      <c r="H768"/>
    </row>
    <row r="769" spans="1:8" ht="16.5">
      <c r="A769"/>
      <c r="B769"/>
      <c r="C769"/>
      <c r="D769"/>
      <c r="E769"/>
      <c r="F769"/>
      <c r="G769"/>
      <c r="H769"/>
    </row>
    <row r="770" spans="1:8" ht="16.5">
      <c r="A770"/>
      <c r="B770"/>
      <c r="C770"/>
      <c r="D770"/>
      <c r="E770"/>
      <c r="F770"/>
      <c r="G770"/>
      <c r="H770"/>
    </row>
    <row r="771" spans="1:8" ht="16.5">
      <c r="A771"/>
      <c r="B771"/>
      <c r="C771"/>
      <c r="D771"/>
      <c r="E771"/>
      <c r="F771"/>
      <c r="G771"/>
      <c r="H771"/>
    </row>
    <row r="772" spans="1:8" ht="16.5">
      <c r="A772"/>
      <c r="B772"/>
      <c r="C772"/>
      <c r="D772"/>
      <c r="E772"/>
      <c r="F772"/>
      <c r="G772"/>
      <c r="H772"/>
    </row>
    <row r="773" spans="1:8" ht="16.5">
      <c r="A773"/>
      <c r="B773"/>
      <c r="C773"/>
      <c r="D773"/>
      <c r="E773"/>
      <c r="F773"/>
      <c r="G773"/>
      <c r="H773"/>
    </row>
    <row r="774" spans="1:8" ht="16.5">
      <c r="A774"/>
      <c r="B774"/>
      <c r="C774"/>
      <c r="D774"/>
      <c r="E774"/>
      <c r="F774"/>
      <c r="G774"/>
      <c r="H774"/>
    </row>
    <row r="775" spans="1:8" ht="16.5">
      <c r="A775"/>
      <c r="B775"/>
      <c r="C775"/>
      <c r="D775"/>
      <c r="E775"/>
      <c r="F775"/>
      <c r="G775"/>
      <c r="H775"/>
    </row>
    <row r="776" spans="1:8" ht="16.5">
      <c r="A776"/>
      <c r="B776"/>
      <c r="C776"/>
      <c r="D776"/>
      <c r="E776"/>
      <c r="F776"/>
      <c r="G776"/>
      <c r="H776"/>
    </row>
    <row r="777" spans="1:8" ht="16.5">
      <c r="A777"/>
      <c r="B777"/>
      <c r="C777"/>
      <c r="D777"/>
      <c r="E777"/>
      <c r="F777"/>
      <c r="G777"/>
      <c r="H777"/>
    </row>
    <row r="778" spans="1:8" ht="16.5">
      <c r="A778"/>
      <c r="B778"/>
      <c r="C778"/>
      <c r="D778"/>
      <c r="E778"/>
      <c r="F778"/>
      <c r="G778"/>
      <c r="H778"/>
    </row>
    <row r="779" spans="1:8" ht="16.5">
      <c r="A779"/>
      <c r="B779"/>
      <c r="C779"/>
      <c r="D779"/>
      <c r="E779"/>
      <c r="F779"/>
      <c r="G779"/>
      <c r="H779"/>
    </row>
    <row r="780" spans="1:8" ht="16.5">
      <c r="A780"/>
      <c r="B780"/>
      <c r="C780"/>
      <c r="D780"/>
      <c r="E780"/>
      <c r="F780"/>
      <c r="G780"/>
      <c r="H780"/>
    </row>
    <row r="781" spans="1:8" ht="16.5">
      <c r="A781"/>
      <c r="B781"/>
      <c r="C781"/>
      <c r="D781"/>
      <c r="E781"/>
      <c r="F781"/>
      <c r="G781"/>
      <c r="H781"/>
    </row>
    <row r="782" spans="1:8" ht="16.5">
      <c r="A782"/>
      <c r="B782"/>
      <c r="C782"/>
      <c r="D782"/>
      <c r="E782"/>
      <c r="F782"/>
      <c r="G782"/>
      <c r="H782"/>
    </row>
    <row r="783" spans="1:8" ht="16.5">
      <c r="A783"/>
      <c r="B783"/>
      <c r="C783"/>
      <c r="D783"/>
      <c r="E783"/>
      <c r="F783"/>
      <c r="G783"/>
      <c r="H783"/>
    </row>
    <row r="784" spans="1:8" ht="16.5">
      <c r="A784"/>
      <c r="B784"/>
      <c r="C784"/>
      <c r="D784"/>
      <c r="E784"/>
      <c r="F784"/>
      <c r="G784"/>
      <c r="H784"/>
    </row>
    <row r="785" spans="1:8" ht="16.5">
      <c r="A785"/>
      <c r="B785"/>
      <c r="C785"/>
      <c r="D785"/>
      <c r="E785"/>
      <c r="F785"/>
      <c r="G785"/>
      <c r="H785"/>
    </row>
    <row r="786" spans="1:8" ht="16.5">
      <c r="A786"/>
      <c r="B786"/>
      <c r="C786"/>
      <c r="D786"/>
      <c r="E786"/>
      <c r="F786"/>
      <c r="G786"/>
      <c r="H786"/>
    </row>
    <row r="787" spans="1:8" ht="16.5">
      <c r="A787"/>
      <c r="B787"/>
      <c r="C787"/>
      <c r="D787"/>
      <c r="E787"/>
      <c r="F787"/>
      <c r="G787"/>
      <c r="H787"/>
    </row>
    <row r="788" spans="1:8" ht="16.5">
      <c r="A788"/>
      <c r="B788"/>
      <c r="C788"/>
      <c r="D788"/>
      <c r="E788"/>
      <c r="F788"/>
      <c r="G788"/>
      <c r="H788"/>
    </row>
    <row r="789" spans="1:8" ht="16.5">
      <c r="A789"/>
      <c r="B789"/>
      <c r="C789"/>
      <c r="D789"/>
      <c r="E789"/>
      <c r="F789"/>
      <c r="G789"/>
      <c r="H789"/>
    </row>
    <row r="790" spans="1:8" ht="16.5">
      <c r="A790"/>
      <c r="B790"/>
      <c r="C790"/>
      <c r="D790"/>
      <c r="E790"/>
      <c r="F790"/>
      <c r="G790"/>
      <c r="H790"/>
    </row>
    <row r="791" spans="1:8" ht="16.5">
      <c r="A791"/>
      <c r="B791"/>
      <c r="C791"/>
      <c r="D791"/>
      <c r="E791"/>
      <c r="F791"/>
      <c r="G791"/>
      <c r="H791"/>
    </row>
    <row r="792" spans="1:8" ht="16.5">
      <c r="A792"/>
      <c r="B792"/>
      <c r="C792"/>
      <c r="D792"/>
      <c r="E792"/>
      <c r="F792"/>
      <c r="G792"/>
      <c r="H792"/>
    </row>
    <row r="793" spans="1:8" ht="16.5">
      <c r="A793"/>
      <c r="B793"/>
      <c r="C793"/>
      <c r="D793"/>
      <c r="E793"/>
      <c r="F793"/>
      <c r="G793"/>
      <c r="H793"/>
    </row>
    <row r="794" spans="1:8" ht="16.5">
      <c r="A794"/>
      <c r="B794"/>
      <c r="C794"/>
      <c r="D794"/>
      <c r="E794"/>
      <c r="F794"/>
      <c r="G794"/>
      <c r="H794"/>
    </row>
    <row r="795" spans="1:8" ht="16.5">
      <c r="A795"/>
      <c r="B795"/>
      <c r="C795"/>
      <c r="D795"/>
      <c r="E795"/>
      <c r="F795"/>
      <c r="G795"/>
      <c r="H795"/>
    </row>
    <row r="796" spans="1:8" ht="16.5">
      <c r="A796"/>
      <c r="B796"/>
      <c r="C796"/>
      <c r="D796"/>
      <c r="E796"/>
      <c r="F796"/>
      <c r="G796"/>
      <c r="H796"/>
    </row>
    <row r="797" spans="1:8" ht="16.5">
      <c r="A797"/>
      <c r="B797"/>
      <c r="C797"/>
      <c r="D797"/>
      <c r="E797"/>
      <c r="F797"/>
      <c r="G797"/>
      <c r="H797"/>
    </row>
    <row r="798" spans="1:8" ht="16.5">
      <c r="A798"/>
      <c r="B798"/>
      <c r="C798"/>
      <c r="D798"/>
      <c r="E798"/>
      <c r="F798"/>
      <c r="G798"/>
      <c r="H798"/>
    </row>
    <row r="799" spans="1:8" ht="16.5">
      <c r="A799"/>
      <c r="B799"/>
      <c r="C799"/>
      <c r="D799"/>
      <c r="E799"/>
      <c r="F799"/>
      <c r="G799"/>
      <c r="H799"/>
    </row>
    <row r="800" spans="1:8" ht="16.5">
      <c r="A800"/>
      <c r="B800"/>
      <c r="C800"/>
      <c r="D800"/>
      <c r="E800"/>
      <c r="F800"/>
      <c r="G800"/>
      <c r="H800"/>
    </row>
    <row r="801" spans="1:8" ht="16.5">
      <c r="A801"/>
      <c r="B801"/>
      <c r="C801"/>
      <c r="D801"/>
      <c r="E801"/>
      <c r="F801"/>
      <c r="G801"/>
      <c r="H801"/>
    </row>
    <row r="802" spans="1:8" ht="16.5">
      <c r="A802"/>
      <c r="B802"/>
      <c r="C802"/>
      <c r="D802"/>
      <c r="E802"/>
      <c r="F802"/>
      <c r="G802"/>
      <c r="H802"/>
    </row>
    <row r="803" spans="1:8" ht="16.5">
      <c r="A803"/>
      <c r="B803"/>
      <c r="C803"/>
      <c r="D803"/>
      <c r="E803"/>
      <c r="F803"/>
      <c r="G803"/>
      <c r="H803"/>
    </row>
    <row r="804" spans="1:8" ht="16.5">
      <c r="A804"/>
      <c r="B804"/>
      <c r="C804"/>
      <c r="D804"/>
      <c r="E804"/>
      <c r="F804"/>
      <c r="G804"/>
      <c r="H804"/>
    </row>
    <row r="805" spans="1:8" ht="16.5">
      <c r="A805"/>
      <c r="B805"/>
      <c r="C805"/>
      <c r="D805"/>
      <c r="E805"/>
      <c r="F805"/>
      <c r="G805"/>
      <c r="H805"/>
    </row>
    <row r="806" spans="1:8" ht="16.5">
      <c r="A806"/>
      <c r="B806"/>
      <c r="C806"/>
      <c r="D806"/>
      <c r="E806"/>
      <c r="F806"/>
      <c r="G806"/>
      <c r="H806"/>
    </row>
    <row r="807" spans="1:8" ht="16.5">
      <c r="A807"/>
      <c r="B807"/>
      <c r="C807"/>
      <c r="D807"/>
      <c r="E807"/>
      <c r="F807"/>
      <c r="G807"/>
      <c r="H807"/>
    </row>
    <row r="808" spans="1:8" ht="16.5">
      <c r="A808"/>
      <c r="B808"/>
      <c r="C808"/>
      <c r="D808"/>
      <c r="E808"/>
      <c r="F808"/>
      <c r="G808"/>
      <c r="H808"/>
    </row>
    <row r="809" spans="1:8" ht="16.5">
      <c r="A809"/>
      <c r="B809"/>
      <c r="C809"/>
      <c r="D809"/>
      <c r="E809"/>
      <c r="F809"/>
      <c r="G809"/>
      <c r="H809"/>
    </row>
    <row r="810" spans="1:8" ht="16.5">
      <c r="A810"/>
      <c r="B810"/>
      <c r="C810"/>
      <c r="D810"/>
      <c r="E810"/>
      <c r="F810"/>
      <c r="G810"/>
      <c r="H810"/>
    </row>
    <row r="811" spans="1:8" ht="16.5">
      <c r="A811"/>
      <c r="B811"/>
      <c r="C811"/>
      <c r="D811"/>
      <c r="E811"/>
      <c r="F811"/>
      <c r="G811"/>
      <c r="H811"/>
    </row>
    <row r="812" spans="1:8" ht="16.5">
      <c r="A812"/>
      <c r="B812"/>
      <c r="C812"/>
      <c r="D812"/>
      <c r="E812"/>
      <c r="F812"/>
      <c r="G812"/>
      <c r="H812"/>
    </row>
    <row r="813" spans="1:8" ht="16.5">
      <c r="A813"/>
      <c r="B813"/>
      <c r="C813"/>
      <c r="D813"/>
      <c r="E813"/>
      <c r="F813"/>
      <c r="G813"/>
      <c r="H813"/>
    </row>
    <row r="814" spans="1:8" ht="16.5">
      <c r="A814"/>
      <c r="B814"/>
      <c r="C814"/>
      <c r="D814"/>
      <c r="E814"/>
      <c r="F814"/>
      <c r="G814"/>
      <c r="H814"/>
    </row>
    <row r="815" spans="1:8" ht="16.5">
      <c r="A815"/>
      <c r="B815"/>
      <c r="C815"/>
      <c r="D815"/>
      <c r="E815"/>
      <c r="F815"/>
      <c r="G815"/>
      <c r="H815"/>
    </row>
    <row r="816" spans="1:8" ht="16.5">
      <c r="A816"/>
      <c r="B816"/>
      <c r="C816"/>
      <c r="D816"/>
      <c r="E816"/>
      <c r="F816"/>
      <c r="G816"/>
      <c r="H816"/>
    </row>
    <row r="817" spans="1:8" ht="16.5">
      <c r="A817"/>
      <c r="B817"/>
      <c r="C817"/>
      <c r="D817"/>
      <c r="E817"/>
      <c r="F817"/>
      <c r="G817"/>
      <c r="H817"/>
    </row>
    <row r="818" spans="1:8" ht="16.5">
      <c r="A818"/>
      <c r="B818"/>
      <c r="C818"/>
      <c r="D818"/>
      <c r="E818"/>
      <c r="F818"/>
      <c r="G818"/>
      <c r="H818"/>
    </row>
    <row r="819" spans="1:8" ht="16.5">
      <c r="A819"/>
      <c r="B819"/>
      <c r="C819"/>
      <c r="D819"/>
      <c r="E819"/>
      <c r="F819"/>
      <c r="G819"/>
      <c r="H819"/>
    </row>
    <row r="820" spans="1:8" ht="16.5">
      <c r="A820"/>
      <c r="B820"/>
      <c r="C820"/>
      <c r="D820"/>
      <c r="E820"/>
      <c r="F820"/>
      <c r="G820"/>
      <c r="H820"/>
    </row>
    <row r="821" spans="1:8" ht="16.5">
      <c r="A821"/>
      <c r="B821"/>
      <c r="C821"/>
      <c r="D821"/>
      <c r="E821"/>
      <c r="F821"/>
      <c r="G821"/>
      <c r="H821"/>
    </row>
    <row r="822" spans="1:8" ht="16.5">
      <c r="A822"/>
      <c r="B822"/>
      <c r="C822"/>
      <c r="D822"/>
      <c r="E822"/>
      <c r="F822"/>
      <c r="G822"/>
      <c r="H822"/>
    </row>
    <row r="823" spans="1:8" ht="16.5">
      <c r="A823"/>
      <c r="B823"/>
      <c r="C823"/>
      <c r="D823"/>
      <c r="E823"/>
      <c r="F823"/>
      <c r="G823"/>
      <c r="H823"/>
    </row>
    <row r="824" spans="1:8" ht="16.5">
      <c r="A824"/>
      <c r="B824"/>
      <c r="C824"/>
      <c r="D824"/>
      <c r="E824"/>
      <c r="F824"/>
      <c r="G824"/>
      <c r="H824"/>
    </row>
    <row r="825" spans="1:8" ht="16.5">
      <c r="A825"/>
      <c r="B825"/>
      <c r="C825"/>
      <c r="D825"/>
      <c r="E825"/>
      <c r="F825"/>
      <c r="G825"/>
      <c r="H825"/>
    </row>
    <row r="826" spans="1:8" ht="16.5">
      <c r="A826"/>
      <c r="B826"/>
      <c r="C826"/>
      <c r="D826"/>
      <c r="E826"/>
      <c r="F826"/>
      <c r="G826"/>
      <c r="H826"/>
    </row>
    <row r="827" spans="1:8" ht="16.5">
      <c r="A827"/>
      <c r="B827"/>
      <c r="C827"/>
      <c r="D827"/>
      <c r="E827"/>
      <c r="F827"/>
      <c r="G827"/>
      <c r="H827"/>
    </row>
    <row r="828" spans="1:8" ht="16.5">
      <c r="A828"/>
      <c r="B828"/>
      <c r="C828"/>
      <c r="D828"/>
      <c r="E828"/>
      <c r="F828"/>
      <c r="G828"/>
      <c r="H828"/>
    </row>
    <row r="829" spans="1:8" ht="16.5">
      <c r="A829"/>
      <c r="B829"/>
      <c r="C829"/>
      <c r="D829"/>
      <c r="E829"/>
      <c r="F829"/>
      <c r="G829"/>
      <c r="H829"/>
    </row>
    <row r="830" spans="1:8" ht="16.5">
      <c r="A830"/>
      <c r="B830"/>
      <c r="C830"/>
      <c r="D830"/>
      <c r="E830"/>
      <c r="F830"/>
      <c r="G830"/>
      <c r="H830"/>
    </row>
    <row r="831" spans="1:8" ht="16.5">
      <c r="A831"/>
      <c r="B831"/>
      <c r="C831"/>
      <c r="D831"/>
      <c r="E831"/>
      <c r="F831"/>
      <c r="G831"/>
      <c r="H831"/>
    </row>
    <row r="832" spans="1:8" ht="16.5">
      <c r="A832"/>
      <c r="B832"/>
      <c r="C832"/>
      <c r="D832"/>
      <c r="E832"/>
      <c r="F832"/>
      <c r="G832"/>
      <c r="H832"/>
    </row>
    <row r="833" spans="1:8" ht="16.5">
      <c r="A833"/>
      <c r="B833"/>
      <c r="C833"/>
      <c r="D833"/>
      <c r="E833"/>
      <c r="F833"/>
      <c r="G833"/>
      <c r="H833"/>
    </row>
    <row r="834" spans="1:8" ht="16.5">
      <c r="A834"/>
      <c r="B834"/>
      <c r="C834"/>
      <c r="D834"/>
      <c r="E834"/>
      <c r="F834"/>
      <c r="G834"/>
      <c r="H834"/>
    </row>
    <row r="835" spans="1:8" ht="16.5">
      <c r="A835"/>
      <c r="B835"/>
      <c r="C835"/>
      <c r="D835"/>
      <c r="E835"/>
      <c r="F835"/>
      <c r="G835"/>
      <c r="H835"/>
    </row>
    <row r="836" spans="1:8" ht="16.5">
      <c r="A836"/>
      <c r="B836"/>
      <c r="C836"/>
      <c r="D836"/>
      <c r="E836"/>
      <c r="F836"/>
      <c r="G836"/>
      <c r="H836"/>
    </row>
    <row r="837" spans="1:8" ht="16.5">
      <c r="A837"/>
      <c r="B837"/>
      <c r="C837"/>
      <c r="D837"/>
      <c r="E837"/>
      <c r="F837"/>
      <c r="G837"/>
      <c r="H837"/>
    </row>
    <row r="838" spans="1:8" ht="16.5">
      <c r="A838"/>
      <c r="B838"/>
      <c r="C838"/>
      <c r="D838"/>
      <c r="E838"/>
      <c r="F838"/>
      <c r="G838"/>
      <c r="H838"/>
    </row>
    <row r="839" spans="1:8" ht="16.5">
      <c r="A839"/>
      <c r="B839"/>
      <c r="C839"/>
      <c r="D839"/>
      <c r="E839"/>
      <c r="F839"/>
      <c r="G839"/>
      <c r="H839"/>
    </row>
    <row r="840" spans="1:8" ht="16.5">
      <c r="A840"/>
      <c r="B840"/>
      <c r="C840"/>
      <c r="D840"/>
      <c r="E840"/>
      <c r="F840"/>
      <c r="G840"/>
      <c r="H840"/>
    </row>
    <row r="841" spans="1:8" ht="16.5">
      <c r="A841"/>
      <c r="B841"/>
      <c r="C841"/>
      <c r="D841"/>
      <c r="E841"/>
      <c r="F841"/>
      <c r="G841"/>
      <c r="H841"/>
    </row>
    <row r="842" spans="1:8" ht="16.5">
      <c r="A842"/>
      <c r="B842"/>
      <c r="C842"/>
      <c r="D842"/>
      <c r="E842"/>
      <c r="F842"/>
      <c r="G842"/>
      <c r="H842"/>
    </row>
    <row r="843" spans="1:8" ht="16.5">
      <c r="A843"/>
      <c r="B843"/>
      <c r="C843"/>
      <c r="D843"/>
      <c r="E843"/>
      <c r="F843"/>
      <c r="G843"/>
      <c r="H843"/>
    </row>
    <row r="844" spans="1:8" ht="16.5">
      <c r="A844"/>
      <c r="B844"/>
      <c r="C844"/>
      <c r="D844"/>
      <c r="E844"/>
      <c r="F844"/>
      <c r="G844"/>
      <c r="H844"/>
    </row>
    <row r="845" spans="1:8" ht="16.5">
      <c r="A845"/>
      <c r="B845"/>
      <c r="C845"/>
      <c r="D845"/>
      <c r="E845"/>
      <c r="F845"/>
      <c r="G845"/>
      <c r="H845"/>
    </row>
    <row r="846" spans="1:8" ht="16.5">
      <c r="A846"/>
      <c r="B846"/>
      <c r="C846"/>
      <c r="D846"/>
      <c r="E846"/>
      <c r="F846"/>
      <c r="G846"/>
      <c r="H846"/>
    </row>
    <row r="847" spans="1:8" ht="16.5">
      <c r="A847"/>
      <c r="B847"/>
      <c r="C847"/>
      <c r="D847"/>
      <c r="E847"/>
      <c r="F847"/>
      <c r="G847"/>
      <c r="H847"/>
    </row>
    <row r="848" spans="1:8" ht="16.5">
      <c r="A848"/>
      <c r="B848"/>
      <c r="C848"/>
      <c r="D848"/>
      <c r="E848"/>
      <c r="F848"/>
      <c r="G848"/>
      <c r="H848"/>
    </row>
    <row r="849" spans="1:8" ht="16.5">
      <c r="A849"/>
      <c r="B849"/>
      <c r="C849"/>
      <c r="D849"/>
      <c r="E849"/>
      <c r="F849"/>
      <c r="G849"/>
      <c r="H849"/>
    </row>
    <row r="850" spans="1:8" ht="16.5">
      <c r="A850"/>
      <c r="B850"/>
      <c r="C850"/>
      <c r="D850"/>
      <c r="E850"/>
      <c r="F850"/>
      <c r="G850"/>
      <c r="H850"/>
    </row>
    <row r="851" spans="1:8" ht="16.5">
      <c r="A851"/>
      <c r="B851"/>
      <c r="C851"/>
      <c r="D851"/>
      <c r="E851"/>
      <c r="F851"/>
      <c r="G851"/>
      <c r="H851"/>
    </row>
    <row r="852" spans="1:8" ht="16.5">
      <c r="A852"/>
      <c r="B852"/>
      <c r="C852"/>
      <c r="D852"/>
      <c r="E852"/>
      <c r="F852"/>
      <c r="G852"/>
      <c r="H852"/>
    </row>
    <row r="853" spans="1:8" ht="16.5">
      <c r="A853"/>
      <c r="B853"/>
      <c r="C853"/>
      <c r="D853"/>
      <c r="E853"/>
      <c r="F853"/>
      <c r="G853"/>
      <c r="H853"/>
    </row>
    <row r="854" spans="1:8" ht="16.5">
      <c r="A854"/>
      <c r="B854"/>
      <c r="C854"/>
      <c r="D854"/>
      <c r="E854"/>
      <c r="F854"/>
      <c r="G854"/>
      <c r="H854"/>
    </row>
    <row r="855" spans="1:8" ht="16.5">
      <c r="A855"/>
      <c r="B855"/>
      <c r="C855"/>
      <c r="D855"/>
      <c r="E855"/>
      <c r="F855"/>
      <c r="G855"/>
      <c r="H855"/>
    </row>
    <row r="856" spans="1:8" ht="16.5">
      <c r="A856"/>
      <c r="B856"/>
      <c r="C856"/>
      <c r="D856"/>
      <c r="E856"/>
      <c r="F856"/>
      <c r="G856"/>
      <c r="H856"/>
    </row>
    <row r="857" spans="1:8" ht="16.5">
      <c r="A857"/>
      <c r="B857"/>
      <c r="C857"/>
      <c r="D857"/>
      <c r="E857"/>
      <c r="F857"/>
      <c r="G857"/>
      <c r="H857"/>
    </row>
    <row r="858" spans="1:8" ht="16.5">
      <c r="A858"/>
      <c r="B858"/>
      <c r="C858"/>
      <c r="D858"/>
      <c r="E858"/>
      <c r="F858"/>
      <c r="G858"/>
      <c r="H858"/>
    </row>
    <row r="859" spans="1:8" ht="16.5">
      <c r="A859"/>
      <c r="B859"/>
      <c r="C859"/>
      <c r="D859"/>
      <c r="E859"/>
      <c r="F859"/>
      <c r="G859"/>
      <c r="H859"/>
    </row>
    <row r="860" spans="1:8" ht="16.5">
      <c r="A860"/>
      <c r="B860"/>
      <c r="C860"/>
      <c r="D860"/>
      <c r="E860"/>
      <c r="F860"/>
      <c r="G860"/>
      <c r="H860"/>
    </row>
    <row r="861" spans="1:8" ht="16.5">
      <c r="A861"/>
      <c r="B861"/>
      <c r="C861"/>
      <c r="D861"/>
      <c r="E861"/>
      <c r="F861"/>
      <c r="G861"/>
      <c r="H861"/>
    </row>
    <row r="862" spans="1:8" ht="16.5">
      <c r="A862"/>
      <c r="B862"/>
      <c r="C862"/>
      <c r="D862"/>
      <c r="E862"/>
      <c r="F862"/>
      <c r="G862"/>
      <c r="H862"/>
    </row>
    <row r="863" spans="1:8" ht="16.5">
      <c r="A863"/>
      <c r="B863"/>
      <c r="C863"/>
      <c r="D863"/>
      <c r="E863"/>
      <c r="F863"/>
      <c r="G863"/>
      <c r="H863"/>
    </row>
    <row r="864" spans="1:8" ht="16.5">
      <c r="A864"/>
      <c r="B864"/>
      <c r="C864"/>
      <c r="D864"/>
      <c r="E864"/>
      <c r="F864"/>
      <c r="G864"/>
      <c r="H864"/>
    </row>
    <row r="865" spans="1:8" ht="16.5">
      <c r="A865"/>
      <c r="B865"/>
      <c r="C865"/>
      <c r="D865"/>
      <c r="E865"/>
      <c r="F865"/>
      <c r="G865"/>
      <c r="H865"/>
    </row>
    <row r="866" spans="1:8" ht="16.5">
      <c r="A866"/>
      <c r="B866"/>
      <c r="C866"/>
      <c r="D866"/>
      <c r="E866"/>
      <c r="F866"/>
      <c r="G866"/>
      <c r="H866"/>
    </row>
    <row r="867" spans="1:8" ht="16.5">
      <c r="A867"/>
      <c r="B867"/>
      <c r="C867"/>
      <c r="D867"/>
      <c r="E867"/>
      <c r="F867"/>
      <c r="G867"/>
      <c r="H867"/>
    </row>
    <row r="868" spans="1:8" ht="16.5">
      <c r="A868"/>
      <c r="B868"/>
      <c r="C868"/>
      <c r="D868"/>
      <c r="E868"/>
      <c r="F868"/>
      <c r="G868"/>
      <c r="H868"/>
    </row>
    <row r="869" spans="1:8" ht="16.5">
      <c r="A869"/>
      <c r="B869"/>
      <c r="C869"/>
      <c r="D869"/>
      <c r="E869"/>
      <c r="F869"/>
      <c r="G869"/>
      <c r="H869"/>
    </row>
    <row r="870" spans="1:8" ht="16.5">
      <c r="A870"/>
      <c r="B870"/>
      <c r="C870"/>
      <c r="D870"/>
      <c r="E870"/>
      <c r="F870"/>
      <c r="G870"/>
      <c r="H870"/>
    </row>
    <row r="871" spans="1:8" ht="16.5">
      <c r="A871"/>
      <c r="B871"/>
      <c r="C871"/>
      <c r="D871"/>
      <c r="E871"/>
      <c r="F871"/>
      <c r="G871"/>
      <c r="H871"/>
    </row>
    <row r="872" spans="1:8" ht="16.5">
      <c r="A872"/>
      <c r="B872"/>
      <c r="C872"/>
      <c r="D872"/>
      <c r="E872"/>
      <c r="F872"/>
      <c r="G872"/>
      <c r="H872"/>
    </row>
    <row r="873" spans="1:8" ht="16.5">
      <c r="A873"/>
      <c r="B873"/>
      <c r="C873"/>
      <c r="D873"/>
      <c r="E873"/>
      <c r="F873"/>
      <c r="G873"/>
      <c r="H873"/>
    </row>
    <row r="874" spans="1:8" ht="16.5">
      <c r="A874"/>
      <c r="B874"/>
      <c r="C874"/>
      <c r="D874"/>
      <c r="E874"/>
      <c r="F874"/>
      <c r="G874"/>
      <c r="H874"/>
    </row>
    <row r="875" spans="1:8" ht="16.5">
      <c r="A875"/>
      <c r="B875"/>
      <c r="C875"/>
      <c r="D875"/>
      <c r="E875"/>
      <c r="F875"/>
      <c r="G875"/>
      <c r="H875"/>
    </row>
    <row r="876" spans="1:8" ht="16.5">
      <c r="A876"/>
      <c r="B876"/>
      <c r="C876"/>
      <c r="D876"/>
      <c r="E876"/>
      <c r="F876"/>
      <c r="G876"/>
      <c r="H876"/>
    </row>
    <row r="877" spans="1:8" ht="16.5">
      <c r="A877"/>
      <c r="B877"/>
      <c r="C877"/>
      <c r="D877"/>
      <c r="E877"/>
      <c r="F877"/>
      <c r="G877"/>
      <c r="H877"/>
    </row>
    <row r="878" spans="1:8" ht="16.5">
      <c r="A878"/>
      <c r="B878"/>
      <c r="C878"/>
      <c r="D878"/>
      <c r="E878"/>
      <c r="F878"/>
      <c r="G878"/>
      <c r="H878"/>
    </row>
    <row r="879" spans="1:8" ht="16.5">
      <c r="A879"/>
      <c r="B879"/>
      <c r="C879"/>
      <c r="D879"/>
      <c r="E879"/>
      <c r="F879"/>
      <c r="G879"/>
      <c r="H879"/>
    </row>
    <row r="880" spans="1:8" ht="16.5">
      <c r="A880"/>
      <c r="B880"/>
      <c r="C880"/>
      <c r="D880"/>
      <c r="E880"/>
      <c r="F880"/>
      <c r="G880"/>
      <c r="H880"/>
    </row>
    <row r="881" spans="1:8" ht="16.5">
      <c r="A881"/>
      <c r="B881"/>
      <c r="C881"/>
      <c r="D881"/>
      <c r="E881"/>
      <c r="F881"/>
      <c r="G881"/>
      <c r="H881"/>
    </row>
    <row r="882" spans="1:8" ht="16.5">
      <c r="A882"/>
      <c r="B882"/>
      <c r="C882"/>
      <c r="D882"/>
      <c r="E882"/>
      <c r="F882"/>
      <c r="G882"/>
      <c r="H882"/>
    </row>
    <row r="883" spans="1:8" ht="16.5">
      <c r="A883"/>
      <c r="B883"/>
      <c r="C883"/>
      <c r="D883"/>
      <c r="E883"/>
      <c r="F883"/>
      <c r="G883"/>
      <c r="H883"/>
    </row>
    <row r="884" spans="1:8" ht="16.5">
      <c r="A884"/>
      <c r="B884"/>
      <c r="C884"/>
      <c r="D884"/>
      <c r="E884"/>
      <c r="F884"/>
      <c r="G884"/>
      <c r="H884"/>
    </row>
    <row r="885" spans="1:8" ht="16.5">
      <c r="A885"/>
      <c r="B885"/>
      <c r="C885"/>
      <c r="D885"/>
      <c r="E885"/>
      <c r="F885"/>
      <c r="G885"/>
      <c r="H885"/>
    </row>
    <row r="886" spans="1:8" ht="16.5">
      <c r="A886"/>
      <c r="B886"/>
      <c r="C886"/>
      <c r="D886"/>
      <c r="E886"/>
      <c r="F886"/>
      <c r="G886"/>
      <c r="H886"/>
    </row>
    <row r="887" spans="1:8" ht="16.5">
      <c r="A887"/>
      <c r="B887"/>
      <c r="C887"/>
      <c r="D887"/>
      <c r="E887"/>
      <c r="F887"/>
      <c r="G887"/>
      <c r="H887"/>
    </row>
    <row r="888" spans="1:8" ht="16.5">
      <c r="A888"/>
      <c r="B888"/>
      <c r="C888"/>
      <c r="D888"/>
      <c r="E888"/>
      <c r="F888"/>
      <c r="G888"/>
      <c r="H888"/>
    </row>
    <row r="889" spans="1:8" ht="16.5">
      <c r="A889"/>
      <c r="B889"/>
      <c r="C889"/>
      <c r="D889"/>
      <c r="E889"/>
      <c r="F889"/>
      <c r="G889"/>
      <c r="H889"/>
    </row>
    <row r="890" spans="1:8" ht="16.5">
      <c r="A890"/>
      <c r="B890"/>
      <c r="C890"/>
      <c r="D890"/>
      <c r="E890"/>
      <c r="F890"/>
      <c r="G890"/>
      <c r="H890"/>
    </row>
    <row r="891" spans="1:8" ht="16.5">
      <c r="A891"/>
      <c r="B891"/>
      <c r="C891"/>
      <c r="D891"/>
      <c r="E891"/>
      <c r="F891"/>
      <c r="G891"/>
      <c r="H891"/>
    </row>
    <row r="892" spans="1:8" ht="16.5">
      <c r="A892"/>
      <c r="B892"/>
      <c r="C892"/>
      <c r="D892"/>
      <c r="E892"/>
      <c r="F892"/>
      <c r="G892"/>
      <c r="H892"/>
    </row>
    <row r="893" spans="1:8" ht="16.5">
      <c r="A893"/>
      <c r="B893"/>
      <c r="C893"/>
      <c r="D893"/>
      <c r="E893"/>
      <c r="F893"/>
      <c r="G893"/>
      <c r="H893"/>
    </row>
    <row r="894" spans="1:8" ht="16.5">
      <c r="A894"/>
      <c r="B894"/>
      <c r="C894"/>
      <c r="D894"/>
      <c r="E894"/>
      <c r="F894"/>
      <c r="G894"/>
      <c r="H894"/>
    </row>
    <row r="895" spans="1:8" ht="16.5">
      <c r="A895"/>
      <c r="B895"/>
      <c r="C895"/>
      <c r="D895"/>
      <c r="E895"/>
      <c r="F895"/>
      <c r="G895"/>
      <c r="H895"/>
    </row>
    <row r="896" spans="1:8" ht="16.5">
      <c r="A896"/>
      <c r="B896"/>
      <c r="C896"/>
      <c r="D896"/>
      <c r="E896"/>
      <c r="F896"/>
      <c r="G896"/>
      <c r="H896"/>
    </row>
    <row r="897" spans="1:8" ht="16.5">
      <c r="A897"/>
      <c r="B897"/>
      <c r="C897"/>
      <c r="D897"/>
      <c r="E897"/>
      <c r="F897"/>
      <c r="G897"/>
      <c r="H897"/>
    </row>
    <row r="898" spans="1:8" ht="16.5">
      <c r="A898"/>
      <c r="B898"/>
      <c r="C898"/>
      <c r="D898"/>
      <c r="E898"/>
      <c r="F898"/>
      <c r="G898"/>
      <c r="H898"/>
    </row>
    <row r="899" spans="1:8" ht="16.5">
      <c r="A899"/>
      <c r="B899"/>
      <c r="C899"/>
      <c r="D899"/>
      <c r="E899"/>
      <c r="F899"/>
      <c r="G899"/>
      <c r="H899"/>
    </row>
    <row r="900" spans="1:8" ht="16.5">
      <c r="A900"/>
      <c r="B900"/>
      <c r="C900"/>
      <c r="D900"/>
      <c r="E900"/>
      <c r="F900"/>
      <c r="G900"/>
      <c r="H900"/>
    </row>
    <row r="901" spans="1:8" ht="16.5">
      <c r="A901"/>
      <c r="B901"/>
      <c r="C901"/>
      <c r="D901"/>
      <c r="E901"/>
      <c r="F901"/>
      <c r="G901"/>
      <c r="H901"/>
    </row>
    <row r="902" spans="1:8" ht="16.5">
      <c r="A902"/>
      <c r="B902"/>
      <c r="C902"/>
      <c r="D902"/>
      <c r="E902"/>
      <c r="F902"/>
      <c r="G902"/>
      <c r="H902"/>
    </row>
    <row r="903" spans="1:8" ht="16.5">
      <c r="A903"/>
      <c r="B903"/>
      <c r="C903"/>
      <c r="D903"/>
      <c r="E903"/>
      <c r="F903"/>
      <c r="G903"/>
      <c r="H903"/>
    </row>
    <row r="904" spans="1:8" ht="16.5">
      <c r="A904"/>
      <c r="B904"/>
      <c r="C904"/>
      <c r="D904"/>
      <c r="E904"/>
      <c r="F904"/>
      <c r="G904"/>
      <c r="H904"/>
    </row>
    <row r="905" spans="1:8" ht="16.5">
      <c r="A905"/>
      <c r="B905"/>
      <c r="C905"/>
      <c r="D905"/>
      <c r="E905"/>
      <c r="F905"/>
      <c r="G905"/>
      <c r="H905"/>
    </row>
    <row r="906" spans="1:8" ht="16.5">
      <c r="A906"/>
      <c r="B906"/>
      <c r="C906"/>
      <c r="D906"/>
      <c r="E906"/>
      <c r="F906"/>
      <c r="G906"/>
      <c r="H906"/>
    </row>
    <row r="907" spans="1:8" ht="16.5">
      <c r="A907"/>
      <c r="B907"/>
      <c r="C907"/>
      <c r="D907"/>
      <c r="E907"/>
      <c r="F907"/>
      <c r="G907"/>
      <c r="H907"/>
    </row>
    <row r="908" spans="1:8" ht="16.5">
      <c r="A908"/>
      <c r="B908"/>
      <c r="C908"/>
      <c r="D908"/>
      <c r="E908"/>
      <c r="F908"/>
      <c r="G908"/>
      <c r="H908"/>
    </row>
    <row r="909" spans="1:8" ht="16.5">
      <c r="A909"/>
      <c r="B909"/>
      <c r="C909"/>
      <c r="D909"/>
      <c r="E909"/>
      <c r="F909"/>
      <c r="G909"/>
      <c r="H909"/>
    </row>
    <row r="910" spans="1:8" ht="16.5">
      <c r="A910"/>
      <c r="B910"/>
      <c r="C910"/>
      <c r="D910"/>
      <c r="E910"/>
      <c r="F910"/>
      <c r="G910"/>
      <c r="H910"/>
    </row>
    <row r="911" spans="1:8" ht="16.5">
      <c r="A911"/>
      <c r="B911"/>
      <c r="C911"/>
      <c r="D911"/>
      <c r="E911"/>
      <c r="F911"/>
      <c r="G911"/>
      <c r="H911"/>
    </row>
    <row r="912" spans="1:8" ht="16.5">
      <c r="A912"/>
      <c r="B912"/>
      <c r="C912"/>
      <c r="D912"/>
      <c r="E912"/>
      <c r="F912"/>
      <c r="G912"/>
      <c r="H912"/>
    </row>
    <row r="913" spans="1:8" ht="16.5">
      <c r="A913"/>
      <c r="B913"/>
      <c r="C913"/>
      <c r="D913"/>
      <c r="E913"/>
      <c r="F913"/>
      <c r="G913"/>
      <c r="H913"/>
    </row>
    <row r="914" spans="1:8" ht="16.5">
      <c r="A914"/>
      <c r="B914"/>
      <c r="C914"/>
      <c r="D914"/>
      <c r="E914"/>
      <c r="F914"/>
      <c r="G914"/>
      <c r="H914"/>
    </row>
    <row r="915" spans="1:8" ht="16.5">
      <c r="A915"/>
      <c r="B915"/>
      <c r="C915"/>
      <c r="D915"/>
      <c r="E915"/>
      <c r="F915"/>
      <c r="G915"/>
      <c r="H915"/>
    </row>
    <row r="916" spans="1:8" ht="16.5">
      <c r="A916"/>
      <c r="B916"/>
      <c r="C916"/>
      <c r="D916"/>
      <c r="E916"/>
      <c r="F916"/>
      <c r="G916"/>
      <c r="H916"/>
    </row>
    <row r="917" spans="1:8" ht="16.5">
      <c r="A917"/>
      <c r="B917"/>
      <c r="C917"/>
      <c r="D917"/>
      <c r="E917"/>
      <c r="F917"/>
      <c r="G917"/>
      <c r="H917"/>
    </row>
    <row r="918" spans="1:8" ht="16.5">
      <c r="A918"/>
      <c r="B918"/>
      <c r="C918"/>
      <c r="D918"/>
      <c r="E918"/>
      <c r="F918"/>
      <c r="G918"/>
      <c r="H918"/>
    </row>
    <row r="919" spans="1:8" ht="16.5">
      <c r="A919"/>
      <c r="B919"/>
      <c r="C919"/>
      <c r="D919"/>
      <c r="E919"/>
      <c r="F919"/>
      <c r="G919"/>
      <c r="H919"/>
    </row>
    <row r="920" spans="1:8" ht="16.5">
      <c r="A920"/>
      <c r="B920"/>
      <c r="C920"/>
      <c r="D920"/>
      <c r="E920"/>
      <c r="F920"/>
      <c r="G920"/>
      <c r="H920"/>
    </row>
    <row r="921" spans="1:8" ht="16.5">
      <c r="A921"/>
      <c r="B921"/>
      <c r="C921"/>
      <c r="D921"/>
      <c r="E921"/>
      <c r="F921"/>
      <c r="G921"/>
      <c r="H921"/>
    </row>
    <row r="922" spans="1:8" ht="16.5">
      <c r="A922"/>
      <c r="B922"/>
      <c r="C922"/>
      <c r="D922"/>
      <c r="E922"/>
      <c r="F922"/>
      <c r="G922"/>
      <c r="H922"/>
    </row>
    <row r="923" spans="1:8" ht="16.5">
      <c r="A923"/>
      <c r="B923"/>
      <c r="C923"/>
      <c r="D923"/>
      <c r="E923"/>
      <c r="F923"/>
      <c r="G923"/>
      <c r="H923"/>
    </row>
    <row r="924" spans="1:8" ht="16.5">
      <c r="A924"/>
      <c r="B924"/>
      <c r="C924"/>
      <c r="D924"/>
      <c r="E924"/>
      <c r="F924"/>
      <c r="G924"/>
      <c r="H924"/>
    </row>
    <row r="925" spans="1:8" ht="16.5">
      <c r="A925"/>
      <c r="B925"/>
      <c r="C925"/>
      <c r="D925"/>
      <c r="E925"/>
      <c r="F925"/>
      <c r="G925"/>
      <c r="H925"/>
    </row>
    <row r="926" spans="1:8" ht="16.5">
      <c r="A926"/>
      <c r="B926"/>
      <c r="C926"/>
      <c r="D926"/>
      <c r="E926"/>
      <c r="F926"/>
      <c r="G926"/>
      <c r="H926"/>
    </row>
    <row r="927" spans="1:8" ht="16.5">
      <c r="A927"/>
      <c r="B927"/>
      <c r="C927"/>
      <c r="D927"/>
      <c r="E927"/>
      <c r="F927"/>
      <c r="G927"/>
      <c r="H927"/>
    </row>
    <row r="928" spans="1:8" ht="16.5">
      <c r="A928"/>
      <c r="B928"/>
      <c r="C928"/>
      <c r="D928"/>
      <c r="E928"/>
      <c r="F928"/>
      <c r="G928"/>
      <c r="H928"/>
    </row>
    <row r="929" spans="1:8" ht="16.5">
      <c r="A929"/>
      <c r="B929"/>
      <c r="C929"/>
      <c r="D929"/>
      <c r="E929"/>
      <c r="F929"/>
      <c r="G929"/>
      <c r="H929"/>
    </row>
    <row r="930" spans="1:8" ht="16.5">
      <c r="A930"/>
      <c r="B930"/>
      <c r="C930"/>
      <c r="D930"/>
      <c r="E930"/>
      <c r="F930"/>
      <c r="G930"/>
      <c r="H930"/>
    </row>
    <row r="931" spans="1:8" ht="16.5">
      <c r="A931"/>
      <c r="B931"/>
      <c r="C931"/>
      <c r="D931"/>
      <c r="E931"/>
      <c r="F931"/>
      <c r="G931"/>
      <c r="H931"/>
    </row>
    <row r="932" spans="1:8" ht="16.5">
      <c r="A932"/>
      <c r="B932"/>
      <c r="C932"/>
      <c r="D932"/>
      <c r="E932"/>
      <c r="F932"/>
      <c r="G932"/>
      <c r="H932"/>
    </row>
    <row r="933" spans="1:8" ht="16.5">
      <c r="A933"/>
      <c r="B933"/>
      <c r="C933"/>
      <c r="D933"/>
      <c r="E933"/>
      <c r="F933"/>
      <c r="G933"/>
      <c r="H933"/>
    </row>
    <row r="934" spans="1:8" ht="16.5">
      <c r="A934"/>
      <c r="B934"/>
      <c r="C934"/>
      <c r="D934"/>
      <c r="E934"/>
      <c r="F934"/>
      <c r="G934"/>
      <c r="H934"/>
    </row>
    <row r="935" spans="1:8" ht="16.5">
      <c r="A935"/>
      <c r="B935"/>
      <c r="C935"/>
      <c r="D935"/>
      <c r="E935"/>
      <c r="F935"/>
      <c r="G935"/>
      <c r="H935"/>
    </row>
    <row r="936" spans="1:8" ht="16.5">
      <c r="A936"/>
      <c r="B936"/>
      <c r="C936"/>
      <c r="D936"/>
      <c r="E936"/>
      <c r="F936"/>
      <c r="G936"/>
      <c r="H936"/>
    </row>
    <row r="937" spans="1:8" ht="16.5">
      <c r="A937"/>
      <c r="B937"/>
      <c r="C937"/>
      <c r="D937"/>
      <c r="E937"/>
      <c r="F937"/>
      <c r="G937"/>
      <c r="H937"/>
    </row>
    <row r="938" spans="1:8" ht="16.5">
      <c r="A938"/>
      <c r="B938"/>
      <c r="C938"/>
      <c r="D938"/>
      <c r="E938"/>
      <c r="F938"/>
      <c r="G938"/>
      <c r="H938"/>
    </row>
    <row r="939" spans="1:8" ht="16.5">
      <c r="A939"/>
      <c r="B939"/>
      <c r="C939"/>
      <c r="D939"/>
      <c r="E939"/>
      <c r="F939"/>
      <c r="G939"/>
      <c r="H939"/>
    </row>
    <row r="940" spans="1:8" ht="16.5">
      <c r="A940"/>
      <c r="B940"/>
      <c r="C940"/>
      <c r="D940"/>
      <c r="E940"/>
      <c r="F940"/>
      <c r="G940"/>
      <c r="H940"/>
    </row>
    <row r="941" spans="1:8" ht="16.5">
      <c r="A941"/>
      <c r="B941"/>
      <c r="C941"/>
      <c r="D941"/>
      <c r="E941"/>
      <c r="F941"/>
      <c r="G941"/>
      <c r="H941"/>
    </row>
    <row r="942" spans="1:8" ht="16.5">
      <c r="A942"/>
      <c r="B942"/>
      <c r="C942"/>
      <c r="D942"/>
      <c r="E942"/>
      <c r="F942"/>
      <c r="G942"/>
      <c r="H942"/>
    </row>
    <row r="943" spans="1:8" ht="16.5">
      <c r="A943"/>
      <c r="B943"/>
      <c r="C943"/>
      <c r="D943"/>
      <c r="E943"/>
      <c r="F943"/>
      <c r="G943"/>
      <c r="H943"/>
    </row>
    <row r="944" spans="1:8" ht="16.5">
      <c r="A944"/>
      <c r="B944"/>
      <c r="C944"/>
      <c r="D944"/>
      <c r="E944"/>
      <c r="F944"/>
      <c r="G944"/>
      <c r="H944"/>
    </row>
    <row r="945" spans="1:8" ht="16.5">
      <c r="A945"/>
      <c r="B945"/>
      <c r="C945"/>
      <c r="D945"/>
      <c r="E945"/>
      <c r="F945"/>
      <c r="G945"/>
      <c r="H945"/>
    </row>
    <row r="946" spans="1:8" ht="16.5">
      <c r="A946"/>
      <c r="B946"/>
      <c r="C946"/>
      <c r="D946"/>
      <c r="E946"/>
      <c r="F946"/>
      <c r="G946"/>
      <c r="H946"/>
    </row>
    <row r="947" spans="1:8" ht="16.5">
      <c r="A947"/>
      <c r="B947"/>
      <c r="C947"/>
      <c r="D947"/>
      <c r="E947"/>
      <c r="F947"/>
      <c r="G947"/>
      <c r="H947"/>
    </row>
    <row r="948" spans="1:8" ht="16.5">
      <c r="A948"/>
      <c r="B948"/>
      <c r="C948"/>
      <c r="D948"/>
      <c r="E948"/>
      <c r="F948"/>
      <c r="G948"/>
      <c r="H948"/>
    </row>
    <row r="949" spans="1:8" ht="16.5">
      <c r="A949"/>
      <c r="B949"/>
      <c r="C949"/>
      <c r="D949"/>
      <c r="E949"/>
      <c r="F949"/>
      <c r="G949"/>
      <c r="H949"/>
    </row>
    <row r="950" spans="1:8" ht="16.5">
      <c r="A950"/>
      <c r="B950"/>
      <c r="C950"/>
      <c r="D950"/>
      <c r="E950"/>
      <c r="F950"/>
      <c r="G950"/>
      <c r="H950"/>
    </row>
    <row r="951" spans="1:8" ht="16.5">
      <c r="A951"/>
      <c r="B951"/>
      <c r="C951"/>
      <c r="D951"/>
      <c r="E951"/>
      <c r="F951"/>
      <c r="G951"/>
      <c r="H951"/>
    </row>
    <row r="952" spans="1:8" ht="16.5">
      <c r="A952"/>
      <c r="B952"/>
      <c r="C952"/>
      <c r="D952"/>
      <c r="E952"/>
      <c r="F952"/>
      <c r="G952"/>
      <c r="H952"/>
    </row>
    <row r="953" spans="1:8" ht="16.5">
      <c r="A953"/>
      <c r="B953"/>
      <c r="C953"/>
      <c r="D953"/>
      <c r="E953"/>
      <c r="F953"/>
      <c r="G953"/>
      <c r="H953"/>
    </row>
    <row r="954" spans="1:8" ht="16.5">
      <c r="A954"/>
      <c r="B954"/>
      <c r="C954"/>
      <c r="D954"/>
      <c r="E954"/>
      <c r="F954"/>
      <c r="G954"/>
      <c r="H954"/>
    </row>
    <row r="955" spans="1:8" ht="16.5">
      <c r="A955"/>
      <c r="B955"/>
      <c r="C955"/>
      <c r="D955"/>
      <c r="E955"/>
      <c r="F955"/>
      <c r="G955"/>
      <c r="H955"/>
    </row>
    <row r="956" spans="1:8" ht="16.5">
      <c r="A956"/>
      <c r="B956"/>
      <c r="C956"/>
      <c r="D956"/>
      <c r="E956"/>
      <c r="F956"/>
      <c r="G956"/>
      <c r="H956"/>
    </row>
    <row r="957" spans="1:8" ht="16.5">
      <c r="A957"/>
      <c r="B957"/>
      <c r="C957"/>
      <c r="D957"/>
      <c r="E957"/>
      <c r="F957"/>
      <c r="G957"/>
      <c r="H957"/>
    </row>
    <row r="958" spans="1:8" ht="16.5">
      <c r="A958"/>
      <c r="B958"/>
      <c r="C958"/>
      <c r="D958"/>
      <c r="E958"/>
      <c r="F958"/>
      <c r="G958"/>
      <c r="H958"/>
    </row>
    <row r="959" spans="1:8" ht="16.5">
      <c r="A959"/>
      <c r="B959"/>
      <c r="C959"/>
      <c r="D959"/>
      <c r="E959"/>
      <c r="F959"/>
      <c r="G959"/>
      <c r="H959"/>
    </row>
    <row r="960" spans="1:8" ht="16.5">
      <c r="A960"/>
      <c r="B960"/>
      <c r="C960"/>
      <c r="D960"/>
      <c r="E960"/>
      <c r="F960"/>
      <c r="G960"/>
      <c r="H960"/>
    </row>
    <row r="961" spans="1:8" ht="16.5">
      <c r="A961"/>
      <c r="B961"/>
      <c r="C961"/>
      <c r="D961"/>
      <c r="E961"/>
      <c r="F961"/>
      <c r="G961"/>
      <c r="H961"/>
    </row>
    <row r="962" spans="1:8" ht="16.5">
      <c r="A962"/>
      <c r="B962"/>
      <c r="C962"/>
      <c r="D962"/>
      <c r="E962"/>
      <c r="F962"/>
      <c r="G962"/>
      <c r="H962"/>
    </row>
    <row r="963" spans="1:8" ht="16.5">
      <c r="A963"/>
      <c r="B963"/>
      <c r="C963"/>
      <c r="D963"/>
      <c r="E963"/>
      <c r="F963"/>
      <c r="G963"/>
      <c r="H963"/>
    </row>
    <row r="964" spans="1:8" ht="16.5">
      <c r="A964"/>
      <c r="B964"/>
      <c r="C964"/>
      <c r="D964"/>
      <c r="E964"/>
      <c r="F964"/>
      <c r="G964"/>
      <c r="H964"/>
    </row>
    <row r="965" spans="1:8" ht="16.5">
      <c r="A965"/>
      <c r="B965"/>
      <c r="C965"/>
      <c r="D965"/>
      <c r="E965"/>
      <c r="F965"/>
      <c r="G965"/>
      <c r="H965"/>
    </row>
    <row r="966" spans="1:8" ht="16.5">
      <c r="A966"/>
      <c r="B966"/>
      <c r="C966"/>
      <c r="D966"/>
      <c r="E966"/>
      <c r="F966"/>
      <c r="G966"/>
      <c r="H966"/>
    </row>
    <row r="967" spans="1:8" ht="16.5">
      <c r="A967"/>
      <c r="B967"/>
      <c r="C967"/>
      <c r="D967"/>
      <c r="E967"/>
      <c r="F967"/>
      <c r="G967"/>
      <c r="H967"/>
    </row>
    <row r="968" spans="1:8" ht="16.5">
      <c r="A968"/>
      <c r="B968"/>
      <c r="C968"/>
      <c r="D968"/>
      <c r="E968"/>
      <c r="F968"/>
      <c r="G968"/>
      <c r="H968"/>
    </row>
    <row r="969" spans="1:8" ht="16.5">
      <c r="A969"/>
      <c r="B969"/>
      <c r="C969"/>
      <c r="D969"/>
      <c r="E969"/>
      <c r="F969"/>
      <c r="G969"/>
      <c r="H969"/>
    </row>
    <row r="970" spans="1:8" ht="16.5">
      <c r="A970"/>
      <c r="B970"/>
      <c r="C970"/>
      <c r="D970"/>
      <c r="E970"/>
      <c r="F970"/>
      <c r="G970"/>
      <c r="H970"/>
    </row>
    <row r="971" spans="1:8" ht="16.5">
      <c r="A971"/>
      <c r="B971"/>
      <c r="C971"/>
      <c r="D971"/>
      <c r="E971"/>
      <c r="F971"/>
      <c r="G971"/>
      <c r="H971"/>
    </row>
    <row r="972" spans="1:8" ht="16.5">
      <c r="A972"/>
      <c r="B972"/>
      <c r="C972"/>
      <c r="D972"/>
      <c r="E972"/>
      <c r="F972"/>
      <c r="G972"/>
      <c r="H972"/>
    </row>
    <row r="973" spans="1:8" ht="16.5">
      <c r="A973"/>
      <c r="B973"/>
      <c r="C973"/>
      <c r="D973"/>
      <c r="E973"/>
      <c r="F973"/>
      <c r="G973"/>
      <c r="H973"/>
    </row>
    <row r="974" spans="1:8" ht="16.5">
      <c r="A974"/>
      <c r="B974"/>
      <c r="C974"/>
      <c r="D974"/>
      <c r="E974"/>
      <c r="F974"/>
      <c r="G974"/>
      <c r="H974"/>
    </row>
    <row r="975" spans="1:8" ht="16.5">
      <c r="A975"/>
      <c r="B975"/>
      <c r="C975"/>
      <c r="D975"/>
      <c r="E975"/>
      <c r="F975"/>
      <c r="G975"/>
      <c r="H975"/>
    </row>
    <row r="976" spans="1:8" ht="16.5">
      <c r="A976"/>
      <c r="B976"/>
      <c r="C976"/>
      <c r="D976"/>
      <c r="E976"/>
      <c r="F976"/>
      <c r="G976"/>
      <c r="H976"/>
    </row>
    <row r="977" spans="1:8" ht="16.5">
      <c r="A977"/>
      <c r="B977"/>
      <c r="C977"/>
      <c r="D977"/>
      <c r="E977"/>
      <c r="F977"/>
      <c r="G977"/>
      <c r="H977"/>
    </row>
    <row r="978" spans="1:8" ht="16.5">
      <c r="A978"/>
      <c r="B978"/>
      <c r="C978"/>
      <c r="D978"/>
      <c r="E978"/>
      <c r="F978"/>
      <c r="G978"/>
      <c r="H978"/>
    </row>
    <row r="979" spans="1:8" ht="16.5">
      <c r="A979"/>
      <c r="B979"/>
      <c r="C979"/>
      <c r="D979"/>
      <c r="E979"/>
      <c r="F979"/>
      <c r="G979"/>
      <c r="H979"/>
    </row>
    <row r="980" spans="1:8" ht="16.5">
      <c r="A980"/>
      <c r="B980"/>
      <c r="C980"/>
      <c r="D980"/>
      <c r="E980"/>
      <c r="F980"/>
      <c r="G980"/>
      <c r="H980"/>
    </row>
    <row r="981" spans="1:8" ht="16.5">
      <c r="A981"/>
      <c r="B981"/>
      <c r="C981"/>
      <c r="D981"/>
      <c r="E981"/>
      <c r="F981"/>
      <c r="G981"/>
      <c r="H981"/>
    </row>
    <row r="982" spans="1:8" ht="16.5">
      <c r="A982"/>
      <c r="B982"/>
      <c r="C982"/>
      <c r="D982"/>
      <c r="E982"/>
      <c r="F982"/>
      <c r="G982"/>
      <c r="H982"/>
    </row>
    <row r="983" spans="1:8" ht="16.5">
      <c r="A983"/>
      <c r="B983"/>
      <c r="C983"/>
      <c r="D983"/>
      <c r="E983"/>
      <c r="F983"/>
      <c r="G983"/>
      <c r="H983"/>
    </row>
    <row r="984" spans="1:8" ht="16.5">
      <c r="A984"/>
      <c r="B984"/>
      <c r="C984"/>
      <c r="D984"/>
      <c r="E984"/>
      <c r="F984"/>
      <c r="G984"/>
      <c r="H984"/>
    </row>
    <row r="985" spans="1:8" ht="16.5">
      <c r="A985"/>
      <c r="B985"/>
      <c r="C985"/>
      <c r="D985"/>
      <c r="E985"/>
      <c r="F985"/>
      <c r="G985"/>
      <c r="H985"/>
    </row>
    <row r="986" spans="1:8" ht="16.5">
      <c r="A986"/>
      <c r="B986"/>
      <c r="C986"/>
      <c r="D986"/>
      <c r="E986"/>
      <c r="F986"/>
      <c r="G986"/>
      <c r="H986"/>
    </row>
    <row r="987" spans="1:8" ht="16.5">
      <c r="A987"/>
      <c r="B987"/>
      <c r="C987"/>
      <c r="D987"/>
      <c r="E987"/>
      <c r="F987"/>
      <c r="G987"/>
      <c r="H987"/>
    </row>
    <row r="988" spans="1:8" ht="16.5">
      <c r="A988"/>
      <c r="B988"/>
      <c r="C988"/>
      <c r="D988"/>
      <c r="E988"/>
      <c r="F988"/>
      <c r="G988"/>
      <c r="H988"/>
    </row>
    <row r="989" spans="1:8" ht="16.5">
      <c r="A989"/>
      <c r="B989"/>
      <c r="C989"/>
      <c r="D989"/>
      <c r="E989"/>
      <c r="F989"/>
      <c r="G989"/>
      <c r="H989"/>
    </row>
    <row r="990" spans="1:8" ht="16.5">
      <c r="A990"/>
      <c r="B990"/>
      <c r="C990"/>
      <c r="D990"/>
      <c r="E990"/>
      <c r="F990"/>
      <c r="G990"/>
      <c r="H990"/>
    </row>
    <row r="991" spans="1:8" ht="16.5">
      <c r="A991"/>
      <c r="B991"/>
      <c r="C991"/>
      <c r="D991"/>
      <c r="E991"/>
      <c r="F991"/>
      <c r="G991"/>
      <c r="H991"/>
    </row>
    <row r="992" spans="1:8" ht="16.5">
      <c r="A992"/>
      <c r="B992"/>
      <c r="C992"/>
      <c r="D992"/>
      <c r="E992"/>
      <c r="F992"/>
      <c r="G992"/>
      <c r="H992"/>
    </row>
    <row r="993" spans="1:8" ht="16.5">
      <c r="A993"/>
      <c r="B993"/>
      <c r="C993"/>
      <c r="D993"/>
      <c r="E993"/>
      <c r="F993"/>
      <c r="G993"/>
      <c r="H993"/>
    </row>
    <row r="994" spans="1:8" ht="16.5">
      <c r="A994"/>
      <c r="B994"/>
      <c r="C994"/>
      <c r="D994"/>
      <c r="E994"/>
      <c r="F994"/>
      <c r="G994"/>
      <c r="H994"/>
    </row>
    <row r="995" spans="1:8" ht="16.5">
      <c r="A995"/>
      <c r="B995"/>
      <c r="C995"/>
      <c r="D995"/>
      <c r="E995"/>
      <c r="F995"/>
      <c r="G995"/>
      <c r="H995"/>
    </row>
    <row r="996" spans="1:8" ht="16.5">
      <c r="A996"/>
      <c r="B996"/>
      <c r="C996"/>
      <c r="D996"/>
      <c r="E996"/>
      <c r="F996"/>
      <c r="G996"/>
      <c r="H996"/>
    </row>
    <row r="997" spans="1:8" ht="16.5">
      <c r="A997"/>
      <c r="B997"/>
      <c r="C997"/>
      <c r="D997"/>
      <c r="E997"/>
      <c r="F997"/>
      <c r="G997"/>
      <c r="H997"/>
    </row>
    <row r="998" spans="1:8" ht="16.5">
      <c r="A998"/>
      <c r="B998"/>
      <c r="C998"/>
      <c r="D998"/>
      <c r="E998"/>
      <c r="F998"/>
      <c r="G998"/>
      <c r="H998"/>
    </row>
    <row r="999" spans="1:8" ht="16.5">
      <c r="A999"/>
      <c r="B999"/>
      <c r="C999"/>
      <c r="D999"/>
      <c r="E999"/>
      <c r="F999"/>
      <c r="G999"/>
      <c r="H999"/>
    </row>
    <row r="1000" spans="1:8" ht="16.5">
      <c r="A1000"/>
      <c r="B1000"/>
      <c r="C1000"/>
      <c r="D1000"/>
      <c r="E1000"/>
      <c r="F1000"/>
      <c r="G1000"/>
      <c r="H1000"/>
    </row>
    <row r="1001" spans="1:8" ht="16.5">
      <c r="A1001"/>
      <c r="B1001"/>
      <c r="C1001"/>
      <c r="D1001"/>
      <c r="E1001"/>
      <c r="F1001"/>
      <c r="G1001"/>
      <c r="H1001"/>
    </row>
    <row r="1002" spans="1:8" ht="16.5">
      <c r="A1002"/>
      <c r="B1002"/>
      <c r="C1002"/>
      <c r="D1002"/>
      <c r="E1002"/>
      <c r="F1002"/>
      <c r="G1002"/>
      <c r="H1002"/>
    </row>
    <row r="1003" spans="1:8" ht="16.5">
      <c r="A1003"/>
      <c r="B1003"/>
      <c r="C1003"/>
      <c r="D1003"/>
      <c r="E1003"/>
      <c r="F1003"/>
      <c r="G1003"/>
      <c r="H1003"/>
    </row>
    <row r="1004" spans="1:8" ht="16.5">
      <c r="A1004"/>
      <c r="B1004"/>
      <c r="C1004"/>
      <c r="D1004"/>
      <c r="E1004"/>
      <c r="F1004"/>
      <c r="G1004"/>
      <c r="H1004"/>
    </row>
    <row r="1005" spans="1:8" ht="16.5">
      <c r="A1005"/>
      <c r="B1005"/>
      <c r="C1005"/>
      <c r="D1005"/>
      <c r="E1005"/>
      <c r="F1005"/>
      <c r="G1005"/>
      <c r="H1005"/>
    </row>
    <row r="1006" spans="1:8" ht="16.5">
      <c r="A1006"/>
      <c r="B1006"/>
      <c r="C1006"/>
      <c r="D1006"/>
      <c r="E1006"/>
      <c r="F1006"/>
      <c r="G1006"/>
      <c r="H1006"/>
    </row>
    <row r="1007" spans="1:8" ht="16.5">
      <c r="A1007"/>
      <c r="B1007"/>
      <c r="C1007"/>
      <c r="D1007"/>
      <c r="E1007"/>
      <c r="F1007"/>
      <c r="G1007"/>
      <c r="H1007"/>
    </row>
    <row r="1008" spans="1:8" ht="16.5">
      <c r="A1008"/>
      <c r="B1008"/>
      <c r="C1008"/>
      <c r="D1008"/>
      <c r="E1008"/>
      <c r="F1008"/>
      <c r="G1008"/>
      <c r="H1008"/>
    </row>
    <row r="1009" spans="1:8" ht="16.5">
      <c r="A1009"/>
      <c r="B1009"/>
      <c r="C1009"/>
      <c r="D1009"/>
      <c r="E1009"/>
      <c r="F1009"/>
      <c r="G1009"/>
      <c r="H1009"/>
    </row>
    <row r="1010" spans="1:8" ht="16.5">
      <c r="A1010"/>
      <c r="B1010"/>
      <c r="C1010"/>
      <c r="D1010"/>
      <c r="E1010"/>
      <c r="F1010"/>
      <c r="G1010"/>
      <c r="H1010"/>
    </row>
    <row r="1011" spans="1:8" ht="16.5">
      <c r="A1011"/>
      <c r="B1011"/>
      <c r="C1011"/>
      <c r="D1011"/>
      <c r="E1011"/>
      <c r="F1011"/>
      <c r="G1011"/>
      <c r="H1011"/>
    </row>
    <row r="1012" spans="1:8" ht="16.5">
      <c r="A1012"/>
      <c r="B1012"/>
      <c r="C1012"/>
      <c r="D1012"/>
      <c r="E1012"/>
      <c r="F1012"/>
      <c r="G1012"/>
      <c r="H1012"/>
    </row>
    <row r="1013" spans="1:8" ht="16.5">
      <c r="A1013"/>
      <c r="B1013"/>
      <c r="C1013"/>
      <c r="D1013"/>
      <c r="E1013"/>
      <c r="F1013"/>
      <c r="G1013"/>
      <c r="H1013"/>
    </row>
    <row r="1014" spans="1:8" ht="16.5">
      <c r="A1014"/>
      <c r="B1014"/>
      <c r="C1014"/>
      <c r="D1014"/>
      <c r="E1014"/>
      <c r="F1014"/>
      <c r="G1014"/>
      <c r="H1014"/>
    </row>
    <row r="1015" spans="1:8" ht="16.5">
      <c r="A1015"/>
      <c r="B1015"/>
      <c r="C1015"/>
      <c r="D1015"/>
      <c r="E1015"/>
      <c r="F1015"/>
      <c r="G1015"/>
      <c r="H1015"/>
    </row>
    <row r="1016" spans="1:8" ht="16.5">
      <c r="A1016"/>
      <c r="B1016"/>
      <c r="C1016"/>
      <c r="D1016"/>
      <c r="E1016"/>
      <c r="F1016"/>
      <c r="G1016"/>
      <c r="H1016"/>
    </row>
    <row r="1017" spans="1:8" ht="16.5">
      <c r="A1017"/>
      <c r="B1017"/>
      <c r="C1017"/>
      <c r="D1017"/>
      <c r="E1017"/>
      <c r="F1017"/>
      <c r="G1017"/>
      <c r="H1017"/>
    </row>
    <row r="1018" spans="1:8" ht="16.5">
      <c r="A1018"/>
      <c r="B1018"/>
      <c r="C1018"/>
      <c r="D1018"/>
      <c r="E1018"/>
      <c r="F1018"/>
      <c r="G1018"/>
      <c r="H1018"/>
    </row>
    <row r="1019" spans="1:8" ht="16.5">
      <c r="A1019"/>
      <c r="B1019"/>
      <c r="C1019"/>
      <c r="D1019"/>
      <c r="E1019"/>
      <c r="F1019"/>
      <c r="G1019"/>
      <c r="H1019"/>
    </row>
    <row r="1020" spans="1:8" ht="16.5">
      <c r="A1020"/>
      <c r="B1020"/>
      <c r="C1020"/>
      <c r="D1020"/>
      <c r="E1020"/>
      <c r="F1020"/>
      <c r="G1020"/>
      <c r="H1020"/>
    </row>
    <row r="1021" spans="1:8" ht="16.5">
      <c r="A1021"/>
      <c r="B1021"/>
      <c r="C1021"/>
      <c r="D1021"/>
      <c r="E1021"/>
      <c r="F1021"/>
      <c r="G1021"/>
      <c r="H1021"/>
    </row>
    <row r="1022" spans="1:8" ht="16.5">
      <c r="A1022"/>
      <c r="B1022"/>
      <c r="C1022"/>
      <c r="D1022"/>
      <c r="E1022"/>
      <c r="F1022"/>
      <c r="G1022"/>
      <c r="H1022"/>
    </row>
    <row r="1023" spans="1:8" ht="16.5">
      <c r="A1023"/>
      <c r="B1023"/>
      <c r="C1023"/>
      <c r="D1023"/>
      <c r="E1023"/>
      <c r="F1023"/>
      <c r="G1023"/>
      <c r="H1023"/>
    </row>
    <row r="1024" spans="1:8" ht="16.5">
      <c r="A1024"/>
      <c r="B1024"/>
      <c r="C1024"/>
      <c r="D1024"/>
      <c r="E1024"/>
      <c r="F1024"/>
      <c r="G1024"/>
      <c r="H1024"/>
    </row>
    <row r="1025" spans="1:8" ht="16.5">
      <c r="A1025"/>
      <c r="B1025"/>
      <c r="C1025"/>
      <c r="D1025"/>
      <c r="E1025"/>
      <c r="F1025"/>
      <c r="G1025"/>
      <c r="H1025"/>
    </row>
    <row r="1026" spans="1:8" ht="16.5">
      <c r="A1026"/>
      <c r="B1026"/>
      <c r="C1026"/>
      <c r="D1026"/>
      <c r="E1026"/>
      <c r="F1026"/>
      <c r="G1026"/>
      <c r="H1026"/>
    </row>
    <row r="1027" spans="1:8" ht="16.5">
      <c r="A1027"/>
      <c r="B1027"/>
      <c r="C1027"/>
      <c r="D1027"/>
      <c r="E1027"/>
      <c r="F1027"/>
      <c r="G1027"/>
      <c r="H1027"/>
    </row>
    <row r="1028" spans="1:8" ht="16.5">
      <c r="A1028"/>
      <c r="B1028"/>
      <c r="C1028"/>
      <c r="D1028"/>
      <c r="E1028"/>
      <c r="F1028"/>
      <c r="G1028"/>
      <c r="H1028"/>
    </row>
    <row r="1029" spans="1:8" ht="16.5">
      <c r="A1029"/>
      <c r="B1029"/>
      <c r="C1029"/>
      <c r="D1029"/>
      <c r="E1029"/>
      <c r="F1029"/>
      <c r="G1029"/>
      <c r="H1029"/>
    </row>
    <row r="1030" spans="1:8" ht="16.5">
      <c r="A1030"/>
      <c r="B1030"/>
      <c r="C1030"/>
      <c r="D1030"/>
      <c r="E1030"/>
      <c r="F1030"/>
      <c r="G1030"/>
      <c r="H1030"/>
    </row>
    <row r="1031" spans="1:8" ht="16.5">
      <c r="A1031"/>
      <c r="B1031"/>
      <c r="C1031"/>
      <c r="D1031"/>
      <c r="E1031"/>
      <c r="F1031"/>
      <c r="G1031"/>
      <c r="H1031"/>
    </row>
    <row r="1032" spans="1:8" ht="16.5">
      <c r="A1032"/>
      <c r="B1032"/>
      <c r="C1032"/>
      <c r="D1032"/>
      <c r="E1032"/>
      <c r="F1032"/>
      <c r="G1032"/>
      <c r="H1032"/>
    </row>
    <row r="1033" spans="1:8" ht="16.5">
      <c r="A1033"/>
      <c r="B1033"/>
      <c r="C1033"/>
      <c r="D1033"/>
      <c r="E1033"/>
      <c r="F1033"/>
      <c r="G1033"/>
      <c r="H1033"/>
    </row>
    <row r="1034" spans="1:8" ht="16.5">
      <c r="A1034"/>
      <c r="B1034"/>
      <c r="C1034"/>
      <c r="D1034"/>
      <c r="E1034"/>
      <c r="F1034"/>
      <c r="G1034"/>
      <c r="H1034"/>
    </row>
    <row r="1035" spans="1:8" ht="16.5">
      <c r="A1035"/>
      <c r="B1035"/>
      <c r="C1035"/>
      <c r="D1035"/>
      <c r="E1035"/>
      <c r="F1035"/>
      <c r="G1035"/>
      <c r="H1035"/>
    </row>
    <row r="1036" spans="1:8" ht="16.5">
      <c r="A1036"/>
      <c r="B1036"/>
      <c r="C1036"/>
      <c r="D1036"/>
      <c r="E1036"/>
      <c r="F1036"/>
      <c r="G1036"/>
      <c r="H1036"/>
    </row>
    <row r="1037" spans="1:8" ht="16.5">
      <c r="A1037"/>
      <c r="B1037"/>
      <c r="C1037"/>
      <c r="D1037"/>
      <c r="E1037"/>
      <c r="F1037"/>
      <c r="G1037"/>
      <c r="H1037"/>
    </row>
    <row r="1038" spans="1:8" ht="16.5">
      <c r="A1038"/>
      <c r="B1038"/>
      <c r="C1038"/>
      <c r="D1038"/>
      <c r="E1038"/>
      <c r="F1038"/>
      <c r="G1038"/>
      <c r="H1038"/>
    </row>
    <row r="1039" spans="1:8" ht="16.5">
      <c r="A1039"/>
      <c r="B1039"/>
      <c r="C1039"/>
      <c r="D1039"/>
      <c r="E1039"/>
      <c r="F1039"/>
      <c r="G1039"/>
      <c r="H1039"/>
    </row>
    <row r="1040" spans="1:8" ht="16.5">
      <c r="A1040"/>
      <c r="B1040"/>
      <c r="C1040"/>
      <c r="D1040"/>
      <c r="E1040"/>
      <c r="F1040"/>
      <c r="G1040"/>
      <c r="H1040"/>
    </row>
    <row r="1041" spans="1:8" ht="16.5">
      <c r="A1041"/>
      <c r="B1041"/>
      <c r="C1041"/>
      <c r="D1041"/>
      <c r="E1041"/>
      <c r="F1041"/>
      <c r="G1041"/>
      <c r="H1041"/>
    </row>
    <row r="1042" spans="1:8" ht="16.5">
      <c r="A1042"/>
      <c r="B1042"/>
      <c r="C1042"/>
      <c r="D1042"/>
      <c r="E1042"/>
      <c r="F1042"/>
      <c r="G1042"/>
      <c r="H1042"/>
    </row>
    <row r="1043" spans="1:8" ht="16.5">
      <c r="A1043"/>
      <c r="B1043"/>
      <c r="C1043"/>
      <c r="D1043"/>
      <c r="E1043"/>
      <c r="F1043"/>
      <c r="G1043"/>
      <c r="H1043"/>
    </row>
    <row r="1044" spans="1:8" ht="16.5">
      <c r="A1044"/>
      <c r="B1044"/>
      <c r="C1044"/>
      <c r="D1044"/>
      <c r="E1044"/>
      <c r="F1044"/>
      <c r="G1044"/>
      <c r="H1044"/>
    </row>
    <row r="1045" spans="1:8" ht="16.5">
      <c r="A1045"/>
      <c r="B1045"/>
      <c r="C1045"/>
      <c r="D1045"/>
      <c r="E1045"/>
      <c r="F1045"/>
      <c r="G1045"/>
      <c r="H1045"/>
    </row>
    <row r="1046" spans="1:8" ht="16.5">
      <c r="A1046"/>
      <c r="B1046"/>
      <c r="C1046"/>
      <c r="D1046"/>
      <c r="E1046"/>
      <c r="F1046"/>
      <c r="G1046"/>
      <c r="H1046"/>
    </row>
    <row r="1047" spans="1:8" ht="16.5">
      <c r="A1047"/>
      <c r="B1047"/>
      <c r="C1047"/>
      <c r="D1047"/>
      <c r="E1047"/>
      <c r="F1047"/>
      <c r="G1047"/>
      <c r="H1047"/>
    </row>
    <row r="1048" spans="1:8" ht="16.5">
      <c r="A1048"/>
      <c r="B1048"/>
      <c r="C1048"/>
      <c r="D1048"/>
      <c r="E1048"/>
      <c r="F1048"/>
      <c r="G1048"/>
      <c r="H1048"/>
    </row>
    <row r="1049" spans="1:8" ht="16.5">
      <c r="A1049"/>
      <c r="B1049"/>
      <c r="C1049"/>
      <c r="D1049"/>
      <c r="E1049"/>
      <c r="F1049"/>
      <c r="G1049"/>
      <c r="H1049"/>
    </row>
    <row r="1050" spans="1:8" ht="16.5">
      <c r="A1050"/>
      <c r="B1050"/>
      <c r="C1050"/>
      <c r="D1050"/>
      <c r="E1050"/>
      <c r="F1050"/>
      <c r="G1050"/>
      <c r="H1050"/>
    </row>
    <row r="1051" spans="1:8" ht="16.5">
      <c r="A1051"/>
      <c r="B1051"/>
      <c r="C1051"/>
      <c r="D1051"/>
      <c r="E1051"/>
      <c r="F1051"/>
      <c r="G1051"/>
      <c r="H1051"/>
    </row>
    <row r="1052" spans="1:8" ht="16.5">
      <c r="A1052"/>
      <c r="B1052"/>
      <c r="C1052"/>
      <c r="D1052"/>
      <c r="E1052"/>
      <c r="F1052"/>
      <c r="G1052"/>
      <c r="H1052"/>
    </row>
    <row r="1053" spans="1:8" ht="16.5">
      <c r="A1053"/>
      <c r="B1053"/>
      <c r="C1053"/>
      <c r="D1053"/>
      <c r="E1053"/>
      <c r="F1053"/>
      <c r="G1053"/>
      <c r="H1053"/>
    </row>
    <row r="1054" spans="1:8" ht="16.5">
      <c r="A1054"/>
      <c r="B1054"/>
      <c r="C1054"/>
      <c r="D1054"/>
      <c r="E1054"/>
      <c r="F1054"/>
      <c r="G1054"/>
      <c r="H1054"/>
    </row>
    <row r="1055" spans="1:8" ht="16.5">
      <c r="A1055"/>
      <c r="B1055"/>
      <c r="C1055"/>
      <c r="D1055"/>
      <c r="E1055"/>
      <c r="F1055"/>
      <c r="G1055"/>
      <c r="H1055"/>
    </row>
    <row r="1056" spans="1:8" ht="16.5">
      <c r="A1056"/>
      <c r="B1056"/>
      <c r="C1056"/>
      <c r="D1056"/>
      <c r="E1056"/>
      <c r="F1056"/>
      <c r="G1056"/>
      <c r="H1056"/>
    </row>
    <row r="1057" spans="1:8" ht="16.5">
      <c r="A1057"/>
      <c r="B1057"/>
      <c r="C1057"/>
      <c r="D1057"/>
      <c r="E1057"/>
      <c r="F1057"/>
      <c r="G1057"/>
      <c r="H1057"/>
    </row>
    <row r="1058" spans="1:8" ht="16.5">
      <c r="A1058"/>
      <c r="B1058"/>
      <c r="C1058"/>
      <c r="D1058"/>
      <c r="E1058"/>
      <c r="F1058"/>
      <c r="G1058"/>
      <c r="H1058"/>
    </row>
    <row r="1059" spans="1:8" ht="16.5">
      <c r="A1059"/>
      <c r="B1059"/>
      <c r="C1059"/>
      <c r="D1059"/>
      <c r="E1059"/>
      <c r="F1059"/>
      <c r="G1059"/>
      <c r="H1059"/>
    </row>
    <row r="1060" spans="1:8" ht="16.5">
      <c r="A1060"/>
      <c r="B1060"/>
      <c r="C1060"/>
      <c r="D1060"/>
      <c r="E1060"/>
      <c r="F1060"/>
      <c r="G1060"/>
      <c r="H1060"/>
    </row>
    <row r="1061" spans="1:8" ht="16.5">
      <c r="A1061"/>
      <c r="B1061"/>
      <c r="C1061"/>
      <c r="D1061"/>
      <c r="E1061"/>
      <c r="F1061"/>
      <c r="G1061"/>
      <c r="H1061"/>
    </row>
    <row r="1062" spans="1:8" ht="16.5">
      <c r="A1062"/>
      <c r="B1062"/>
      <c r="C1062"/>
      <c r="D1062"/>
      <c r="E1062"/>
      <c r="F1062"/>
      <c r="G1062"/>
      <c r="H1062"/>
    </row>
    <row r="1063" spans="1:8" ht="16.5">
      <c r="A1063"/>
      <c r="B1063"/>
      <c r="C1063"/>
      <c r="D1063"/>
      <c r="E1063"/>
      <c r="F1063"/>
      <c r="G1063"/>
      <c r="H1063"/>
    </row>
    <row r="1064" spans="1:8" ht="16.5">
      <c r="A1064"/>
      <c r="B1064"/>
      <c r="C1064"/>
      <c r="D1064"/>
      <c r="E1064"/>
      <c r="F1064"/>
      <c r="G1064"/>
      <c r="H1064"/>
    </row>
    <row r="1065" spans="1:8" ht="16.5">
      <c r="A1065"/>
      <c r="B1065"/>
      <c r="C1065"/>
      <c r="D1065"/>
      <c r="E1065"/>
      <c r="F1065"/>
      <c r="G1065"/>
      <c r="H1065"/>
    </row>
    <row r="1066" spans="1:8" ht="16.5">
      <c r="A1066"/>
      <c r="B1066"/>
      <c r="C1066"/>
      <c r="D1066"/>
      <c r="E1066"/>
      <c r="F1066"/>
      <c r="G1066"/>
      <c r="H1066"/>
    </row>
    <row r="1067" spans="1:8" ht="16.5">
      <c r="A1067"/>
      <c r="B1067"/>
      <c r="C1067"/>
      <c r="D1067"/>
      <c r="E1067"/>
      <c r="F1067"/>
      <c r="G1067"/>
      <c r="H1067"/>
    </row>
    <row r="1068" spans="1:8" ht="16.5">
      <c r="A1068"/>
      <c r="B1068"/>
      <c r="C1068"/>
      <c r="D1068"/>
      <c r="E1068"/>
      <c r="F1068"/>
      <c r="G1068"/>
      <c r="H1068"/>
    </row>
    <row r="1069" spans="1:8" ht="16.5">
      <c r="A1069"/>
      <c r="B1069"/>
      <c r="C1069"/>
      <c r="D1069"/>
      <c r="E1069"/>
      <c r="F1069"/>
      <c r="G1069"/>
      <c r="H1069"/>
    </row>
    <row r="1070" spans="1:8" ht="16.5">
      <c r="A1070"/>
      <c r="B1070"/>
      <c r="C1070"/>
      <c r="D1070"/>
      <c r="E1070"/>
      <c r="F1070"/>
      <c r="G1070"/>
      <c r="H1070"/>
    </row>
    <row r="1071" spans="1:8" ht="16.5">
      <c r="A1071"/>
      <c r="B1071"/>
      <c r="C1071"/>
      <c r="D1071"/>
      <c r="E1071"/>
      <c r="F1071"/>
      <c r="G1071"/>
      <c r="H1071"/>
    </row>
    <row r="1072" spans="1:8" ht="16.5">
      <c r="A1072"/>
      <c r="B1072"/>
      <c r="C1072"/>
      <c r="D1072"/>
      <c r="E1072"/>
      <c r="F1072"/>
      <c r="G1072"/>
      <c r="H1072"/>
    </row>
    <row r="1073" spans="1:8" ht="16.5">
      <c r="A1073"/>
      <c r="B1073"/>
      <c r="C1073"/>
      <c r="D1073"/>
      <c r="E1073"/>
      <c r="F1073"/>
      <c r="G1073"/>
      <c r="H1073"/>
    </row>
    <row r="1074" spans="1:8" ht="16.5">
      <c r="A1074"/>
      <c r="B1074"/>
      <c r="C1074"/>
      <c r="D1074"/>
      <c r="E1074"/>
      <c r="F1074"/>
      <c r="G1074"/>
      <c r="H1074"/>
    </row>
    <row r="1075" spans="1:8" ht="16.5">
      <c r="A1075"/>
      <c r="B1075"/>
      <c r="C1075"/>
      <c r="D1075"/>
      <c r="E1075"/>
      <c r="F1075"/>
      <c r="G1075"/>
      <c r="H1075"/>
    </row>
    <row r="1076" spans="1:8" ht="16.5">
      <c r="A1076"/>
      <c r="B1076"/>
      <c r="C1076"/>
      <c r="D1076"/>
      <c r="E1076"/>
      <c r="F1076"/>
      <c r="G1076"/>
      <c r="H1076"/>
    </row>
    <row r="1077" spans="1:8" ht="16.5">
      <c r="A1077"/>
      <c r="B1077"/>
      <c r="C1077"/>
      <c r="D1077"/>
      <c r="E1077"/>
      <c r="F1077"/>
      <c r="G1077"/>
      <c r="H1077"/>
    </row>
    <row r="1078" spans="1:8" ht="16.5">
      <c r="A1078"/>
      <c r="B1078"/>
      <c r="C1078"/>
      <c r="D1078"/>
      <c r="E1078"/>
      <c r="F1078"/>
      <c r="G1078"/>
      <c r="H1078"/>
    </row>
    <row r="1079" spans="1:8" ht="16.5">
      <c r="A1079"/>
      <c r="B1079"/>
      <c r="C1079"/>
      <c r="D1079"/>
      <c r="E1079"/>
      <c r="F1079"/>
      <c r="G1079"/>
      <c r="H1079"/>
    </row>
    <row r="1080" spans="1:8" ht="16.5">
      <c r="A1080"/>
      <c r="B1080"/>
      <c r="C1080"/>
      <c r="D1080"/>
      <c r="E1080"/>
      <c r="F1080"/>
      <c r="G1080"/>
      <c r="H1080"/>
    </row>
    <row r="1081" spans="1:8" ht="16.5">
      <c r="A1081"/>
      <c r="B1081"/>
      <c r="C1081"/>
      <c r="D1081"/>
      <c r="E1081"/>
      <c r="F1081"/>
      <c r="G1081"/>
      <c r="H1081"/>
    </row>
    <row r="1082" spans="1:8" ht="16.5">
      <c r="A1082"/>
      <c r="B1082"/>
      <c r="C1082"/>
      <c r="D1082"/>
      <c r="E1082"/>
      <c r="F1082"/>
      <c r="G1082"/>
      <c r="H1082"/>
    </row>
    <row r="1083" spans="1:8" ht="16.5">
      <c r="A1083"/>
      <c r="B1083"/>
      <c r="C1083"/>
      <c r="D1083"/>
      <c r="E1083"/>
      <c r="F1083"/>
      <c r="G1083"/>
      <c r="H1083"/>
    </row>
    <row r="1084" spans="1:8" ht="16.5">
      <c r="A1084"/>
      <c r="B1084"/>
      <c r="C1084"/>
      <c r="D1084"/>
      <c r="E1084"/>
      <c r="F1084"/>
      <c r="G1084"/>
      <c r="H1084"/>
    </row>
  </sheetData>
  <phoneticPr fontId="3" type="noConversion"/>
  <printOptions horizontalCentered="1"/>
  <pageMargins left="0" right="0" top="0.39370078740157483" bottom="0.39370078740157483" header="0" footer="0"/>
  <pageSetup paperSize="9" scale="62" orientation="portrait" r:id="rId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C000"/>
  </sheetPr>
  <dimension ref="A1:AM859"/>
  <sheetViews>
    <sheetView zoomScale="80" zoomScaleNormal="80" workbookViewId="0">
      <pane xSplit="20" ySplit="2" topLeftCell="U845" activePane="bottomRight" state="frozen"/>
      <selection pane="topRight" activeCell="K1" sqref="K1"/>
      <selection pane="bottomLeft" activeCell="A3" sqref="A3"/>
      <selection pane="bottomRight" activeCell="M866" sqref="M866"/>
    </sheetView>
  </sheetViews>
  <sheetFormatPr defaultColWidth="7.25" defaultRowHeight="13.5"/>
  <cols>
    <col min="1" max="1" width="7.625" style="11" customWidth="1"/>
    <col min="2" max="2" width="20.25" style="11" customWidth="1"/>
    <col min="3" max="5" width="7.625" style="11" customWidth="1"/>
    <col min="6" max="6" width="7.625" style="274" customWidth="1"/>
    <col min="7" max="10" width="7.625" style="11" customWidth="1"/>
    <col min="11" max="11" width="9.875" style="18" customWidth="1"/>
    <col min="12" max="12" width="7.625" style="75" customWidth="1"/>
    <col min="13" max="14" width="7.625" style="274" customWidth="1"/>
    <col min="15" max="15" width="7.625" style="11" customWidth="1"/>
    <col min="16" max="19" width="7.25" style="11"/>
    <col min="20" max="22" width="7.25" style="8"/>
    <col min="23" max="23" width="42.5" style="8" bestFit="1" customWidth="1"/>
    <col min="24" max="24" width="7.25" style="8"/>
    <col min="25" max="25" width="7.25" style="9"/>
    <col min="26" max="26" width="7.25" style="8"/>
    <col min="27" max="30" width="7.25" style="10"/>
    <col min="31" max="16384" width="7.25" style="8"/>
  </cols>
  <sheetData>
    <row r="1" spans="1:38" s="20" customFormat="1" ht="54">
      <c r="A1" s="19" t="s">
        <v>9</v>
      </c>
      <c r="B1" s="19" t="s">
        <v>10</v>
      </c>
      <c r="C1" s="148" t="s">
        <v>884</v>
      </c>
      <c r="D1" s="148" t="s">
        <v>885</v>
      </c>
      <c r="E1" s="19" t="s">
        <v>63</v>
      </c>
      <c r="F1" s="275" t="s">
        <v>1128</v>
      </c>
      <c r="G1" s="19" t="s">
        <v>7</v>
      </c>
      <c r="H1" s="19" t="s">
        <v>8</v>
      </c>
      <c r="I1" s="148" t="s">
        <v>887</v>
      </c>
      <c r="J1" s="148" t="s">
        <v>888</v>
      </c>
      <c r="K1" s="77" t="s">
        <v>798</v>
      </c>
      <c r="L1" s="78" t="s">
        <v>859</v>
      </c>
      <c r="M1" s="272" t="s">
        <v>1126</v>
      </c>
      <c r="N1" s="273" t="s">
        <v>1213</v>
      </c>
      <c r="O1" s="19" t="s">
        <v>778</v>
      </c>
      <c r="P1" s="19" t="s">
        <v>29</v>
      </c>
      <c r="Q1" s="19" t="s">
        <v>898</v>
      </c>
      <c r="R1" s="19" t="s">
        <v>899</v>
      </c>
      <c r="S1" s="19" t="s">
        <v>1090</v>
      </c>
      <c r="T1" s="1" t="s">
        <v>11</v>
      </c>
      <c r="U1" s="1" t="s">
        <v>12</v>
      </c>
      <c r="V1" s="1" t="s">
        <v>45</v>
      </c>
      <c r="W1" s="1" t="s">
        <v>13</v>
      </c>
      <c r="X1" s="1" t="s">
        <v>904</v>
      </c>
      <c r="Y1" s="2" t="s">
        <v>14</v>
      </c>
      <c r="Z1" s="1" t="s">
        <v>15</v>
      </c>
      <c r="AA1" s="3" t="s">
        <v>16</v>
      </c>
      <c r="AB1" s="3" t="s">
        <v>17</v>
      </c>
      <c r="AC1" s="3" t="s">
        <v>18</v>
      </c>
      <c r="AD1" s="3" t="s">
        <v>19</v>
      </c>
      <c r="AE1" s="4" t="s">
        <v>20</v>
      </c>
      <c r="AF1" s="5" t="s">
        <v>21</v>
      </c>
      <c r="AG1" s="6" t="s">
        <v>22</v>
      </c>
      <c r="AH1" s="6" t="s">
        <v>1216</v>
      </c>
      <c r="AI1" s="6" t="s">
        <v>1215</v>
      </c>
      <c r="AJ1" s="6" t="s">
        <v>23</v>
      </c>
    </row>
    <row r="2" spans="1:38">
      <c r="A2" s="7">
        <f t="shared" ref="A2:A65" si="0">IF(B2="",0,1/COUNTIF(B:B,B2))</f>
        <v>1</v>
      </c>
      <c r="B2" s="7" t="str">
        <f t="shared" ref="B2:B19" si="1">IF(AA2="","",W2)</f>
        <v>14FW SMB_01_FLAT_GR_N</v>
      </c>
      <c r="C2" s="7">
        <f t="shared" ref="C2:C65" si="2">IF(D2="",0,1/COUNTIF(D:D,D2))</f>
        <v>1</v>
      </c>
      <c r="D2" s="7" t="str">
        <f>IF(AA2="","",Z2&amp;W2)</f>
        <v>QF14FW SMB_01_FLAT_GR_N</v>
      </c>
      <c r="E2" s="12" t="str">
        <f t="shared" ref="E2:E47" si="3">IF(YEAR(AA2)&lt;10,0&amp;YEAR(AA2),YEAR(AA2))&amp;IF(MONTH(AA2)&lt;10,0&amp;MONTH(AA2),MONTH(AA2))</f>
        <v>201401</v>
      </c>
      <c r="F2" s="347" t="str">
        <f>VLOOKUP($AA2,[3]주!$A:$F,6,FALSE)</f>
        <v>1월 4주</v>
      </c>
      <c r="G2" s="7">
        <f t="shared" ref="G2:G65" si="4">IF(H2="",0,1/COUNTIF(H:H,H2))</f>
        <v>1</v>
      </c>
      <c r="H2" s="7" t="str">
        <f>IF(AD2="","",W2)</f>
        <v>14FW SMB_01_FLAT_GR_N</v>
      </c>
      <c r="I2" s="7">
        <f t="shared" ref="I2:I65" si="5">IF(J2="",0,1/COUNTIF(J:J,J2))</f>
        <v>1</v>
      </c>
      <c r="J2" s="7" t="str">
        <f>IF(AD2="","",Z2&amp;W2)</f>
        <v>QF14FW SMB_01_FLAT_GR_N</v>
      </c>
      <c r="K2" s="17">
        <f>IF(AD2="",AC2,AD2)</f>
        <v>41711</v>
      </c>
      <c r="L2" s="12" t="str">
        <f>IF(YEAR(K2)&lt;10,0&amp;YEAR(K2),YEAR(K2))&amp;IF(MONTH(K2)&lt;10,0&amp;MONTH(K2),MONTH(K2))</f>
        <v>201403</v>
      </c>
      <c r="M2" s="347" t="str">
        <f>VLOOKUP($K2,[3]주!$A:$F,6,FALSE)</f>
        <v>3월 2주</v>
      </c>
      <c r="N2" s="273" t="str">
        <f>IF(VLOOKUP($Z2,생산업체!$A:$C,2,FALSE)=1,"해외","국내")</f>
        <v>해외</v>
      </c>
      <c r="O2" s="12" t="str">
        <f>IF(VLOOKUP($U2,CODE!$K:$P,CODE!P$1,FALSE)="모자",T2,T2&amp;"-"&amp;VLOOKUP($U2,CODE!$K:$P,CODE!P$1,FALSE))</f>
        <v>SMB</v>
      </c>
      <c r="P2" s="13" t="s">
        <v>47</v>
      </c>
      <c r="Q2" s="13"/>
      <c r="R2" s="13">
        <v>1</v>
      </c>
      <c r="S2" s="13"/>
      <c r="T2" s="14" t="s">
        <v>47</v>
      </c>
      <c r="U2" s="14" t="s">
        <v>50</v>
      </c>
      <c r="V2" s="14" t="s">
        <v>43</v>
      </c>
      <c r="W2" s="14" t="s">
        <v>2160</v>
      </c>
      <c r="X2" s="14" t="s">
        <v>110</v>
      </c>
      <c r="Y2" s="15">
        <v>1</v>
      </c>
      <c r="Z2" s="14" t="s">
        <v>792</v>
      </c>
      <c r="AA2" s="16">
        <v>41662</v>
      </c>
      <c r="AB2" s="16">
        <v>41690</v>
      </c>
      <c r="AC2" s="16">
        <v>41719</v>
      </c>
      <c r="AD2" s="16">
        <v>41711</v>
      </c>
      <c r="AE2" s="14">
        <v>2.7</v>
      </c>
      <c r="AF2" s="14"/>
      <c r="AG2" s="14"/>
      <c r="AH2" s="14">
        <v>2</v>
      </c>
      <c r="AI2" s="14">
        <v>2</v>
      </c>
      <c r="AJ2" s="14"/>
      <c r="AK2" s="8" t="s">
        <v>1394</v>
      </c>
    </row>
    <row r="3" spans="1:38">
      <c r="A3" s="7">
        <f t="shared" si="0"/>
        <v>1</v>
      </c>
      <c r="B3" s="7" t="str">
        <f t="shared" si="1"/>
        <v>14FW SMB_01_FLAT_NY_N</v>
      </c>
      <c r="C3" s="7">
        <f t="shared" si="2"/>
        <v>1</v>
      </c>
      <c r="D3" s="7" t="str">
        <f t="shared" ref="D3:D48" si="6">IF(AA3="","",Z3&amp;W3)</f>
        <v>동일모자14FW SMB_01_FLAT_NY_N</v>
      </c>
      <c r="E3" s="12" t="str">
        <f t="shared" si="3"/>
        <v>201401</v>
      </c>
      <c r="F3" s="347" t="str">
        <f>VLOOKUP($AA3,[3]주!$A:$F,6,FALSE)</f>
        <v>1월 4주</v>
      </c>
      <c r="G3" s="7">
        <f t="shared" si="4"/>
        <v>1</v>
      </c>
      <c r="H3" s="7" t="str">
        <f t="shared" ref="H3:H47" si="7">IF(AD3="","",W3)</f>
        <v>14FW SMB_01_FLAT_NY_N</v>
      </c>
      <c r="I3" s="7">
        <f t="shared" si="5"/>
        <v>1</v>
      </c>
      <c r="J3" s="7" t="str">
        <f t="shared" ref="J3:J48" si="8">IF(AD3="","",Z3&amp;W3)</f>
        <v>동일모자14FW SMB_01_FLAT_NY_N</v>
      </c>
      <c r="K3" s="17">
        <f t="shared" ref="K3:K47" si="9">IF(AD3="",AC3,AD3)</f>
        <v>41716</v>
      </c>
      <c r="L3" s="12" t="str">
        <f t="shared" ref="L3:L47" si="10">IF(YEAR(K3)&lt;10,0&amp;YEAR(K3),YEAR(K3))&amp;IF(MONTH(K3)&lt;10,0&amp;MONTH(K3),MONTH(K3))</f>
        <v>201403</v>
      </c>
      <c r="M3" s="347" t="str">
        <f>VLOOKUP($K3,[3]주!$A:$F,6,FALSE)</f>
        <v>3월 2주</v>
      </c>
      <c r="N3" s="273" t="str">
        <f>IF(VLOOKUP($Z3,생산업체!$A:$C,2,FALSE)=1,"해외","국내")</f>
        <v>해외</v>
      </c>
      <c r="O3" s="12" t="str">
        <f>IF(VLOOKUP($U3,CODE!$K:$P,CODE!P$1,FALSE)="모자",T3,T3&amp;"-"&amp;VLOOKUP($U3,CODE!$K:$P,CODE!P$1,FALSE))</f>
        <v>SMB</v>
      </c>
      <c r="P3" s="13" t="s">
        <v>47</v>
      </c>
      <c r="Q3" s="13"/>
      <c r="R3" s="13">
        <v>2</v>
      </c>
      <c r="S3" s="13"/>
      <c r="T3" s="14" t="s">
        <v>47</v>
      </c>
      <c r="U3" s="14" t="s">
        <v>50</v>
      </c>
      <c r="V3" s="14" t="s">
        <v>43</v>
      </c>
      <c r="W3" s="14" t="s">
        <v>2161</v>
      </c>
      <c r="X3" s="14" t="s">
        <v>110</v>
      </c>
      <c r="Y3" s="15">
        <v>1</v>
      </c>
      <c r="Z3" s="14" t="s">
        <v>44</v>
      </c>
      <c r="AA3" s="16">
        <v>41663</v>
      </c>
      <c r="AB3" s="16">
        <v>41691</v>
      </c>
      <c r="AC3" s="16">
        <v>41716</v>
      </c>
      <c r="AD3" s="16">
        <v>41716</v>
      </c>
      <c r="AE3" s="14">
        <v>3.85</v>
      </c>
      <c r="AF3" s="14"/>
      <c r="AG3" s="14"/>
      <c r="AH3" s="14">
        <v>3</v>
      </c>
      <c r="AI3" s="14">
        <v>3</v>
      </c>
      <c r="AJ3" s="14"/>
      <c r="AK3" s="8" t="s">
        <v>1394</v>
      </c>
    </row>
    <row r="4" spans="1:38">
      <c r="A4" s="7">
        <f t="shared" si="0"/>
        <v>1</v>
      </c>
      <c r="B4" s="7" t="str">
        <f t="shared" si="1"/>
        <v>14FW SMB_02_FLAT_BL_N</v>
      </c>
      <c r="C4" s="7">
        <f t="shared" si="2"/>
        <v>1</v>
      </c>
      <c r="D4" s="7" t="str">
        <f t="shared" si="6"/>
        <v>QF14FW SMB_02_FLAT_BL_N</v>
      </c>
      <c r="E4" s="12" t="str">
        <f t="shared" si="3"/>
        <v>201401</v>
      </c>
      <c r="F4" s="347" t="str">
        <f>VLOOKUP($AA4,[3]주!$A:$F,6,FALSE)</f>
        <v>1월 4주</v>
      </c>
      <c r="G4" s="7">
        <f t="shared" si="4"/>
        <v>1</v>
      </c>
      <c r="H4" s="7" t="str">
        <f t="shared" si="7"/>
        <v>14FW SMB_02_FLAT_BL_N</v>
      </c>
      <c r="I4" s="7">
        <f t="shared" si="5"/>
        <v>1</v>
      </c>
      <c r="J4" s="7" t="str">
        <f t="shared" si="8"/>
        <v>QF14FW SMB_02_FLAT_BL_N</v>
      </c>
      <c r="K4" s="17">
        <f t="shared" si="9"/>
        <v>41717</v>
      </c>
      <c r="L4" s="12" t="str">
        <f t="shared" si="10"/>
        <v>201403</v>
      </c>
      <c r="M4" s="347" t="str">
        <f>VLOOKUP($K4,[3]주!$A:$F,6,FALSE)</f>
        <v>3월 2주</v>
      </c>
      <c r="N4" s="273" t="str">
        <f>IF(VLOOKUP($Z4,생산업체!$A:$C,2,FALSE)=1,"해외","국내")</f>
        <v>해외</v>
      </c>
      <c r="O4" s="12" t="str">
        <f>IF(VLOOKUP($U4,CODE!$K:$P,CODE!P$1,FALSE)="모자",T4,T4&amp;"-"&amp;VLOOKUP($U4,CODE!$K:$P,CODE!P$1,FALSE))</f>
        <v>SMB</v>
      </c>
      <c r="P4" s="13" t="s">
        <v>47</v>
      </c>
      <c r="Q4" s="13"/>
      <c r="R4" s="13">
        <v>3</v>
      </c>
      <c r="S4" s="13"/>
      <c r="T4" s="14" t="s">
        <v>47</v>
      </c>
      <c r="U4" s="14" t="s">
        <v>50</v>
      </c>
      <c r="V4" s="14" t="s">
        <v>43</v>
      </c>
      <c r="W4" s="14" t="s">
        <v>1298</v>
      </c>
      <c r="X4" s="14" t="s">
        <v>110</v>
      </c>
      <c r="Y4" s="15">
        <v>1</v>
      </c>
      <c r="Z4" s="14" t="s">
        <v>792</v>
      </c>
      <c r="AA4" s="16">
        <v>41662</v>
      </c>
      <c r="AB4" s="16">
        <v>41690</v>
      </c>
      <c r="AC4" s="16">
        <v>41719</v>
      </c>
      <c r="AD4" s="16">
        <v>41717</v>
      </c>
      <c r="AE4" s="14">
        <v>3.4</v>
      </c>
      <c r="AF4" s="14"/>
      <c r="AG4" s="14"/>
      <c r="AH4" s="14">
        <v>3</v>
      </c>
      <c r="AI4" s="14">
        <v>2</v>
      </c>
      <c r="AJ4" s="14" t="s">
        <v>1927</v>
      </c>
      <c r="AK4" s="8" t="s">
        <v>1394</v>
      </c>
    </row>
    <row r="5" spans="1:38">
      <c r="A5" s="7">
        <f t="shared" si="0"/>
        <v>1</v>
      </c>
      <c r="B5" s="7" t="str">
        <f t="shared" si="1"/>
        <v>14FW SMB_03_FLAT_BK_N</v>
      </c>
      <c r="C5" s="7">
        <f t="shared" si="2"/>
        <v>1</v>
      </c>
      <c r="D5" s="7" t="str">
        <f t="shared" si="6"/>
        <v>QF14FW SMB_03_FLAT_BK_N</v>
      </c>
      <c r="E5" s="12" t="str">
        <f t="shared" si="3"/>
        <v>201401</v>
      </c>
      <c r="F5" s="347" t="str">
        <f>VLOOKUP($AA5,[3]주!$A:$F,6,FALSE)</f>
        <v>1월 4주</v>
      </c>
      <c r="G5" s="7">
        <f t="shared" si="4"/>
        <v>1</v>
      </c>
      <c r="H5" s="7" t="str">
        <f t="shared" si="7"/>
        <v>14FW SMB_03_FLAT_BK_N</v>
      </c>
      <c r="I5" s="7">
        <f t="shared" si="5"/>
        <v>1</v>
      </c>
      <c r="J5" s="7" t="str">
        <f t="shared" si="8"/>
        <v>QF14FW SMB_03_FLAT_BK_N</v>
      </c>
      <c r="K5" s="17">
        <f t="shared" si="9"/>
        <v>41717</v>
      </c>
      <c r="L5" s="12" t="str">
        <f t="shared" si="10"/>
        <v>201403</v>
      </c>
      <c r="M5" s="347" t="str">
        <f>VLOOKUP($K5,[3]주!$A:$F,6,FALSE)</f>
        <v>3월 2주</v>
      </c>
      <c r="N5" s="273" t="str">
        <f>IF(VLOOKUP($Z5,생산업체!$A:$C,2,FALSE)=1,"해외","국내")</f>
        <v>해외</v>
      </c>
      <c r="O5" s="12" t="str">
        <f>IF(VLOOKUP($U5,CODE!$K:$P,CODE!P$1,FALSE)="모자",T5,T5&amp;"-"&amp;VLOOKUP($U5,CODE!$K:$P,CODE!P$1,FALSE))</f>
        <v>SMB</v>
      </c>
      <c r="P5" s="13" t="s">
        <v>47</v>
      </c>
      <c r="Q5" s="13"/>
      <c r="R5" s="13">
        <v>4</v>
      </c>
      <c r="S5" s="13"/>
      <c r="T5" s="14" t="s">
        <v>47</v>
      </c>
      <c r="U5" s="14" t="s">
        <v>50</v>
      </c>
      <c r="V5" s="14" t="s">
        <v>43</v>
      </c>
      <c r="W5" s="14" t="s">
        <v>1299</v>
      </c>
      <c r="X5" s="14" t="s">
        <v>110</v>
      </c>
      <c r="Y5" s="15">
        <v>1</v>
      </c>
      <c r="Z5" s="14" t="s">
        <v>792</v>
      </c>
      <c r="AA5" s="16">
        <v>41662</v>
      </c>
      <c r="AB5" s="16">
        <v>41690</v>
      </c>
      <c r="AC5" s="16">
        <v>41719</v>
      </c>
      <c r="AD5" s="16">
        <v>41717</v>
      </c>
      <c r="AE5" s="14">
        <v>3.4</v>
      </c>
      <c r="AF5" s="14"/>
      <c r="AG5" s="14"/>
      <c r="AH5" s="14">
        <v>3</v>
      </c>
      <c r="AI5" s="14">
        <v>2</v>
      </c>
      <c r="AJ5" s="14" t="s">
        <v>1927</v>
      </c>
      <c r="AK5" s="8" t="s">
        <v>1394</v>
      </c>
    </row>
    <row r="6" spans="1:38">
      <c r="A6" s="7">
        <f t="shared" si="0"/>
        <v>1</v>
      </c>
      <c r="B6" s="7" t="str">
        <f t="shared" si="1"/>
        <v>14FW SMB_05_FLAT_KH_N</v>
      </c>
      <c r="C6" s="7">
        <f t="shared" si="2"/>
        <v>1</v>
      </c>
      <c r="D6" s="7" t="str">
        <f t="shared" si="6"/>
        <v>QF14FW SMB_05_FLAT_KH_N</v>
      </c>
      <c r="E6" s="12" t="str">
        <f t="shared" si="3"/>
        <v>201401</v>
      </c>
      <c r="F6" s="347" t="str">
        <f>VLOOKUP($AA6,[3]주!$A:$F,6,FALSE)</f>
        <v>1월 4주</v>
      </c>
      <c r="G6" s="7">
        <f t="shared" si="4"/>
        <v>1</v>
      </c>
      <c r="H6" s="7" t="str">
        <f t="shared" si="7"/>
        <v>14FW SMB_05_FLAT_KH_N</v>
      </c>
      <c r="I6" s="7">
        <f t="shared" si="5"/>
        <v>1</v>
      </c>
      <c r="J6" s="7" t="str">
        <f t="shared" si="8"/>
        <v>QF14FW SMB_05_FLAT_KH_N</v>
      </c>
      <c r="K6" s="17">
        <f t="shared" si="9"/>
        <v>41709</v>
      </c>
      <c r="L6" s="12" t="str">
        <f t="shared" si="10"/>
        <v>201403</v>
      </c>
      <c r="M6" s="347" t="str">
        <f>VLOOKUP($K6,[3]주!$A:$F,6,FALSE)</f>
        <v>3월 2주</v>
      </c>
      <c r="N6" s="273" t="str">
        <f>IF(VLOOKUP($Z6,생산업체!$A:$C,2,FALSE)=1,"해외","국내")</f>
        <v>해외</v>
      </c>
      <c r="O6" s="12" t="str">
        <f>IF(VLOOKUP($U6,CODE!$K:$P,CODE!P$1,FALSE)="모자",T6,T6&amp;"-"&amp;VLOOKUP($U6,CODE!$K:$P,CODE!P$1,FALSE))</f>
        <v>SMB</v>
      </c>
      <c r="P6" s="13" t="s">
        <v>47</v>
      </c>
      <c r="Q6" s="13"/>
      <c r="R6" s="13">
        <v>5</v>
      </c>
      <c r="S6" s="13"/>
      <c r="T6" s="14" t="s">
        <v>47</v>
      </c>
      <c r="U6" s="14" t="s">
        <v>50</v>
      </c>
      <c r="V6" s="14" t="s">
        <v>43</v>
      </c>
      <c r="W6" s="14" t="s">
        <v>1300</v>
      </c>
      <c r="X6" s="14" t="s">
        <v>110</v>
      </c>
      <c r="Y6" s="15">
        <v>1</v>
      </c>
      <c r="Z6" s="14" t="s">
        <v>792</v>
      </c>
      <c r="AA6" s="16">
        <v>41662</v>
      </c>
      <c r="AB6" s="16">
        <v>41690</v>
      </c>
      <c r="AC6" s="16">
        <v>41719</v>
      </c>
      <c r="AD6" s="16">
        <v>41709</v>
      </c>
      <c r="AE6" s="14">
        <v>3.3</v>
      </c>
      <c r="AF6" s="14"/>
      <c r="AG6" s="14"/>
      <c r="AH6" s="14">
        <v>2</v>
      </c>
      <c r="AI6" s="14">
        <v>2</v>
      </c>
      <c r="AJ6" s="14"/>
      <c r="AK6" s="8" t="s">
        <v>1394</v>
      </c>
    </row>
    <row r="7" spans="1:38">
      <c r="A7" s="7">
        <f t="shared" si="0"/>
        <v>1</v>
      </c>
      <c r="B7" s="7" t="str">
        <f t="shared" si="1"/>
        <v>14FW SMB_05_FLAT_PP_N</v>
      </c>
      <c r="C7" s="7">
        <f t="shared" si="2"/>
        <v>1</v>
      </c>
      <c r="D7" s="7" t="str">
        <f t="shared" si="6"/>
        <v>QF14FW SMB_05_FLAT_PP_N</v>
      </c>
      <c r="E7" s="12" t="str">
        <f t="shared" si="3"/>
        <v>201401</v>
      </c>
      <c r="F7" s="347" t="str">
        <f>VLOOKUP($AA7,[3]주!$A:$F,6,FALSE)</f>
        <v>1월 4주</v>
      </c>
      <c r="G7" s="7">
        <f t="shared" si="4"/>
        <v>1</v>
      </c>
      <c r="H7" s="7" t="str">
        <f t="shared" si="7"/>
        <v>14FW SMB_05_FLAT_PP_N</v>
      </c>
      <c r="I7" s="7">
        <f t="shared" si="5"/>
        <v>1</v>
      </c>
      <c r="J7" s="7" t="str">
        <f t="shared" si="8"/>
        <v>QF14FW SMB_05_FLAT_PP_N</v>
      </c>
      <c r="K7" s="17">
        <f t="shared" si="9"/>
        <v>41711</v>
      </c>
      <c r="L7" s="12" t="str">
        <f t="shared" si="10"/>
        <v>201403</v>
      </c>
      <c r="M7" s="347" t="str">
        <f>VLOOKUP($K7,[3]주!$A:$F,6,FALSE)</f>
        <v>3월 2주</v>
      </c>
      <c r="N7" s="273" t="str">
        <f>IF(VLOOKUP($Z7,생산업체!$A:$C,2,FALSE)=1,"해외","국내")</f>
        <v>해외</v>
      </c>
      <c r="O7" s="12" t="str">
        <f>IF(VLOOKUP($U7,CODE!$K:$P,CODE!P$1,FALSE)="모자",T7,T7&amp;"-"&amp;VLOOKUP($U7,CODE!$K:$P,CODE!P$1,FALSE))</f>
        <v>SMB</v>
      </c>
      <c r="P7" s="13" t="s">
        <v>47</v>
      </c>
      <c r="Q7" s="13"/>
      <c r="R7" s="13">
        <v>6</v>
      </c>
      <c r="S7" s="13"/>
      <c r="T7" s="14" t="s">
        <v>47</v>
      </c>
      <c r="U7" s="14" t="s">
        <v>50</v>
      </c>
      <c r="V7" s="14" t="s">
        <v>43</v>
      </c>
      <c r="W7" s="14" t="s">
        <v>1301</v>
      </c>
      <c r="X7" s="14" t="s">
        <v>110</v>
      </c>
      <c r="Y7" s="15">
        <v>1</v>
      </c>
      <c r="Z7" s="14" t="s">
        <v>792</v>
      </c>
      <c r="AA7" s="16">
        <v>41662</v>
      </c>
      <c r="AB7" s="16">
        <v>41690</v>
      </c>
      <c r="AC7" s="16">
        <v>41719</v>
      </c>
      <c r="AD7" s="16">
        <v>41711</v>
      </c>
      <c r="AE7" s="14">
        <v>3.2</v>
      </c>
      <c r="AF7" s="14"/>
      <c r="AG7" s="14"/>
      <c r="AH7" s="14">
        <v>2</v>
      </c>
      <c r="AI7" s="14">
        <v>2</v>
      </c>
      <c r="AJ7" s="14"/>
      <c r="AK7" s="8" t="s">
        <v>1394</v>
      </c>
    </row>
    <row r="8" spans="1:38">
      <c r="A8" s="7">
        <f t="shared" si="0"/>
        <v>1</v>
      </c>
      <c r="B8" s="7" t="str">
        <f t="shared" si="1"/>
        <v>14FW SMB_05_FLAT_RE_N</v>
      </c>
      <c r="C8" s="7">
        <f t="shared" si="2"/>
        <v>1</v>
      </c>
      <c r="D8" s="7" t="str">
        <f t="shared" si="6"/>
        <v>QF14FW SMB_05_FLAT_RE_N</v>
      </c>
      <c r="E8" s="12" t="str">
        <f t="shared" si="3"/>
        <v>201401</v>
      </c>
      <c r="F8" s="347" t="str">
        <f>VLOOKUP($AA8,[3]주!$A:$F,6,FALSE)</f>
        <v>1월 4주</v>
      </c>
      <c r="G8" s="7">
        <f t="shared" si="4"/>
        <v>1</v>
      </c>
      <c r="H8" s="7" t="str">
        <f t="shared" si="7"/>
        <v>14FW SMB_05_FLAT_RE_N</v>
      </c>
      <c r="I8" s="7">
        <f t="shared" si="5"/>
        <v>1</v>
      </c>
      <c r="J8" s="7" t="str">
        <f t="shared" si="8"/>
        <v>QF14FW SMB_05_FLAT_RE_N</v>
      </c>
      <c r="K8" s="17">
        <f t="shared" si="9"/>
        <v>41709</v>
      </c>
      <c r="L8" s="12" t="str">
        <f t="shared" si="10"/>
        <v>201403</v>
      </c>
      <c r="M8" s="347" t="str">
        <f>VLOOKUP($K8,[3]주!$A:$F,6,FALSE)</f>
        <v>3월 2주</v>
      </c>
      <c r="N8" s="273" t="str">
        <f>IF(VLOOKUP($Z8,생산업체!$A:$C,2,FALSE)=1,"해외","국내")</f>
        <v>해외</v>
      </c>
      <c r="O8" s="12" t="str">
        <f>IF(VLOOKUP($U8,CODE!$K:$P,CODE!P$1,FALSE)="모자",T8,T8&amp;"-"&amp;VLOOKUP($U8,CODE!$K:$P,CODE!P$1,FALSE))</f>
        <v>SMB</v>
      </c>
      <c r="P8" s="13" t="s">
        <v>47</v>
      </c>
      <c r="Q8" s="13"/>
      <c r="R8" s="13">
        <v>7</v>
      </c>
      <c r="S8" s="13"/>
      <c r="T8" s="14" t="s">
        <v>47</v>
      </c>
      <c r="U8" s="14" t="s">
        <v>50</v>
      </c>
      <c r="V8" s="14" t="s">
        <v>43</v>
      </c>
      <c r="W8" s="14" t="s">
        <v>1302</v>
      </c>
      <c r="X8" s="14" t="s">
        <v>110</v>
      </c>
      <c r="Y8" s="15">
        <v>1</v>
      </c>
      <c r="Z8" s="14" t="s">
        <v>792</v>
      </c>
      <c r="AA8" s="16">
        <v>41662</v>
      </c>
      <c r="AB8" s="16">
        <v>41690</v>
      </c>
      <c r="AC8" s="16">
        <v>41719</v>
      </c>
      <c r="AD8" s="16">
        <v>41709</v>
      </c>
      <c r="AE8" s="14">
        <v>3.2</v>
      </c>
      <c r="AF8" s="14"/>
      <c r="AG8" s="14"/>
      <c r="AH8" s="14">
        <v>2</v>
      </c>
      <c r="AI8" s="14">
        <v>2</v>
      </c>
      <c r="AJ8" s="14"/>
      <c r="AK8" s="8" t="s">
        <v>1394</v>
      </c>
    </row>
    <row r="9" spans="1:38">
      <c r="A9" s="7">
        <f t="shared" si="0"/>
        <v>1</v>
      </c>
      <c r="B9" s="7" t="str">
        <f t="shared" si="1"/>
        <v>14FW SMB_06_FLAT_BK_N</v>
      </c>
      <c r="C9" s="7">
        <f t="shared" si="2"/>
        <v>1</v>
      </c>
      <c r="D9" s="7" t="str">
        <f t="shared" si="6"/>
        <v>QF14FW SMB_06_FLAT_BK_N</v>
      </c>
      <c r="E9" s="12" t="str">
        <f t="shared" si="3"/>
        <v>201401</v>
      </c>
      <c r="F9" s="347" t="str">
        <f>VLOOKUP($AA9,[3]주!$A:$F,6,FALSE)</f>
        <v>1월 4주</v>
      </c>
      <c r="G9" s="7">
        <f t="shared" si="4"/>
        <v>1</v>
      </c>
      <c r="H9" s="7" t="str">
        <f t="shared" si="7"/>
        <v>14FW SMB_06_FLAT_BK_N</v>
      </c>
      <c r="I9" s="7">
        <f t="shared" si="5"/>
        <v>1</v>
      </c>
      <c r="J9" s="7" t="str">
        <f t="shared" si="8"/>
        <v>QF14FW SMB_06_FLAT_BK_N</v>
      </c>
      <c r="K9" s="17">
        <f t="shared" si="9"/>
        <v>41709</v>
      </c>
      <c r="L9" s="12" t="str">
        <f t="shared" si="10"/>
        <v>201403</v>
      </c>
      <c r="M9" s="347" t="str">
        <f>VLOOKUP($K9,[3]주!$A:$F,6,FALSE)</f>
        <v>3월 2주</v>
      </c>
      <c r="N9" s="273" t="str">
        <f>IF(VLOOKUP($Z9,생산업체!$A:$C,2,FALSE)=1,"해외","국내")</f>
        <v>해외</v>
      </c>
      <c r="O9" s="12" t="str">
        <f>IF(VLOOKUP($U9,CODE!$K:$P,CODE!P$1,FALSE)="모자",T9,T9&amp;"-"&amp;VLOOKUP($U9,CODE!$K:$P,CODE!P$1,FALSE))</f>
        <v>SMB</v>
      </c>
      <c r="P9" s="13" t="s">
        <v>47</v>
      </c>
      <c r="Q9" s="13"/>
      <c r="R9" s="13">
        <v>8</v>
      </c>
      <c r="S9" s="13"/>
      <c r="T9" s="14" t="s">
        <v>47</v>
      </c>
      <c r="U9" s="14" t="s">
        <v>50</v>
      </c>
      <c r="V9" s="14" t="s">
        <v>43</v>
      </c>
      <c r="W9" s="14" t="s">
        <v>1303</v>
      </c>
      <c r="X9" s="14" t="s">
        <v>110</v>
      </c>
      <c r="Y9" s="15">
        <v>1</v>
      </c>
      <c r="Z9" s="14" t="s">
        <v>792</v>
      </c>
      <c r="AA9" s="16">
        <v>41663</v>
      </c>
      <c r="AB9" s="16">
        <v>41691</v>
      </c>
      <c r="AC9" s="16">
        <v>41719</v>
      </c>
      <c r="AD9" s="16">
        <v>41709</v>
      </c>
      <c r="AE9" s="14">
        <v>4.5</v>
      </c>
      <c r="AF9" s="14"/>
      <c r="AG9" s="14"/>
      <c r="AH9" s="14">
        <v>3</v>
      </c>
      <c r="AI9" s="14">
        <v>3</v>
      </c>
      <c r="AJ9" s="14"/>
      <c r="AK9" s="8" t="s">
        <v>1394</v>
      </c>
    </row>
    <row r="10" spans="1:38">
      <c r="A10" s="7">
        <f t="shared" si="0"/>
        <v>1</v>
      </c>
      <c r="B10" s="7" t="str">
        <f t="shared" si="1"/>
        <v>14FW SMB_01_CURVED_BK_N</v>
      </c>
      <c r="C10" s="7">
        <f t="shared" si="2"/>
        <v>1</v>
      </c>
      <c r="D10" s="7" t="str">
        <f t="shared" si="6"/>
        <v>캡보이214FW SMB_01_CURVED_BK_N</v>
      </c>
      <c r="E10" s="12" t="str">
        <f t="shared" si="3"/>
        <v>201401</v>
      </c>
      <c r="F10" s="347" t="str">
        <f>VLOOKUP($AA10,[3]주!$A:$F,6,FALSE)</f>
        <v>1월 4주</v>
      </c>
      <c r="G10" s="7">
        <f t="shared" si="4"/>
        <v>1</v>
      </c>
      <c r="H10" s="7" t="str">
        <f t="shared" si="7"/>
        <v>14FW SMB_01_CURVED_BK_N</v>
      </c>
      <c r="I10" s="7">
        <f t="shared" si="5"/>
        <v>1</v>
      </c>
      <c r="J10" s="7" t="str">
        <f t="shared" si="8"/>
        <v>캡보이214FW SMB_01_CURVED_BK_N</v>
      </c>
      <c r="K10" s="17">
        <f t="shared" si="9"/>
        <v>41726</v>
      </c>
      <c r="L10" s="12" t="str">
        <f t="shared" si="10"/>
        <v>201403</v>
      </c>
      <c r="M10" s="347" t="str">
        <f>VLOOKUP($K10,[3]주!$A:$F,6,FALSE)</f>
        <v>3월 2주</v>
      </c>
      <c r="N10" s="273" t="str">
        <f>IF(VLOOKUP($Z10,생산업체!$A:$C,2,FALSE)=1,"해외","국내")</f>
        <v>해외</v>
      </c>
      <c r="O10" s="12" t="str">
        <f>IF(VLOOKUP($U10,CODE!$K:$P,CODE!P$1,FALSE)="모자",T10,T10&amp;"-"&amp;VLOOKUP($U10,CODE!$K:$P,CODE!P$1,FALSE))</f>
        <v>SMB</v>
      </c>
      <c r="P10" s="13" t="s">
        <v>47</v>
      </c>
      <c r="Q10" s="13"/>
      <c r="R10" s="13">
        <v>9</v>
      </c>
      <c r="S10" s="13"/>
      <c r="T10" s="14" t="s">
        <v>47</v>
      </c>
      <c r="U10" s="14" t="s">
        <v>38</v>
      </c>
      <c r="V10" s="14" t="s">
        <v>43</v>
      </c>
      <c r="W10" s="14" t="s">
        <v>1304</v>
      </c>
      <c r="X10" s="14" t="s">
        <v>110</v>
      </c>
      <c r="Y10" s="15">
        <v>1</v>
      </c>
      <c r="Z10" s="14" t="s">
        <v>1305</v>
      </c>
      <c r="AA10" s="16">
        <v>41663</v>
      </c>
      <c r="AB10" s="16">
        <v>41691</v>
      </c>
      <c r="AC10" s="16">
        <v>41717</v>
      </c>
      <c r="AD10" s="16">
        <v>41726</v>
      </c>
      <c r="AE10" s="14"/>
      <c r="AF10" s="14"/>
      <c r="AG10" s="14"/>
      <c r="AH10" s="14">
        <v>3</v>
      </c>
      <c r="AI10" s="14">
        <v>3</v>
      </c>
      <c r="AJ10" s="14"/>
    </row>
    <row r="11" spans="1:38">
      <c r="A11" s="7">
        <f t="shared" si="0"/>
        <v>1</v>
      </c>
      <c r="B11" s="7" t="str">
        <f t="shared" si="1"/>
        <v>14FW SMB_02_CURVED_NV_N</v>
      </c>
      <c r="C11" s="7">
        <f t="shared" si="2"/>
        <v>1</v>
      </c>
      <c r="D11" s="7" t="str">
        <f t="shared" si="6"/>
        <v>성진14FW SMB_02_CURVED_NV_N</v>
      </c>
      <c r="E11" s="12" t="str">
        <f t="shared" si="3"/>
        <v>201401</v>
      </c>
      <c r="F11" s="347" t="str">
        <f>VLOOKUP($AA11,[3]주!$A:$F,6,FALSE)</f>
        <v>1월 4주</v>
      </c>
      <c r="G11" s="7">
        <f t="shared" si="4"/>
        <v>1</v>
      </c>
      <c r="H11" s="7" t="str">
        <f t="shared" si="7"/>
        <v>14FW SMB_02_CURVED_NV_N</v>
      </c>
      <c r="I11" s="7">
        <f t="shared" si="5"/>
        <v>1</v>
      </c>
      <c r="J11" s="7" t="str">
        <f t="shared" si="8"/>
        <v>성진14FW SMB_02_CURVED_NV_N</v>
      </c>
      <c r="K11" s="17">
        <f t="shared" si="9"/>
        <v>41709</v>
      </c>
      <c r="L11" s="12" t="str">
        <f t="shared" si="10"/>
        <v>201403</v>
      </c>
      <c r="M11" s="347" t="str">
        <f>VLOOKUP($K11,[3]주!$A:$F,6,FALSE)</f>
        <v>3월 2주</v>
      </c>
      <c r="N11" s="273" t="str">
        <f>IF(VLOOKUP($Z11,생산업체!$A:$C,2,FALSE)=1,"해외","국내")</f>
        <v>해외</v>
      </c>
      <c r="O11" s="12" t="str">
        <f>IF(VLOOKUP($U11,CODE!$K:$P,CODE!P$1,FALSE)="모자",T11,T11&amp;"-"&amp;VLOOKUP($U11,CODE!$K:$P,CODE!P$1,FALSE))</f>
        <v>SMB</v>
      </c>
      <c r="P11" s="13" t="s">
        <v>47</v>
      </c>
      <c r="Q11" s="13"/>
      <c r="R11" s="13">
        <v>10</v>
      </c>
      <c r="S11" s="13"/>
      <c r="T11" s="14" t="s">
        <v>47</v>
      </c>
      <c r="U11" s="14" t="s">
        <v>38</v>
      </c>
      <c r="V11" s="14" t="s">
        <v>43</v>
      </c>
      <c r="W11" s="14" t="s">
        <v>1307</v>
      </c>
      <c r="X11" s="14" t="s">
        <v>110</v>
      </c>
      <c r="Y11" s="15">
        <v>1</v>
      </c>
      <c r="Z11" s="14" t="s">
        <v>48</v>
      </c>
      <c r="AA11" s="16">
        <v>41663</v>
      </c>
      <c r="AB11" s="16">
        <v>41691</v>
      </c>
      <c r="AC11" s="16">
        <v>41719</v>
      </c>
      <c r="AD11" s="16">
        <v>41709</v>
      </c>
      <c r="AE11" s="14">
        <v>5.4</v>
      </c>
      <c r="AF11" s="14"/>
      <c r="AG11" s="14"/>
      <c r="AH11" s="14">
        <v>2</v>
      </c>
      <c r="AI11" s="14">
        <v>2</v>
      </c>
      <c r="AJ11" s="14"/>
    </row>
    <row r="12" spans="1:38">
      <c r="A12" s="7">
        <f t="shared" si="0"/>
        <v>1</v>
      </c>
      <c r="B12" s="7" t="str">
        <f t="shared" si="1"/>
        <v>14FW SMB_03_CURVED_BK_N</v>
      </c>
      <c r="C12" s="7">
        <f t="shared" si="2"/>
        <v>1</v>
      </c>
      <c r="D12" s="7" t="str">
        <f t="shared" si="6"/>
        <v>성진14FW SMB_03_CURVED_BK_N</v>
      </c>
      <c r="E12" s="12" t="str">
        <f t="shared" si="3"/>
        <v>201401</v>
      </c>
      <c r="F12" s="347" t="str">
        <f>VLOOKUP($AA12,[3]주!$A:$F,6,FALSE)</f>
        <v>1월 4주</v>
      </c>
      <c r="G12" s="7">
        <f t="shared" si="4"/>
        <v>1</v>
      </c>
      <c r="H12" s="7" t="str">
        <f t="shared" si="7"/>
        <v>14FW SMB_03_CURVED_BK_N</v>
      </c>
      <c r="I12" s="7">
        <f t="shared" si="5"/>
        <v>1</v>
      </c>
      <c r="J12" s="7" t="str">
        <f t="shared" si="8"/>
        <v>성진14FW SMB_03_CURVED_BK_N</v>
      </c>
      <c r="K12" s="17">
        <f t="shared" si="9"/>
        <v>41709</v>
      </c>
      <c r="L12" s="12" t="str">
        <f t="shared" si="10"/>
        <v>201403</v>
      </c>
      <c r="M12" s="347" t="str">
        <f>VLOOKUP($K12,[3]주!$A:$F,6,FALSE)</f>
        <v>3월 2주</v>
      </c>
      <c r="N12" s="273" t="str">
        <f>IF(VLOOKUP($Z12,생산업체!$A:$C,2,FALSE)=1,"해외","국내")</f>
        <v>해외</v>
      </c>
      <c r="O12" s="12" t="str">
        <f>IF(VLOOKUP($U12,CODE!$K:$P,CODE!P$1,FALSE)="모자",T12,T12&amp;"-"&amp;VLOOKUP($U12,CODE!$K:$P,CODE!P$1,FALSE))</f>
        <v>SMB</v>
      </c>
      <c r="P12" s="13" t="s">
        <v>47</v>
      </c>
      <c r="Q12" s="13"/>
      <c r="R12" s="13">
        <v>11</v>
      </c>
      <c r="S12" s="13"/>
      <c r="T12" s="14" t="s">
        <v>47</v>
      </c>
      <c r="U12" s="14" t="s">
        <v>38</v>
      </c>
      <c r="V12" s="14" t="s">
        <v>43</v>
      </c>
      <c r="W12" s="14" t="s">
        <v>1308</v>
      </c>
      <c r="X12" s="14" t="s">
        <v>110</v>
      </c>
      <c r="Y12" s="15">
        <v>1</v>
      </c>
      <c r="Z12" s="14" t="s">
        <v>48</v>
      </c>
      <c r="AA12" s="16">
        <v>41663</v>
      </c>
      <c r="AB12" s="16">
        <v>41691</v>
      </c>
      <c r="AC12" s="16">
        <v>41719</v>
      </c>
      <c r="AD12" s="16">
        <v>41709</v>
      </c>
      <c r="AE12" s="14">
        <v>5.4</v>
      </c>
      <c r="AF12" s="14"/>
      <c r="AG12" s="14"/>
      <c r="AH12" s="14">
        <v>2</v>
      </c>
      <c r="AI12" s="14">
        <v>2</v>
      </c>
      <c r="AJ12" s="14"/>
      <c r="AK12" s="8" t="s">
        <v>1395</v>
      </c>
    </row>
    <row r="13" spans="1:38">
      <c r="A13" s="7">
        <f t="shared" si="0"/>
        <v>0.5</v>
      </c>
      <c r="B13" s="7" t="str">
        <f t="shared" si="1"/>
        <v>14FW SMB_03_CURVED_RD_N</v>
      </c>
      <c r="C13" s="7">
        <f t="shared" si="2"/>
        <v>1</v>
      </c>
      <c r="D13" s="7" t="str">
        <f t="shared" si="6"/>
        <v>성진14FW SMB_03_CURVED_RD_N</v>
      </c>
      <c r="E13" s="12" t="str">
        <f t="shared" si="3"/>
        <v>201401</v>
      </c>
      <c r="F13" s="347" t="str">
        <f>VLOOKUP($AA13,[3]주!$A:$F,6,FALSE)</f>
        <v>1월 4주</v>
      </c>
      <c r="G13" s="7">
        <f t="shared" si="4"/>
        <v>0.5</v>
      </c>
      <c r="H13" s="7" t="str">
        <f t="shared" si="7"/>
        <v>14FW SMB_03_CURVED_RD_N</v>
      </c>
      <c r="I13" s="7">
        <f t="shared" si="5"/>
        <v>1</v>
      </c>
      <c r="J13" s="7" t="str">
        <f t="shared" si="8"/>
        <v>성진14FW SMB_03_CURVED_RD_N</v>
      </c>
      <c r="K13" s="17">
        <f t="shared" si="9"/>
        <v>41709</v>
      </c>
      <c r="L13" s="12" t="str">
        <f t="shared" si="10"/>
        <v>201403</v>
      </c>
      <c r="M13" s="347" t="str">
        <f>VLOOKUP($K13,[3]주!$A:$F,6,FALSE)</f>
        <v>3월 2주</v>
      </c>
      <c r="N13" s="273" t="str">
        <f>IF(VLOOKUP($Z13,생산업체!$A:$C,2,FALSE)=1,"해외","국내")</f>
        <v>해외</v>
      </c>
      <c r="O13" s="12" t="str">
        <f>IF(VLOOKUP($U13,CODE!$K:$P,CODE!P$1,FALSE)="모자",T13,T13&amp;"-"&amp;VLOOKUP($U13,CODE!$K:$P,CODE!P$1,FALSE))</f>
        <v>SMB</v>
      </c>
      <c r="P13" s="14" t="s">
        <v>47</v>
      </c>
      <c r="Q13" s="13"/>
      <c r="R13" s="13">
        <v>12</v>
      </c>
      <c r="S13" s="13"/>
      <c r="T13" s="14" t="s">
        <v>47</v>
      </c>
      <c r="U13" s="14" t="s">
        <v>38</v>
      </c>
      <c r="V13" s="14" t="s">
        <v>43</v>
      </c>
      <c r="W13" s="14" t="s">
        <v>1309</v>
      </c>
      <c r="X13" s="14" t="s">
        <v>110</v>
      </c>
      <c r="Y13" s="15">
        <v>0.5</v>
      </c>
      <c r="Z13" s="14" t="s">
        <v>48</v>
      </c>
      <c r="AA13" s="16">
        <v>41663</v>
      </c>
      <c r="AB13" s="16">
        <v>41691</v>
      </c>
      <c r="AC13" s="16">
        <v>41719</v>
      </c>
      <c r="AD13" s="16">
        <v>41709</v>
      </c>
      <c r="AE13" s="14">
        <v>5.95</v>
      </c>
      <c r="AF13" s="14"/>
      <c r="AG13" s="14"/>
      <c r="AH13" s="14">
        <v>3</v>
      </c>
      <c r="AI13" s="14">
        <v>3</v>
      </c>
      <c r="AJ13" s="14"/>
      <c r="AK13" s="8" t="s">
        <v>1395</v>
      </c>
    </row>
    <row r="14" spans="1:38">
      <c r="A14" s="7">
        <f t="shared" si="0"/>
        <v>1</v>
      </c>
      <c r="B14" s="7" t="str">
        <f t="shared" si="1"/>
        <v>14FW SMB_04_CURVED_YL_N</v>
      </c>
      <c r="C14" s="7">
        <f t="shared" si="2"/>
        <v>1</v>
      </c>
      <c r="D14" s="7" t="str">
        <f t="shared" si="6"/>
        <v>성진14FW SMB_04_CURVED_YL_N</v>
      </c>
      <c r="E14" s="12" t="str">
        <f t="shared" si="3"/>
        <v>201401</v>
      </c>
      <c r="F14" s="347" t="str">
        <f>VLOOKUP($AA14,[3]주!$A:$F,6,FALSE)</f>
        <v>1월 4주</v>
      </c>
      <c r="G14" s="7">
        <f t="shared" si="4"/>
        <v>1</v>
      </c>
      <c r="H14" s="7" t="str">
        <f t="shared" si="7"/>
        <v>14FW SMB_04_CURVED_YL_N</v>
      </c>
      <c r="I14" s="7">
        <f t="shared" si="5"/>
        <v>1</v>
      </c>
      <c r="J14" s="7" t="str">
        <f t="shared" si="8"/>
        <v>성진14FW SMB_04_CURVED_YL_N</v>
      </c>
      <c r="K14" s="17">
        <f t="shared" si="9"/>
        <v>41719</v>
      </c>
      <c r="L14" s="12" t="str">
        <f t="shared" si="10"/>
        <v>201403</v>
      </c>
      <c r="M14" s="347" t="str">
        <f>VLOOKUP($K14,[3]주!$A:$F,6,FALSE)</f>
        <v>3월 2주</v>
      </c>
      <c r="N14" s="273" t="str">
        <f>IF(VLOOKUP($Z14,생산업체!$A:$C,2,FALSE)=1,"해외","국내")</f>
        <v>해외</v>
      </c>
      <c r="O14" s="12" t="str">
        <f>IF(VLOOKUP($U14,CODE!$K:$P,CODE!P$1,FALSE)="모자",T14,T14&amp;"-"&amp;VLOOKUP($U14,CODE!$K:$P,CODE!P$1,FALSE))</f>
        <v>SMB</v>
      </c>
      <c r="P14" s="13" t="s">
        <v>47</v>
      </c>
      <c r="Q14" s="13"/>
      <c r="R14" s="13">
        <v>13</v>
      </c>
      <c r="S14" s="13"/>
      <c r="T14" s="14" t="s">
        <v>47</v>
      </c>
      <c r="U14" s="14" t="s">
        <v>38</v>
      </c>
      <c r="V14" s="14" t="s">
        <v>43</v>
      </c>
      <c r="W14" s="14" t="s">
        <v>1310</v>
      </c>
      <c r="X14" s="14" t="s">
        <v>110</v>
      </c>
      <c r="Y14" s="15">
        <v>1</v>
      </c>
      <c r="Z14" s="14" t="s">
        <v>48</v>
      </c>
      <c r="AA14" s="16">
        <v>41663</v>
      </c>
      <c r="AB14" s="16">
        <v>41691</v>
      </c>
      <c r="AC14" s="16">
        <v>41719</v>
      </c>
      <c r="AD14" s="16">
        <v>41719</v>
      </c>
      <c r="AE14" s="14">
        <v>5.4</v>
      </c>
      <c r="AF14" s="14"/>
      <c r="AG14" s="14"/>
      <c r="AH14" s="14">
        <v>2</v>
      </c>
      <c r="AI14" s="14">
        <v>2</v>
      </c>
      <c r="AJ14" s="14"/>
      <c r="AK14" s="8" t="s">
        <v>1395</v>
      </c>
      <c r="AL14" s="8" t="s">
        <v>1396</v>
      </c>
    </row>
    <row r="15" spans="1:38">
      <c r="A15" s="7">
        <f t="shared" si="0"/>
        <v>1</v>
      </c>
      <c r="B15" s="7" t="str">
        <f t="shared" si="1"/>
        <v>14FW SMB_05_CURVED_BD_N</v>
      </c>
      <c r="C15" s="7">
        <f t="shared" si="2"/>
        <v>1</v>
      </c>
      <c r="D15" s="7" t="str">
        <f t="shared" si="6"/>
        <v>동일모자14FW SMB_05_CURVED_BD_N</v>
      </c>
      <c r="E15" s="12" t="str">
        <f t="shared" si="3"/>
        <v>201401</v>
      </c>
      <c r="F15" s="347" t="str">
        <f>VLOOKUP($AA15,[3]주!$A:$F,6,FALSE)</f>
        <v>1월 4주</v>
      </c>
      <c r="G15" s="7">
        <f t="shared" si="4"/>
        <v>1</v>
      </c>
      <c r="H15" s="7" t="str">
        <f t="shared" si="7"/>
        <v>14FW SMB_05_CURVED_BD_N</v>
      </c>
      <c r="I15" s="7">
        <f t="shared" si="5"/>
        <v>1</v>
      </c>
      <c r="J15" s="7" t="str">
        <f t="shared" si="8"/>
        <v>동일모자14FW SMB_05_CURVED_BD_N</v>
      </c>
      <c r="K15" s="17">
        <f t="shared" si="9"/>
        <v>41716</v>
      </c>
      <c r="L15" s="12" t="str">
        <f t="shared" si="10"/>
        <v>201403</v>
      </c>
      <c r="M15" s="347" t="str">
        <f>VLOOKUP($K15,[3]주!$A:$F,6,FALSE)</f>
        <v>3월 2주</v>
      </c>
      <c r="N15" s="273" t="str">
        <f>IF(VLOOKUP($Z15,생산업체!$A:$C,2,FALSE)=1,"해외","국내")</f>
        <v>해외</v>
      </c>
      <c r="O15" s="12" t="str">
        <f>IF(VLOOKUP($U15,CODE!$K:$P,CODE!P$1,FALSE)="모자",T15,T15&amp;"-"&amp;VLOOKUP($U15,CODE!$K:$P,CODE!P$1,FALSE))</f>
        <v>SMB</v>
      </c>
      <c r="P15" s="13" t="s">
        <v>47</v>
      </c>
      <c r="Q15" s="13"/>
      <c r="R15" s="13">
        <v>14</v>
      </c>
      <c r="S15" s="13"/>
      <c r="T15" s="14" t="s">
        <v>47</v>
      </c>
      <c r="U15" s="14" t="s">
        <v>38</v>
      </c>
      <c r="V15" s="14" t="s">
        <v>43</v>
      </c>
      <c r="W15" s="14" t="s">
        <v>1311</v>
      </c>
      <c r="X15" s="14" t="s">
        <v>110</v>
      </c>
      <c r="Y15" s="15">
        <v>1</v>
      </c>
      <c r="Z15" s="14" t="s">
        <v>44</v>
      </c>
      <c r="AA15" s="16">
        <v>41663</v>
      </c>
      <c r="AB15" s="16">
        <v>41691</v>
      </c>
      <c r="AC15" s="16">
        <v>41719</v>
      </c>
      <c r="AD15" s="16">
        <v>41716</v>
      </c>
      <c r="AE15" s="14">
        <v>4.2</v>
      </c>
      <c r="AF15" s="14"/>
      <c r="AG15" s="14"/>
      <c r="AH15" s="14">
        <v>3</v>
      </c>
      <c r="AI15" s="14">
        <v>3</v>
      </c>
      <c r="AJ15" s="14"/>
      <c r="AK15" s="8" t="s">
        <v>1395</v>
      </c>
      <c r="AL15" s="8" t="s">
        <v>1396</v>
      </c>
    </row>
    <row r="16" spans="1:38">
      <c r="A16" s="7">
        <f t="shared" si="0"/>
        <v>1</v>
      </c>
      <c r="B16" s="7" t="str">
        <f t="shared" si="1"/>
        <v>14FW SMB_05_CURVED_BL_N</v>
      </c>
      <c r="C16" s="7">
        <f t="shared" si="2"/>
        <v>1</v>
      </c>
      <c r="D16" s="7" t="str">
        <f t="shared" si="6"/>
        <v>동일모자14FW SMB_05_CURVED_BL_N</v>
      </c>
      <c r="E16" s="12" t="str">
        <f t="shared" si="3"/>
        <v>201401</v>
      </c>
      <c r="F16" s="347" t="str">
        <f>VLOOKUP($AA16,[3]주!$A:$F,6,FALSE)</f>
        <v>1월 4주</v>
      </c>
      <c r="G16" s="7">
        <f t="shared" si="4"/>
        <v>1</v>
      </c>
      <c r="H16" s="7" t="str">
        <f t="shared" si="7"/>
        <v>14FW SMB_05_CURVED_BL_N</v>
      </c>
      <c r="I16" s="7">
        <f t="shared" si="5"/>
        <v>1</v>
      </c>
      <c r="J16" s="7" t="str">
        <f t="shared" si="8"/>
        <v>동일모자14FW SMB_05_CURVED_BL_N</v>
      </c>
      <c r="K16" s="17">
        <f t="shared" si="9"/>
        <v>41719</v>
      </c>
      <c r="L16" s="12" t="str">
        <f t="shared" si="10"/>
        <v>201403</v>
      </c>
      <c r="M16" s="347" t="str">
        <f>VLOOKUP($K16,[3]주!$A:$F,6,FALSE)</f>
        <v>3월 2주</v>
      </c>
      <c r="N16" s="273" t="str">
        <f>IF(VLOOKUP($Z16,생산업체!$A:$C,2,FALSE)=1,"해외","국내")</f>
        <v>해외</v>
      </c>
      <c r="O16" s="12" t="str">
        <f>IF(VLOOKUP($U16,CODE!$K:$P,CODE!P$1,FALSE)="모자",T16,T16&amp;"-"&amp;VLOOKUP($U16,CODE!$K:$P,CODE!P$1,FALSE))</f>
        <v>SMB</v>
      </c>
      <c r="P16" s="13" t="s">
        <v>47</v>
      </c>
      <c r="Q16" s="13"/>
      <c r="R16" s="13">
        <v>15</v>
      </c>
      <c r="S16" s="13"/>
      <c r="T16" s="14" t="s">
        <v>47</v>
      </c>
      <c r="U16" s="14" t="s">
        <v>38</v>
      </c>
      <c r="V16" s="14" t="s">
        <v>43</v>
      </c>
      <c r="W16" s="14" t="s">
        <v>1312</v>
      </c>
      <c r="X16" s="14" t="s">
        <v>110</v>
      </c>
      <c r="Y16" s="15">
        <v>1</v>
      </c>
      <c r="Z16" s="14" t="s">
        <v>44</v>
      </c>
      <c r="AA16" s="16">
        <v>41663</v>
      </c>
      <c r="AB16" s="16">
        <v>41691</v>
      </c>
      <c r="AC16" s="16">
        <v>41719</v>
      </c>
      <c r="AD16" s="16">
        <v>41719</v>
      </c>
      <c r="AE16" s="14">
        <v>4.2</v>
      </c>
      <c r="AF16" s="14"/>
      <c r="AG16" s="14"/>
      <c r="AH16" s="14">
        <v>3</v>
      </c>
      <c r="AI16" s="14">
        <v>3</v>
      </c>
      <c r="AJ16" s="14" t="s">
        <v>1928</v>
      </c>
      <c r="AK16" s="8" t="s">
        <v>1395</v>
      </c>
      <c r="AL16" s="8" t="s">
        <v>1396</v>
      </c>
    </row>
    <row r="17" spans="1:39">
      <c r="A17" s="7">
        <f t="shared" si="0"/>
        <v>1</v>
      </c>
      <c r="B17" s="7" t="str">
        <f t="shared" si="1"/>
        <v>14FW SMB_06_CURVED_BK_N</v>
      </c>
      <c r="C17" s="7">
        <f t="shared" si="2"/>
        <v>1</v>
      </c>
      <c r="D17" s="7" t="str">
        <f t="shared" si="6"/>
        <v>성진14FW SMB_06_CURVED_BK_N</v>
      </c>
      <c r="E17" s="12" t="str">
        <f t="shared" si="3"/>
        <v>201401</v>
      </c>
      <c r="F17" s="347" t="str">
        <f>VLOOKUP($AA17,[3]주!$A:$F,6,FALSE)</f>
        <v>1월 4주</v>
      </c>
      <c r="G17" s="7">
        <f t="shared" si="4"/>
        <v>1</v>
      </c>
      <c r="H17" s="7" t="str">
        <f t="shared" si="7"/>
        <v>14FW SMB_06_CURVED_BK_N</v>
      </c>
      <c r="I17" s="7">
        <f t="shared" si="5"/>
        <v>1</v>
      </c>
      <c r="J17" s="7" t="str">
        <f t="shared" si="8"/>
        <v>성진14FW SMB_06_CURVED_BK_N</v>
      </c>
      <c r="K17" s="17">
        <f t="shared" si="9"/>
        <v>41702</v>
      </c>
      <c r="L17" s="12" t="str">
        <f t="shared" si="10"/>
        <v>201403</v>
      </c>
      <c r="M17" s="347" t="str">
        <f>VLOOKUP($K17,[3]주!$A:$F,6,FALSE)</f>
        <v>3월 1주</v>
      </c>
      <c r="N17" s="273" t="str">
        <f>IF(VLOOKUP($Z17,생산업체!$A:$C,2,FALSE)=1,"해외","국내")</f>
        <v>해외</v>
      </c>
      <c r="O17" s="12" t="str">
        <f>IF(VLOOKUP($U17,CODE!$K:$P,CODE!P$1,FALSE)="모자",T17,T17&amp;"-"&amp;VLOOKUP($U17,CODE!$K:$P,CODE!P$1,FALSE))</f>
        <v>SMB</v>
      </c>
      <c r="P17" s="13" t="s">
        <v>47</v>
      </c>
      <c r="Q17" s="13"/>
      <c r="R17" s="13">
        <v>16</v>
      </c>
      <c r="S17" s="13"/>
      <c r="T17" s="14" t="s">
        <v>47</v>
      </c>
      <c r="U17" s="14" t="s">
        <v>38</v>
      </c>
      <c r="V17" s="14" t="s">
        <v>43</v>
      </c>
      <c r="W17" s="14" t="s">
        <v>1313</v>
      </c>
      <c r="X17" s="14" t="s">
        <v>110</v>
      </c>
      <c r="Y17" s="15">
        <v>1</v>
      </c>
      <c r="Z17" s="14" t="s">
        <v>48</v>
      </c>
      <c r="AA17" s="16">
        <v>41663</v>
      </c>
      <c r="AB17" s="16">
        <v>41691</v>
      </c>
      <c r="AC17" s="16">
        <v>41719</v>
      </c>
      <c r="AD17" s="16">
        <v>41702</v>
      </c>
      <c r="AE17" s="14">
        <v>5.15</v>
      </c>
      <c r="AF17" s="14"/>
      <c r="AG17" s="14"/>
      <c r="AH17" s="14">
        <v>2</v>
      </c>
      <c r="AI17" s="14">
        <v>2</v>
      </c>
      <c r="AJ17" s="14"/>
      <c r="AK17" s="8" t="s">
        <v>1397</v>
      </c>
      <c r="AL17" s="8" t="s">
        <v>1396</v>
      </c>
      <c r="AM17" s="8" t="s">
        <v>1398</v>
      </c>
    </row>
    <row r="18" spans="1:39">
      <c r="A18" s="7">
        <f t="shared" si="0"/>
        <v>1</v>
      </c>
      <c r="B18" s="7" t="str">
        <f t="shared" si="1"/>
        <v>14FW SMB_06_CURVED_NY_N</v>
      </c>
      <c r="C18" s="7">
        <f t="shared" si="2"/>
        <v>1</v>
      </c>
      <c r="D18" s="7" t="str">
        <f t="shared" si="6"/>
        <v>성진14FW SMB_06_CURVED_NY_N</v>
      </c>
      <c r="E18" s="12" t="str">
        <f t="shared" si="3"/>
        <v>201401</v>
      </c>
      <c r="F18" s="347" t="str">
        <f>VLOOKUP($AA18,[3]주!$A:$F,6,FALSE)</f>
        <v>1월 4주</v>
      </c>
      <c r="G18" s="7">
        <f t="shared" si="4"/>
        <v>1</v>
      </c>
      <c r="H18" s="7" t="str">
        <f t="shared" si="7"/>
        <v>14FW SMB_06_CURVED_NY_N</v>
      </c>
      <c r="I18" s="7">
        <f t="shared" si="5"/>
        <v>1</v>
      </c>
      <c r="J18" s="7" t="str">
        <f t="shared" si="8"/>
        <v>성진14FW SMB_06_CURVED_NY_N</v>
      </c>
      <c r="K18" s="17">
        <f t="shared" si="9"/>
        <v>41698</v>
      </c>
      <c r="L18" s="12" t="str">
        <f t="shared" si="10"/>
        <v>201402</v>
      </c>
      <c r="M18" s="347" t="str">
        <f>VLOOKUP($K18,[3]주!$A:$F,6,FALSE)</f>
        <v>2월 4주</v>
      </c>
      <c r="N18" s="273" t="str">
        <f>IF(VLOOKUP($Z18,생산업체!$A:$C,2,FALSE)=1,"해외","국내")</f>
        <v>해외</v>
      </c>
      <c r="O18" s="12" t="str">
        <f>IF(VLOOKUP($U18,CODE!$K:$P,CODE!P$1,FALSE)="모자",T18,T18&amp;"-"&amp;VLOOKUP($U18,CODE!$K:$P,CODE!P$1,FALSE))</f>
        <v>SMB</v>
      </c>
      <c r="P18" s="13" t="s">
        <v>47</v>
      </c>
      <c r="Q18" s="13"/>
      <c r="R18" s="13">
        <v>17</v>
      </c>
      <c r="S18" s="13"/>
      <c r="T18" s="14" t="s">
        <v>47</v>
      </c>
      <c r="U18" s="14" t="s">
        <v>38</v>
      </c>
      <c r="V18" s="14" t="s">
        <v>43</v>
      </c>
      <c r="W18" s="14" t="s">
        <v>1314</v>
      </c>
      <c r="X18" s="14" t="s">
        <v>110</v>
      </c>
      <c r="Y18" s="15">
        <v>1</v>
      </c>
      <c r="Z18" s="14" t="s">
        <v>48</v>
      </c>
      <c r="AA18" s="16">
        <v>41663</v>
      </c>
      <c r="AB18" s="16">
        <v>41691</v>
      </c>
      <c r="AC18" s="16">
        <v>41698</v>
      </c>
      <c r="AD18" s="16">
        <v>41698</v>
      </c>
      <c r="AE18" s="14">
        <v>5.0999999999999996</v>
      </c>
      <c r="AF18" s="14"/>
      <c r="AG18" s="14"/>
      <c r="AH18" s="14">
        <v>2</v>
      </c>
      <c r="AI18" s="14">
        <v>2</v>
      </c>
      <c r="AJ18" s="14"/>
      <c r="AK18" s="8" t="s">
        <v>1397</v>
      </c>
      <c r="AL18" s="8" t="s">
        <v>1396</v>
      </c>
      <c r="AM18" s="8" t="s">
        <v>1398</v>
      </c>
    </row>
    <row r="19" spans="1:39">
      <c r="A19" s="7">
        <f t="shared" si="0"/>
        <v>1</v>
      </c>
      <c r="B19" s="7" t="str">
        <f t="shared" si="1"/>
        <v>14FW SMB_07_CURVED_BK_N</v>
      </c>
      <c r="C19" s="7">
        <f t="shared" si="2"/>
        <v>1</v>
      </c>
      <c r="D19" s="7" t="str">
        <f t="shared" si="6"/>
        <v>동일모자14FW SMB_07_CURVED_BK_N</v>
      </c>
      <c r="E19" s="12" t="str">
        <f t="shared" si="3"/>
        <v>201401</v>
      </c>
      <c r="F19" s="347" t="str">
        <f>VLOOKUP($AA19,[3]주!$A:$F,6,FALSE)</f>
        <v>1월 4주</v>
      </c>
      <c r="G19" s="7">
        <f t="shared" si="4"/>
        <v>1</v>
      </c>
      <c r="H19" s="7" t="str">
        <f t="shared" si="7"/>
        <v>14FW SMB_07_CURVED_BK_N</v>
      </c>
      <c r="I19" s="7">
        <f t="shared" si="5"/>
        <v>1</v>
      </c>
      <c r="J19" s="7" t="str">
        <f t="shared" si="8"/>
        <v>동일모자14FW SMB_07_CURVED_BK_N</v>
      </c>
      <c r="K19" s="17">
        <f t="shared" si="9"/>
        <v>41716</v>
      </c>
      <c r="L19" s="12" t="str">
        <f t="shared" si="10"/>
        <v>201403</v>
      </c>
      <c r="M19" s="347" t="str">
        <f>VLOOKUP($K19,[3]주!$A:$F,6,FALSE)</f>
        <v>3월 2주</v>
      </c>
      <c r="N19" s="273" t="str">
        <f>IF(VLOOKUP($Z19,생산업체!$A:$C,2,FALSE)=1,"해외","국내")</f>
        <v>해외</v>
      </c>
      <c r="O19" s="12" t="str">
        <f>IF(VLOOKUP($U19,CODE!$K:$P,CODE!P$1,FALSE)="모자",T19,T19&amp;"-"&amp;VLOOKUP($U19,CODE!$K:$P,CODE!P$1,FALSE))</f>
        <v>SMB</v>
      </c>
      <c r="P19" s="13" t="s">
        <v>47</v>
      </c>
      <c r="Q19" s="13"/>
      <c r="R19" s="13">
        <v>18</v>
      </c>
      <c r="S19" s="13"/>
      <c r="T19" s="14" t="s">
        <v>47</v>
      </c>
      <c r="U19" s="14" t="s">
        <v>38</v>
      </c>
      <c r="V19" s="14" t="s">
        <v>43</v>
      </c>
      <c r="W19" s="14" t="s">
        <v>1315</v>
      </c>
      <c r="X19" s="14" t="s">
        <v>110</v>
      </c>
      <c r="Y19" s="15">
        <v>1</v>
      </c>
      <c r="Z19" s="14" t="s">
        <v>44</v>
      </c>
      <c r="AA19" s="16">
        <v>41663</v>
      </c>
      <c r="AB19" s="16">
        <v>41691</v>
      </c>
      <c r="AC19" s="16">
        <v>41719</v>
      </c>
      <c r="AD19" s="16">
        <v>41716</v>
      </c>
      <c r="AE19" s="14">
        <v>4.45</v>
      </c>
      <c r="AF19" s="14"/>
      <c r="AG19" s="14"/>
      <c r="AH19" s="14">
        <v>3</v>
      </c>
      <c r="AI19" s="14">
        <v>3</v>
      </c>
      <c r="AJ19" s="14"/>
      <c r="AK19" s="8" t="s">
        <v>1397</v>
      </c>
      <c r="AL19" s="8" t="s">
        <v>1396</v>
      </c>
      <c r="AM19" s="8" t="s">
        <v>1399</v>
      </c>
    </row>
    <row r="20" spans="1:39">
      <c r="A20" s="7">
        <f t="shared" si="0"/>
        <v>1</v>
      </c>
      <c r="B20" s="7" t="str">
        <f t="shared" ref="B20:B47" si="11">IF(AA20="","",W20)</f>
        <v>14FW SMB_07_CURVED_GR_N</v>
      </c>
      <c r="C20" s="7">
        <f t="shared" si="2"/>
        <v>1</v>
      </c>
      <c r="D20" s="7" t="str">
        <f t="shared" si="6"/>
        <v>동일모자14FW SMB_07_CURVED_GR_N</v>
      </c>
      <c r="E20" s="12" t="str">
        <f t="shared" si="3"/>
        <v>201401</v>
      </c>
      <c r="F20" s="347" t="str">
        <f>VLOOKUP($AA20,[3]주!$A:$F,6,FALSE)</f>
        <v>1월 4주</v>
      </c>
      <c r="G20" s="7">
        <f t="shared" si="4"/>
        <v>1</v>
      </c>
      <c r="H20" s="7" t="str">
        <f t="shared" si="7"/>
        <v>14FW SMB_07_CURVED_GR_N</v>
      </c>
      <c r="I20" s="7">
        <f t="shared" si="5"/>
        <v>1</v>
      </c>
      <c r="J20" s="7" t="str">
        <f t="shared" si="8"/>
        <v>동일모자14FW SMB_07_CURVED_GR_N</v>
      </c>
      <c r="K20" s="17">
        <f t="shared" si="9"/>
        <v>41716</v>
      </c>
      <c r="L20" s="12" t="str">
        <f t="shared" si="10"/>
        <v>201403</v>
      </c>
      <c r="M20" s="347" t="str">
        <f>VLOOKUP($K20,[3]주!$A:$F,6,FALSE)</f>
        <v>3월 2주</v>
      </c>
      <c r="N20" s="273" t="str">
        <f>IF(VLOOKUP($Z20,생산업체!$A:$C,2,FALSE)=1,"해외","국내")</f>
        <v>해외</v>
      </c>
      <c r="O20" s="12" t="str">
        <f>IF(VLOOKUP($U20,CODE!$K:$P,CODE!P$1,FALSE)="모자",T20,T20&amp;"-"&amp;VLOOKUP($U20,CODE!$K:$P,CODE!P$1,FALSE))</f>
        <v>SMB</v>
      </c>
      <c r="P20" s="13" t="s">
        <v>47</v>
      </c>
      <c r="Q20" s="13"/>
      <c r="R20" s="13">
        <v>19</v>
      </c>
      <c r="S20" s="13"/>
      <c r="T20" s="14" t="s">
        <v>47</v>
      </c>
      <c r="U20" s="14" t="s">
        <v>38</v>
      </c>
      <c r="V20" s="14" t="s">
        <v>43</v>
      </c>
      <c r="W20" s="14" t="s">
        <v>1316</v>
      </c>
      <c r="X20" s="14" t="s">
        <v>110</v>
      </c>
      <c r="Y20" s="15">
        <v>1</v>
      </c>
      <c r="Z20" s="14" t="s">
        <v>44</v>
      </c>
      <c r="AA20" s="16">
        <v>41663</v>
      </c>
      <c r="AB20" s="16">
        <v>41691</v>
      </c>
      <c r="AC20" s="16">
        <v>41719</v>
      </c>
      <c r="AD20" s="16">
        <v>41716</v>
      </c>
      <c r="AE20" s="14">
        <v>4.2</v>
      </c>
      <c r="AF20" s="14"/>
      <c r="AG20" s="14"/>
      <c r="AH20" s="14">
        <v>3</v>
      </c>
      <c r="AI20" s="14">
        <v>3</v>
      </c>
      <c r="AJ20" s="14"/>
    </row>
    <row r="21" spans="1:39">
      <c r="A21" s="7">
        <f t="shared" si="0"/>
        <v>1</v>
      </c>
      <c r="B21" s="7" t="str">
        <f t="shared" si="11"/>
        <v>14FW SMB_07_CURVED_OR</v>
      </c>
      <c r="C21" s="7">
        <f t="shared" si="2"/>
        <v>1</v>
      </c>
      <c r="D21" s="7" t="str">
        <f t="shared" si="6"/>
        <v>동일모자14FW SMB_07_CURVED_OR</v>
      </c>
      <c r="E21" s="12" t="str">
        <f t="shared" si="3"/>
        <v>201401</v>
      </c>
      <c r="F21" s="347" t="str">
        <f>VLOOKUP($AA21,[3]주!$A:$F,6,FALSE)</f>
        <v>1월 4주</v>
      </c>
      <c r="G21" s="7">
        <f t="shared" si="4"/>
        <v>1</v>
      </c>
      <c r="H21" s="7" t="str">
        <f t="shared" si="7"/>
        <v>14FW SMB_07_CURVED_OR</v>
      </c>
      <c r="I21" s="7">
        <f t="shared" si="5"/>
        <v>1</v>
      </c>
      <c r="J21" s="7" t="str">
        <f t="shared" si="8"/>
        <v>동일모자14FW SMB_07_CURVED_OR</v>
      </c>
      <c r="K21" s="17">
        <f t="shared" si="9"/>
        <v>41716</v>
      </c>
      <c r="L21" s="12" t="str">
        <f t="shared" si="10"/>
        <v>201403</v>
      </c>
      <c r="M21" s="347" t="str">
        <f>VLOOKUP($K21,[3]주!$A:$F,6,FALSE)</f>
        <v>3월 2주</v>
      </c>
      <c r="N21" s="273" t="str">
        <f>IF(VLOOKUP($Z21,생산업체!$A:$C,2,FALSE)=1,"해외","국내")</f>
        <v>해외</v>
      </c>
      <c r="O21" s="12" t="str">
        <f>IF(VLOOKUP($U21,CODE!$K:$P,CODE!P$1,FALSE)="모자",T21,T21&amp;"-"&amp;VLOOKUP($U21,CODE!$K:$P,CODE!P$1,FALSE))</f>
        <v>SMB</v>
      </c>
      <c r="P21" s="13" t="s">
        <v>47</v>
      </c>
      <c r="Q21" s="13"/>
      <c r="R21" s="13">
        <v>20</v>
      </c>
      <c r="S21" s="13"/>
      <c r="T21" s="14" t="s">
        <v>47</v>
      </c>
      <c r="U21" s="14" t="s">
        <v>38</v>
      </c>
      <c r="V21" s="14" t="s">
        <v>43</v>
      </c>
      <c r="W21" s="14" t="s">
        <v>1317</v>
      </c>
      <c r="X21" s="14" t="s">
        <v>110</v>
      </c>
      <c r="Y21" s="15">
        <v>1</v>
      </c>
      <c r="Z21" s="14" t="s">
        <v>44</v>
      </c>
      <c r="AA21" s="16">
        <v>41663</v>
      </c>
      <c r="AB21" s="16">
        <v>41691</v>
      </c>
      <c r="AC21" s="16">
        <v>41719</v>
      </c>
      <c r="AD21" s="16">
        <v>41716</v>
      </c>
      <c r="AE21" s="14">
        <v>4.45</v>
      </c>
      <c r="AF21" s="14"/>
      <c r="AG21" s="14"/>
      <c r="AH21" s="14">
        <v>3</v>
      </c>
      <c r="AI21" s="14">
        <v>3</v>
      </c>
      <c r="AJ21" s="14"/>
    </row>
    <row r="22" spans="1:39">
      <c r="A22" s="7">
        <f t="shared" si="0"/>
        <v>0.5</v>
      </c>
      <c r="B22" s="7" t="str">
        <f t="shared" si="11"/>
        <v>14FW SMB_08_CURVED_NY_N</v>
      </c>
      <c r="C22" s="7">
        <f t="shared" si="2"/>
        <v>1</v>
      </c>
      <c r="D22" s="7" t="str">
        <f t="shared" si="6"/>
        <v>캡보이214FW SMB_08_CURVED_NY_N</v>
      </c>
      <c r="E22" s="12" t="str">
        <f t="shared" si="3"/>
        <v>201401</v>
      </c>
      <c r="F22" s="347" t="str">
        <f>VLOOKUP($AA22,[3]주!$A:$F,6,FALSE)</f>
        <v>1월 4주</v>
      </c>
      <c r="G22" s="7">
        <f t="shared" si="4"/>
        <v>0.5</v>
      </c>
      <c r="H22" s="7" t="str">
        <f t="shared" si="7"/>
        <v>14FW SMB_08_CURVED_NY_N</v>
      </c>
      <c r="I22" s="7">
        <f t="shared" si="5"/>
        <v>1</v>
      </c>
      <c r="J22" s="7" t="str">
        <f t="shared" si="8"/>
        <v>캡보이214FW SMB_08_CURVED_NY_N</v>
      </c>
      <c r="K22" s="17" t="str">
        <f t="shared" si="9"/>
        <v>캔슬</v>
      </c>
      <c r="L22" s="12" t="e">
        <f>IF(YEAR(K22)&lt;10,0&amp;YEAR(K22),YEAR(K22))&amp;IF(MONTH(K22)&lt;10,0&amp;MONTH(K22),MONTH(K22))</f>
        <v>#VALUE!</v>
      </c>
      <c r="M22" s="347" t="e">
        <f>VLOOKUP($K22,[3]주!$A:$F,6,FALSE)</f>
        <v>#N/A</v>
      </c>
      <c r="N22" s="273" t="str">
        <f>IF(VLOOKUP($Z22,생산업체!$A:$C,2,FALSE)=1,"해외","국내")</f>
        <v>해외</v>
      </c>
      <c r="O22" s="12" t="str">
        <f>IF(VLOOKUP($U22,CODE!$K:$P,CODE!P$1,FALSE)="모자",T22,T22&amp;"-"&amp;VLOOKUP($U22,CODE!$K:$P,CODE!P$1,FALSE))</f>
        <v>SMB</v>
      </c>
      <c r="P22" s="13" t="s">
        <v>47</v>
      </c>
      <c r="Q22" s="13"/>
      <c r="R22" s="13">
        <v>21</v>
      </c>
      <c r="S22" s="13"/>
      <c r="T22" s="14" t="s">
        <v>47</v>
      </c>
      <c r="U22" s="14" t="s">
        <v>35</v>
      </c>
      <c r="V22" s="14" t="s">
        <v>43</v>
      </c>
      <c r="W22" s="14" t="s">
        <v>1318</v>
      </c>
      <c r="X22" s="14" t="s">
        <v>110</v>
      </c>
      <c r="Y22" s="15">
        <v>0.5</v>
      </c>
      <c r="Z22" s="14" t="s">
        <v>1305</v>
      </c>
      <c r="AA22" s="16">
        <v>41663</v>
      </c>
      <c r="AB22" s="16">
        <v>41691</v>
      </c>
      <c r="AC22" s="16" t="s">
        <v>1929</v>
      </c>
      <c r="AD22" s="16" t="s">
        <v>1929</v>
      </c>
      <c r="AE22" s="14"/>
      <c r="AF22" s="14"/>
      <c r="AG22" s="14"/>
      <c r="AH22" s="14">
        <v>3</v>
      </c>
      <c r="AI22" s="14">
        <v>3</v>
      </c>
      <c r="AJ22" s="14"/>
    </row>
    <row r="23" spans="1:39">
      <c r="A23" s="7">
        <f t="shared" si="0"/>
        <v>1</v>
      </c>
      <c r="B23" s="7" t="str">
        <f t="shared" si="11"/>
        <v>14FW SMB_09_CURVED_PK_N</v>
      </c>
      <c r="C23" s="7">
        <f t="shared" si="2"/>
        <v>1</v>
      </c>
      <c r="D23" s="7" t="str">
        <f t="shared" si="6"/>
        <v>캡보이214FW SMB_09_CURVED_PK_N</v>
      </c>
      <c r="E23" s="12" t="str">
        <f t="shared" si="3"/>
        <v>201401</v>
      </c>
      <c r="F23" s="347" t="str">
        <f>VLOOKUP($AA23,[3]주!$A:$F,6,FALSE)</f>
        <v>1월 4주</v>
      </c>
      <c r="G23" s="7">
        <f t="shared" si="4"/>
        <v>1</v>
      </c>
      <c r="H23" s="7" t="str">
        <f t="shared" si="7"/>
        <v>14FW SMB_09_CURVED_PK_N</v>
      </c>
      <c r="I23" s="7">
        <f t="shared" si="5"/>
        <v>1</v>
      </c>
      <c r="J23" s="7" t="str">
        <f t="shared" si="8"/>
        <v>캡보이214FW SMB_09_CURVED_PK_N</v>
      </c>
      <c r="K23" s="17">
        <f t="shared" si="9"/>
        <v>41726</v>
      </c>
      <c r="L23" s="12" t="str">
        <f t="shared" si="10"/>
        <v>201403</v>
      </c>
      <c r="M23" s="347" t="str">
        <f>VLOOKUP($K23,[3]주!$A:$F,6,FALSE)</f>
        <v>3월 2주</v>
      </c>
      <c r="N23" s="273" t="str">
        <f>IF(VLOOKUP($Z23,생산업체!$A:$C,2,FALSE)=1,"해외","국내")</f>
        <v>해외</v>
      </c>
      <c r="O23" s="12" t="str">
        <f>IF(VLOOKUP($U23,CODE!$K:$P,CODE!P$1,FALSE)="모자",T23,T23&amp;"-"&amp;VLOOKUP($U23,CODE!$K:$P,CODE!P$1,FALSE))</f>
        <v>SMB</v>
      </c>
      <c r="P23" s="13" t="s">
        <v>47</v>
      </c>
      <c r="Q23" s="13"/>
      <c r="R23" s="13">
        <v>22</v>
      </c>
      <c r="S23" s="13"/>
      <c r="T23" s="14" t="s">
        <v>47</v>
      </c>
      <c r="U23" s="14" t="s">
        <v>35</v>
      </c>
      <c r="V23" s="14" t="s">
        <v>43</v>
      </c>
      <c r="W23" s="14" t="s">
        <v>1319</v>
      </c>
      <c r="X23" s="14" t="s">
        <v>110</v>
      </c>
      <c r="Y23" s="15">
        <v>1</v>
      </c>
      <c r="Z23" s="14" t="s">
        <v>1305</v>
      </c>
      <c r="AA23" s="16">
        <v>41663</v>
      </c>
      <c r="AB23" s="16">
        <v>41691</v>
      </c>
      <c r="AC23" s="16">
        <v>41717</v>
      </c>
      <c r="AD23" s="16">
        <v>41726</v>
      </c>
      <c r="AE23" s="14"/>
      <c r="AF23" s="14"/>
      <c r="AG23" s="14"/>
      <c r="AH23" s="14">
        <v>3</v>
      </c>
      <c r="AI23" s="14">
        <v>3</v>
      </c>
      <c r="AJ23" s="14"/>
    </row>
    <row r="24" spans="1:39">
      <c r="A24" s="7">
        <f t="shared" si="0"/>
        <v>1</v>
      </c>
      <c r="B24" s="7" t="str">
        <f t="shared" si="11"/>
        <v>14FW SMB_01_CURVED_NY_N</v>
      </c>
      <c r="C24" s="7">
        <f t="shared" si="2"/>
        <v>1</v>
      </c>
      <c r="D24" s="7" t="str">
        <f t="shared" si="6"/>
        <v>캡보이214FW SMB_01_CURVED_NY_N</v>
      </c>
      <c r="E24" s="12" t="str">
        <f t="shared" si="3"/>
        <v>201401</v>
      </c>
      <c r="F24" s="347" t="str">
        <f>VLOOKUP($AA24,[3]주!$A:$F,6,FALSE)</f>
        <v>1월 4주</v>
      </c>
      <c r="G24" s="7">
        <f t="shared" si="4"/>
        <v>1</v>
      </c>
      <c r="H24" s="7" t="str">
        <f t="shared" si="7"/>
        <v>14FW SMB_01_CURVED_NY_N</v>
      </c>
      <c r="I24" s="7">
        <f t="shared" si="5"/>
        <v>1</v>
      </c>
      <c r="J24" s="7" t="str">
        <f t="shared" si="8"/>
        <v>캡보이214FW SMB_01_CURVED_NY_N</v>
      </c>
      <c r="K24" s="17">
        <f t="shared" si="9"/>
        <v>41722</v>
      </c>
      <c r="L24" s="12" t="str">
        <f t="shared" si="10"/>
        <v>201403</v>
      </c>
      <c r="M24" s="347" t="str">
        <f>VLOOKUP($K24,[3]주!$A:$F,6,FALSE)</f>
        <v>3월 2주</v>
      </c>
      <c r="N24" s="273" t="str">
        <f>IF(VLOOKUP($Z24,생산업체!$A:$C,2,FALSE)=1,"해외","국내")</f>
        <v>해외</v>
      </c>
      <c r="O24" s="12" t="str">
        <f>IF(VLOOKUP($U24,CODE!$K:$P,CODE!P$1,FALSE)="모자",T24,T24&amp;"-"&amp;VLOOKUP($U24,CODE!$K:$P,CODE!P$1,FALSE))</f>
        <v>SMB</v>
      </c>
      <c r="P24" s="13" t="s">
        <v>47</v>
      </c>
      <c r="Q24" s="13"/>
      <c r="R24" s="13">
        <v>23</v>
      </c>
      <c r="S24" s="13"/>
      <c r="T24" s="14" t="s">
        <v>47</v>
      </c>
      <c r="U24" s="14" t="s">
        <v>35</v>
      </c>
      <c r="V24" s="14" t="s">
        <v>43</v>
      </c>
      <c r="W24" s="14" t="s">
        <v>1306</v>
      </c>
      <c r="X24" s="14" t="s">
        <v>110</v>
      </c>
      <c r="Y24" s="15">
        <v>1</v>
      </c>
      <c r="Z24" s="14" t="s">
        <v>1305</v>
      </c>
      <c r="AA24" s="16">
        <v>41663</v>
      </c>
      <c r="AB24" s="16">
        <v>41691</v>
      </c>
      <c r="AC24" s="16">
        <v>41717</v>
      </c>
      <c r="AD24" s="16">
        <v>41722</v>
      </c>
      <c r="AE24" s="14"/>
      <c r="AF24" s="14"/>
      <c r="AG24" s="14"/>
      <c r="AH24" s="14">
        <v>3</v>
      </c>
      <c r="AI24" s="14">
        <v>3</v>
      </c>
      <c r="AJ24" s="14"/>
    </row>
    <row r="25" spans="1:39">
      <c r="A25" s="7">
        <f t="shared" si="0"/>
        <v>0.5</v>
      </c>
      <c r="B25" s="7" t="str">
        <f t="shared" si="11"/>
        <v>14FW SMB_03_CURVED_RD_N</v>
      </c>
      <c r="C25" s="7">
        <f t="shared" si="2"/>
        <v>1</v>
      </c>
      <c r="D25" s="7" t="str">
        <f t="shared" si="6"/>
        <v>캡보이214FW SMB_03_CURVED_RD_N</v>
      </c>
      <c r="E25" s="12" t="str">
        <f t="shared" si="3"/>
        <v>201401</v>
      </c>
      <c r="F25" s="347" t="str">
        <f>VLOOKUP($AA25,[3]주!$A:$F,6,FALSE)</f>
        <v>1월 4주</v>
      </c>
      <c r="G25" s="7">
        <f t="shared" si="4"/>
        <v>0.5</v>
      </c>
      <c r="H25" s="7" t="str">
        <f t="shared" si="7"/>
        <v>14FW SMB_03_CURVED_RD_N</v>
      </c>
      <c r="I25" s="7">
        <f t="shared" si="5"/>
        <v>1</v>
      </c>
      <c r="J25" s="7" t="str">
        <f t="shared" si="8"/>
        <v>캡보이214FW SMB_03_CURVED_RD_N</v>
      </c>
      <c r="K25" s="17" t="str">
        <f t="shared" si="9"/>
        <v>캔슬</v>
      </c>
      <c r="L25" s="12" t="e">
        <f t="shared" si="10"/>
        <v>#VALUE!</v>
      </c>
      <c r="M25" s="347" t="e">
        <f>VLOOKUP($K25,[3]주!$A:$F,6,FALSE)</f>
        <v>#N/A</v>
      </c>
      <c r="N25" s="273" t="str">
        <f>IF(VLOOKUP($Z25,생산업체!$A:$C,2,FALSE)=1,"해외","국내")</f>
        <v>해외</v>
      </c>
      <c r="O25" s="12" t="str">
        <f>IF(VLOOKUP($U25,CODE!$K:$P,CODE!P$1,FALSE)="모자",T25,T25&amp;"-"&amp;VLOOKUP($U25,CODE!$K:$P,CODE!P$1,FALSE))</f>
        <v>SMB</v>
      </c>
      <c r="P25" s="13" t="s">
        <v>47</v>
      </c>
      <c r="Q25" s="13"/>
      <c r="R25" s="13">
        <v>24</v>
      </c>
      <c r="S25" s="13"/>
      <c r="T25" s="14" t="s">
        <v>47</v>
      </c>
      <c r="U25" s="14" t="s">
        <v>38</v>
      </c>
      <c r="V25" s="14" t="s">
        <v>43</v>
      </c>
      <c r="W25" s="14" t="s">
        <v>1309</v>
      </c>
      <c r="X25" s="14" t="s">
        <v>110</v>
      </c>
      <c r="Y25" s="15">
        <v>0.5</v>
      </c>
      <c r="Z25" s="14" t="s">
        <v>1305</v>
      </c>
      <c r="AA25" s="16">
        <v>41663</v>
      </c>
      <c r="AB25" s="16">
        <v>41691</v>
      </c>
      <c r="AC25" s="16" t="s">
        <v>1929</v>
      </c>
      <c r="AD25" s="16" t="s">
        <v>1929</v>
      </c>
      <c r="AE25" s="14"/>
      <c r="AF25" s="14"/>
      <c r="AG25" s="14"/>
      <c r="AH25" s="14">
        <v>2</v>
      </c>
      <c r="AI25" s="14">
        <v>2</v>
      </c>
      <c r="AJ25" s="14" t="s">
        <v>1929</v>
      </c>
    </row>
    <row r="26" spans="1:39">
      <c r="A26" s="7">
        <f t="shared" si="0"/>
        <v>1</v>
      </c>
      <c r="B26" s="7" t="str">
        <f t="shared" si="11"/>
        <v>14FW WITAILOR CAP-01-WN</v>
      </c>
      <c r="C26" s="7">
        <f t="shared" si="2"/>
        <v>1</v>
      </c>
      <c r="D26" s="7" t="str">
        <f t="shared" si="6"/>
        <v>FOREMOST14FW WITAILOR CAP-01-WN</v>
      </c>
      <c r="E26" s="12" t="str">
        <f t="shared" si="3"/>
        <v>201402</v>
      </c>
      <c r="F26" s="347" t="str">
        <f>VLOOKUP($AA26,[3]주!$A:$F,6,FALSE)</f>
        <v>2월 1주</v>
      </c>
      <c r="G26" s="7">
        <f t="shared" si="4"/>
        <v>1</v>
      </c>
      <c r="H26" s="7" t="str">
        <f t="shared" si="7"/>
        <v>14FW WITAILOR CAP-01-WN</v>
      </c>
      <c r="I26" s="7">
        <f t="shared" si="5"/>
        <v>1</v>
      </c>
      <c r="J26" s="7" t="str">
        <f t="shared" si="8"/>
        <v>FOREMOST14FW WITAILOR CAP-01-WN</v>
      </c>
      <c r="K26" s="17">
        <f t="shared" si="9"/>
        <v>41719</v>
      </c>
      <c r="L26" s="12" t="str">
        <f t="shared" si="10"/>
        <v>201403</v>
      </c>
      <c r="M26" s="347" t="str">
        <f>VLOOKUP($K26,[3]주!$A:$F,6,FALSE)</f>
        <v>3월 2주</v>
      </c>
      <c r="N26" s="273" t="str">
        <f>IF(VLOOKUP($Z26,생산업체!$A:$C,2,FALSE)=1,"해외","국내")</f>
        <v>해외</v>
      </c>
      <c r="O26" s="12" t="str">
        <f>IF(VLOOKUP($U26,CODE!$K:$P,CODE!P$1,FALSE)="모자",T26,T26&amp;"-"&amp;VLOOKUP($U26,CODE!$K:$P,CODE!P$1,FALSE))</f>
        <v>WTR</v>
      </c>
      <c r="P26" s="13" t="s">
        <v>46</v>
      </c>
      <c r="Q26" s="13"/>
      <c r="R26" s="13">
        <v>25</v>
      </c>
      <c r="S26" s="13"/>
      <c r="T26" s="14" t="s">
        <v>46</v>
      </c>
      <c r="U26" s="14" t="s">
        <v>28</v>
      </c>
      <c r="V26" s="14" t="s">
        <v>43</v>
      </c>
      <c r="W26" s="14" t="s">
        <v>1466</v>
      </c>
      <c r="X26" s="14" t="s">
        <v>110</v>
      </c>
      <c r="Y26" s="15">
        <v>1</v>
      </c>
      <c r="Z26" s="14" t="s">
        <v>6</v>
      </c>
      <c r="AA26" s="16">
        <v>41675</v>
      </c>
      <c r="AB26" s="16">
        <v>41703</v>
      </c>
      <c r="AC26" s="16">
        <v>41719</v>
      </c>
      <c r="AD26" s="16">
        <v>41719</v>
      </c>
      <c r="AE26" s="14"/>
      <c r="AF26" s="14"/>
      <c r="AG26" s="14"/>
      <c r="AH26" s="14">
        <v>7</v>
      </c>
      <c r="AI26" s="14">
        <v>5</v>
      </c>
      <c r="AJ26" s="14" t="s">
        <v>1556</v>
      </c>
    </row>
    <row r="27" spans="1:39">
      <c r="A27" s="7">
        <f t="shared" si="0"/>
        <v>1</v>
      </c>
      <c r="B27" s="7" t="str">
        <f t="shared" si="11"/>
        <v>14FW WITAILOR CAP-02-BK</v>
      </c>
      <c r="C27" s="7">
        <f t="shared" si="2"/>
        <v>1</v>
      </c>
      <c r="D27" s="7" t="str">
        <f t="shared" si="6"/>
        <v>FOREMOST14FW WITAILOR CAP-02-BK</v>
      </c>
      <c r="E27" s="12" t="str">
        <f t="shared" si="3"/>
        <v>201402</v>
      </c>
      <c r="F27" s="347" t="str">
        <f>VLOOKUP($AA27,[3]주!$A:$F,6,FALSE)</f>
        <v>2월 1주</v>
      </c>
      <c r="G27" s="7">
        <f t="shared" si="4"/>
        <v>1</v>
      </c>
      <c r="H27" s="7" t="str">
        <f t="shared" si="7"/>
        <v>14FW WITAILOR CAP-02-BK</v>
      </c>
      <c r="I27" s="7">
        <f t="shared" si="5"/>
        <v>1</v>
      </c>
      <c r="J27" s="7" t="str">
        <f t="shared" si="8"/>
        <v>FOREMOST14FW WITAILOR CAP-02-BK</v>
      </c>
      <c r="K27" s="17">
        <f t="shared" si="9"/>
        <v>41725</v>
      </c>
      <c r="L27" s="12" t="str">
        <f t="shared" si="10"/>
        <v>201403</v>
      </c>
      <c r="M27" s="347" t="str">
        <f>VLOOKUP($K27,[3]주!$A:$F,6,FALSE)</f>
        <v>3월 2주</v>
      </c>
      <c r="N27" s="273" t="str">
        <f>IF(VLOOKUP($Z27,생산업체!$A:$C,2,FALSE)=1,"해외","국내")</f>
        <v>해외</v>
      </c>
      <c r="O27" s="12" t="str">
        <f>IF(VLOOKUP($U27,CODE!$K:$P,CODE!P$1,FALSE)="모자",T27,T27&amp;"-"&amp;VLOOKUP($U27,CODE!$K:$P,CODE!P$1,FALSE))</f>
        <v>WTR</v>
      </c>
      <c r="P27" s="13" t="s">
        <v>46</v>
      </c>
      <c r="Q27" s="13"/>
      <c r="R27" s="13">
        <v>26</v>
      </c>
      <c r="S27" s="13"/>
      <c r="T27" s="14" t="s">
        <v>46</v>
      </c>
      <c r="U27" s="14" t="s">
        <v>28</v>
      </c>
      <c r="V27" s="14" t="s">
        <v>43</v>
      </c>
      <c r="W27" s="14" t="s">
        <v>1467</v>
      </c>
      <c r="X27" s="14" t="s">
        <v>110</v>
      </c>
      <c r="Y27" s="15">
        <v>1</v>
      </c>
      <c r="Z27" s="14" t="s">
        <v>6</v>
      </c>
      <c r="AA27" s="16">
        <v>41675</v>
      </c>
      <c r="AB27" s="16">
        <v>41703</v>
      </c>
      <c r="AC27" s="16">
        <v>41729</v>
      </c>
      <c r="AD27" s="16">
        <v>41725</v>
      </c>
      <c r="AE27" s="14"/>
      <c r="AF27" s="14"/>
      <c r="AG27" s="14"/>
      <c r="AH27" s="14">
        <v>5</v>
      </c>
      <c r="AI27" s="14">
        <v>4</v>
      </c>
      <c r="AJ27" s="14"/>
    </row>
    <row r="28" spans="1:39">
      <c r="A28" s="7">
        <f t="shared" si="0"/>
        <v>1</v>
      </c>
      <c r="B28" s="7" t="str">
        <f t="shared" si="11"/>
        <v>14FW WITAILOR CAP-03-NY</v>
      </c>
      <c r="C28" s="7">
        <f t="shared" si="2"/>
        <v>1</v>
      </c>
      <c r="D28" s="7" t="str">
        <f t="shared" si="6"/>
        <v>동일모자14FW WITAILOR CAP-03-NY</v>
      </c>
      <c r="E28" s="12" t="str">
        <f t="shared" si="3"/>
        <v>201402</v>
      </c>
      <c r="F28" s="347" t="str">
        <f>VLOOKUP($AA28,[3]주!$A:$F,6,FALSE)</f>
        <v>2월 1주</v>
      </c>
      <c r="G28" s="7">
        <f t="shared" si="4"/>
        <v>1</v>
      </c>
      <c r="H28" s="7" t="str">
        <f t="shared" si="7"/>
        <v>14FW WITAILOR CAP-03-NY</v>
      </c>
      <c r="I28" s="7">
        <f t="shared" si="5"/>
        <v>1</v>
      </c>
      <c r="J28" s="7" t="str">
        <f t="shared" si="8"/>
        <v>동일모자14FW WITAILOR CAP-03-NY</v>
      </c>
      <c r="K28" s="17">
        <f t="shared" si="9"/>
        <v>41709</v>
      </c>
      <c r="L28" s="12" t="str">
        <f t="shared" si="10"/>
        <v>201403</v>
      </c>
      <c r="M28" s="347" t="str">
        <f>VLOOKUP($K28,[3]주!$A:$F,6,FALSE)</f>
        <v>3월 2주</v>
      </c>
      <c r="N28" s="273" t="str">
        <f>IF(VLOOKUP($Z28,생산업체!$A:$C,2,FALSE)=1,"해외","국내")</f>
        <v>해외</v>
      </c>
      <c r="O28" s="12" t="str">
        <f>IF(VLOOKUP($U28,CODE!$K:$P,CODE!P$1,FALSE)="모자",T28,T28&amp;"-"&amp;VLOOKUP($U28,CODE!$K:$P,CODE!P$1,FALSE))</f>
        <v>WTR</v>
      </c>
      <c r="P28" s="13" t="s">
        <v>46</v>
      </c>
      <c r="Q28" s="13"/>
      <c r="R28" s="13">
        <v>27</v>
      </c>
      <c r="S28" s="13"/>
      <c r="T28" s="14" t="s">
        <v>46</v>
      </c>
      <c r="U28" s="14" t="s">
        <v>38</v>
      </c>
      <c r="V28" s="14" t="s">
        <v>43</v>
      </c>
      <c r="W28" s="14" t="s">
        <v>1468</v>
      </c>
      <c r="X28" s="14" t="s">
        <v>110</v>
      </c>
      <c r="Y28" s="15">
        <v>1</v>
      </c>
      <c r="Z28" s="14" t="s">
        <v>44</v>
      </c>
      <c r="AA28" s="16">
        <v>41675</v>
      </c>
      <c r="AB28" s="16">
        <v>41703</v>
      </c>
      <c r="AC28" s="16">
        <v>41719</v>
      </c>
      <c r="AD28" s="16">
        <v>41709</v>
      </c>
      <c r="AE28" s="14">
        <v>4.8499999999999996</v>
      </c>
      <c r="AF28" s="14"/>
      <c r="AG28" s="14"/>
      <c r="AH28" s="14">
        <v>5</v>
      </c>
      <c r="AI28" s="14">
        <v>3</v>
      </c>
      <c r="AJ28" s="14"/>
    </row>
    <row r="29" spans="1:39">
      <c r="A29" s="7">
        <f t="shared" si="0"/>
        <v>1</v>
      </c>
      <c r="B29" s="7" t="str">
        <f t="shared" si="11"/>
        <v>14FW WITAILOR CAP-04-GY</v>
      </c>
      <c r="C29" s="7">
        <f t="shared" si="2"/>
        <v>1</v>
      </c>
      <c r="D29" s="7" t="str">
        <f t="shared" si="6"/>
        <v>동일모자14FW WITAILOR CAP-04-GY</v>
      </c>
      <c r="E29" s="12" t="str">
        <f t="shared" si="3"/>
        <v>201402</v>
      </c>
      <c r="F29" s="347" t="str">
        <f>VLOOKUP($AA29,[3]주!$A:$F,6,FALSE)</f>
        <v>2월 1주</v>
      </c>
      <c r="G29" s="7">
        <f t="shared" si="4"/>
        <v>1</v>
      </c>
      <c r="H29" s="7" t="str">
        <f t="shared" si="7"/>
        <v>14FW WITAILOR CAP-04-GY</v>
      </c>
      <c r="I29" s="7">
        <f t="shared" si="5"/>
        <v>1</v>
      </c>
      <c r="J29" s="7" t="str">
        <f t="shared" si="8"/>
        <v>동일모자14FW WITAILOR CAP-04-GY</v>
      </c>
      <c r="K29" s="17">
        <f t="shared" si="9"/>
        <v>41719</v>
      </c>
      <c r="L29" s="12" t="str">
        <f t="shared" si="10"/>
        <v>201403</v>
      </c>
      <c r="M29" s="347" t="str">
        <f>VLOOKUP($K29,[3]주!$A:$F,6,FALSE)</f>
        <v>3월 2주</v>
      </c>
      <c r="N29" s="273" t="str">
        <f>IF(VLOOKUP($Z29,생산업체!$A:$C,2,FALSE)=1,"해외","국내")</f>
        <v>해외</v>
      </c>
      <c r="O29" s="12" t="str">
        <f>IF(VLOOKUP($U29,CODE!$K:$P,CODE!P$1,FALSE)="모자",T29,T29&amp;"-"&amp;VLOOKUP($U29,CODE!$K:$P,CODE!P$1,FALSE))</f>
        <v>WTR</v>
      </c>
      <c r="P29" s="13" t="s">
        <v>46</v>
      </c>
      <c r="Q29" s="13"/>
      <c r="R29" s="13">
        <v>28</v>
      </c>
      <c r="S29" s="13"/>
      <c r="T29" s="14" t="s">
        <v>46</v>
      </c>
      <c r="U29" s="14" t="s">
        <v>38</v>
      </c>
      <c r="V29" s="14" t="s">
        <v>43</v>
      </c>
      <c r="W29" s="14" t="s">
        <v>1469</v>
      </c>
      <c r="X29" s="14" t="s">
        <v>110</v>
      </c>
      <c r="Y29" s="15">
        <v>1</v>
      </c>
      <c r="Z29" s="14" t="s">
        <v>44</v>
      </c>
      <c r="AA29" s="16">
        <v>41675</v>
      </c>
      <c r="AB29" s="16">
        <v>41703</v>
      </c>
      <c r="AC29" s="16">
        <v>41719</v>
      </c>
      <c r="AD29" s="16">
        <v>41719</v>
      </c>
      <c r="AE29" s="14">
        <v>4.8499999999999996</v>
      </c>
      <c r="AF29" s="14"/>
      <c r="AG29" s="14"/>
      <c r="AH29" s="14">
        <v>5</v>
      </c>
      <c r="AI29" s="14">
        <v>3</v>
      </c>
      <c r="AJ29" s="14"/>
    </row>
    <row r="30" spans="1:39">
      <c r="A30" s="7">
        <f t="shared" si="0"/>
        <v>1</v>
      </c>
      <c r="B30" s="7" t="str">
        <f t="shared" si="11"/>
        <v>14FW WITAILOR CAP-05-RE</v>
      </c>
      <c r="C30" s="7">
        <f t="shared" si="2"/>
        <v>1</v>
      </c>
      <c r="D30" s="7" t="str">
        <f t="shared" si="6"/>
        <v>FOREMOST14FW WITAILOR CAP-05-RE</v>
      </c>
      <c r="E30" s="12" t="str">
        <f t="shared" si="3"/>
        <v>201402</v>
      </c>
      <c r="F30" s="347" t="str">
        <f>VLOOKUP($AA30,[3]주!$A:$F,6,FALSE)</f>
        <v>2월 1주</v>
      </c>
      <c r="G30" s="7">
        <f t="shared" si="4"/>
        <v>1</v>
      </c>
      <c r="H30" s="7" t="str">
        <f t="shared" si="7"/>
        <v>14FW WITAILOR CAP-05-RE</v>
      </c>
      <c r="I30" s="7">
        <f t="shared" si="5"/>
        <v>1</v>
      </c>
      <c r="J30" s="7" t="str">
        <f t="shared" si="8"/>
        <v>FOREMOST14FW WITAILOR CAP-05-RE</v>
      </c>
      <c r="K30" s="17">
        <f t="shared" si="9"/>
        <v>41722</v>
      </c>
      <c r="L30" s="12" t="str">
        <f t="shared" si="10"/>
        <v>201403</v>
      </c>
      <c r="M30" s="347" t="str">
        <f>VLOOKUP($K30,[3]주!$A:$F,6,FALSE)</f>
        <v>3월 2주</v>
      </c>
      <c r="N30" s="273" t="str">
        <f>IF(VLOOKUP($Z30,생산업체!$A:$C,2,FALSE)=1,"해외","국내")</f>
        <v>해외</v>
      </c>
      <c r="O30" s="12" t="str">
        <f>IF(VLOOKUP($U30,CODE!$K:$P,CODE!P$1,FALSE)="모자",T30,T30&amp;"-"&amp;VLOOKUP($U30,CODE!$K:$P,CODE!P$1,FALSE))</f>
        <v>WTR</v>
      </c>
      <c r="P30" s="13" t="s">
        <v>46</v>
      </c>
      <c r="Q30" s="13"/>
      <c r="R30" s="13">
        <v>29</v>
      </c>
      <c r="S30" s="13"/>
      <c r="T30" s="14" t="s">
        <v>46</v>
      </c>
      <c r="U30" s="14" t="s">
        <v>38</v>
      </c>
      <c r="V30" s="14" t="s">
        <v>43</v>
      </c>
      <c r="W30" s="14" t="s">
        <v>1470</v>
      </c>
      <c r="X30" s="14" t="s">
        <v>110</v>
      </c>
      <c r="Y30" s="15">
        <v>1</v>
      </c>
      <c r="Z30" s="14" t="s">
        <v>6</v>
      </c>
      <c r="AA30" s="16">
        <v>41675</v>
      </c>
      <c r="AB30" s="16">
        <v>41703</v>
      </c>
      <c r="AC30" s="16">
        <v>41729</v>
      </c>
      <c r="AD30" s="16">
        <v>41722</v>
      </c>
      <c r="AE30" s="14"/>
      <c r="AF30" s="14"/>
      <c r="AG30" s="14"/>
      <c r="AH30" s="14">
        <v>5</v>
      </c>
      <c r="AI30" s="14">
        <v>3</v>
      </c>
      <c r="AJ30" s="14"/>
    </row>
    <row r="31" spans="1:39">
      <c r="A31" s="7">
        <f t="shared" si="0"/>
        <v>1</v>
      </c>
      <c r="B31" s="7" t="str">
        <f t="shared" si="11"/>
        <v>14FW WITAILOR CAP-06-BR</v>
      </c>
      <c r="C31" s="7">
        <f t="shared" si="2"/>
        <v>1</v>
      </c>
      <c r="D31" s="7" t="str">
        <f t="shared" si="6"/>
        <v>FOREMOST14FW WITAILOR CAP-06-BR</v>
      </c>
      <c r="E31" s="12" t="str">
        <f t="shared" si="3"/>
        <v>201402</v>
      </c>
      <c r="F31" s="347" t="str">
        <f>VLOOKUP($AA31,[3]주!$A:$F,6,FALSE)</f>
        <v>2월 1주</v>
      </c>
      <c r="G31" s="7">
        <f t="shared" si="4"/>
        <v>1</v>
      </c>
      <c r="H31" s="7" t="str">
        <f t="shared" si="7"/>
        <v>14FW WITAILOR CAP-06-BR</v>
      </c>
      <c r="I31" s="7">
        <f t="shared" si="5"/>
        <v>1</v>
      </c>
      <c r="J31" s="7" t="str">
        <f t="shared" si="8"/>
        <v>FOREMOST14FW WITAILOR CAP-06-BR</v>
      </c>
      <c r="K31" s="17">
        <f t="shared" si="9"/>
        <v>41722</v>
      </c>
      <c r="L31" s="12" t="str">
        <f t="shared" si="10"/>
        <v>201403</v>
      </c>
      <c r="M31" s="347" t="str">
        <f>VLOOKUP($K31,[3]주!$A:$F,6,FALSE)</f>
        <v>3월 2주</v>
      </c>
      <c r="N31" s="273" t="str">
        <f>IF(VLOOKUP($Z31,생산업체!$A:$C,2,FALSE)=1,"해외","국내")</f>
        <v>해외</v>
      </c>
      <c r="O31" s="12" t="str">
        <f>IF(VLOOKUP($U31,CODE!$K:$P,CODE!P$1,FALSE)="모자",T31,T31&amp;"-"&amp;VLOOKUP($U31,CODE!$K:$P,CODE!P$1,FALSE))</f>
        <v>WTR</v>
      </c>
      <c r="P31" s="13" t="s">
        <v>46</v>
      </c>
      <c r="Q31" s="13"/>
      <c r="R31" s="13">
        <v>30</v>
      </c>
      <c r="S31" s="13"/>
      <c r="T31" s="14" t="s">
        <v>46</v>
      </c>
      <c r="U31" s="14" t="s">
        <v>38</v>
      </c>
      <c r="V31" s="14" t="s">
        <v>43</v>
      </c>
      <c r="W31" s="14" t="s">
        <v>1471</v>
      </c>
      <c r="X31" s="14" t="s">
        <v>110</v>
      </c>
      <c r="Y31" s="15">
        <v>1</v>
      </c>
      <c r="Z31" s="14" t="s">
        <v>6</v>
      </c>
      <c r="AA31" s="16">
        <v>41675</v>
      </c>
      <c r="AB31" s="16">
        <v>41703</v>
      </c>
      <c r="AC31" s="16">
        <v>41729</v>
      </c>
      <c r="AD31" s="16">
        <v>41722</v>
      </c>
      <c r="AE31" s="14"/>
      <c r="AF31" s="14"/>
      <c r="AG31" s="14"/>
      <c r="AH31" s="14">
        <v>5</v>
      </c>
      <c r="AI31" s="14">
        <v>2</v>
      </c>
      <c r="AJ31" s="14"/>
    </row>
    <row r="32" spans="1:39">
      <c r="A32" s="7">
        <f t="shared" si="0"/>
        <v>1</v>
      </c>
      <c r="B32" s="7" t="str">
        <f t="shared" si="11"/>
        <v>14FW WITAILOR CAP-07-KH</v>
      </c>
      <c r="C32" s="7">
        <f t="shared" si="2"/>
        <v>1</v>
      </c>
      <c r="D32" s="7" t="str">
        <f t="shared" si="6"/>
        <v>동일모자14FW WITAILOR CAP-07-KH</v>
      </c>
      <c r="E32" s="12" t="str">
        <f t="shared" si="3"/>
        <v>201402</v>
      </c>
      <c r="F32" s="347" t="str">
        <f>VLOOKUP($AA32,[3]주!$A:$F,6,FALSE)</f>
        <v>2월 1주</v>
      </c>
      <c r="G32" s="7">
        <f t="shared" si="4"/>
        <v>1</v>
      </c>
      <c r="H32" s="7" t="str">
        <f t="shared" si="7"/>
        <v>14FW WITAILOR CAP-07-KH</v>
      </c>
      <c r="I32" s="7">
        <f t="shared" si="5"/>
        <v>1</v>
      </c>
      <c r="J32" s="7" t="str">
        <f t="shared" si="8"/>
        <v>동일모자14FW WITAILOR CAP-07-KH</v>
      </c>
      <c r="K32" s="17">
        <f t="shared" si="9"/>
        <v>41709</v>
      </c>
      <c r="L32" s="12" t="str">
        <f t="shared" si="10"/>
        <v>201403</v>
      </c>
      <c r="M32" s="347" t="str">
        <f>VLOOKUP($K32,[3]주!$A:$F,6,FALSE)</f>
        <v>3월 2주</v>
      </c>
      <c r="N32" s="273" t="str">
        <f>IF(VLOOKUP($Z32,생산업체!$A:$C,2,FALSE)=1,"해외","국내")</f>
        <v>해외</v>
      </c>
      <c r="O32" s="12" t="str">
        <f>IF(VLOOKUP($U32,CODE!$K:$P,CODE!P$1,FALSE)="모자",T32,T32&amp;"-"&amp;VLOOKUP($U32,CODE!$K:$P,CODE!P$1,FALSE))</f>
        <v>WTR</v>
      </c>
      <c r="P32" s="13" t="s">
        <v>46</v>
      </c>
      <c r="Q32" s="13"/>
      <c r="R32" s="13">
        <v>31</v>
      </c>
      <c r="S32" s="13"/>
      <c r="T32" s="14" t="s">
        <v>46</v>
      </c>
      <c r="U32" s="14" t="s">
        <v>35</v>
      </c>
      <c r="V32" s="14" t="s">
        <v>43</v>
      </c>
      <c r="W32" s="14" t="s">
        <v>1472</v>
      </c>
      <c r="X32" s="14" t="s">
        <v>110</v>
      </c>
      <c r="Y32" s="15">
        <v>1</v>
      </c>
      <c r="Z32" s="14" t="s">
        <v>44</v>
      </c>
      <c r="AA32" s="16">
        <v>41675</v>
      </c>
      <c r="AB32" s="16">
        <v>41703</v>
      </c>
      <c r="AC32" s="16">
        <v>41719</v>
      </c>
      <c r="AD32" s="16">
        <v>41709</v>
      </c>
      <c r="AE32" s="14">
        <v>6.5</v>
      </c>
      <c r="AF32" s="14"/>
      <c r="AG32" s="14"/>
      <c r="AH32" s="14">
        <v>5</v>
      </c>
      <c r="AI32" s="14">
        <v>3</v>
      </c>
      <c r="AJ32" s="14"/>
    </row>
    <row r="33" spans="1:36">
      <c r="A33" s="7">
        <f t="shared" si="0"/>
        <v>1</v>
      </c>
      <c r="B33" s="7" t="str">
        <f t="shared" si="11"/>
        <v>14FW WITAILOR CAP-08-BL</v>
      </c>
      <c r="C33" s="7">
        <f t="shared" si="2"/>
        <v>1</v>
      </c>
      <c r="D33" s="7" t="str">
        <f t="shared" si="6"/>
        <v>동일모자14FW WITAILOR CAP-08-BL</v>
      </c>
      <c r="E33" s="12" t="str">
        <f t="shared" si="3"/>
        <v>201402</v>
      </c>
      <c r="F33" s="347" t="str">
        <f>VLOOKUP($AA33,[3]주!$A:$F,6,FALSE)</f>
        <v>2월 1주</v>
      </c>
      <c r="G33" s="7">
        <f t="shared" si="4"/>
        <v>1</v>
      </c>
      <c r="H33" s="7" t="str">
        <f t="shared" si="7"/>
        <v>14FW WITAILOR CAP-08-BL</v>
      </c>
      <c r="I33" s="7">
        <f t="shared" si="5"/>
        <v>1</v>
      </c>
      <c r="J33" s="7" t="str">
        <f t="shared" si="8"/>
        <v>동일모자14FW WITAILOR CAP-08-BL</v>
      </c>
      <c r="K33" s="17">
        <f t="shared" si="9"/>
        <v>41709</v>
      </c>
      <c r="L33" s="12" t="str">
        <f t="shared" si="10"/>
        <v>201403</v>
      </c>
      <c r="M33" s="347" t="str">
        <f>VLOOKUP($K33,[3]주!$A:$F,6,FALSE)</f>
        <v>3월 2주</v>
      </c>
      <c r="N33" s="273" t="str">
        <f>IF(VLOOKUP($Z33,생산업체!$A:$C,2,FALSE)=1,"해외","국내")</f>
        <v>해외</v>
      </c>
      <c r="O33" s="12" t="str">
        <f>IF(VLOOKUP($U33,CODE!$K:$P,CODE!P$1,FALSE)="모자",T33,T33&amp;"-"&amp;VLOOKUP($U33,CODE!$K:$P,CODE!P$1,FALSE))</f>
        <v>WTR</v>
      </c>
      <c r="P33" s="13" t="s">
        <v>46</v>
      </c>
      <c r="Q33" s="13"/>
      <c r="R33" s="13">
        <v>32</v>
      </c>
      <c r="S33" s="13"/>
      <c r="T33" s="14" t="s">
        <v>46</v>
      </c>
      <c r="U33" s="14" t="s">
        <v>35</v>
      </c>
      <c r="V33" s="14" t="s">
        <v>43</v>
      </c>
      <c r="W33" s="14" t="s">
        <v>1473</v>
      </c>
      <c r="X33" s="14" t="s">
        <v>110</v>
      </c>
      <c r="Y33" s="15">
        <v>1</v>
      </c>
      <c r="Z33" s="14" t="s">
        <v>44</v>
      </c>
      <c r="AA33" s="16">
        <v>41675</v>
      </c>
      <c r="AB33" s="16">
        <v>41703</v>
      </c>
      <c r="AC33" s="16">
        <v>41719</v>
      </c>
      <c r="AD33" s="16">
        <v>41709</v>
      </c>
      <c r="AE33" s="14">
        <v>6.35</v>
      </c>
      <c r="AF33" s="14"/>
      <c r="AG33" s="14"/>
      <c r="AH33" s="14">
        <v>5</v>
      </c>
      <c r="AI33" s="14">
        <v>2</v>
      </c>
      <c r="AJ33" s="14"/>
    </row>
    <row r="34" spans="1:36">
      <c r="A34" s="7">
        <f t="shared" si="0"/>
        <v>0.5</v>
      </c>
      <c r="B34" s="7" t="str">
        <f t="shared" si="11"/>
        <v>14FW WITAILOR CAP-09-BK</v>
      </c>
      <c r="C34" s="7">
        <f t="shared" si="2"/>
        <v>1</v>
      </c>
      <c r="D34" s="7" t="str">
        <f t="shared" si="6"/>
        <v>동일모자14FW WITAILOR CAP-09-BK</v>
      </c>
      <c r="E34" s="12" t="str">
        <f t="shared" si="3"/>
        <v>201402</v>
      </c>
      <c r="F34" s="347" t="str">
        <f>VLOOKUP($AA34,[3]주!$A:$F,6,FALSE)</f>
        <v>2월 1주</v>
      </c>
      <c r="G34" s="7">
        <f t="shared" si="4"/>
        <v>0.5</v>
      </c>
      <c r="H34" s="7" t="str">
        <f t="shared" si="7"/>
        <v>14FW WITAILOR CAP-09-BK</v>
      </c>
      <c r="I34" s="7">
        <f t="shared" si="5"/>
        <v>1</v>
      </c>
      <c r="J34" s="7" t="str">
        <f t="shared" si="8"/>
        <v>동일모자14FW WITAILOR CAP-09-BK</v>
      </c>
      <c r="K34" s="17">
        <f t="shared" si="9"/>
        <v>41709</v>
      </c>
      <c r="L34" s="12" t="str">
        <f t="shared" si="10"/>
        <v>201403</v>
      </c>
      <c r="M34" s="347" t="str">
        <f>VLOOKUP($K34,[3]주!$A:$F,6,FALSE)</f>
        <v>3월 2주</v>
      </c>
      <c r="N34" s="273" t="str">
        <f>IF(VLOOKUP($Z34,생산업체!$A:$C,2,FALSE)=1,"해외","국내")</f>
        <v>해외</v>
      </c>
      <c r="O34" s="12" t="str">
        <f>IF(VLOOKUP($U34,CODE!$K:$P,CODE!P$1,FALSE)="모자",T34,T34&amp;"-"&amp;VLOOKUP($U34,CODE!$K:$P,CODE!P$1,FALSE))</f>
        <v>WTR</v>
      </c>
      <c r="P34" s="13" t="s">
        <v>46</v>
      </c>
      <c r="Q34" s="13"/>
      <c r="R34" s="13">
        <v>33</v>
      </c>
      <c r="S34" s="13"/>
      <c r="T34" s="14" t="s">
        <v>46</v>
      </c>
      <c r="U34" s="14" t="s">
        <v>35</v>
      </c>
      <c r="V34" s="14" t="s">
        <v>43</v>
      </c>
      <c r="W34" s="14" t="s">
        <v>1474</v>
      </c>
      <c r="X34" s="14" t="s">
        <v>110</v>
      </c>
      <c r="Y34" s="15">
        <v>0.5</v>
      </c>
      <c r="Z34" s="14" t="s">
        <v>44</v>
      </c>
      <c r="AA34" s="16">
        <v>41675</v>
      </c>
      <c r="AB34" s="16">
        <v>41703</v>
      </c>
      <c r="AC34" s="16">
        <v>41719</v>
      </c>
      <c r="AD34" s="16">
        <v>41709</v>
      </c>
      <c r="AE34" s="14">
        <v>5.95</v>
      </c>
      <c r="AF34" s="14"/>
      <c r="AG34" s="14"/>
      <c r="AH34" s="14">
        <v>5</v>
      </c>
      <c r="AI34" s="14">
        <v>3</v>
      </c>
      <c r="AJ34" s="14"/>
    </row>
    <row r="35" spans="1:36">
      <c r="A35" s="7">
        <f t="shared" si="0"/>
        <v>0.5</v>
      </c>
      <c r="B35" s="7" t="str">
        <f t="shared" si="11"/>
        <v>14FW WITAILOR CAP-10-KH</v>
      </c>
      <c r="C35" s="7">
        <f t="shared" si="2"/>
        <v>1</v>
      </c>
      <c r="D35" s="7" t="str">
        <f t="shared" si="6"/>
        <v>동일모자14FW WITAILOR CAP-10-KH</v>
      </c>
      <c r="E35" s="12" t="str">
        <f t="shared" si="3"/>
        <v>201402</v>
      </c>
      <c r="F35" s="347" t="str">
        <f>VLOOKUP($AA35,[3]주!$A:$F,6,FALSE)</f>
        <v>2월 1주</v>
      </c>
      <c r="G35" s="7">
        <f t="shared" si="4"/>
        <v>0.5</v>
      </c>
      <c r="H35" s="7" t="str">
        <f t="shared" si="7"/>
        <v>14FW WITAILOR CAP-10-KH</v>
      </c>
      <c r="I35" s="7">
        <f t="shared" si="5"/>
        <v>1</v>
      </c>
      <c r="J35" s="7" t="str">
        <f t="shared" si="8"/>
        <v>동일모자14FW WITAILOR CAP-10-KH</v>
      </c>
      <c r="K35" s="17">
        <f t="shared" si="9"/>
        <v>41709</v>
      </c>
      <c r="L35" s="12" t="str">
        <f t="shared" si="10"/>
        <v>201403</v>
      </c>
      <c r="M35" s="347" t="str">
        <f>VLOOKUP($K35,[3]주!$A:$F,6,FALSE)</f>
        <v>3월 2주</v>
      </c>
      <c r="N35" s="273" t="str">
        <f>IF(VLOOKUP($Z35,생산업체!$A:$C,2,FALSE)=1,"해외","국내")</f>
        <v>해외</v>
      </c>
      <c r="O35" s="12" t="str">
        <f>IF(VLOOKUP($U35,CODE!$K:$P,CODE!P$1,FALSE)="모자",T35,T35&amp;"-"&amp;VLOOKUP($U35,CODE!$K:$P,CODE!P$1,FALSE))</f>
        <v>WTR</v>
      </c>
      <c r="P35" s="13" t="s">
        <v>46</v>
      </c>
      <c r="Q35" s="13"/>
      <c r="R35" s="13">
        <v>34</v>
      </c>
      <c r="S35" s="13"/>
      <c r="T35" s="14" t="s">
        <v>46</v>
      </c>
      <c r="U35" s="14" t="s">
        <v>35</v>
      </c>
      <c r="V35" s="14" t="s">
        <v>43</v>
      </c>
      <c r="W35" s="14" t="s">
        <v>1475</v>
      </c>
      <c r="X35" s="14" t="s">
        <v>110</v>
      </c>
      <c r="Y35" s="15">
        <v>0.5</v>
      </c>
      <c r="Z35" s="14" t="s">
        <v>44</v>
      </c>
      <c r="AA35" s="16">
        <v>41675</v>
      </c>
      <c r="AB35" s="16">
        <v>41703</v>
      </c>
      <c r="AC35" s="16">
        <v>41719</v>
      </c>
      <c r="AD35" s="16">
        <v>41709</v>
      </c>
      <c r="AE35" s="14">
        <v>5.7</v>
      </c>
      <c r="AF35" s="14"/>
      <c r="AG35" s="14"/>
      <c r="AH35" s="14">
        <v>6</v>
      </c>
      <c r="AI35" s="14">
        <v>4</v>
      </c>
      <c r="AJ35" s="14"/>
    </row>
    <row r="36" spans="1:36">
      <c r="A36" s="7">
        <f t="shared" si="0"/>
        <v>0.5</v>
      </c>
      <c r="B36" s="7" t="str">
        <f t="shared" si="11"/>
        <v>14FW WITAILOR CAP-09-BK</v>
      </c>
      <c r="C36" s="7">
        <f t="shared" si="2"/>
        <v>1</v>
      </c>
      <c r="D36" s="7" t="str">
        <f t="shared" si="6"/>
        <v>FOREMOST14FW WITAILOR CAP-09-BK</v>
      </c>
      <c r="E36" s="12" t="str">
        <f t="shared" si="3"/>
        <v>201402</v>
      </c>
      <c r="F36" s="347" t="str">
        <f>VLOOKUP($AA36,[3]주!$A:$F,6,FALSE)</f>
        <v>2월 1주</v>
      </c>
      <c r="G36" s="7">
        <f t="shared" si="4"/>
        <v>0.5</v>
      </c>
      <c r="H36" s="7" t="str">
        <f t="shared" si="7"/>
        <v>14FW WITAILOR CAP-09-BK</v>
      </c>
      <c r="I36" s="7">
        <f t="shared" si="5"/>
        <v>1</v>
      </c>
      <c r="J36" s="7" t="str">
        <f t="shared" si="8"/>
        <v>FOREMOST14FW WITAILOR CAP-09-BK</v>
      </c>
      <c r="K36" s="17">
        <f t="shared" si="9"/>
        <v>41719</v>
      </c>
      <c r="L36" s="12" t="str">
        <f t="shared" si="10"/>
        <v>201403</v>
      </c>
      <c r="M36" s="347" t="str">
        <f>VLOOKUP($K36,[3]주!$A:$F,6,FALSE)</f>
        <v>3월 2주</v>
      </c>
      <c r="N36" s="273" t="str">
        <f>IF(VLOOKUP($Z36,생산업체!$A:$C,2,FALSE)=1,"해외","국내")</f>
        <v>해외</v>
      </c>
      <c r="O36" s="12" t="str">
        <f>IF(VLOOKUP($U36,CODE!$K:$P,CODE!P$1,FALSE)="모자",T36,T36&amp;"-"&amp;VLOOKUP($U36,CODE!$K:$P,CODE!P$1,FALSE))</f>
        <v>WTR</v>
      </c>
      <c r="P36" s="13" t="s">
        <v>46</v>
      </c>
      <c r="Q36" s="13"/>
      <c r="R36" s="13">
        <v>35</v>
      </c>
      <c r="S36" s="13"/>
      <c r="T36" s="14" t="s">
        <v>46</v>
      </c>
      <c r="U36" s="14" t="s">
        <v>35</v>
      </c>
      <c r="V36" s="14" t="s">
        <v>43</v>
      </c>
      <c r="W36" s="14" t="s">
        <v>1474</v>
      </c>
      <c r="X36" s="14" t="s">
        <v>110</v>
      </c>
      <c r="Y36" s="15">
        <v>0.5</v>
      </c>
      <c r="Z36" s="14" t="s">
        <v>6</v>
      </c>
      <c r="AA36" s="16">
        <v>41675</v>
      </c>
      <c r="AB36" s="16">
        <v>41703</v>
      </c>
      <c r="AC36" s="16">
        <v>41729</v>
      </c>
      <c r="AD36" s="16">
        <v>41719</v>
      </c>
      <c r="AE36" s="14"/>
      <c r="AF36" s="14"/>
      <c r="AG36" s="14"/>
      <c r="AH36" s="14">
        <v>5</v>
      </c>
      <c r="AI36" s="14">
        <v>3</v>
      </c>
      <c r="AJ36" s="14"/>
    </row>
    <row r="37" spans="1:36">
      <c r="A37" s="7">
        <f t="shared" si="0"/>
        <v>0.5</v>
      </c>
      <c r="B37" s="7" t="str">
        <f t="shared" si="11"/>
        <v>14FW WITAILOR CAP-10-KH</v>
      </c>
      <c r="C37" s="7">
        <f t="shared" si="2"/>
        <v>1</v>
      </c>
      <c r="D37" s="7" t="str">
        <f t="shared" si="6"/>
        <v>FOREMOST14FW WITAILOR CAP-10-KH</v>
      </c>
      <c r="E37" s="12" t="str">
        <f t="shared" si="3"/>
        <v>201402</v>
      </c>
      <c r="F37" s="347" t="str">
        <f>VLOOKUP($AA37,[3]주!$A:$F,6,FALSE)</f>
        <v>2월 1주</v>
      </c>
      <c r="G37" s="7">
        <f t="shared" si="4"/>
        <v>0.5</v>
      </c>
      <c r="H37" s="7" t="str">
        <f t="shared" si="7"/>
        <v>14FW WITAILOR CAP-10-KH</v>
      </c>
      <c r="I37" s="7">
        <f t="shared" si="5"/>
        <v>1</v>
      </c>
      <c r="J37" s="7" t="str">
        <f t="shared" si="8"/>
        <v>FOREMOST14FW WITAILOR CAP-10-KH</v>
      </c>
      <c r="K37" s="17">
        <f t="shared" si="9"/>
        <v>41722</v>
      </c>
      <c r="L37" s="12" t="str">
        <f t="shared" si="10"/>
        <v>201403</v>
      </c>
      <c r="M37" s="347" t="str">
        <f>VLOOKUP($K37,[3]주!$A:$F,6,FALSE)</f>
        <v>3월 2주</v>
      </c>
      <c r="N37" s="273" t="str">
        <f>IF(VLOOKUP($Z37,생산업체!$A:$C,2,FALSE)=1,"해외","국내")</f>
        <v>해외</v>
      </c>
      <c r="O37" s="12" t="str">
        <f>IF(VLOOKUP($U37,CODE!$K:$P,CODE!P$1,FALSE)="모자",T37,T37&amp;"-"&amp;VLOOKUP($U37,CODE!$K:$P,CODE!P$1,FALSE))</f>
        <v>WTR</v>
      </c>
      <c r="P37" s="13" t="s">
        <v>46</v>
      </c>
      <c r="Q37" s="13"/>
      <c r="R37" s="13">
        <v>36</v>
      </c>
      <c r="S37" s="13"/>
      <c r="T37" s="14" t="s">
        <v>46</v>
      </c>
      <c r="U37" s="14" t="s">
        <v>35</v>
      </c>
      <c r="V37" s="14" t="s">
        <v>43</v>
      </c>
      <c r="W37" s="14" t="s">
        <v>1475</v>
      </c>
      <c r="X37" s="14" t="s">
        <v>110</v>
      </c>
      <c r="Y37" s="15">
        <v>0.5</v>
      </c>
      <c r="Z37" s="14" t="s">
        <v>6</v>
      </c>
      <c r="AA37" s="16">
        <v>41675</v>
      </c>
      <c r="AB37" s="16">
        <v>41703</v>
      </c>
      <c r="AC37" s="16">
        <v>41729</v>
      </c>
      <c r="AD37" s="16">
        <v>41722</v>
      </c>
      <c r="AE37" s="14"/>
      <c r="AF37" s="14"/>
      <c r="AG37" s="14"/>
      <c r="AH37" s="14">
        <v>6</v>
      </c>
      <c r="AI37" s="14">
        <v>4</v>
      </c>
      <c r="AJ37" s="14"/>
    </row>
    <row r="38" spans="1:36">
      <c r="A38" s="7">
        <f t="shared" si="0"/>
        <v>1</v>
      </c>
      <c r="B38" s="7" t="str">
        <f t="shared" si="11"/>
        <v>14FW WITAILOR CAP-11-GY</v>
      </c>
      <c r="C38" s="7">
        <f t="shared" si="2"/>
        <v>1</v>
      </c>
      <c r="D38" s="7" t="str">
        <f t="shared" si="6"/>
        <v>동일모자14FW WITAILOR CAP-11-GY</v>
      </c>
      <c r="E38" s="12" t="str">
        <f t="shared" si="3"/>
        <v>201402</v>
      </c>
      <c r="F38" s="347" t="str">
        <f>VLOOKUP($AA38,[3]주!$A:$F,6,FALSE)</f>
        <v>2월 1주</v>
      </c>
      <c r="G38" s="7">
        <f t="shared" si="4"/>
        <v>1</v>
      </c>
      <c r="H38" s="7" t="str">
        <f t="shared" si="7"/>
        <v>14FW WITAILOR CAP-11-GY</v>
      </c>
      <c r="I38" s="7">
        <f t="shared" si="5"/>
        <v>1</v>
      </c>
      <c r="J38" s="7" t="str">
        <f t="shared" si="8"/>
        <v>동일모자14FW WITAILOR CAP-11-GY</v>
      </c>
      <c r="K38" s="17">
        <f t="shared" si="9"/>
        <v>41709</v>
      </c>
      <c r="L38" s="12" t="str">
        <f t="shared" si="10"/>
        <v>201403</v>
      </c>
      <c r="M38" s="347" t="str">
        <f>VLOOKUP($K38,[3]주!$A:$F,6,FALSE)</f>
        <v>3월 2주</v>
      </c>
      <c r="N38" s="273" t="str">
        <f>IF(VLOOKUP($Z38,생산업체!$A:$C,2,FALSE)=1,"해외","국내")</f>
        <v>해외</v>
      </c>
      <c r="O38" s="12" t="str">
        <f>IF(VLOOKUP($U38,CODE!$K:$P,CODE!P$1,FALSE)="모자",T38,T38&amp;"-"&amp;VLOOKUP($U38,CODE!$K:$P,CODE!P$1,FALSE))</f>
        <v>WTR</v>
      </c>
      <c r="P38" s="13" t="s">
        <v>46</v>
      </c>
      <c r="Q38" s="13"/>
      <c r="R38" s="13">
        <v>37</v>
      </c>
      <c r="S38" s="13"/>
      <c r="T38" s="14" t="s">
        <v>46</v>
      </c>
      <c r="U38" s="14" t="s">
        <v>35</v>
      </c>
      <c r="V38" s="14" t="s">
        <v>43</v>
      </c>
      <c r="W38" s="14" t="s">
        <v>1476</v>
      </c>
      <c r="X38" s="14" t="s">
        <v>110</v>
      </c>
      <c r="Y38" s="15">
        <v>1</v>
      </c>
      <c r="Z38" s="14" t="s">
        <v>44</v>
      </c>
      <c r="AA38" s="16">
        <v>41675</v>
      </c>
      <c r="AB38" s="16">
        <v>41703</v>
      </c>
      <c r="AC38" s="16">
        <v>41719</v>
      </c>
      <c r="AD38" s="16">
        <v>41709</v>
      </c>
      <c r="AE38" s="14">
        <v>6.55</v>
      </c>
      <c r="AF38" s="14"/>
      <c r="AG38" s="14"/>
      <c r="AH38" s="14">
        <v>5</v>
      </c>
      <c r="AI38" s="14">
        <v>3</v>
      </c>
      <c r="AJ38" s="14"/>
    </row>
    <row r="39" spans="1:36">
      <c r="A39" s="7">
        <f t="shared" si="0"/>
        <v>1</v>
      </c>
      <c r="B39" s="7" t="str">
        <f t="shared" si="11"/>
        <v>14SS JAYPARK_01_BK</v>
      </c>
      <c r="C39" s="7">
        <f t="shared" si="2"/>
        <v>1</v>
      </c>
      <c r="D39" s="7" t="str">
        <f t="shared" si="6"/>
        <v>캡보이14SS JAYPARK_01_BK</v>
      </c>
      <c r="E39" s="12" t="str">
        <f t="shared" si="3"/>
        <v>201402</v>
      </c>
      <c r="F39" s="347" t="str">
        <f>VLOOKUP($AA39,[3]주!$A:$F,6,FALSE)</f>
        <v>2월 1주</v>
      </c>
      <c r="G39" s="7">
        <f t="shared" si="4"/>
        <v>1</v>
      </c>
      <c r="H39" s="7" t="str">
        <f t="shared" si="7"/>
        <v>14SS JAYPARK_01_BK</v>
      </c>
      <c r="I39" s="7">
        <f t="shared" si="5"/>
        <v>1</v>
      </c>
      <c r="J39" s="7" t="str">
        <f t="shared" si="8"/>
        <v>캡보이14SS JAYPARK_01_BK</v>
      </c>
      <c r="K39" s="17">
        <f t="shared" si="9"/>
        <v>41680</v>
      </c>
      <c r="L39" s="12" t="str">
        <f t="shared" si="10"/>
        <v>201402</v>
      </c>
      <c r="M39" s="347" t="str">
        <f>VLOOKUP($K39,[3]주!$A:$F,6,FALSE)</f>
        <v>2월 2주</v>
      </c>
      <c r="N39" s="273" t="str">
        <f>IF(VLOOKUP($Z39,생산업체!$A:$C,2,FALSE)=1,"해외","국내")</f>
        <v>국내</v>
      </c>
      <c r="O39" s="12" t="str">
        <f>IF(VLOOKUP($U39,CODE!$K:$P,CODE!P$1,FALSE)="모자",T39,T39&amp;"-"&amp;VLOOKUP($U39,CODE!$K:$P,CODE!P$1,FALSE))</f>
        <v>JAY.PARK</v>
      </c>
      <c r="P39" s="13" t="s">
        <v>1477</v>
      </c>
      <c r="Q39" s="13"/>
      <c r="R39" s="13">
        <v>38</v>
      </c>
      <c r="S39" s="13"/>
      <c r="T39" s="14" t="s">
        <v>1477</v>
      </c>
      <c r="U39" s="14" t="s">
        <v>50</v>
      </c>
      <c r="V39" s="14" t="s">
        <v>43</v>
      </c>
      <c r="W39" s="14" t="s">
        <v>1478</v>
      </c>
      <c r="X39" s="14" t="s">
        <v>110</v>
      </c>
      <c r="Y39" s="15">
        <v>1</v>
      </c>
      <c r="Z39" s="14" t="s">
        <v>49</v>
      </c>
      <c r="AA39" s="16">
        <v>41673</v>
      </c>
      <c r="AB39" s="16">
        <v>41694</v>
      </c>
      <c r="AC39" s="16">
        <v>41680</v>
      </c>
      <c r="AD39" s="16">
        <v>41680</v>
      </c>
      <c r="AE39" s="14"/>
      <c r="AF39" s="14"/>
      <c r="AG39" s="14"/>
      <c r="AH39" s="14">
        <v>2</v>
      </c>
      <c r="AI39" s="14"/>
      <c r="AJ39" s="14"/>
    </row>
    <row r="40" spans="1:36">
      <c r="A40" s="7">
        <f t="shared" si="0"/>
        <v>1</v>
      </c>
      <c r="B40" s="7" t="str">
        <f t="shared" si="11"/>
        <v>14SS JAYPARK_02_WH</v>
      </c>
      <c r="C40" s="7">
        <f t="shared" si="2"/>
        <v>1</v>
      </c>
      <c r="D40" s="7" t="str">
        <f t="shared" si="6"/>
        <v>캡보이14SS JAYPARK_02_WH</v>
      </c>
      <c r="E40" s="12" t="str">
        <f t="shared" si="3"/>
        <v>201402</v>
      </c>
      <c r="F40" s="347" t="str">
        <f>VLOOKUP($AA40,[3]주!$A:$F,6,FALSE)</f>
        <v>2월 1주</v>
      </c>
      <c r="G40" s="7">
        <f t="shared" si="4"/>
        <v>1</v>
      </c>
      <c r="H40" s="7" t="str">
        <f t="shared" si="7"/>
        <v>14SS JAYPARK_02_WH</v>
      </c>
      <c r="I40" s="7">
        <f t="shared" si="5"/>
        <v>1</v>
      </c>
      <c r="J40" s="7" t="str">
        <f t="shared" si="8"/>
        <v>캡보이14SS JAYPARK_02_WH</v>
      </c>
      <c r="K40" s="17">
        <f t="shared" si="9"/>
        <v>41680</v>
      </c>
      <c r="L40" s="12" t="str">
        <f t="shared" si="10"/>
        <v>201402</v>
      </c>
      <c r="M40" s="347" t="str">
        <f>VLOOKUP($K40,[3]주!$A:$F,6,FALSE)</f>
        <v>2월 2주</v>
      </c>
      <c r="N40" s="273" t="str">
        <f>IF(VLOOKUP($Z40,생산업체!$A:$C,2,FALSE)=1,"해외","국내")</f>
        <v>국내</v>
      </c>
      <c r="O40" s="12" t="str">
        <f>IF(VLOOKUP($U40,CODE!$K:$P,CODE!P$1,FALSE)="모자",T40,T40&amp;"-"&amp;VLOOKUP($U40,CODE!$K:$P,CODE!P$1,FALSE))</f>
        <v>JAY.PARK</v>
      </c>
      <c r="P40" s="13" t="s">
        <v>1477</v>
      </c>
      <c r="Q40" s="13"/>
      <c r="R40" s="13">
        <v>39</v>
      </c>
      <c r="S40" s="13"/>
      <c r="T40" s="14" t="s">
        <v>1477</v>
      </c>
      <c r="U40" s="14" t="s">
        <v>50</v>
      </c>
      <c r="V40" s="14" t="s">
        <v>43</v>
      </c>
      <c r="W40" s="14" t="s">
        <v>1479</v>
      </c>
      <c r="X40" s="14" t="s">
        <v>110</v>
      </c>
      <c r="Y40" s="15">
        <v>1</v>
      </c>
      <c r="Z40" s="14" t="s">
        <v>49</v>
      </c>
      <c r="AA40" s="16">
        <v>41673</v>
      </c>
      <c r="AB40" s="16">
        <v>41694</v>
      </c>
      <c r="AC40" s="16">
        <v>41680</v>
      </c>
      <c r="AD40" s="16">
        <v>41680</v>
      </c>
      <c r="AE40" s="14"/>
      <c r="AF40" s="14"/>
      <c r="AG40" s="14"/>
      <c r="AH40" s="14">
        <v>2</v>
      </c>
      <c r="AI40" s="14"/>
      <c r="AJ40" s="14"/>
    </row>
    <row r="41" spans="1:36">
      <c r="A41" s="7">
        <f t="shared" si="0"/>
        <v>1</v>
      </c>
      <c r="B41" s="7" t="str">
        <f t="shared" si="11"/>
        <v>14SS JAYPARK_03_GY</v>
      </c>
      <c r="C41" s="7">
        <f t="shared" si="2"/>
        <v>1</v>
      </c>
      <c r="D41" s="7" t="str">
        <f t="shared" si="6"/>
        <v>캡보이14SS JAYPARK_03_GY</v>
      </c>
      <c r="E41" s="12" t="str">
        <f t="shared" si="3"/>
        <v>201402</v>
      </c>
      <c r="F41" s="347" t="str">
        <f>VLOOKUP($AA41,[3]주!$A:$F,6,FALSE)</f>
        <v>2월 1주</v>
      </c>
      <c r="G41" s="7">
        <f t="shared" si="4"/>
        <v>1</v>
      </c>
      <c r="H41" s="7" t="str">
        <f t="shared" si="7"/>
        <v>14SS JAYPARK_03_GY</v>
      </c>
      <c r="I41" s="7">
        <f t="shared" si="5"/>
        <v>1</v>
      </c>
      <c r="J41" s="7" t="str">
        <f t="shared" si="8"/>
        <v>캡보이14SS JAYPARK_03_GY</v>
      </c>
      <c r="K41" s="17">
        <f t="shared" si="9"/>
        <v>41680</v>
      </c>
      <c r="L41" s="12" t="str">
        <f t="shared" si="10"/>
        <v>201402</v>
      </c>
      <c r="M41" s="347" t="str">
        <f>VLOOKUP($K41,[3]주!$A:$F,6,FALSE)</f>
        <v>2월 2주</v>
      </c>
      <c r="N41" s="273" t="str">
        <f>IF(VLOOKUP($Z41,생산업체!$A:$C,2,FALSE)=1,"해외","국내")</f>
        <v>국내</v>
      </c>
      <c r="O41" s="12" t="str">
        <f>IF(VLOOKUP($U41,CODE!$K:$P,CODE!P$1,FALSE)="모자",T41,T41&amp;"-"&amp;VLOOKUP($U41,CODE!$K:$P,CODE!P$1,FALSE))</f>
        <v>JAY.PARK</v>
      </c>
      <c r="P41" s="13" t="s">
        <v>1477</v>
      </c>
      <c r="Q41" s="13"/>
      <c r="R41" s="13">
        <v>40</v>
      </c>
      <c r="S41" s="13"/>
      <c r="T41" s="14" t="s">
        <v>1477</v>
      </c>
      <c r="U41" s="14" t="s">
        <v>50</v>
      </c>
      <c r="V41" s="14" t="s">
        <v>43</v>
      </c>
      <c r="W41" s="14" t="s">
        <v>1480</v>
      </c>
      <c r="X41" s="14" t="s">
        <v>110</v>
      </c>
      <c r="Y41" s="15">
        <v>1</v>
      </c>
      <c r="Z41" s="14" t="s">
        <v>49</v>
      </c>
      <c r="AA41" s="16">
        <v>41673</v>
      </c>
      <c r="AB41" s="16">
        <v>41694</v>
      </c>
      <c r="AC41" s="16">
        <v>41680</v>
      </c>
      <c r="AD41" s="16">
        <v>41680</v>
      </c>
      <c r="AE41" s="14"/>
      <c r="AF41" s="14"/>
      <c r="AG41" s="14"/>
      <c r="AH41" s="14">
        <v>2</v>
      </c>
      <c r="AI41" s="14"/>
      <c r="AJ41" s="14"/>
    </row>
    <row r="42" spans="1:36">
      <c r="A42" s="7">
        <f t="shared" si="0"/>
        <v>1</v>
      </c>
      <c r="B42" s="7" t="str">
        <f t="shared" si="11"/>
        <v>14SS JAYPARK_04_BK</v>
      </c>
      <c r="C42" s="7">
        <f t="shared" si="2"/>
        <v>1</v>
      </c>
      <c r="D42" s="7" t="str">
        <f t="shared" si="6"/>
        <v>캡보이14SS JAYPARK_04_BK</v>
      </c>
      <c r="E42" s="12" t="str">
        <f t="shared" si="3"/>
        <v>201402</v>
      </c>
      <c r="F42" s="347" t="str">
        <f>VLOOKUP($AA42,[3]주!$A:$F,6,FALSE)</f>
        <v>2월 1주</v>
      </c>
      <c r="G42" s="7">
        <f t="shared" si="4"/>
        <v>1</v>
      </c>
      <c r="H42" s="7" t="str">
        <f t="shared" si="7"/>
        <v>14SS JAYPARK_04_BK</v>
      </c>
      <c r="I42" s="7">
        <f t="shared" si="5"/>
        <v>1</v>
      </c>
      <c r="J42" s="7" t="str">
        <f t="shared" si="8"/>
        <v>캡보이14SS JAYPARK_04_BK</v>
      </c>
      <c r="K42" s="17">
        <f t="shared" si="9"/>
        <v>41680</v>
      </c>
      <c r="L42" s="12" t="str">
        <f t="shared" si="10"/>
        <v>201402</v>
      </c>
      <c r="M42" s="347" t="str">
        <f>VLOOKUP($K42,[3]주!$A:$F,6,FALSE)</f>
        <v>2월 2주</v>
      </c>
      <c r="N42" s="273" t="str">
        <f>IF(VLOOKUP($Z42,생산업체!$A:$C,2,FALSE)=1,"해외","국내")</f>
        <v>국내</v>
      </c>
      <c r="O42" s="12" t="str">
        <f>IF(VLOOKUP($U42,CODE!$K:$P,CODE!P$1,FALSE)="모자",T42,T42&amp;"-"&amp;VLOOKUP($U42,CODE!$K:$P,CODE!P$1,FALSE))</f>
        <v>JAY.PARK</v>
      </c>
      <c r="P42" s="13" t="s">
        <v>1477</v>
      </c>
      <c r="Q42" s="13"/>
      <c r="R42" s="13">
        <v>41</v>
      </c>
      <c r="S42" s="13"/>
      <c r="T42" s="14" t="s">
        <v>1477</v>
      </c>
      <c r="U42" s="14" t="s">
        <v>50</v>
      </c>
      <c r="V42" s="14" t="s">
        <v>43</v>
      </c>
      <c r="W42" s="14" t="s">
        <v>1481</v>
      </c>
      <c r="X42" s="14" t="s">
        <v>110</v>
      </c>
      <c r="Y42" s="15">
        <v>1</v>
      </c>
      <c r="Z42" s="14" t="s">
        <v>49</v>
      </c>
      <c r="AA42" s="16">
        <v>41673</v>
      </c>
      <c r="AB42" s="16">
        <v>41694</v>
      </c>
      <c r="AC42" s="16">
        <v>41680</v>
      </c>
      <c r="AD42" s="16">
        <v>41680</v>
      </c>
      <c r="AE42" s="14"/>
      <c r="AF42" s="14"/>
      <c r="AG42" s="14"/>
      <c r="AH42" s="14">
        <v>2</v>
      </c>
      <c r="AI42" s="14"/>
      <c r="AJ42" s="14"/>
    </row>
    <row r="43" spans="1:36">
      <c r="A43" s="7">
        <f t="shared" si="0"/>
        <v>1</v>
      </c>
      <c r="B43" s="7" t="str">
        <f t="shared" si="11"/>
        <v>14SS JAYPARK_05_RD</v>
      </c>
      <c r="C43" s="7">
        <f t="shared" si="2"/>
        <v>1</v>
      </c>
      <c r="D43" s="7" t="str">
        <f t="shared" si="6"/>
        <v>캡보이14SS JAYPARK_05_RD</v>
      </c>
      <c r="E43" s="12" t="str">
        <f t="shared" si="3"/>
        <v>201402</v>
      </c>
      <c r="F43" s="347" t="str">
        <f>VLOOKUP($AA43,[3]주!$A:$F,6,FALSE)</f>
        <v>2월 1주</v>
      </c>
      <c r="G43" s="7">
        <f t="shared" si="4"/>
        <v>1</v>
      </c>
      <c r="H43" s="7" t="str">
        <f t="shared" si="7"/>
        <v>14SS JAYPARK_05_RD</v>
      </c>
      <c r="I43" s="7">
        <f t="shared" si="5"/>
        <v>1</v>
      </c>
      <c r="J43" s="7" t="str">
        <f t="shared" si="8"/>
        <v>캡보이14SS JAYPARK_05_RD</v>
      </c>
      <c r="K43" s="17">
        <f t="shared" si="9"/>
        <v>41680</v>
      </c>
      <c r="L43" s="12" t="str">
        <f t="shared" si="10"/>
        <v>201402</v>
      </c>
      <c r="M43" s="347" t="str">
        <f>VLOOKUP($K43,[3]주!$A:$F,6,FALSE)</f>
        <v>2월 2주</v>
      </c>
      <c r="N43" s="273" t="str">
        <f>IF(VLOOKUP($Z43,생산업체!$A:$C,2,FALSE)=1,"해외","국내")</f>
        <v>국내</v>
      </c>
      <c r="O43" s="12" t="str">
        <f>IF(VLOOKUP($U43,CODE!$K:$P,CODE!P$1,FALSE)="모자",T43,T43&amp;"-"&amp;VLOOKUP($U43,CODE!$K:$P,CODE!P$1,FALSE))</f>
        <v>JAY.PARK</v>
      </c>
      <c r="P43" s="13" t="s">
        <v>1477</v>
      </c>
      <c r="Q43" s="13"/>
      <c r="R43" s="13">
        <v>42</v>
      </c>
      <c r="S43" s="13"/>
      <c r="T43" s="14" t="s">
        <v>1477</v>
      </c>
      <c r="U43" s="14" t="s">
        <v>50</v>
      </c>
      <c r="V43" s="14" t="s">
        <v>43</v>
      </c>
      <c r="W43" s="14" t="s">
        <v>1482</v>
      </c>
      <c r="X43" s="14" t="s">
        <v>110</v>
      </c>
      <c r="Y43" s="15">
        <v>1</v>
      </c>
      <c r="Z43" s="14" t="s">
        <v>49</v>
      </c>
      <c r="AA43" s="16">
        <v>41673</v>
      </c>
      <c r="AB43" s="16">
        <v>41694</v>
      </c>
      <c r="AC43" s="16">
        <v>41680</v>
      </c>
      <c r="AD43" s="16">
        <v>41680</v>
      </c>
      <c r="AE43" s="14"/>
      <c r="AF43" s="14"/>
      <c r="AG43" s="14"/>
      <c r="AH43" s="14">
        <v>2</v>
      </c>
      <c r="AI43" s="14"/>
      <c r="AJ43" s="14"/>
    </row>
    <row r="44" spans="1:36">
      <c r="A44" s="7">
        <f t="shared" si="0"/>
        <v>1</v>
      </c>
      <c r="B44" s="7" t="str">
        <f t="shared" si="11"/>
        <v>14SS KONGHYOJIN_01_RD</v>
      </c>
      <c r="C44" s="7">
        <f t="shared" si="2"/>
        <v>1</v>
      </c>
      <c r="D44" s="7" t="str">
        <f t="shared" si="6"/>
        <v>캡보이14SS KONGHYOJIN_01_RD</v>
      </c>
      <c r="E44" s="12" t="str">
        <f t="shared" si="3"/>
        <v>201402</v>
      </c>
      <c r="F44" s="347" t="str">
        <f>VLOOKUP($AA44,[3]주!$A:$F,6,FALSE)</f>
        <v>2월 3주</v>
      </c>
      <c r="G44" s="7">
        <f t="shared" si="4"/>
        <v>1</v>
      </c>
      <c r="H44" s="7" t="str">
        <f t="shared" si="7"/>
        <v>14SS KONGHYOJIN_01_RD</v>
      </c>
      <c r="I44" s="7">
        <f t="shared" si="5"/>
        <v>1</v>
      </c>
      <c r="J44" s="7" t="str">
        <f t="shared" si="8"/>
        <v>캡보이14SS KONGHYOJIN_01_RD</v>
      </c>
      <c r="K44" s="17">
        <f t="shared" si="9"/>
        <v>41703</v>
      </c>
      <c r="L44" s="12" t="str">
        <f t="shared" si="10"/>
        <v>201403</v>
      </c>
      <c r="M44" s="347" t="str">
        <f>VLOOKUP($K44,[3]주!$A:$F,6,FALSE)</f>
        <v>3월 1주</v>
      </c>
      <c r="N44" s="273" t="str">
        <f>IF(VLOOKUP($Z44,생산업체!$A:$C,2,FALSE)=1,"해외","국내")</f>
        <v>국내</v>
      </c>
      <c r="O44" s="12" t="str">
        <f>IF(VLOOKUP($U44,CODE!$K:$P,CODE!P$1,FALSE)="모자",T44,T44&amp;"-"&amp;VLOOKUP($U44,CODE!$K:$P,CODE!P$1,FALSE))</f>
        <v>KONGHYOJIN</v>
      </c>
      <c r="P44" s="13" t="s">
        <v>1557</v>
      </c>
      <c r="Q44" s="13"/>
      <c r="R44" s="13">
        <v>43</v>
      </c>
      <c r="S44" s="13"/>
      <c r="T44" s="14" t="s">
        <v>1557</v>
      </c>
      <c r="U44" s="14" t="s">
        <v>50</v>
      </c>
      <c r="V44" s="14" t="s">
        <v>43</v>
      </c>
      <c r="W44" s="14" t="s">
        <v>1558</v>
      </c>
      <c r="X44" s="14" t="s">
        <v>110</v>
      </c>
      <c r="Y44" s="15">
        <v>1</v>
      </c>
      <c r="Z44" s="14" t="s">
        <v>49</v>
      </c>
      <c r="AA44" s="16">
        <v>41688</v>
      </c>
      <c r="AB44" s="16">
        <v>41709</v>
      </c>
      <c r="AC44" s="16">
        <v>41709</v>
      </c>
      <c r="AD44" s="16">
        <v>41703</v>
      </c>
      <c r="AE44" s="14"/>
      <c r="AF44" s="14"/>
      <c r="AG44" s="14"/>
      <c r="AH44" s="14">
        <v>2</v>
      </c>
      <c r="AI44" s="14"/>
      <c r="AJ44" s="14"/>
    </row>
    <row r="45" spans="1:36">
      <c r="A45" s="7">
        <f t="shared" si="0"/>
        <v>1</v>
      </c>
      <c r="B45" s="7" t="str">
        <f t="shared" si="11"/>
        <v>14SS KONGHYOJIN_02_BL</v>
      </c>
      <c r="C45" s="7">
        <f t="shared" si="2"/>
        <v>1</v>
      </c>
      <c r="D45" s="7" t="str">
        <f t="shared" si="6"/>
        <v>캡보이14SS KONGHYOJIN_02_BL</v>
      </c>
      <c r="E45" s="12" t="str">
        <f t="shared" si="3"/>
        <v>201402</v>
      </c>
      <c r="F45" s="347" t="str">
        <f>VLOOKUP($AA45,[3]주!$A:$F,6,FALSE)</f>
        <v>2월 3주</v>
      </c>
      <c r="G45" s="7">
        <f t="shared" si="4"/>
        <v>1</v>
      </c>
      <c r="H45" s="7" t="str">
        <f t="shared" si="7"/>
        <v>14SS KONGHYOJIN_02_BL</v>
      </c>
      <c r="I45" s="7">
        <f t="shared" si="5"/>
        <v>1</v>
      </c>
      <c r="J45" s="7" t="str">
        <f t="shared" si="8"/>
        <v>캡보이14SS KONGHYOJIN_02_BL</v>
      </c>
      <c r="K45" s="17">
        <f t="shared" si="9"/>
        <v>41703</v>
      </c>
      <c r="L45" s="12" t="str">
        <f t="shared" si="10"/>
        <v>201403</v>
      </c>
      <c r="M45" s="347" t="str">
        <f>VLOOKUP($K45,[3]주!$A:$F,6,FALSE)</f>
        <v>3월 1주</v>
      </c>
      <c r="N45" s="273" t="str">
        <f>IF(VLOOKUP($Z45,생산업체!$A:$C,2,FALSE)=1,"해외","국내")</f>
        <v>국내</v>
      </c>
      <c r="O45" s="12" t="str">
        <f>IF(VLOOKUP($U45,CODE!$K:$P,CODE!P$1,FALSE)="모자",T45,T45&amp;"-"&amp;VLOOKUP($U45,CODE!$K:$P,CODE!P$1,FALSE))</f>
        <v>KONGHYOJIN</v>
      </c>
      <c r="P45" s="13" t="s">
        <v>1557</v>
      </c>
      <c r="Q45" s="13"/>
      <c r="R45" s="13">
        <v>44</v>
      </c>
      <c r="S45" s="13"/>
      <c r="T45" s="14" t="s">
        <v>1557</v>
      </c>
      <c r="U45" s="14" t="s">
        <v>50</v>
      </c>
      <c r="V45" s="14" t="s">
        <v>43</v>
      </c>
      <c r="W45" s="14" t="s">
        <v>1559</v>
      </c>
      <c r="X45" s="14" t="s">
        <v>110</v>
      </c>
      <c r="Y45" s="15">
        <v>1</v>
      </c>
      <c r="Z45" s="14" t="s">
        <v>49</v>
      </c>
      <c r="AA45" s="16">
        <v>41688</v>
      </c>
      <c r="AB45" s="16">
        <v>41709</v>
      </c>
      <c r="AC45" s="16">
        <v>41709</v>
      </c>
      <c r="AD45" s="16">
        <v>41703</v>
      </c>
      <c r="AE45" s="14"/>
      <c r="AF45" s="14"/>
      <c r="AG45" s="14"/>
      <c r="AH45" s="14">
        <v>1</v>
      </c>
      <c r="AI45" s="14"/>
      <c r="AJ45" s="14"/>
    </row>
    <row r="46" spans="1:36">
      <c r="A46" s="7">
        <f t="shared" si="0"/>
        <v>1</v>
      </c>
      <c r="B46" s="7" t="str">
        <f t="shared" si="11"/>
        <v>14SS KONGHYOJIN_03_BK</v>
      </c>
      <c r="C46" s="7">
        <f t="shared" si="2"/>
        <v>1</v>
      </c>
      <c r="D46" s="7" t="str">
        <f t="shared" si="6"/>
        <v>캡보이14SS KONGHYOJIN_03_BK</v>
      </c>
      <c r="E46" s="12" t="str">
        <f t="shared" si="3"/>
        <v>201402</v>
      </c>
      <c r="F46" s="347" t="str">
        <f>VLOOKUP($AA46,[3]주!$A:$F,6,FALSE)</f>
        <v>2월 3주</v>
      </c>
      <c r="G46" s="7">
        <f t="shared" si="4"/>
        <v>1</v>
      </c>
      <c r="H46" s="7" t="str">
        <f t="shared" si="7"/>
        <v>14SS KONGHYOJIN_03_BK</v>
      </c>
      <c r="I46" s="7">
        <f t="shared" si="5"/>
        <v>1</v>
      </c>
      <c r="J46" s="7" t="str">
        <f t="shared" si="8"/>
        <v>캡보이14SS KONGHYOJIN_03_BK</v>
      </c>
      <c r="K46" s="17">
        <f t="shared" si="9"/>
        <v>41705</v>
      </c>
      <c r="L46" s="12" t="str">
        <f t="shared" si="10"/>
        <v>201403</v>
      </c>
      <c r="M46" s="347" t="str">
        <f>VLOOKUP($K46,[3]주!$A:$F,6,FALSE)</f>
        <v>3월 1주</v>
      </c>
      <c r="N46" s="273" t="str">
        <f>IF(VLOOKUP($Z46,생산업체!$A:$C,2,FALSE)=1,"해외","국내")</f>
        <v>국내</v>
      </c>
      <c r="O46" s="12" t="str">
        <f>IF(VLOOKUP($U46,CODE!$K:$P,CODE!P$1,FALSE)="모자",T46,T46&amp;"-"&amp;VLOOKUP($U46,CODE!$K:$P,CODE!P$1,FALSE))</f>
        <v>KONGHYOJIN</v>
      </c>
      <c r="P46" s="13" t="s">
        <v>1557</v>
      </c>
      <c r="Q46" s="13"/>
      <c r="R46" s="13">
        <v>45</v>
      </c>
      <c r="S46" s="13"/>
      <c r="T46" s="14" t="s">
        <v>1557</v>
      </c>
      <c r="U46" s="14" t="s">
        <v>50</v>
      </c>
      <c r="V46" s="14" t="s">
        <v>43</v>
      </c>
      <c r="W46" s="14" t="s">
        <v>1560</v>
      </c>
      <c r="X46" s="14" t="s">
        <v>110</v>
      </c>
      <c r="Y46" s="15">
        <v>1</v>
      </c>
      <c r="Z46" s="14" t="s">
        <v>49</v>
      </c>
      <c r="AA46" s="16">
        <v>41688</v>
      </c>
      <c r="AB46" s="16">
        <v>41709</v>
      </c>
      <c r="AC46" s="16">
        <v>41709</v>
      </c>
      <c r="AD46" s="16">
        <v>41705</v>
      </c>
      <c r="AE46" s="14"/>
      <c r="AF46" s="14"/>
      <c r="AG46" s="14"/>
      <c r="AH46" s="14">
        <v>2</v>
      </c>
      <c r="AI46" s="14"/>
      <c r="AJ46" s="14"/>
    </row>
    <row r="47" spans="1:36">
      <c r="A47" s="7">
        <f t="shared" si="0"/>
        <v>1</v>
      </c>
      <c r="B47" s="7" t="str">
        <f t="shared" si="11"/>
        <v>14SS KONGHYOJIN_04_BK</v>
      </c>
      <c r="C47" s="7">
        <f t="shared" si="2"/>
        <v>1</v>
      </c>
      <c r="D47" s="7" t="str">
        <f t="shared" si="6"/>
        <v>캡보이14SS KONGHYOJIN_04_BK</v>
      </c>
      <c r="E47" s="12" t="str">
        <f t="shared" si="3"/>
        <v>201402</v>
      </c>
      <c r="F47" s="347" t="str">
        <f>VLOOKUP($AA47,[3]주!$A:$F,6,FALSE)</f>
        <v>2월 3주</v>
      </c>
      <c r="G47" s="7">
        <f t="shared" si="4"/>
        <v>1</v>
      </c>
      <c r="H47" s="7" t="str">
        <f t="shared" si="7"/>
        <v>14SS KONGHYOJIN_04_BK</v>
      </c>
      <c r="I47" s="7">
        <f t="shared" si="5"/>
        <v>1</v>
      </c>
      <c r="J47" s="7" t="str">
        <f t="shared" si="8"/>
        <v>캡보이14SS KONGHYOJIN_04_BK</v>
      </c>
      <c r="K47" s="17">
        <f t="shared" si="9"/>
        <v>41705</v>
      </c>
      <c r="L47" s="12" t="str">
        <f t="shared" si="10"/>
        <v>201403</v>
      </c>
      <c r="M47" s="347" t="str">
        <f>VLOOKUP($K47,[3]주!$A:$F,6,FALSE)</f>
        <v>3월 1주</v>
      </c>
      <c r="N47" s="273" t="str">
        <f>IF(VLOOKUP($Z47,생산업체!$A:$C,2,FALSE)=1,"해외","국내")</f>
        <v>국내</v>
      </c>
      <c r="O47" s="12" t="str">
        <f>IF(VLOOKUP($U47,CODE!$K:$P,CODE!P$1,FALSE)="모자",T47,T47&amp;"-"&amp;VLOOKUP($U47,CODE!$K:$P,CODE!P$1,FALSE))</f>
        <v>KONGHYOJIN</v>
      </c>
      <c r="P47" s="13" t="s">
        <v>1557</v>
      </c>
      <c r="Q47" s="13"/>
      <c r="R47" s="13">
        <v>46</v>
      </c>
      <c r="S47" s="13"/>
      <c r="T47" s="14" t="s">
        <v>1557</v>
      </c>
      <c r="U47" s="14" t="s">
        <v>50</v>
      </c>
      <c r="V47" s="14" t="s">
        <v>43</v>
      </c>
      <c r="W47" s="14" t="s">
        <v>1561</v>
      </c>
      <c r="X47" s="14" t="s">
        <v>110</v>
      </c>
      <c r="Y47" s="15">
        <v>1</v>
      </c>
      <c r="Z47" s="14" t="s">
        <v>49</v>
      </c>
      <c r="AA47" s="16">
        <v>41688</v>
      </c>
      <c r="AB47" s="16">
        <v>41709</v>
      </c>
      <c r="AC47" s="16">
        <v>41709</v>
      </c>
      <c r="AD47" s="16">
        <v>41705</v>
      </c>
      <c r="AE47" s="14"/>
      <c r="AF47" s="14"/>
      <c r="AG47" s="14"/>
      <c r="AH47" s="14">
        <v>2</v>
      </c>
      <c r="AI47" s="14"/>
      <c r="AJ47" s="14"/>
    </row>
    <row r="48" spans="1:36">
      <c r="A48" s="7">
        <f t="shared" si="0"/>
        <v>1</v>
      </c>
      <c r="B48" s="7" t="str">
        <f t="shared" ref="B48:B88" si="12">IF(AA48="","",W48)</f>
        <v>14SS KONGHYOJIN_05_BK</v>
      </c>
      <c r="C48" s="7">
        <f t="shared" si="2"/>
        <v>1</v>
      </c>
      <c r="D48" s="7" t="str">
        <f t="shared" si="6"/>
        <v>캡보이14SS KONGHYOJIN_05_BK</v>
      </c>
      <c r="E48" s="12" t="str">
        <f t="shared" ref="E48:E88" si="13">IF(YEAR(AA48)&lt;10,0&amp;YEAR(AA48),YEAR(AA48))&amp;IF(MONTH(AA48)&lt;10,0&amp;MONTH(AA48),MONTH(AA48))</f>
        <v>201402</v>
      </c>
      <c r="F48" s="347" t="str">
        <f>VLOOKUP($AA48,[3]주!$A:$F,6,FALSE)</f>
        <v>2월 3주</v>
      </c>
      <c r="G48" s="7">
        <f t="shared" si="4"/>
        <v>1</v>
      </c>
      <c r="H48" s="7" t="str">
        <f t="shared" ref="H48:H88" si="14">IF(AD48="","",W48)</f>
        <v>14SS KONGHYOJIN_05_BK</v>
      </c>
      <c r="I48" s="7">
        <f t="shared" si="5"/>
        <v>1</v>
      </c>
      <c r="J48" s="7" t="str">
        <f t="shared" si="8"/>
        <v>캡보이14SS KONGHYOJIN_05_BK</v>
      </c>
      <c r="K48" s="17">
        <f t="shared" ref="K48:K88" si="15">IF(AD48="",AC48,AD48)</f>
        <v>41705</v>
      </c>
      <c r="L48" s="12" t="str">
        <f t="shared" ref="L48:L88" si="16">IF(YEAR(K48)&lt;10,0&amp;YEAR(K48),YEAR(K48))&amp;IF(MONTH(K48)&lt;10,0&amp;MONTH(K48),MONTH(K48))</f>
        <v>201403</v>
      </c>
      <c r="M48" s="347" t="str">
        <f>VLOOKUP($K48,[3]주!$A:$F,6,FALSE)</f>
        <v>3월 1주</v>
      </c>
      <c r="N48" s="273" t="str">
        <f>IF(VLOOKUP($Z48,생산업체!$A:$C,2,FALSE)=1,"해외","국내")</f>
        <v>국내</v>
      </c>
      <c r="O48" s="12" t="str">
        <f>IF(VLOOKUP($U48,CODE!$K:$P,CODE!P$1,FALSE)="모자",T48,T48&amp;"-"&amp;VLOOKUP($U48,CODE!$K:$P,CODE!P$1,FALSE))</f>
        <v>KONGHYOJIN</v>
      </c>
      <c r="P48" s="13" t="s">
        <v>1557</v>
      </c>
      <c r="Q48" s="13"/>
      <c r="R48" s="13">
        <v>47</v>
      </c>
      <c r="S48" s="13"/>
      <c r="T48" s="14" t="s">
        <v>1557</v>
      </c>
      <c r="U48" s="14" t="s">
        <v>50</v>
      </c>
      <c r="V48" s="14" t="s">
        <v>43</v>
      </c>
      <c r="W48" s="14" t="s">
        <v>1562</v>
      </c>
      <c r="X48" s="14" t="s">
        <v>110</v>
      </c>
      <c r="Y48" s="15">
        <v>1</v>
      </c>
      <c r="Z48" s="14" t="s">
        <v>49</v>
      </c>
      <c r="AA48" s="16">
        <v>41688</v>
      </c>
      <c r="AB48" s="16">
        <v>41709</v>
      </c>
      <c r="AC48" s="16">
        <v>41709</v>
      </c>
      <c r="AD48" s="16">
        <v>41705</v>
      </c>
      <c r="AE48" s="14"/>
      <c r="AF48" s="14"/>
      <c r="AG48" s="14"/>
      <c r="AH48" s="14">
        <v>1</v>
      </c>
      <c r="AI48" s="14"/>
      <c r="AJ48" s="14"/>
    </row>
    <row r="49" spans="1:36">
      <c r="A49" s="7">
        <f t="shared" si="0"/>
        <v>1</v>
      </c>
      <c r="B49" s="7" t="str">
        <f t="shared" si="12"/>
        <v>14SS KONGHYOJIN_06_WH</v>
      </c>
      <c r="C49" s="7">
        <f t="shared" si="2"/>
        <v>1</v>
      </c>
      <c r="D49" s="7" t="str">
        <f t="shared" ref="D49:D88" si="17">IF(AA49="","",Z49&amp;W49)</f>
        <v>캡보이14SS KONGHYOJIN_06_WH</v>
      </c>
      <c r="E49" s="12" t="str">
        <f t="shared" si="13"/>
        <v>201402</v>
      </c>
      <c r="F49" s="347" t="str">
        <f>VLOOKUP($AA49,[3]주!$A:$F,6,FALSE)</f>
        <v>2월 3주</v>
      </c>
      <c r="G49" s="7">
        <f t="shared" si="4"/>
        <v>1</v>
      </c>
      <c r="H49" s="7" t="str">
        <f t="shared" si="14"/>
        <v>14SS KONGHYOJIN_06_WH</v>
      </c>
      <c r="I49" s="7">
        <f t="shared" si="5"/>
        <v>1</v>
      </c>
      <c r="J49" s="7" t="str">
        <f t="shared" ref="J49:J88" si="18">IF(AD49="","",Z49&amp;W49)</f>
        <v>캡보이14SS KONGHYOJIN_06_WH</v>
      </c>
      <c r="K49" s="17">
        <f t="shared" si="15"/>
        <v>41705</v>
      </c>
      <c r="L49" s="12" t="str">
        <f t="shared" si="16"/>
        <v>201403</v>
      </c>
      <c r="M49" s="347" t="str">
        <f>VLOOKUP($K49,[3]주!$A:$F,6,FALSE)</f>
        <v>3월 1주</v>
      </c>
      <c r="N49" s="273" t="str">
        <f>IF(VLOOKUP($Z49,생산업체!$A:$C,2,FALSE)=1,"해외","국내")</f>
        <v>국내</v>
      </c>
      <c r="O49" s="12" t="str">
        <f>IF(VLOOKUP($U49,CODE!$K:$P,CODE!P$1,FALSE)="모자",T49,T49&amp;"-"&amp;VLOOKUP($U49,CODE!$K:$P,CODE!P$1,FALSE))</f>
        <v>KONGHYOJIN</v>
      </c>
      <c r="P49" s="13" t="s">
        <v>1557</v>
      </c>
      <c r="Q49" s="13"/>
      <c r="R49" s="13">
        <v>48</v>
      </c>
      <c r="S49" s="13"/>
      <c r="T49" s="13" t="s">
        <v>1557</v>
      </c>
      <c r="U49" s="14" t="s">
        <v>50</v>
      </c>
      <c r="V49" s="14" t="s">
        <v>43</v>
      </c>
      <c r="W49" s="14" t="s">
        <v>1563</v>
      </c>
      <c r="X49" s="14" t="s">
        <v>110</v>
      </c>
      <c r="Y49" s="15">
        <v>1</v>
      </c>
      <c r="Z49" s="14" t="s">
        <v>49</v>
      </c>
      <c r="AA49" s="16">
        <v>41688</v>
      </c>
      <c r="AB49" s="16">
        <v>41709</v>
      </c>
      <c r="AC49" s="16">
        <v>41709</v>
      </c>
      <c r="AD49" s="16">
        <v>41705</v>
      </c>
      <c r="AE49" s="14"/>
      <c r="AF49" s="14"/>
      <c r="AG49" s="14"/>
      <c r="AH49" s="14">
        <v>2</v>
      </c>
      <c r="AI49" s="14"/>
      <c r="AJ49" s="14"/>
    </row>
    <row r="50" spans="1:36">
      <c r="A50" s="7">
        <f t="shared" si="0"/>
        <v>1</v>
      </c>
      <c r="B50" s="7" t="str">
        <f t="shared" si="12"/>
        <v>14FW SMB_10_CURVED_OR_N</v>
      </c>
      <c r="C50" s="7">
        <f t="shared" si="2"/>
        <v>1</v>
      </c>
      <c r="D50" s="7" t="str">
        <f t="shared" si="17"/>
        <v>동일모자14FW SMB_10_CURVED_OR_N</v>
      </c>
      <c r="E50" s="12" t="str">
        <f t="shared" si="13"/>
        <v>201403</v>
      </c>
      <c r="F50" s="347" t="str">
        <f>VLOOKUP($AA50,[3]주!$A:$F,6,FALSE)</f>
        <v>3월 1주</v>
      </c>
      <c r="G50" s="7">
        <f t="shared" si="4"/>
        <v>1</v>
      </c>
      <c r="H50" s="7" t="str">
        <f t="shared" si="14"/>
        <v>14FW SMB_10_CURVED_OR_N</v>
      </c>
      <c r="I50" s="7">
        <f t="shared" si="5"/>
        <v>1</v>
      </c>
      <c r="J50" s="7" t="str">
        <f t="shared" si="18"/>
        <v>동일모자14FW SMB_10_CURVED_OR_N</v>
      </c>
      <c r="K50" s="17">
        <f t="shared" si="15"/>
        <v>41733</v>
      </c>
      <c r="L50" s="12" t="str">
        <f t="shared" si="16"/>
        <v>201404</v>
      </c>
      <c r="M50" s="347" t="str">
        <f>VLOOKUP($K50,[3]주!$A:$F,6,FALSE)</f>
        <v>3월 2주</v>
      </c>
      <c r="N50" s="273" t="str">
        <f>IF(VLOOKUP($Z50,생산업체!$A:$C,2,FALSE)=1,"해외","국내")</f>
        <v>해외</v>
      </c>
      <c r="O50" s="12" t="str">
        <f>IF(VLOOKUP($U50,CODE!$K:$P,CODE!P$1,FALSE)="모자",T50,T50&amp;"-"&amp;VLOOKUP($U50,CODE!$K:$P,CODE!P$1,FALSE))</f>
        <v>SMB</v>
      </c>
      <c r="P50" s="13" t="s">
        <v>47</v>
      </c>
      <c r="Q50" s="13"/>
      <c r="R50" s="13">
        <v>49</v>
      </c>
      <c r="S50" s="13"/>
      <c r="T50" s="13" t="s">
        <v>47</v>
      </c>
      <c r="U50" s="14" t="s">
        <v>35</v>
      </c>
      <c r="V50" s="14" t="s">
        <v>43</v>
      </c>
      <c r="W50" s="14" t="s">
        <v>1564</v>
      </c>
      <c r="X50" s="14" t="s">
        <v>110</v>
      </c>
      <c r="Y50" s="15">
        <v>1</v>
      </c>
      <c r="Z50" s="14" t="s">
        <v>44</v>
      </c>
      <c r="AA50" s="16">
        <v>41703</v>
      </c>
      <c r="AB50" s="16">
        <v>41731</v>
      </c>
      <c r="AC50" s="16">
        <v>41739</v>
      </c>
      <c r="AD50" s="16">
        <v>41733</v>
      </c>
      <c r="AE50" s="14"/>
      <c r="AF50" s="14"/>
      <c r="AG50" s="14"/>
      <c r="AH50" s="14"/>
      <c r="AI50" s="14"/>
      <c r="AJ50" s="14"/>
    </row>
    <row r="51" spans="1:36">
      <c r="A51" s="7">
        <f t="shared" si="0"/>
        <v>1</v>
      </c>
      <c r="B51" s="7" t="str">
        <f t="shared" si="12"/>
        <v>14FW SMB_11_CURVED_PK_F</v>
      </c>
      <c r="C51" s="7">
        <f t="shared" si="2"/>
        <v>1</v>
      </c>
      <c r="D51" s="7" t="str">
        <f t="shared" si="17"/>
        <v>동일모자14FW SMB_11_CURVED_PK_F</v>
      </c>
      <c r="E51" s="12" t="str">
        <f t="shared" si="13"/>
        <v>201403</v>
      </c>
      <c r="F51" s="347" t="str">
        <f>VLOOKUP($AA51,[3]주!$A:$F,6,FALSE)</f>
        <v>3월 1주</v>
      </c>
      <c r="G51" s="7">
        <f t="shared" si="4"/>
        <v>1</v>
      </c>
      <c r="H51" s="7" t="str">
        <f t="shared" si="14"/>
        <v>14FW SMB_11_CURVED_PK_F</v>
      </c>
      <c r="I51" s="7">
        <f t="shared" si="5"/>
        <v>1</v>
      </c>
      <c r="J51" s="7" t="str">
        <f t="shared" si="18"/>
        <v>동일모자14FW SMB_11_CURVED_PK_F</v>
      </c>
      <c r="K51" s="17">
        <f t="shared" si="15"/>
        <v>41733</v>
      </c>
      <c r="L51" s="12" t="str">
        <f t="shared" si="16"/>
        <v>201404</v>
      </c>
      <c r="M51" s="347" t="str">
        <f>VLOOKUP($K51,[3]주!$A:$F,6,FALSE)</f>
        <v>3월 2주</v>
      </c>
      <c r="N51" s="273" t="str">
        <f>IF(VLOOKUP($Z51,생산업체!$A:$C,2,FALSE)=1,"해외","국내")</f>
        <v>해외</v>
      </c>
      <c r="O51" s="12" t="str">
        <f>IF(VLOOKUP($U51,CODE!$K:$P,CODE!P$1,FALSE)="모자",T51,T51&amp;"-"&amp;VLOOKUP($U51,CODE!$K:$P,CODE!P$1,FALSE))</f>
        <v>SMB</v>
      </c>
      <c r="P51" s="13" t="s">
        <v>47</v>
      </c>
      <c r="Q51" s="13"/>
      <c r="R51" s="13">
        <v>50</v>
      </c>
      <c r="S51" s="13"/>
      <c r="T51" s="13" t="s">
        <v>47</v>
      </c>
      <c r="U51" s="14" t="s">
        <v>35</v>
      </c>
      <c r="V51" s="14" t="s">
        <v>43</v>
      </c>
      <c r="W51" s="14" t="s">
        <v>1565</v>
      </c>
      <c r="X51" s="14" t="s">
        <v>110</v>
      </c>
      <c r="Y51" s="15">
        <v>1</v>
      </c>
      <c r="Z51" s="14" t="s">
        <v>44</v>
      </c>
      <c r="AA51" s="16">
        <v>41703</v>
      </c>
      <c r="AB51" s="16">
        <v>41731</v>
      </c>
      <c r="AC51" s="16">
        <v>41739</v>
      </c>
      <c r="AD51" s="16">
        <v>41733</v>
      </c>
      <c r="AE51" s="14"/>
      <c r="AF51" s="14"/>
      <c r="AG51" s="14"/>
      <c r="AH51" s="14"/>
      <c r="AI51" s="14"/>
      <c r="AJ51" s="14"/>
    </row>
    <row r="52" spans="1:36">
      <c r="A52" s="7">
        <f t="shared" si="0"/>
        <v>1</v>
      </c>
      <c r="B52" s="7" t="str">
        <f t="shared" si="12"/>
        <v>14FW SMB_12_CURVED_NV_N</v>
      </c>
      <c r="C52" s="7">
        <f t="shared" si="2"/>
        <v>1</v>
      </c>
      <c r="D52" s="7" t="str">
        <f t="shared" si="17"/>
        <v>동일모자14FW SMB_12_CURVED_NV_N</v>
      </c>
      <c r="E52" s="12" t="str">
        <f t="shared" si="13"/>
        <v>201403</v>
      </c>
      <c r="F52" s="347" t="str">
        <f>VLOOKUP($AA52,[3]주!$A:$F,6,FALSE)</f>
        <v>3월 1주</v>
      </c>
      <c r="G52" s="7">
        <f t="shared" si="4"/>
        <v>1</v>
      </c>
      <c r="H52" s="7" t="str">
        <f t="shared" si="14"/>
        <v>14FW SMB_12_CURVED_NV_N</v>
      </c>
      <c r="I52" s="7">
        <f t="shared" si="5"/>
        <v>1</v>
      </c>
      <c r="J52" s="7" t="str">
        <f t="shared" si="18"/>
        <v>동일모자14FW SMB_12_CURVED_NV_N</v>
      </c>
      <c r="K52" s="17">
        <f t="shared" si="15"/>
        <v>41733</v>
      </c>
      <c r="L52" s="12" t="str">
        <f t="shared" si="16"/>
        <v>201404</v>
      </c>
      <c r="M52" s="347" t="str">
        <f>VLOOKUP($K52,[3]주!$A:$F,6,FALSE)</f>
        <v>3월 2주</v>
      </c>
      <c r="N52" s="273" t="str">
        <f>IF(VLOOKUP($Z52,생산업체!$A:$C,2,FALSE)=1,"해외","국내")</f>
        <v>해외</v>
      </c>
      <c r="O52" s="12" t="str">
        <f>IF(VLOOKUP($U52,CODE!$K:$P,CODE!P$1,FALSE)="모자",T52,T52&amp;"-"&amp;VLOOKUP($U52,CODE!$K:$P,CODE!P$1,FALSE))</f>
        <v>SMB</v>
      </c>
      <c r="P52" s="13" t="s">
        <v>47</v>
      </c>
      <c r="Q52" s="13"/>
      <c r="R52" s="13">
        <v>51</v>
      </c>
      <c r="S52" s="13"/>
      <c r="T52" s="13" t="s">
        <v>47</v>
      </c>
      <c r="U52" s="14" t="s">
        <v>35</v>
      </c>
      <c r="V52" s="14" t="s">
        <v>43</v>
      </c>
      <c r="W52" s="14" t="s">
        <v>1566</v>
      </c>
      <c r="X52" s="14" t="s">
        <v>110</v>
      </c>
      <c r="Y52" s="15">
        <v>1</v>
      </c>
      <c r="Z52" s="14" t="s">
        <v>44</v>
      </c>
      <c r="AA52" s="16">
        <v>41703</v>
      </c>
      <c r="AB52" s="16">
        <v>41731</v>
      </c>
      <c r="AC52" s="16">
        <v>41739</v>
      </c>
      <c r="AD52" s="16">
        <v>41733</v>
      </c>
      <c r="AE52" s="14"/>
      <c r="AF52" s="14"/>
      <c r="AG52" s="14"/>
      <c r="AH52" s="14"/>
      <c r="AI52" s="14"/>
      <c r="AJ52" s="14"/>
    </row>
    <row r="53" spans="1:36">
      <c r="A53" s="7">
        <f t="shared" si="0"/>
        <v>1</v>
      </c>
      <c r="B53" s="7" t="str">
        <f t="shared" si="12"/>
        <v>14FW SMB_13_CURVED_BK_F</v>
      </c>
      <c r="C53" s="7">
        <f t="shared" si="2"/>
        <v>1</v>
      </c>
      <c r="D53" s="7" t="str">
        <f t="shared" si="17"/>
        <v>동일모자14FW SMB_13_CURVED_BK_F</v>
      </c>
      <c r="E53" s="12" t="str">
        <f t="shared" si="13"/>
        <v>201403</v>
      </c>
      <c r="F53" s="347" t="str">
        <f>VLOOKUP($AA53,[3]주!$A:$F,6,FALSE)</f>
        <v>3월 1주</v>
      </c>
      <c r="G53" s="7">
        <f t="shared" si="4"/>
        <v>1</v>
      </c>
      <c r="H53" s="7" t="str">
        <f t="shared" si="14"/>
        <v>14FW SMB_13_CURVED_BK_F</v>
      </c>
      <c r="I53" s="7">
        <f t="shared" si="5"/>
        <v>1</v>
      </c>
      <c r="J53" s="7" t="str">
        <f t="shared" si="18"/>
        <v>동일모자14FW SMB_13_CURVED_BK_F</v>
      </c>
      <c r="K53" s="17">
        <f t="shared" si="15"/>
        <v>41736</v>
      </c>
      <c r="L53" s="12" t="str">
        <f t="shared" si="16"/>
        <v>201404</v>
      </c>
      <c r="M53" s="347" t="str">
        <f>VLOOKUP($K53,[3]주!$A:$F,6,FALSE)</f>
        <v>3월 2주</v>
      </c>
      <c r="N53" s="273" t="str">
        <f>IF(VLOOKUP($Z53,생산업체!$A:$C,2,FALSE)=1,"해외","국내")</f>
        <v>해외</v>
      </c>
      <c r="O53" s="12" t="str">
        <f>IF(VLOOKUP($U53,CODE!$K:$P,CODE!P$1,FALSE)="모자",T53,T53&amp;"-"&amp;VLOOKUP($U53,CODE!$K:$P,CODE!P$1,FALSE))</f>
        <v>SMB</v>
      </c>
      <c r="P53" s="13" t="s">
        <v>47</v>
      </c>
      <c r="Q53" s="13"/>
      <c r="R53" s="13">
        <v>52</v>
      </c>
      <c r="S53" s="13"/>
      <c r="T53" s="13" t="s">
        <v>47</v>
      </c>
      <c r="U53" s="14" t="s">
        <v>35</v>
      </c>
      <c r="V53" s="14" t="s">
        <v>43</v>
      </c>
      <c r="W53" s="14" t="s">
        <v>1567</v>
      </c>
      <c r="X53" s="14" t="s">
        <v>110</v>
      </c>
      <c r="Y53" s="15">
        <v>1</v>
      </c>
      <c r="Z53" s="14" t="s">
        <v>44</v>
      </c>
      <c r="AA53" s="16">
        <v>41703</v>
      </c>
      <c r="AB53" s="16">
        <v>41731</v>
      </c>
      <c r="AC53" s="16">
        <v>41736</v>
      </c>
      <c r="AD53" s="16">
        <v>41736</v>
      </c>
      <c r="AE53" s="14"/>
      <c r="AF53" s="14"/>
      <c r="AG53" s="14"/>
      <c r="AH53" s="14"/>
      <c r="AI53" s="14"/>
      <c r="AJ53" s="14"/>
    </row>
    <row r="54" spans="1:36">
      <c r="A54" s="7">
        <f t="shared" si="0"/>
        <v>1</v>
      </c>
      <c r="B54" s="7" t="str">
        <f t="shared" si="12"/>
        <v>14FW SMB_10_FLAT_OR_F</v>
      </c>
      <c r="C54" s="7">
        <f t="shared" si="2"/>
        <v>1</v>
      </c>
      <c r="D54" s="7" t="str">
        <f t="shared" si="17"/>
        <v>성진14FW SMB_10_FLAT_OR_F</v>
      </c>
      <c r="E54" s="12" t="str">
        <f t="shared" si="13"/>
        <v>201403</v>
      </c>
      <c r="F54" s="347" t="str">
        <f>VLOOKUP($AA54,[3]주!$A:$F,6,FALSE)</f>
        <v>3월 1주</v>
      </c>
      <c r="G54" s="7">
        <f t="shared" si="4"/>
        <v>1</v>
      </c>
      <c r="H54" s="7" t="str">
        <f t="shared" si="14"/>
        <v>14FW SMB_10_FLAT_OR_F</v>
      </c>
      <c r="I54" s="7">
        <f t="shared" si="5"/>
        <v>1</v>
      </c>
      <c r="J54" s="7" t="str">
        <f t="shared" si="18"/>
        <v>성진14FW SMB_10_FLAT_OR_F</v>
      </c>
      <c r="K54" s="17">
        <f t="shared" si="15"/>
        <v>0.5714285714285714</v>
      </c>
      <c r="L54" s="12" t="str">
        <f t="shared" si="16"/>
        <v>190001</v>
      </c>
      <c r="M54" s="347" t="e">
        <f>VLOOKUP($K54,[3]주!$A:$F,6,FALSE)</f>
        <v>#N/A</v>
      </c>
      <c r="N54" s="273" t="str">
        <f>IF(VLOOKUP($Z54,생산업체!$A:$C,2,FALSE)=1,"해외","국내")</f>
        <v>해외</v>
      </c>
      <c r="O54" s="12" t="str">
        <f>IF(VLOOKUP($U54,CODE!$K:$P,CODE!P$1,FALSE)="모자",T54,T54&amp;"-"&amp;VLOOKUP($U54,CODE!$K:$P,CODE!P$1,FALSE))</f>
        <v>SMB</v>
      </c>
      <c r="P54" s="13" t="s">
        <v>47</v>
      </c>
      <c r="Q54" s="13"/>
      <c r="R54" s="13">
        <v>53</v>
      </c>
      <c r="S54" s="13"/>
      <c r="T54" s="13" t="s">
        <v>47</v>
      </c>
      <c r="U54" s="14" t="s">
        <v>50</v>
      </c>
      <c r="V54" s="14" t="s">
        <v>43</v>
      </c>
      <c r="W54" s="14" t="s">
        <v>1568</v>
      </c>
      <c r="X54" s="14" t="s">
        <v>110</v>
      </c>
      <c r="Y54" s="15">
        <v>1</v>
      </c>
      <c r="Z54" s="14" t="s">
        <v>48</v>
      </c>
      <c r="AA54" s="16">
        <v>41703</v>
      </c>
      <c r="AB54" s="16">
        <v>41731</v>
      </c>
      <c r="AC54" s="16">
        <v>41739</v>
      </c>
      <c r="AD54" s="16">
        <v>0.5714285714285714</v>
      </c>
      <c r="AE54" s="14">
        <v>5.95</v>
      </c>
      <c r="AF54" s="14"/>
      <c r="AG54" s="14"/>
      <c r="AH54" s="14"/>
      <c r="AI54" s="14"/>
      <c r="AJ54" s="14"/>
    </row>
    <row r="55" spans="1:36">
      <c r="A55" s="7">
        <f t="shared" si="0"/>
        <v>1</v>
      </c>
      <c r="B55" s="7" t="str">
        <f t="shared" si="12"/>
        <v>14FW SMB_11_FLAT_BK_F</v>
      </c>
      <c r="C55" s="7">
        <f t="shared" si="2"/>
        <v>1</v>
      </c>
      <c r="D55" s="7" t="str">
        <f t="shared" si="17"/>
        <v>성진14FW SMB_11_FLAT_BK_F</v>
      </c>
      <c r="E55" s="12" t="str">
        <f t="shared" si="13"/>
        <v>201403</v>
      </c>
      <c r="F55" s="347" t="str">
        <f>VLOOKUP($AA55,[3]주!$A:$F,6,FALSE)</f>
        <v>3월 1주</v>
      </c>
      <c r="G55" s="7">
        <f t="shared" si="4"/>
        <v>1</v>
      </c>
      <c r="H55" s="7" t="str">
        <f t="shared" si="14"/>
        <v>14FW SMB_11_FLAT_BK_F</v>
      </c>
      <c r="I55" s="7">
        <f t="shared" si="5"/>
        <v>1</v>
      </c>
      <c r="J55" s="7" t="str">
        <f t="shared" si="18"/>
        <v>성진14FW SMB_11_FLAT_BK_F</v>
      </c>
      <c r="K55" s="17">
        <f t="shared" si="15"/>
        <v>0.5714285714285714</v>
      </c>
      <c r="L55" s="12" t="str">
        <f t="shared" si="16"/>
        <v>190001</v>
      </c>
      <c r="M55" s="347" t="e">
        <f>VLOOKUP($K55,[3]주!$A:$F,6,FALSE)</f>
        <v>#N/A</v>
      </c>
      <c r="N55" s="273" t="str">
        <f>IF(VLOOKUP($Z55,생산업체!$A:$C,2,FALSE)=1,"해외","국내")</f>
        <v>해외</v>
      </c>
      <c r="O55" s="12" t="str">
        <f>IF(VLOOKUP($U55,CODE!$K:$P,CODE!P$1,FALSE)="모자",T55,T55&amp;"-"&amp;VLOOKUP($U55,CODE!$K:$P,CODE!P$1,FALSE))</f>
        <v>SMB</v>
      </c>
      <c r="P55" s="13" t="s">
        <v>47</v>
      </c>
      <c r="Q55" s="13"/>
      <c r="R55" s="13">
        <v>54</v>
      </c>
      <c r="S55" s="13"/>
      <c r="T55" s="13" t="s">
        <v>47</v>
      </c>
      <c r="U55" s="14" t="s">
        <v>50</v>
      </c>
      <c r="V55" s="14" t="s">
        <v>43</v>
      </c>
      <c r="W55" s="14" t="s">
        <v>1569</v>
      </c>
      <c r="X55" s="14" t="s">
        <v>110</v>
      </c>
      <c r="Y55" s="15">
        <v>1</v>
      </c>
      <c r="Z55" s="14" t="s">
        <v>48</v>
      </c>
      <c r="AA55" s="16">
        <v>41703</v>
      </c>
      <c r="AB55" s="16">
        <v>41731</v>
      </c>
      <c r="AC55" s="16">
        <v>41739</v>
      </c>
      <c r="AD55" s="16">
        <v>0.5714285714285714</v>
      </c>
      <c r="AE55" s="14">
        <v>5.45</v>
      </c>
      <c r="AF55" s="14"/>
      <c r="AG55" s="14"/>
      <c r="AH55" s="14"/>
      <c r="AI55" s="14"/>
      <c r="AJ55" s="14"/>
    </row>
    <row r="56" spans="1:36">
      <c r="A56" s="7">
        <f t="shared" si="0"/>
        <v>1</v>
      </c>
      <c r="B56" s="7" t="str">
        <f t="shared" si="12"/>
        <v>14FW SMB_12_FLAT_PP_N</v>
      </c>
      <c r="C56" s="7">
        <f t="shared" si="2"/>
        <v>1</v>
      </c>
      <c r="D56" s="7" t="str">
        <f t="shared" si="17"/>
        <v>성진14FW SMB_12_FLAT_PP_N</v>
      </c>
      <c r="E56" s="12" t="str">
        <f t="shared" si="13"/>
        <v>201403</v>
      </c>
      <c r="F56" s="347" t="str">
        <f>VLOOKUP($AA56,[3]주!$A:$F,6,FALSE)</f>
        <v>3월 1주</v>
      </c>
      <c r="G56" s="7">
        <f t="shared" si="4"/>
        <v>1</v>
      </c>
      <c r="H56" s="7" t="str">
        <f t="shared" si="14"/>
        <v>14FW SMB_12_FLAT_PP_N</v>
      </c>
      <c r="I56" s="7">
        <f t="shared" si="5"/>
        <v>1</v>
      </c>
      <c r="J56" s="7" t="str">
        <f t="shared" si="18"/>
        <v>성진14FW SMB_12_FLAT_PP_N</v>
      </c>
      <c r="K56" s="17">
        <f t="shared" si="15"/>
        <v>41745</v>
      </c>
      <c r="L56" s="12" t="str">
        <f t="shared" si="16"/>
        <v>201404</v>
      </c>
      <c r="M56" s="347" t="str">
        <f>VLOOKUP($K56,[3]주!$A:$F,6,FALSE)</f>
        <v>3월 2주</v>
      </c>
      <c r="N56" s="273" t="str">
        <f>IF(VLOOKUP($Z56,생산업체!$A:$C,2,FALSE)=1,"해외","국내")</f>
        <v>해외</v>
      </c>
      <c r="O56" s="12" t="str">
        <f>IF(VLOOKUP($U56,CODE!$K:$P,CODE!P$1,FALSE)="모자",T56,T56&amp;"-"&amp;VLOOKUP($U56,CODE!$K:$P,CODE!P$1,FALSE))</f>
        <v>SMB</v>
      </c>
      <c r="P56" s="13" t="s">
        <v>47</v>
      </c>
      <c r="Q56" s="13"/>
      <c r="R56" s="13">
        <v>55</v>
      </c>
      <c r="S56" s="13"/>
      <c r="T56" s="13" t="s">
        <v>47</v>
      </c>
      <c r="U56" s="14" t="s">
        <v>35</v>
      </c>
      <c r="V56" s="14" t="s">
        <v>43</v>
      </c>
      <c r="W56" s="14" t="s">
        <v>1570</v>
      </c>
      <c r="X56" s="14" t="s">
        <v>110</v>
      </c>
      <c r="Y56" s="15">
        <v>1</v>
      </c>
      <c r="Z56" s="14" t="s">
        <v>48</v>
      </c>
      <c r="AA56" s="16">
        <v>41703</v>
      </c>
      <c r="AB56" s="16">
        <v>41731</v>
      </c>
      <c r="AC56" s="16">
        <v>41739</v>
      </c>
      <c r="AD56" s="16">
        <v>41745</v>
      </c>
      <c r="AE56" s="14">
        <v>7</v>
      </c>
      <c r="AF56" s="14"/>
      <c r="AG56" s="14"/>
      <c r="AH56" s="14"/>
      <c r="AI56" s="14"/>
      <c r="AJ56" s="14"/>
    </row>
    <row r="57" spans="1:36">
      <c r="A57" s="7">
        <f t="shared" si="0"/>
        <v>1</v>
      </c>
      <c r="B57" s="7" t="str">
        <f t="shared" si="12"/>
        <v>14FW SMB_16_FLAT_GR_N_KIDS</v>
      </c>
      <c r="C57" s="7">
        <f t="shared" si="2"/>
        <v>1</v>
      </c>
      <c r="D57" s="7" t="str">
        <f t="shared" si="17"/>
        <v>성진14FW SMB_16_FLAT_GR_N_KIDS</v>
      </c>
      <c r="E57" s="12" t="str">
        <f t="shared" si="13"/>
        <v>201403</v>
      </c>
      <c r="F57" s="347" t="str">
        <f>VLOOKUP($AA57,[3]주!$A:$F,6,FALSE)</f>
        <v>3월 1주</v>
      </c>
      <c r="G57" s="7">
        <f t="shared" si="4"/>
        <v>1</v>
      </c>
      <c r="H57" s="7" t="str">
        <f t="shared" si="14"/>
        <v>14FW SMB_16_FLAT_GR_N_KIDS</v>
      </c>
      <c r="I57" s="7">
        <f t="shared" si="5"/>
        <v>1</v>
      </c>
      <c r="J57" s="7" t="str">
        <f t="shared" si="18"/>
        <v>성진14FW SMB_16_FLAT_GR_N_KIDS</v>
      </c>
      <c r="K57" s="17">
        <f t="shared" si="15"/>
        <v>41766</v>
      </c>
      <c r="L57" s="12" t="str">
        <f t="shared" si="16"/>
        <v>201405</v>
      </c>
      <c r="M57" s="347" t="str">
        <f>VLOOKUP($K57,[3]주!$A:$F,6,FALSE)</f>
        <v>3월 2주</v>
      </c>
      <c r="N57" s="273" t="str">
        <f>IF(VLOOKUP($Z57,생산업체!$A:$C,2,FALSE)=1,"해외","국내")</f>
        <v>해외</v>
      </c>
      <c r="O57" s="12" t="str">
        <f>IF(VLOOKUP($U57,CODE!$K:$P,CODE!P$1,FALSE)="모자",T57,T57&amp;"-"&amp;VLOOKUP($U57,CODE!$K:$P,CODE!P$1,FALSE))</f>
        <v>SMB</v>
      </c>
      <c r="P57" s="13" t="s">
        <v>47</v>
      </c>
      <c r="Q57" s="13"/>
      <c r="R57" s="13">
        <v>56</v>
      </c>
      <c r="S57" s="13"/>
      <c r="T57" s="13" t="s">
        <v>47</v>
      </c>
      <c r="U57" s="14" t="s">
        <v>35</v>
      </c>
      <c r="V57" s="14" t="s">
        <v>43</v>
      </c>
      <c r="W57" s="14" t="s">
        <v>1571</v>
      </c>
      <c r="X57" s="14" t="s">
        <v>123</v>
      </c>
      <c r="Y57" s="15">
        <v>1</v>
      </c>
      <c r="Z57" s="14" t="s">
        <v>48</v>
      </c>
      <c r="AA57" s="16">
        <v>41703</v>
      </c>
      <c r="AB57" s="16">
        <v>41731</v>
      </c>
      <c r="AC57" s="16">
        <v>41766</v>
      </c>
      <c r="AD57" s="16">
        <v>41766</v>
      </c>
      <c r="AE57" s="14">
        <v>7.3</v>
      </c>
      <c r="AF57" s="14"/>
      <c r="AG57" s="14"/>
      <c r="AH57" s="14"/>
      <c r="AI57" s="14"/>
      <c r="AJ57" s="14"/>
    </row>
    <row r="58" spans="1:36">
      <c r="A58" s="7">
        <f t="shared" si="0"/>
        <v>1</v>
      </c>
      <c r="B58" s="7" t="str">
        <f t="shared" si="12"/>
        <v>14FW SMB_17_FLAT_PK_F_KIDS</v>
      </c>
      <c r="C58" s="7">
        <f t="shared" si="2"/>
        <v>1</v>
      </c>
      <c r="D58" s="7" t="str">
        <f t="shared" si="17"/>
        <v>성진14FW SMB_17_FLAT_PK_F_KIDS</v>
      </c>
      <c r="E58" s="12" t="str">
        <f t="shared" si="13"/>
        <v>201403</v>
      </c>
      <c r="F58" s="347" t="str">
        <f>VLOOKUP($AA58,[3]주!$A:$F,6,FALSE)</f>
        <v>3월 1주</v>
      </c>
      <c r="G58" s="7">
        <f t="shared" si="4"/>
        <v>1</v>
      </c>
      <c r="H58" s="7" t="str">
        <f t="shared" si="14"/>
        <v>14FW SMB_17_FLAT_PK_F_KIDS</v>
      </c>
      <c r="I58" s="7">
        <f t="shared" si="5"/>
        <v>1</v>
      </c>
      <c r="J58" s="7" t="str">
        <f t="shared" si="18"/>
        <v>성진14FW SMB_17_FLAT_PK_F_KIDS</v>
      </c>
      <c r="K58" s="17">
        <f t="shared" si="15"/>
        <v>41745</v>
      </c>
      <c r="L58" s="12" t="str">
        <f t="shared" si="16"/>
        <v>201404</v>
      </c>
      <c r="M58" s="347" t="str">
        <f>VLOOKUP($K58,[3]주!$A:$F,6,FALSE)</f>
        <v>3월 2주</v>
      </c>
      <c r="N58" s="273" t="str">
        <f>IF(VLOOKUP($Z58,생산업체!$A:$C,2,FALSE)=1,"해외","국내")</f>
        <v>해외</v>
      </c>
      <c r="O58" s="12" t="str">
        <f>IF(VLOOKUP($U58,CODE!$K:$P,CODE!P$1,FALSE)="모자",T58,T58&amp;"-"&amp;VLOOKUP($U58,CODE!$K:$P,CODE!P$1,FALSE))</f>
        <v>SMB</v>
      </c>
      <c r="P58" s="13" t="s">
        <v>47</v>
      </c>
      <c r="Q58" s="13"/>
      <c r="R58" s="13">
        <v>57</v>
      </c>
      <c r="S58" s="13"/>
      <c r="T58" s="13" t="s">
        <v>47</v>
      </c>
      <c r="U58" s="14" t="s">
        <v>35</v>
      </c>
      <c r="V58" s="14" t="s">
        <v>43</v>
      </c>
      <c r="W58" s="14" t="s">
        <v>1572</v>
      </c>
      <c r="X58" s="14" t="s">
        <v>123</v>
      </c>
      <c r="Y58" s="15">
        <v>1</v>
      </c>
      <c r="Z58" s="14" t="s">
        <v>48</v>
      </c>
      <c r="AA58" s="16">
        <v>41703</v>
      </c>
      <c r="AB58" s="16">
        <v>41731</v>
      </c>
      <c r="AC58" s="16">
        <v>41739</v>
      </c>
      <c r="AD58" s="16">
        <v>41745</v>
      </c>
      <c r="AE58" s="14">
        <v>7.8</v>
      </c>
      <c r="AF58" s="14"/>
      <c r="AG58" s="14"/>
      <c r="AH58" s="14"/>
      <c r="AI58" s="14"/>
      <c r="AJ58" s="14"/>
    </row>
    <row r="59" spans="1:36">
      <c r="A59" s="7">
        <f t="shared" si="0"/>
        <v>1</v>
      </c>
      <c r="B59" s="7" t="str">
        <f t="shared" si="12"/>
        <v>14FW SMB_18_FLAT_NY_F_KIDS</v>
      </c>
      <c r="C59" s="7">
        <f t="shared" si="2"/>
        <v>1</v>
      </c>
      <c r="D59" s="7" t="str">
        <f t="shared" si="17"/>
        <v>성진14FW SMB_18_FLAT_NY_F_KIDS</v>
      </c>
      <c r="E59" s="12" t="str">
        <f t="shared" si="13"/>
        <v>201403</v>
      </c>
      <c r="F59" s="347" t="str">
        <f>VLOOKUP($AA59,[3]주!$A:$F,6,FALSE)</f>
        <v>3월 1주</v>
      </c>
      <c r="G59" s="7">
        <f t="shared" si="4"/>
        <v>1</v>
      </c>
      <c r="H59" s="7" t="str">
        <f t="shared" si="14"/>
        <v>14FW SMB_18_FLAT_NY_F_KIDS</v>
      </c>
      <c r="I59" s="7">
        <f t="shared" si="5"/>
        <v>1</v>
      </c>
      <c r="J59" s="7" t="str">
        <f t="shared" si="18"/>
        <v>성진14FW SMB_18_FLAT_NY_F_KIDS</v>
      </c>
      <c r="K59" s="17">
        <f t="shared" si="15"/>
        <v>41736</v>
      </c>
      <c r="L59" s="12" t="str">
        <f t="shared" si="16"/>
        <v>201404</v>
      </c>
      <c r="M59" s="347" t="str">
        <f>VLOOKUP($K59,[3]주!$A:$F,6,FALSE)</f>
        <v>3월 2주</v>
      </c>
      <c r="N59" s="273" t="str">
        <f>IF(VLOOKUP($Z59,생산업체!$A:$C,2,FALSE)=1,"해외","국내")</f>
        <v>해외</v>
      </c>
      <c r="O59" s="12" t="str">
        <f>IF(VLOOKUP($U59,CODE!$K:$P,CODE!P$1,FALSE)="모자",T59,T59&amp;"-"&amp;VLOOKUP($U59,CODE!$K:$P,CODE!P$1,FALSE))</f>
        <v>SMB</v>
      </c>
      <c r="P59" s="13" t="s">
        <v>47</v>
      </c>
      <c r="Q59" s="13"/>
      <c r="R59" s="13">
        <v>58</v>
      </c>
      <c r="S59" s="13"/>
      <c r="T59" s="13" t="s">
        <v>47</v>
      </c>
      <c r="U59" s="14" t="s">
        <v>50</v>
      </c>
      <c r="V59" s="14" t="s">
        <v>43</v>
      </c>
      <c r="W59" s="14" t="s">
        <v>1573</v>
      </c>
      <c r="X59" s="14" t="s">
        <v>123</v>
      </c>
      <c r="Y59" s="15">
        <v>1</v>
      </c>
      <c r="Z59" s="14" t="s">
        <v>48</v>
      </c>
      <c r="AA59" s="16">
        <v>41703</v>
      </c>
      <c r="AB59" s="16">
        <v>41731</v>
      </c>
      <c r="AC59" s="16">
        <v>41739</v>
      </c>
      <c r="AD59" s="16">
        <v>41736</v>
      </c>
      <c r="AE59" s="14">
        <v>6.3</v>
      </c>
      <c r="AF59" s="14"/>
      <c r="AG59" s="14"/>
      <c r="AH59" s="14"/>
      <c r="AI59" s="14"/>
      <c r="AJ59" s="14"/>
    </row>
    <row r="60" spans="1:36">
      <c r="A60" s="7">
        <f t="shared" si="0"/>
        <v>1</v>
      </c>
      <c r="B60" s="7" t="str">
        <f t="shared" si="12"/>
        <v>14FW SMB_29_FLAT_GY_N</v>
      </c>
      <c r="C60" s="7">
        <f t="shared" si="2"/>
        <v>1</v>
      </c>
      <c r="D60" s="7" t="str">
        <f t="shared" si="17"/>
        <v>성진14FW SMB_29_FLAT_GY_N</v>
      </c>
      <c r="E60" s="12" t="str">
        <f t="shared" si="13"/>
        <v>201403</v>
      </c>
      <c r="F60" s="347" t="str">
        <f>VLOOKUP($AA60,[3]주!$A:$F,6,FALSE)</f>
        <v>3월 1주</v>
      </c>
      <c r="G60" s="7">
        <f t="shared" si="4"/>
        <v>1</v>
      </c>
      <c r="H60" s="7" t="str">
        <f t="shared" si="14"/>
        <v>14FW SMB_29_FLAT_GY_N</v>
      </c>
      <c r="I60" s="7">
        <f t="shared" si="5"/>
        <v>1</v>
      </c>
      <c r="J60" s="7" t="str">
        <f t="shared" si="18"/>
        <v>성진14FW SMB_29_FLAT_GY_N</v>
      </c>
      <c r="K60" s="17">
        <f t="shared" si="15"/>
        <v>41745</v>
      </c>
      <c r="L60" s="12" t="str">
        <f t="shared" si="16"/>
        <v>201404</v>
      </c>
      <c r="M60" s="347" t="str">
        <f>VLOOKUP($K60,[3]주!$A:$F,6,FALSE)</f>
        <v>3월 2주</v>
      </c>
      <c r="N60" s="273" t="str">
        <f>IF(VLOOKUP($Z60,생산업체!$A:$C,2,FALSE)=1,"해외","국내")</f>
        <v>해외</v>
      </c>
      <c r="O60" s="12" t="str">
        <f>IF(VLOOKUP($U60,CODE!$K:$P,CODE!P$1,FALSE)="모자",T60,T60&amp;"-"&amp;VLOOKUP($U60,CODE!$K:$P,CODE!P$1,FALSE))</f>
        <v>SMB</v>
      </c>
      <c r="P60" s="13" t="s">
        <v>47</v>
      </c>
      <c r="Q60" s="13"/>
      <c r="R60" s="13">
        <v>59</v>
      </c>
      <c r="S60" s="13"/>
      <c r="T60" s="13" t="s">
        <v>47</v>
      </c>
      <c r="U60" s="14" t="s">
        <v>35</v>
      </c>
      <c r="V60" s="14" t="s">
        <v>43</v>
      </c>
      <c r="W60" s="14" t="s">
        <v>1574</v>
      </c>
      <c r="X60" s="14" t="s">
        <v>110</v>
      </c>
      <c r="Y60" s="15">
        <v>1</v>
      </c>
      <c r="Z60" s="14" t="s">
        <v>48</v>
      </c>
      <c r="AA60" s="16">
        <v>41703</v>
      </c>
      <c r="AB60" s="16">
        <v>41731</v>
      </c>
      <c r="AC60" s="16">
        <v>41739</v>
      </c>
      <c r="AD60" s="16">
        <v>41745</v>
      </c>
      <c r="AE60" s="14">
        <v>6.7</v>
      </c>
      <c r="AF60" s="14"/>
      <c r="AG60" s="14"/>
      <c r="AH60" s="14"/>
      <c r="AI60" s="14"/>
      <c r="AJ60" s="14"/>
    </row>
    <row r="61" spans="1:36">
      <c r="A61" s="7">
        <f t="shared" si="0"/>
        <v>1</v>
      </c>
      <c r="B61" s="7" t="str">
        <f t="shared" si="12"/>
        <v>14FW SMB_30_FLAT_D.GY_N</v>
      </c>
      <c r="C61" s="7">
        <f t="shared" si="2"/>
        <v>1</v>
      </c>
      <c r="D61" s="7" t="str">
        <f t="shared" si="17"/>
        <v>성진14FW SMB_30_FLAT_D.GY_N</v>
      </c>
      <c r="E61" s="12" t="str">
        <f t="shared" si="13"/>
        <v>201403</v>
      </c>
      <c r="F61" s="347" t="str">
        <f>VLOOKUP($AA61,[3]주!$A:$F,6,FALSE)</f>
        <v>3월 1주</v>
      </c>
      <c r="G61" s="7">
        <f t="shared" si="4"/>
        <v>1</v>
      </c>
      <c r="H61" s="7" t="str">
        <f t="shared" si="14"/>
        <v>14FW SMB_30_FLAT_D.GY_N</v>
      </c>
      <c r="I61" s="7">
        <f t="shared" si="5"/>
        <v>1</v>
      </c>
      <c r="J61" s="7" t="str">
        <f t="shared" si="18"/>
        <v>성진14FW SMB_30_FLAT_D.GY_N</v>
      </c>
      <c r="K61" s="17">
        <f t="shared" si="15"/>
        <v>41745</v>
      </c>
      <c r="L61" s="12" t="str">
        <f t="shared" si="16"/>
        <v>201404</v>
      </c>
      <c r="M61" s="347" t="str">
        <f>VLOOKUP($K61,[3]주!$A:$F,6,FALSE)</f>
        <v>3월 2주</v>
      </c>
      <c r="N61" s="273" t="str">
        <f>IF(VLOOKUP($Z61,생산업체!$A:$C,2,FALSE)=1,"해외","국내")</f>
        <v>해외</v>
      </c>
      <c r="O61" s="12" t="str">
        <f>IF(VLOOKUP($U61,CODE!$K:$P,CODE!P$1,FALSE)="모자",T61,T61&amp;"-"&amp;VLOOKUP($U61,CODE!$K:$P,CODE!P$1,FALSE))</f>
        <v>SMB</v>
      </c>
      <c r="P61" s="13" t="s">
        <v>47</v>
      </c>
      <c r="Q61" s="13"/>
      <c r="R61" s="13">
        <v>60</v>
      </c>
      <c r="S61" s="13"/>
      <c r="T61" s="13" t="s">
        <v>47</v>
      </c>
      <c r="U61" s="14" t="s">
        <v>35</v>
      </c>
      <c r="V61" s="14" t="s">
        <v>43</v>
      </c>
      <c r="W61" s="14" t="s">
        <v>1575</v>
      </c>
      <c r="X61" s="14" t="s">
        <v>110</v>
      </c>
      <c r="Y61" s="15">
        <v>1</v>
      </c>
      <c r="Z61" s="14" t="s">
        <v>48</v>
      </c>
      <c r="AA61" s="16">
        <v>41703</v>
      </c>
      <c r="AB61" s="16">
        <v>41731</v>
      </c>
      <c r="AC61" s="16">
        <v>41739</v>
      </c>
      <c r="AD61" s="16">
        <v>41745</v>
      </c>
      <c r="AE61" s="14">
        <v>7.8</v>
      </c>
      <c r="AF61" s="14"/>
      <c r="AG61" s="14"/>
      <c r="AH61" s="14"/>
      <c r="AI61" s="14"/>
      <c r="AJ61" s="14"/>
    </row>
    <row r="62" spans="1:36">
      <c r="A62" s="7">
        <f t="shared" si="0"/>
        <v>1</v>
      </c>
      <c r="B62" s="7" t="str">
        <f t="shared" si="12"/>
        <v>14FW SMB_31_FLAT_NY_F_KIDS</v>
      </c>
      <c r="C62" s="7">
        <f t="shared" si="2"/>
        <v>1</v>
      </c>
      <c r="D62" s="7" t="str">
        <f t="shared" si="17"/>
        <v>성진14FW SMB_31_FLAT_NY_F_KIDS</v>
      </c>
      <c r="E62" s="12" t="str">
        <f t="shared" si="13"/>
        <v>201403</v>
      </c>
      <c r="F62" s="347" t="str">
        <f>VLOOKUP($AA62,[3]주!$A:$F,6,FALSE)</f>
        <v>3월 1주</v>
      </c>
      <c r="G62" s="7">
        <f t="shared" si="4"/>
        <v>1</v>
      </c>
      <c r="H62" s="7" t="str">
        <f t="shared" si="14"/>
        <v>14FW SMB_31_FLAT_NY_F_KIDS</v>
      </c>
      <c r="I62" s="7">
        <f t="shared" si="5"/>
        <v>1</v>
      </c>
      <c r="J62" s="7" t="str">
        <f t="shared" si="18"/>
        <v>성진14FW SMB_31_FLAT_NY_F_KIDS</v>
      </c>
      <c r="K62" s="17">
        <f t="shared" si="15"/>
        <v>41736</v>
      </c>
      <c r="L62" s="12" t="str">
        <f t="shared" si="16"/>
        <v>201404</v>
      </c>
      <c r="M62" s="347" t="str">
        <f>VLOOKUP($K62,[3]주!$A:$F,6,FALSE)</f>
        <v>3월 2주</v>
      </c>
      <c r="N62" s="273" t="str">
        <f>IF(VLOOKUP($Z62,생산업체!$A:$C,2,FALSE)=1,"해외","국내")</f>
        <v>해외</v>
      </c>
      <c r="O62" s="12" t="str">
        <f>IF(VLOOKUP($U62,CODE!$K:$P,CODE!P$1,FALSE)="모자",T62,T62&amp;"-"&amp;VLOOKUP($U62,CODE!$K:$P,CODE!P$1,FALSE))</f>
        <v>SMB</v>
      </c>
      <c r="P62" s="13" t="s">
        <v>47</v>
      </c>
      <c r="Q62" s="13"/>
      <c r="R62" s="13">
        <v>61</v>
      </c>
      <c r="S62" s="13"/>
      <c r="T62" s="13" t="s">
        <v>47</v>
      </c>
      <c r="U62" s="14" t="s">
        <v>50</v>
      </c>
      <c r="V62" s="14" t="s">
        <v>43</v>
      </c>
      <c r="W62" s="14" t="s">
        <v>1576</v>
      </c>
      <c r="X62" s="14" t="s">
        <v>123</v>
      </c>
      <c r="Y62" s="15">
        <v>1</v>
      </c>
      <c r="Z62" s="14" t="s">
        <v>48</v>
      </c>
      <c r="AA62" s="16">
        <v>41703</v>
      </c>
      <c r="AB62" s="16">
        <v>41731</v>
      </c>
      <c r="AC62" s="16">
        <v>41739</v>
      </c>
      <c r="AD62" s="16">
        <v>41736</v>
      </c>
      <c r="AE62" s="14">
        <v>6.6</v>
      </c>
      <c r="AF62" s="14"/>
      <c r="AG62" s="14"/>
      <c r="AH62" s="14"/>
      <c r="AI62" s="14"/>
      <c r="AJ62" s="14"/>
    </row>
    <row r="63" spans="1:36">
      <c r="A63" s="7">
        <f t="shared" si="0"/>
        <v>1</v>
      </c>
      <c r="B63" s="7" t="str">
        <f t="shared" si="12"/>
        <v>14FW SMB_07_FLAT_BK_N</v>
      </c>
      <c r="C63" s="7">
        <f t="shared" si="2"/>
        <v>1</v>
      </c>
      <c r="D63" s="7" t="str">
        <f t="shared" si="17"/>
        <v>QF14FW SMB_07_FLAT_BK_N</v>
      </c>
      <c r="E63" s="12" t="str">
        <f t="shared" si="13"/>
        <v>201403</v>
      </c>
      <c r="F63" s="347" t="str">
        <f>VLOOKUP($AA63,[3]주!$A:$F,6,FALSE)</f>
        <v>3월 1주</v>
      </c>
      <c r="G63" s="7">
        <f t="shared" si="4"/>
        <v>1</v>
      </c>
      <c r="H63" s="7" t="str">
        <f t="shared" si="14"/>
        <v>14FW SMB_07_FLAT_BK_N</v>
      </c>
      <c r="I63" s="7">
        <f t="shared" si="5"/>
        <v>1</v>
      </c>
      <c r="J63" s="7" t="str">
        <f t="shared" si="18"/>
        <v>QF14FW SMB_07_FLAT_BK_N</v>
      </c>
      <c r="K63" s="17">
        <f t="shared" si="15"/>
        <v>41738</v>
      </c>
      <c r="L63" s="12" t="str">
        <f t="shared" si="16"/>
        <v>201404</v>
      </c>
      <c r="M63" s="347" t="str">
        <f>VLOOKUP($K63,[3]주!$A:$F,6,FALSE)</f>
        <v>3월 2주</v>
      </c>
      <c r="N63" s="273" t="str">
        <f>IF(VLOOKUP($Z63,생산업체!$A:$C,2,FALSE)=1,"해외","국내")</f>
        <v>해외</v>
      </c>
      <c r="O63" s="12" t="str">
        <f>IF(VLOOKUP($U63,CODE!$K:$P,CODE!P$1,FALSE)="모자",T63,T63&amp;"-"&amp;VLOOKUP($U63,CODE!$K:$P,CODE!P$1,FALSE))</f>
        <v>SMB</v>
      </c>
      <c r="P63" s="13" t="s">
        <v>47</v>
      </c>
      <c r="Q63" s="13"/>
      <c r="R63" s="13">
        <v>62</v>
      </c>
      <c r="S63" s="13"/>
      <c r="T63" s="13" t="s">
        <v>47</v>
      </c>
      <c r="U63" s="14" t="s">
        <v>50</v>
      </c>
      <c r="V63" s="14" t="s">
        <v>43</v>
      </c>
      <c r="W63" s="14" t="s">
        <v>1577</v>
      </c>
      <c r="X63" s="14" t="s">
        <v>110</v>
      </c>
      <c r="Y63" s="15">
        <v>1</v>
      </c>
      <c r="Z63" s="14" t="s">
        <v>792</v>
      </c>
      <c r="AA63" s="16">
        <v>41703</v>
      </c>
      <c r="AB63" s="16">
        <v>41731</v>
      </c>
      <c r="AC63" s="16">
        <v>41734</v>
      </c>
      <c r="AD63" s="16">
        <v>41738</v>
      </c>
      <c r="AE63" s="14">
        <v>2.9</v>
      </c>
      <c r="AF63" s="14"/>
      <c r="AG63" s="14"/>
      <c r="AH63" s="14"/>
      <c r="AI63" s="14"/>
      <c r="AJ63" s="14"/>
    </row>
    <row r="64" spans="1:36">
      <c r="A64" s="7">
        <f t="shared" si="0"/>
        <v>1</v>
      </c>
      <c r="B64" s="7" t="str">
        <f t="shared" si="12"/>
        <v>14FW SMB_08_FLAT_BK_N</v>
      </c>
      <c r="C64" s="7">
        <f t="shared" si="2"/>
        <v>1</v>
      </c>
      <c r="D64" s="7" t="str">
        <f t="shared" si="17"/>
        <v>QF14FW SMB_08_FLAT_BK_N</v>
      </c>
      <c r="E64" s="12" t="str">
        <f t="shared" si="13"/>
        <v>201403</v>
      </c>
      <c r="F64" s="347" t="str">
        <f>VLOOKUP($AA64,[3]주!$A:$F,6,FALSE)</f>
        <v>3월 1주</v>
      </c>
      <c r="G64" s="7">
        <f t="shared" si="4"/>
        <v>1</v>
      </c>
      <c r="H64" s="7" t="str">
        <f t="shared" si="14"/>
        <v>14FW SMB_08_FLAT_BK_N</v>
      </c>
      <c r="I64" s="7">
        <f t="shared" si="5"/>
        <v>1</v>
      </c>
      <c r="J64" s="7" t="str">
        <f t="shared" si="18"/>
        <v>QF14FW SMB_08_FLAT_BK_N</v>
      </c>
      <c r="K64" s="17">
        <f t="shared" si="15"/>
        <v>41738</v>
      </c>
      <c r="L64" s="12" t="str">
        <f t="shared" si="16"/>
        <v>201404</v>
      </c>
      <c r="M64" s="347" t="str">
        <f>VLOOKUP($K64,[3]주!$A:$F,6,FALSE)</f>
        <v>3월 2주</v>
      </c>
      <c r="N64" s="273" t="str">
        <f>IF(VLOOKUP($Z64,생산업체!$A:$C,2,FALSE)=1,"해외","국내")</f>
        <v>해외</v>
      </c>
      <c r="O64" s="12" t="str">
        <f>IF(VLOOKUP($U64,CODE!$K:$P,CODE!P$1,FALSE)="모자",T64,T64&amp;"-"&amp;VLOOKUP($U64,CODE!$K:$P,CODE!P$1,FALSE))</f>
        <v>SMB</v>
      </c>
      <c r="P64" s="13" t="s">
        <v>47</v>
      </c>
      <c r="Q64" s="13"/>
      <c r="R64" s="13">
        <v>63</v>
      </c>
      <c r="S64" s="13"/>
      <c r="T64" s="13" t="s">
        <v>47</v>
      </c>
      <c r="U64" s="14" t="s">
        <v>50</v>
      </c>
      <c r="V64" s="14" t="s">
        <v>43</v>
      </c>
      <c r="W64" s="14" t="s">
        <v>1578</v>
      </c>
      <c r="X64" s="14" t="s">
        <v>110</v>
      </c>
      <c r="Y64" s="15">
        <v>1</v>
      </c>
      <c r="Z64" s="14" t="s">
        <v>792</v>
      </c>
      <c r="AA64" s="16">
        <v>41703</v>
      </c>
      <c r="AB64" s="16">
        <v>41731</v>
      </c>
      <c r="AC64" s="16">
        <v>41734</v>
      </c>
      <c r="AD64" s="16">
        <v>41738</v>
      </c>
      <c r="AE64" s="14">
        <v>2.7</v>
      </c>
      <c r="AF64" s="14"/>
      <c r="AG64" s="14"/>
      <c r="AH64" s="14"/>
      <c r="AI64" s="14"/>
      <c r="AJ64" s="14" t="s">
        <v>2072</v>
      </c>
    </row>
    <row r="65" spans="1:36">
      <c r="A65" s="7">
        <f t="shared" si="0"/>
        <v>1</v>
      </c>
      <c r="B65" s="7" t="str">
        <f t="shared" si="12"/>
        <v>14FW SMB_09_FLAT_RE_N</v>
      </c>
      <c r="C65" s="7">
        <f t="shared" si="2"/>
        <v>1</v>
      </c>
      <c r="D65" s="7" t="str">
        <f t="shared" si="17"/>
        <v>QF14FW SMB_09_FLAT_RE_N</v>
      </c>
      <c r="E65" s="12" t="str">
        <f t="shared" si="13"/>
        <v>201403</v>
      </c>
      <c r="F65" s="347" t="str">
        <f>VLOOKUP($AA65,[3]주!$A:$F,6,FALSE)</f>
        <v>3월 1주</v>
      </c>
      <c r="G65" s="7">
        <f t="shared" si="4"/>
        <v>1</v>
      </c>
      <c r="H65" s="7" t="str">
        <f t="shared" si="14"/>
        <v>14FW SMB_09_FLAT_RE_N</v>
      </c>
      <c r="I65" s="7">
        <f t="shared" si="5"/>
        <v>1</v>
      </c>
      <c r="J65" s="7" t="str">
        <f t="shared" si="18"/>
        <v>QF14FW SMB_09_FLAT_RE_N</v>
      </c>
      <c r="K65" s="17">
        <f t="shared" si="15"/>
        <v>41743</v>
      </c>
      <c r="L65" s="12" t="str">
        <f t="shared" si="16"/>
        <v>201404</v>
      </c>
      <c r="M65" s="347" t="str">
        <f>VLOOKUP($K65,[3]주!$A:$F,6,FALSE)</f>
        <v>3월 2주</v>
      </c>
      <c r="N65" s="273" t="str">
        <f>IF(VLOOKUP($Z65,생산업체!$A:$C,2,FALSE)=1,"해외","국내")</f>
        <v>해외</v>
      </c>
      <c r="O65" s="12" t="str">
        <f>IF(VLOOKUP($U65,CODE!$K:$P,CODE!P$1,FALSE)="모자",T65,T65&amp;"-"&amp;VLOOKUP($U65,CODE!$K:$P,CODE!P$1,FALSE))</f>
        <v>SMB</v>
      </c>
      <c r="P65" s="13" t="s">
        <v>47</v>
      </c>
      <c r="Q65" s="13"/>
      <c r="R65" s="13">
        <v>64</v>
      </c>
      <c r="S65" s="13"/>
      <c r="T65" s="13" t="s">
        <v>47</v>
      </c>
      <c r="U65" s="14" t="s">
        <v>50</v>
      </c>
      <c r="V65" s="14" t="s">
        <v>43</v>
      </c>
      <c r="W65" s="14" t="s">
        <v>1579</v>
      </c>
      <c r="X65" s="14" t="s">
        <v>110</v>
      </c>
      <c r="Y65" s="15">
        <v>1</v>
      </c>
      <c r="Z65" s="14" t="s">
        <v>792</v>
      </c>
      <c r="AA65" s="16">
        <v>41703</v>
      </c>
      <c r="AB65" s="16">
        <v>41731</v>
      </c>
      <c r="AC65" s="16">
        <v>41734</v>
      </c>
      <c r="AD65" s="16">
        <v>41743</v>
      </c>
      <c r="AE65" s="14">
        <v>3.7</v>
      </c>
      <c r="AF65" s="14"/>
      <c r="AG65" s="14"/>
      <c r="AH65" s="14"/>
      <c r="AI65" s="14"/>
      <c r="AJ65" s="14"/>
    </row>
    <row r="66" spans="1:36">
      <c r="A66" s="7">
        <f t="shared" ref="A66:A129" si="19">IF(B66="",0,1/COUNTIF(B:B,B66))</f>
        <v>1</v>
      </c>
      <c r="B66" s="7" t="str">
        <f t="shared" si="12"/>
        <v>14FW SMB_14_FLAT_BK_N</v>
      </c>
      <c r="C66" s="7">
        <f t="shared" ref="C66:C129" si="20">IF(D66="",0,1/COUNTIF(D:D,D66))</f>
        <v>1</v>
      </c>
      <c r="D66" s="7" t="str">
        <f t="shared" si="17"/>
        <v>QF14FW SMB_14_FLAT_BK_N</v>
      </c>
      <c r="E66" s="12" t="str">
        <f t="shared" si="13"/>
        <v>201403</v>
      </c>
      <c r="F66" s="347" t="str">
        <f>VLOOKUP($AA66,[3]주!$A:$F,6,FALSE)</f>
        <v>3월 1주</v>
      </c>
      <c r="G66" s="7">
        <f t="shared" ref="G66:G129" si="21">IF(H66="",0,1/COUNTIF(H:H,H66))</f>
        <v>1</v>
      </c>
      <c r="H66" s="7" t="str">
        <f t="shared" si="14"/>
        <v>14FW SMB_14_FLAT_BK_N</v>
      </c>
      <c r="I66" s="7">
        <f t="shared" ref="I66:I129" si="22">IF(J66="",0,1/COUNTIF(J:J,J66))</f>
        <v>1</v>
      </c>
      <c r="J66" s="7" t="str">
        <f t="shared" si="18"/>
        <v>QF14FW SMB_14_FLAT_BK_N</v>
      </c>
      <c r="K66" s="17">
        <f t="shared" si="15"/>
        <v>41738</v>
      </c>
      <c r="L66" s="12" t="str">
        <f t="shared" si="16"/>
        <v>201404</v>
      </c>
      <c r="M66" s="347" t="str">
        <f>VLOOKUP($K66,[3]주!$A:$F,6,FALSE)</f>
        <v>3월 2주</v>
      </c>
      <c r="N66" s="273" t="str">
        <f>IF(VLOOKUP($Z66,생산업체!$A:$C,2,FALSE)=1,"해외","국내")</f>
        <v>해외</v>
      </c>
      <c r="O66" s="12" t="str">
        <f>IF(VLOOKUP($U66,CODE!$K:$P,CODE!P$1,FALSE)="모자",T66,T66&amp;"-"&amp;VLOOKUP($U66,CODE!$K:$P,CODE!P$1,FALSE))</f>
        <v>SMB</v>
      </c>
      <c r="P66" s="13" t="s">
        <v>47</v>
      </c>
      <c r="Q66" s="13"/>
      <c r="R66" s="13">
        <v>65</v>
      </c>
      <c r="S66" s="13"/>
      <c r="T66" s="13" t="s">
        <v>47</v>
      </c>
      <c r="U66" s="14" t="s">
        <v>35</v>
      </c>
      <c r="V66" s="14" t="s">
        <v>43</v>
      </c>
      <c r="W66" s="14" t="s">
        <v>1580</v>
      </c>
      <c r="X66" s="14" t="s">
        <v>110</v>
      </c>
      <c r="Y66" s="15">
        <v>1</v>
      </c>
      <c r="Z66" s="14" t="s">
        <v>792</v>
      </c>
      <c r="AA66" s="16">
        <v>41703</v>
      </c>
      <c r="AB66" s="16">
        <v>41731</v>
      </c>
      <c r="AC66" s="16">
        <v>41734</v>
      </c>
      <c r="AD66" s="16">
        <v>41738</v>
      </c>
      <c r="AE66" s="14">
        <v>3.7</v>
      </c>
      <c r="AF66" s="14"/>
      <c r="AG66" s="14"/>
      <c r="AH66" s="14"/>
      <c r="AI66" s="14"/>
      <c r="AJ66" s="14" t="s">
        <v>2072</v>
      </c>
    </row>
    <row r="67" spans="1:36">
      <c r="A67" s="7">
        <f t="shared" si="19"/>
        <v>0.5</v>
      </c>
      <c r="B67" s="7" t="str">
        <f t="shared" si="12"/>
        <v>14FW SMB_19_FLAT_BK_N</v>
      </c>
      <c r="C67" s="7">
        <f t="shared" si="20"/>
        <v>1</v>
      </c>
      <c r="D67" s="7" t="str">
        <f t="shared" si="17"/>
        <v>QF14FW SMB_19_FLAT_BK_N</v>
      </c>
      <c r="E67" s="12" t="str">
        <f t="shared" si="13"/>
        <v>201403</v>
      </c>
      <c r="F67" s="347" t="str">
        <f>VLOOKUP($AA67,[3]주!$A:$F,6,FALSE)</f>
        <v>3월 1주</v>
      </c>
      <c r="G67" s="7">
        <f t="shared" si="21"/>
        <v>0.5</v>
      </c>
      <c r="H67" s="7" t="str">
        <f t="shared" si="14"/>
        <v>14FW SMB_19_FLAT_BK_N</v>
      </c>
      <c r="I67" s="7">
        <f t="shared" si="22"/>
        <v>1</v>
      </c>
      <c r="J67" s="7" t="str">
        <f t="shared" si="18"/>
        <v>QF14FW SMB_19_FLAT_BK_N</v>
      </c>
      <c r="K67" s="17">
        <f t="shared" si="15"/>
        <v>41738</v>
      </c>
      <c r="L67" s="12" t="str">
        <f t="shared" si="16"/>
        <v>201404</v>
      </c>
      <c r="M67" s="347" t="str">
        <f>VLOOKUP($K67,[3]주!$A:$F,6,FALSE)</f>
        <v>3월 2주</v>
      </c>
      <c r="N67" s="273" t="str">
        <f>IF(VLOOKUP($Z67,생산업체!$A:$C,2,FALSE)=1,"해외","국내")</f>
        <v>해외</v>
      </c>
      <c r="O67" s="12" t="str">
        <f>IF(VLOOKUP($U67,CODE!$K:$P,CODE!P$1,FALSE)="모자",T67,T67&amp;"-"&amp;VLOOKUP($U67,CODE!$K:$P,CODE!P$1,FALSE))</f>
        <v>SMB</v>
      </c>
      <c r="P67" s="13" t="s">
        <v>47</v>
      </c>
      <c r="Q67" s="13"/>
      <c r="R67" s="13">
        <v>66</v>
      </c>
      <c r="S67" s="13"/>
      <c r="T67" s="13" t="s">
        <v>47</v>
      </c>
      <c r="U67" s="14" t="s">
        <v>50</v>
      </c>
      <c r="V67" s="14" t="s">
        <v>43</v>
      </c>
      <c r="W67" s="14" t="s">
        <v>1581</v>
      </c>
      <c r="X67" s="14" t="s">
        <v>110</v>
      </c>
      <c r="Y67" s="15">
        <v>0.5</v>
      </c>
      <c r="Z67" s="14" t="s">
        <v>792</v>
      </c>
      <c r="AA67" s="16">
        <v>41703</v>
      </c>
      <c r="AB67" s="16">
        <v>41731</v>
      </c>
      <c r="AC67" s="16">
        <v>41734</v>
      </c>
      <c r="AD67" s="16">
        <v>41738</v>
      </c>
      <c r="AE67" s="14">
        <v>3</v>
      </c>
      <c r="AF67" s="14"/>
      <c r="AG67" s="14"/>
      <c r="AH67" s="14"/>
      <c r="AI67" s="14"/>
      <c r="AJ67" s="14" t="s">
        <v>2073</v>
      </c>
    </row>
    <row r="68" spans="1:36">
      <c r="A68" s="7">
        <f t="shared" si="19"/>
        <v>1</v>
      </c>
      <c r="B68" s="7" t="str">
        <f t="shared" si="12"/>
        <v>14FW SMB_21_FLAT_NV_N</v>
      </c>
      <c r="C68" s="7">
        <f t="shared" si="20"/>
        <v>1</v>
      </c>
      <c r="D68" s="7" t="str">
        <f t="shared" si="17"/>
        <v>QF14FW SMB_21_FLAT_NV_N</v>
      </c>
      <c r="E68" s="12" t="str">
        <f t="shared" si="13"/>
        <v>201403</v>
      </c>
      <c r="F68" s="347" t="str">
        <f>VLOOKUP($AA68,[3]주!$A:$F,6,FALSE)</f>
        <v>3월 1주</v>
      </c>
      <c r="G68" s="7">
        <f t="shared" si="21"/>
        <v>1</v>
      </c>
      <c r="H68" s="7" t="str">
        <f t="shared" si="14"/>
        <v>14FW SMB_21_FLAT_NV_N</v>
      </c>
      <c r="I68" s="7">
        <f t="shared" si="22"/>
        <v>1</v>
      </c>
      <c r="J68" s="7" t="str">
        <f t="shared" si="18"/>
        <v>QF14FW SMB_21_FLAT_NV_N</v>
      </c>
      <c r="K68" s="17">
        <f t="shared" si="15"/>
        <v>41738</v>
      </c>
      <c r="L68" s="12" t="str">
        <f t="shared" si="16"/>
        <v>201404</v>
      </c>
      <c r="M68" s="347" t="str">
        <f>VLOOKUP($K68,[3]주!$A:$F,6,FALSE)</f>
        <v>3월 2주</v>
      </c>
      <c r="N68" s="273" t="str">
        <f>IF(VLOOKUP($Z68,생산업체!$A:$C,2,FALSE)=1,"해외","국내")</f>
        <v>해외</v>
      </c>
      <c r="O68" s="12" t="str">
        <f>IF(VLOOKUP($U68,CODE!$K:$P,CODE!P$1,FALSE)="모자",T68,T68&amp;"-"&amp;VLOOKUP($U68,CODE!$K:$P,CODE!P$1,FALSE))</f>
        <v>SMB</v>
      </c>
      <c r="P68" s="13" t="s">
        <v>47</v>
      </c>
      <c r="Q68" s="13"/>
      <c r="R68" s="13">
        <v>67</v>
      </c>
      <c r="S68" s="13"/>
      <c r="T68" s="13" t="s">
        <v>47</v>
      </c>
      <c r="U68" s="14" t="s">
        <v>50</v>
      </c>
      <c r="V68" s="14" t="s">
        <v>43</v>
      </c>
      <c r="W68" s="14" t="s">
        <v>1582</v>
      </c>
      <c r="X68" s="14" t="s">
        <v>110</v>
      </c>
      <c r="Y68" s="15">
        <v>1</v>
      </c>
      <c r="Z68" s="14" t="s">
        <v>792</v>
      </c>
      <c r="AA68" s="16">
        <v>41703</v>
      </c>
      <c r="AB68" s="16">
        <v>41731</v>
      </c>
      <c r="AC68" s="16">
        <v>41734</v>
      </c>
      <c r="AD68" s="16">
        <v>41738</v>
      </c>
      <c r="AE68" s="14">
        <v>3.5</v>
      </c>
      <c r="AF68" s="14"/>
      <c r="AG68" s="14"/>
      <c r="AH68" s="14"/>
      <c r="AI68" s="14"/>
      <c r="AJ68" s="14"/>
    </row>
    <row r="69" spans="1:36">
      <c r="A69" s="7">
        <f t="shared" si="19"/>
        <v>1</v>
      </c>
      <c r="B69" s="7" t="str">
        <f t="shared" si="12"/>
        <v>14FW SMB_22_FLAT_RD_N</v>
      </c>
      <c r="C69" s="7">
        <f t="shared" si="20"/>
        <v>1</v>
      </c>
      <c r="D69" s="7" t="str">
        <f t="shared" si="17"/>
        <v>QF14FW SMB_22_FLAT_RD_N</v>
      </c>
      <c r="E69" s="12" t="str">
        <f t="shared" si="13"/>
        <v>201403</v>
      </c>
      <c r="F69" s="347" t="str">
        <f>VLOOKUP($AA69,[3]주!$A:$F,6,FALSE)</f>
        <v>3월 1주</v>
      </c>
      <c r="G69" s="7">
        <f t="shared" si="21"/>
        <v>1</v>
      </c>
      <c r="H69" s="7" t="str">
        <f t="shared" si="14"/>
        <v>14FW SMB_22_FLAT_RD_N</v>
      </c>
      <c r="I69" s="7">
        <f t="shared" si="22"/>
        <v>1</v>
      </c>
      <c r="J69" s="7" t="str">
        <f t="shared" si="18"/>
        <v>QF14FW SMB_22_FLAT_RD_N</v>
      </c>
      <c r="K69" s="17">
        <f t="shared" si="15"/>
        <v>41738</v>
      </c>
      <c r="L69" s="12" t="str">
        <f>IF(YEAR(K69)&lt;10,0&amp;YEAR(K69),YEAR(K69))&amp;IF(MONTH(K69)&lt;10,0&amp;MONTH(K69),MONTH(K69))</f>
        <v>201404</v>
      </c>
      <c r="M69" s="347" t="str">
        <f>VLOOKUP($K69,[3]주!$A:$F,6,FALSE)</f>
        <v>3월 2주</v>
      </c>
      <c r="N69" s="273" t="str">
        <f>IF(VLOOKUP($Z69,생산업체!$A:$C,2,FALSE)=1,"해외","국내")</f>
        <v>해외</v>
      </c>
      <c r="O69" s="12" t="str">
        <f>IF(VLOOKUP($U69,CODE!$K:$P,CODE!P$1,FALSE)="모자",T69,T69&amp;"-"&amp;VLOOKUP($U69,CODE!$K:$P,CODE!P$1,FALSE))</f>
        <v>SMB</v>
      </c>
      <c r="P69" s="13" t="s">
        <v>47</v>
      </c>
      <c r="Q69" s="13"/>
      <c r="R69" s="13">
        <v>68</v>
      </c>
      <c r="S69" s="13"/>
      <c r="T69" s="13" t="s">
        <v>47</v>
      </c>
      <c r="U69" s="14" t="s">
        <v>50</v>
      </c>
      <c r="V69" s="14" t="s">
        <v>43</v>
      </c>
      <c r="W69" s="14" t="s">
        <v>1583</v>
      </c>
      <c r="X69" s="14" t="s">
        <v>110</v>
      </c>
      <c r="Y69" s="15">
        <v>1</v>
      </c>
      <c r="Z69" s="14" t="s">
        <v>792</v>
      </c>
      <c r="AA69" s="16">
        <v>41703</v>
      </c>
      <c r="AB69" s="16">
        <v>41731</v>
      </c>
      <c r="AC69" s="16">
        <v>41734</v>
      </c>
      <c r="AD69" s="16">
        <v>41738</v>
      </c>
      <c r="AE69" s="14">
        <v>3.5</v>
      </c>
      <c r="AF69" s="14"/>
      <c r="AG69" s="14"/>
      <c r="AH69" s="14"/>
      <c r="AI69" s="14"/>
      <c r="AJ69" s="14"/>
    </row>
    <row r="70" spans="1:36">
      <c r="A70" s="7">
        <f t="shared" si="19"/>
        <v>1</v>
      </c>
      <c r="B70" s="7" t="str">
        <f t="shared" si="12"/>
        <v>14FW SMB_23_FLAT_NV_N</v>
      </c>
      <c r="C70" s="7">
        <f t="shared" si="20"/>
        <v>1</v>
      </c>
      <c r="D70" s="7" t="str">
        <f t="shared" si="17"/>
        <v>QF14FW SMB_23_FLAT_NV_N</v>
      </c>
      <c r="E70" s="12" t="str">
        <f t="shared" si="13"/>
        <v>201403</v>
      </c>
      <c r="F70" s="347" t="str">
        <f>VLOOKUP($AA70,[3]주!$A:$F,6,FALSE)</f>
        <v>3월 1주</v>
      </c>
      <c r="G70" s="7">
        <f t="shared" si="21"/>
        <v>1</v>
      </c>
      <c r="H70" s="7" t="str">
        <f t="shared" si="14"/>
        <v>14FW SMB_23_FLAT_NV_N</v>
      </c>
      <c r="I70" s="7">
        <f t="shared" si="22"/>
        <v>1</v>
      </c>
      <c r="J70" s="7" t="str">
        <f t="shared" si="18"/>
        <v>QF14FW SMB_23_FLAT_NV_N</v>
      </c>
      <c r="K70" s="17">
        <f t="shared" si="15"/>
        <v>41743</v>
      </c>
      <c r="L70" s="12" t="str">
        <f t="shared" si="16"/>
        <v>201404</v>
      </c>
      <c r="M70" s="347" t="str">
        <f>VLOOKUP($K70,[3]주!$A:$F,6,FALSE)</f>
        <v>3월 2주</v>
      </c>
      <c r="N70" s="273" t="str">
        <f>IF(VLOOKUP($Z70,생산업체!$A:$C,2,FALSE)=1,"해외","국내")</f>
        <v>해외</v>
      </c>
      <c r="O70" s="12" t="str">
        <f>IF(VLOOKUP($U70,CODE!$K:$P,CODE!P$1,FALSE)="모자",T70,T70&amp;"-"&amp;VLOOKUP($U70,CODE!$K:$P,CODE!P$1,FALSE))</f>
        <v>SMB</v>
      </c>
      <c r="P70" s="13" t="s">
        <v>47</v>
      </c>
      <c r="Q70" s="13"/>
      <c r="R70" s="13">
        <v>69</v>
      </c>
      <c r="S70" s="13"/>
      <c r="T70" s="13" t="s">
        <v>47</v>
      </c>
      <c r="U70" s="14" t="s">
        <v>50</v>
      </c>
      <c r="V70" s="14" t="s">
        <v>43</v>
      </c>
      <c r="W70" s="14" t="s">
        <v>1584</v>
      </c>
      <c r="X70" s="14" t="s">
        <v>110</v>
      </c>
      <c r="Y70" s="15">
        <v>1</v>
      </c>
      <c r="Z70" s="14" t="s">
        <v>792</v>
      </c>
      <c r="AA70" s="16">
        <v>41703</v>
      </c>
      <c r="AB70" s="16">
        <v>41731</v>
      </c>
      <c r="AC70" s="16">
        <v>41734</v>
      </c>
      <c r="AD70" s="16">
        <v>41743</v>
      </c>
      <c r="AE70" s="14">
        <v>3.3</v>
      </c>
      <c r="AF70" s="14"/>
      <c r="AG70" s="14"/>
      <c r="AH70" s="14"/>
      <c r="AI70" s="14"/>
      <c r="AJ70" s="14" t="s">
        <v>2074</v>
      </c>
    </row>
    <row r="71" spans="1:36">
      <c r="A71" s="7">
        <f t="shared" si="19"/>
        <v>1</v>
      </c>
      <c r="B71" s="7" t="str">
        <f t="shared" si="12"/>
        <v>14FW SMB_24_FLAT_BK_N</v>
      </c>
      <c r="C71" s="7">
        <f t="shared" si="20"/>
        <v>1</v>
      </c>
      <c r="D71" s="7" t="str">
        <f t="shared" si="17"/>
        <v>QF14FW SMB_24_FLAT_BK_N</v>
      </c>
      <c r="E71" s="12" t="str">
        <f t="shared" si="13"/>
        <v>201403</v>
      </c>
      <c r="F71" s="347" t="str">
        <f>VLOOKUP($AA71,[3]주!$A:$F,6,FALSE)</f>
        <v>3월 1주</v>
      </c>
      <c r="G71" s="7">
        <f t="shared" si="21"/>
        <v>1</v>
      </c>
      <c r="H71" s="7" t="str">
        <f t="shared" si="14"/>
        <v>14FW SMB_24_FLAT_BK_N</v>
      </c>
      <c r="I71" s="7">
        <f t="shared" si="22"/>
        <v>1</v>
      </c>
      <c r="J71" s="7" t="str">
        <f t="shared" si="18"/>
        <v>QF14FW SMB_24_FLAT_BK_N</v>
      </c>
      <c r="K71" s="17">
        <f t="shared" si="15"/>
        <v>41738</v>
      </c>
      <c r="L71" s="12" t="str">
        <f t="shared" si="16"/>
        <v>201404</v>
      </c>
      <c r="M71" s="347" t="str">
        <f>VLOOKUP($K71,[3]주!$A:$F,6,FALSE)</f>
        <v>3월 2주</v>
      </c>
      <c r="N71" s="273" t="str">
        <f>IF(VLOOKUP($Z71,생산업체!$A:$C,2,FALSE)=1,"해외","국내")</f>
        <v>해외</v>
      </c>
      <c r="O71" s="12" t="str">
        <f>IF(VLOOKUP($U71,CODE!$K:$P,CODE!P$1,FALSE)="모자",T71,T71&amp;"-"&amp;VLOOKUP($U71,CODE!$K:$P,CODE!P$1,FALSE))</f>
        <v>SMB</v>
      </c>
      <c r="P71" s="13" t="s">
        <v>47</v>
      </c>
      <c r="Q71" s="13"/>
      <c r="R71" s="13">
        <v>70</v>
      </c>
      <c r="S71" s="13"/>
      <c r="T71" s="13" t="s">
        <v>47</v>
      </c>
      <c r="U71" s="14" t="s">
        <v>50</v>
      </c>
      <c r="V71" s="14" t="s">
        <v>43</v>
      </c>
      <c r="W71" s="14" t="s">
        <v>1585</v>
      </c>
      <c r="X71" s="14" t="s">
        <v>110</v>
      </c>
      <c r="Y71" s="15">
        <v>1</v>
      </c>
      <c r="Z71" s="14" t="s">
        <v>792</v>
      </c>
      <c r="AA71" s="16">
        <v>41703</v>
      </c>
      <c r="AB71" s="16">
        <v>41731</v>
      </c>
      <c r="AC71" s="16">
        <v>41734</v>
      </c>
      <c r="AD71" s="16">
        <v>41738</v>
      </c>
      <c r="AE71" s="14">
        <v>3.4</v>
      </c>
      <c r="AF71" s="14"/>
      <c r="AG71" s="14"/>
      <c r="AH71" s="14"/>
      <c r="AI71" s="14"/>
      <c r="AJ71" s="14" t="s">
        <v>2073</v>
      </c>
    </row>
    <row r="72" spans="1:36">
      <c r="A72" s="7">
        <f t="shared" si="19"/>
        <v>1</v>
      </c>
      <c r="B72" s="7" t="str">
        <f t="shared" si="12"/>
        <v>14FW SMB_26_FLAT_RD_N</v>
      </c>
      <c r="C72" s="7">
        <f t="shared" si="20"/>
        <v>1</v>
      </c>
      <c r="D72" s="7" t="str">
        <f t="shared" si="17"/>
        <v>QF14FW SMB_26_FLAT_RD_N</v>
      </c>
      <c r="E72" s="12" t="str">
        <f t="shared" si="13"/>
        <v>201403</v>
      </c>
      <c r="F72" s="347" t="str">
        <f>VLOOKUP($AA72,[3]주!$A:$F,6,FALSE)</f>
        <v>3월 1주</v>
      </c>
      <c r="G72" s="7">
        <f t="shared" si="21"/>
        <v>1</v>
      </c>
      <c r="H72" s="7" t="str">
        <f t="shared" si="14"/>
        <v>14FW SMB_26_FLAT_RD_N</v>
      </c>
      <c r="I72" s="7">
        <f t="shared" si="22"/>
        <v>1</v>
      </c>
      <c r="J72" s="7" t="str">
        <f t="shared" si="18"/>
        <v>QF14FW SMB_26_FLAT_RD_N</v>
      </c>
      <c r="K72" s="17">
        <f t="shared" si="15"/>
        <v>41738</v>
      </c>
      <c r="L72" s="12" t="str">
        <f t="shared" si="16"/>
        <v>201404</v>
      </c>
      <c r="M72" s="347" t="str">
        <f>VLOOKUP($K72,[3]주!$A:$F,6,FALSE)</f>
        <v>3월 2주</v>
      </c>
      <c r="N72" s="273" t="str">
        <f>IF(VLOOKUP($Z72,생산업체!$A:$C,2,FALSE)=1,"해외","국내")</f>
        <v>해외</v>
      </c>
      <c r="O72" s="12" t="str">
        <f>IF(VLOOKUP($U72,CODE!$K:$P,CODE!P$1,FALSE)="모자",T72,T72&amp;"-"&amp;VLOOKUP($U72,CODE!$K:$P,CODE!P$1,FALSE))</f>
        <v>SMB</v>
      </c>
      <c r="P72" s="13" t="s">
        <v>47</v>
      </c>
      <c r="Q72" s="13"/>
      <c r="R72" s="13">
        <v>71</v>
      </c>
      <c r="S72" s="13"/>
      <c r="T72" s="13" t="s">
        <v>47</v>
      </c>
      <c r="U72" s="14" t="s">
        <v>35</v>
      </c>
      <c r="V72" s="14" t="s">
        <v>43</v>
      </c>
      <c r="W72" s="14" t="s">
        <v>1586</v>
      </c>
      <c r="X72" s="14" t="s">
        <v>110</v>
      </c>
      <c r="Y72" s="15">
        <v>1</v>
      </c>
      <c r="Z72" s="14" t="s">
        <v>792</v>
      </c>
      <c r="AA72" s="16">
        <v>41703</v>
      </c>
      <c r="AB72" s="16">
        <v>41731</v>
      </c>
      <c r="AC72" s="16">
        <v>41734</v>
      </c>
      <c r="AD72" s="16">
        <v>41738</v>
      </c>
      <c r="AE72" s="14">
        <v>5</v>
      </c>
      <c r="AF72" s="14"/>
      <c r="AG72" s="14"/>
      <c r="AH72" s="14"/>
      <c r="AI72" s="14"/>
      <c r="AJ72" s="14"/>
    </row>
    <row r="73" spans="1:36">
      <c r="A73" s="7">
        <f t="shared" si="19"/>
        <v>1</v>
      </c>
      <c r="B73" s="7" t="str">
        <f t="shared" si="12"/>
        <v>14FW SMB_27_FLAT_BL_N</v>
      </c>
      <c r="C73" s="7">
        <f t="shared" si="20"/>
        <v>1</v>
      </c>
      <c r="D73" s="7" t="str">
        <f t="shared" si="17"/>
        <v>QF14FW SMB_27_FLAT_BL_N</v>
      </c>
      <c r="E73" s="12" t="str">
        <f t="shared" si="13"/>
        <v>201403</v>
      </c>
      <c r="F73" s="347" t="str">
        <f>VLOOKUP($AA73,[3]주!$A:$F,6,FALSE)</f>
        <v>3월 1주</v>
      </c>
      <c r="G73" s="7">
        <f t="shared" si="21"/>
        <v>1</v>
      </c>
      <c r="H73" s="7" t="str">
        <f t="shared" si="14"/>
        <v>14FW SMB_27_FLAT_BL_N</v>
      </c>
      <c r="I73" s="7">
        <f t="shared" si="22"/>
        <v>1</v>
      </c>
      <c r="J73" s="7" t="str">
        <f t="shared" si="18"/>
        <v>QF14FW SMB_27_FLAT_BL_N</v>
      </c>
      <c r="K73" s="17">
        <f t="shared" si="15"/>
        <v>41738</v>
      </c>
      <c r="L73" s="12" t="str">
        <f t="shared" si="16"/>
        <v>201404</v>
      </c>
      <c r="M73" s="347" t="str">
        <f>VLOOKUP($K73,[3]주!$A:$F,6,FALSE)</f>
        <v>3월 2주</v>
      </c>
      <c r="N73" s="273" t="str">
        <f>IF(VLOOKUP($Z73,생산업체!$A:$C,2,FALSE)=1,"해외","국내")</f>
        <v>해외</v>
      </c>
      <c r="O73" s="12" t="str">
        <f>IF(VLOOKUP($U73,CODE!$K:$P,CODE!P$1,FALSE)="모자",T73,T73&amp;"-"&amp;VLOOKUP($U73,CODE!$K:$P,CODE!P$1,FALSE))</f>
        <v>SMB</v>
      </c>
      <c r="P73" s="13" t="s">
        <v>47</v>
      </c>
      <c r="Q73" s="13"/>
      <c r="R73" s="13">
        <v>72</v>
      </c>
      <c r="S73" s="13"/>
      <c r="T73" s="14" t="s">
        <v>47</v>
      </c>
      <c r="U73" s="14" t="s">
        <v>35</v>
      </c>
      <c r="V73" s="14" t="s">
        <v>43</v>
      </c>
      <c r="W73" s="14" t="s">
        <v>1587</v>
      </c>
      <c r="X73" s="14" t="s">
        <v>110</v>
      </c>
      <c r="Y73" s="15">
        <v>1</v>
      </c>
      <c r="Z73" s="14" t="s">
        <v>792</v>
      </c>
      <c r="AA73" s="16">
        <v>41703</v>
      </c>
      <c r="AB73" s="16">
        <v>41731</v>
      </c>
      <c r="AC73" s="16">
        <v>41734</v>
      </c>
      <c r="AD73" s="16">
        <v>41738</v>
      </c>
      <c r="AE73" s="14">
        <v>3.5</v>
      </c>
      <c r="AF73" s="14"/>
      <c r="AG73" s="14"/>
      <c r="AH73" s="14"/>
      <c r="AI73" s="14"/>
      <c r="AJ73" s="14" t="s">
        <v>2075</v>
      </c>
    </row>
    <row r="74" spans="1:36">
      <c r="A74" s="7">
        <f t="shared" si="19"/>
        <v>1</v>
      </c>
      <c r="B74" s="7" t="str">
        <f t="shared" si="12"/>
        <v>14FW SMB_28_FLAT_BG_N</v>
      </c>
      <c r="C74" s="7">
        <f t="shared" si="20"/>
        <v>1</v>
      </c>
      <c r="D74" s="7" t="str">
        <f t="shared" si="17"/>
        <v>QF14FW SMB_28_FLAT_BG_N</v>
      </c>
      <c r="E74" s="12" t="str">
        <f t="shared" si="13"/>
        <v>201403</v>
      </c>
      <c r="F74" s="347" t="str">
        <f>VLOOKUP($AA74,[3]주!$A:$F,6,FALSE)</f>
        <v>3월 1주</v>
      </c>
      <c r="G74" s="7">
        <f t="shared" si="21"/>
        <v>1</v>
      </c>
      <c r="H74" s="7" t="str">
        <f t="shared" si="14"/>
        <v>14FW SMB_28_FLAT_BG_N</v>
      </c>
      <c r="I74" s="7">
        <f t="shared" si="22"/>
        <v>1</v>
      </c>
      <c r="J74" s="7" t="str">
        <f t="shared" si="18"/>
        <v>QF14FW SMB_28_FLAT_BG_N</v>
      </c>
      <c r="K74" s="17">
        <f t="shared" si="15"/>
        <v>41743</v>
      </c>
      <c r="L74" s="12" t="str">
        <f t="shared" si="16"/>
        <v>201404</v>
      </c>
      <c r="M74" s="347" t="str">
        <f>VLOOKUP($K74,[3]주!$A:$F,6,FALSE)</f>
        <v>3월 2주</v>
      </c>
      <c r="N74" s="273" t="str">
        <f>IF(VLOOKUP($Z74,생산업체!$A:$C,2,FALSE)=1,"해외","국내")</f>
        <v>해외</v>
      </c>
      <c r="O74" s="12" t="str">
        <f>IF(VLOOKUP($U74,CODE!$K:$P,CODE!P$1,FALSE)="모자",T74,T74&amp;"-"&amp;VLOOKUP($U74,CODE!$K:$P,CODE!P$1,FALSE))</f>
        <v>SMB</v>
      </c>
      <c r="P74" s="13" t="s">
        <v>47</v>
      </c>
      <c r="Q74" s="13"/>
      <c r="R74" s="13">
        <v>73</v>
      </c>
      <c r="S74" s="13"/>
      <c r="T74" s="14" t="s">
        <v>47</v>
      </c>
      <c r="U74" s="14" t="s">
        <v>35</v>
      </c>
      <c r="V74" s="14" t="s">
        <v>43</v>
      </c>
      <c r="W74" s="14" t="s">
        <v>1588</v>
      </c>
      <c r="X74" s="14" t="s">
        <v>110</v>
      </c>
      <c r="Y74" s="15">
        <v>1</v>
      </c>
      <c r="Z74" s="14" t="s">
        <v>792</v>
      </c>
      <c r="AA74" s="16">
        <v>41703</v>
      </c>
      <c r="AB74" s="16">
        <v>41731</v>
      </c>
      <c r="AC74" s="16">
        <v>41734</v>
      </c>
      <c r="AD74" s="16">
        <v>41743</v>
      </c>
      <c r="AE74" s="14">
        <v>3.8</v>
      </c>
      <c r="AF74" s="14"/>
      <c r="AG74" s="14"/>
      <c r="AH74" s="14"/>
      <c r="AI74" s="14"/>
      <c r="AJ74" s="14" t="s">
        <v>2075</v>
      </c>
    </row>
    <row r="75" spans="1:36">
      <c r="A75" s="7">
        <f t="shared" si="19"/>
        <v>1</v>
      </c>
      <c r="B75" s="7" t="str">
        <f t="shared" si="12"/>
        <v>14FW SMB_09_FLAT_BK_N</v>
      </c>
      <c r="C75" s="7">
        <f t="shared" si="20"/>
        <v>1</v>
      </c>
      <c r="D75" s="7" t="str">
        <f t="shared" si="17"/>
        <v>캡보이214FW SMB_09_FLAT_BK_N</v>
      </c>
      <c r="E75" s="12" t="str">
        <f t="shared" si="13"/>
        <v>201403</v>
      </c>
      <c r="F75" s="347" t="str">
        <f>VLOOKUP($AA75,[3]주!$A:$F,6,FALSE)</f>
        <v>3월 1주</v>
      </c>
      <c r="G75" s="7">
        <f t="shared" si="21"/>
        <v>1</v>
      </c>
      <c r="H75" s="7" t="str">
        <f t="shared" si="14"/>
        <v>14FW SMB_09_FLAT_BK_N</v>
      </c>
      <c r="I75" s="7">
        <f t="shared" si="22"/>
        <v>1</v>
      </c>
      <c r="J75" s="7" t="str">
        <f t="shared" si="18"/>
        <v>캡보이214FW SMB_09_FLAT_BK_N</v>
      </c>
      <c r="K75" s="17">
        <f t="shared" si="15"/>
        <v>41743</v>
      </c>
      <c r="L75" s="12" t="str">
        <f t="shared" si="16"/>
        <v>201404</v>
      </c>
      <c r="M75" s="347" t="str">
        <f>VLOOKUP($K75,[3]주!$A:$F,6,FALSE)</f>
        <v>3월 2주</v>
      </c>
      <c r="N75" s="273" t="str">
        <f>IF(VLOOKUP($Z75,생산업체!$A:$C,2,FALSE)=1,"해외","국내")</f>
        <v>해외</v>
      </c>
      <c r="O75" s="12" t="str">
        <f>IF(VLOOKUP($U75,CODE!$K:$P,CODE!P$1,FALSE)="모자",T75,T75&amp;"-"&amp;VLOOKUP($U75,CODE!$K:$P,CODE!P$1,FALSE))</f>
        <v>SMB</v>
      </c>
      <c r="P75" s="13" t="s">
        <v>47</v>
      </c>
      <c r="Q75" s="13"/>
      <c r="R75" s="13">
        <v>74</v>
      </c>
      <c r="S75" s="13"/>
      <c r="T75" s="14" t="s">
        <v>47</v>
      </c>
      <c r="U75" s="14" t="s">
        <v>50</v>
      </c>
      <c r="V75" s="14" t="s">
        <v>43</v>
      </c>
      <c r="W75" s="14" t="s">
        <v>1589</v>
      </c>
      <c r="X75" s="14" t="s">
        <v>110</v>
      </c>
      <c r="Y75" s="15">
        <v>1</v>
      </c>
      <c r="Z75" s="14" t="s">
        <v>1305</v>
      </c>
      <c r="AA75" s="16">
        <v>41703</v>
      </c>
      <c r="AB75" s="16">
        <v>41731</v>
      </c>
      <c r="AC75" s="16">
        <v>41717</v>
      </c>
      <c r="AD75" s="16">
        <v>41743</v>
      </c>
      <c r="AE75" s="14"/>
      <c r="AF75" s="14"/>
      <c r="AG75" s="14"/>
      <c r="AH75" s="14"/>
      <c r="AI75" s="14"/>
      <c r="AJ75" s="14"/>
    </row>
    <row r="76" spans="1:36">
      <c r="A76" s="7">
        <f t="shared" si="19"/>
        <v>1</v>
      </c>
      <c r="B76" s="7" t="str">
        <f t="shared" si="12"/>
        <v>14FW SMB_13_FLAT_GR_N</v>
      </c>
      <c r="C76" s="7">
        <f t="shared" si="20"/>
        <v>1</v>
      </c>
      <c r="D76" s="7" t="str">
        <f t="shared" si="17"/>
        <v>동일모자14FW SMB_13_FLAT_GR_N</v>
      </c>
      <c r="E76" s="12" t="str">
        <f t="shared" si="13"/>
        <v>201403</v>
      </c>
      <c r="F76" s="347" t="str">
        <f>VLOOKUP($AA76,[3]주!$A:$F,6,FALSE)</f>
        <v>3월 1주</v>
      </c>
      <c r="G76" s="7">
        <f t="shared" si="21"/>
        <v>1</v>
      </c>
      <c r="H76" s="7" t="str">
        <f t="shared" si="14"/>
        <v>14FW SMB_13_FLAT_GR_N</v>
      </c>
      <c r="I76" s="7">
        <f t="shared" si="22"/>
        <v>1</v>
      </c>
      <c r="J76" s="7" t="str">
        <f t="shared" si="18"/>
        <v>동일모자14FW SMB_13_FLAT_GR_N</v>
      </c>
      <c r="K76" s="17">
        <f t="shared" si="15"/>
        <v>41730</v>
      </c>
      <c r="L76" s="12" t="str">
        <f t="shared" si="16"/>
        <v>201404</v>
      </c>
      <c r="M76" s="347" t="str">
        <f>VLOOKUP($K76,[3]주!$A:$F,6,FALSE)</f>
        <v>3월 2주</v>
      </c>
      <c r="N76" s="273" t="str">
        <f>IF(VLOOKUP($Z76,생산업체!$A:$C,2,FALSE)=1,"해외","국내")</f>
        <v>해외</v>
      </c>
      <c r="O76" s="12" t="str">
        <f>IF(VLOOKUP($U76,CODE!$K:$P,CODE!P$1,FALSE)="모자",T76,T76&amp;"-"&amp;VLOOKUP($U76,CODE!$K:$P,CODE!P$1,FALSE))</f>
        <v>SMB</v>
      </c>
      <c r="P76" s="13" t="s">
        <v>47</v>
      </c>
      <c r="Q76" s="13"/>
      <c r="R76" s="13">
        <v>75</v>
      </c>
      <c r="S76" s="13"/>
      <c r="T76" s="14" t="s">
        <v>47</v>
      </c>
      <c r="U76" s="14" t="s">
        <v>50</v>
      </c>
      <c r="V76" s="14" t="s">
        <v>43</v>
      </c>
      <c r="W76" s="14" t="s">
        <v>1590</v>
      </c>
      <c r="X76" s="14" t="s">
        <v>110</v>
      </c>
      <c r="Y76" s="15">
        <v>1</v>
      </c>
      <c r="Z76" s="14" t="s">
        <v>44</v>
      </c>
      <c r="AA76" s="16">
        <v>41703</v>
      </c>
      <c r="AB76" s="16">
        <v>41731</v>
      </c>
      <c r="AC76" s="16">
        <v>41731</v>
      </c>
      <c r="AD76" s="16">
        <v>41730</v>
      </c>
      <c r="AE76" s="14"/>
      <c r="AF76" s="14"/>
      <c r="AG76" s="14"/>
      <c r="AH76" s="14"/>
      <c r="AI76" s="14"/>
      <c r="AJ76" s="14"/>
    </row>
    <row r="77" spans="1:36">
      <c r="A77" s="7">
        <f t="shared" si="19"/>
        <v>1</v>
      </c>
      <c r="B77" s="7" t="str">
        <f t="shared" si="12"/>
        <v>14FW SMB_15_FLAT_BK_N</v>
      </c>
      <c r="C77" s="7">
        <f t="shared" si="20"/>
        <v>1</v>
      </c>
      <c r="D77" s="7" t="str">
        <f t="shared" si="17"/>
        <v>동일모자14FW SMB_15_FLAT_BK_N</v>
      </c>
      <c r="E77" s="12" t="str">
        <f t="shared" si="13"/>
        <v>201403</v>
      </c>
      <c r="F77" s="347" t="str">
        <f>VLOOKUP($AA77,[3]주!$A:$F,6,FALSE)</f>
        <v>3월 1주</v>
      </c>
      <c r="G77" s="7">
        <f t="shared" si="21"/>
        <v>1</v>
      </c>
      <c r="H77" s="7" t="str">
        <f t="shared" si="14"/>
        <v>14FW SMB_15_FLAT_BK_N</v>
      </c>
      <c r="I77" s="7">
        <f t="shared" si="22"/>
        <v>1</v>
      </c>
      <c r="J77" s="7" t="str">
        <f t="shared" si="18"/>
        <v>동일모자14FW SMB_15_FLAT_BK_N</v>
      </c>
      <c r="K77" s="17">
        <f t="shared" si="15"/>
        <v>41733</v>
      </c>
      <c r="L77" s="12" t="str">
        <f t="shared" si="16"/>
        <v>201404</v>
      </c>
      <c r="M77" s="347" t="str">
        <f>VLOOKUP($K77,[3]주!$A:$F,6,FALSE)</f>
        <v>3월 2주</v>
      </c>
      <c r="N77" s="273" t="str">
        <f>IF(VLOOKUP($Z77,생산업체!$A:$C,2,FALSE)=1,"해외","국내")</f>
        <v>해외</v>
      </c>
      <c r="O77" s="12" t="str">
        <f>IF(VLOOKUP($U77,CODE!$K:$P,CODE!P$1,FALSE)="모자",T77,T77&amp;"-"&amp;VLOOKUP($U77,CODE!$K:$P,CODE!P$1,FALSE))</f>
        <v>SMB</v>
      </c>
      <c r="P77" s="13" t="s">
        <v>47</v>
      </c>
      <c r="Q77" s="13"/>
      <c r="R77" s="13">
        <v>76</v>
      </c>
      <c r="S77" s="13"/>
      <c r="T77" s="14" t="s">
        <v>47</v>
      </c>
      <c r="U77" s="14" t="s">
        <v>50</v>
      </c>
      <c r="V77" s="14" t="s">
        <v>43</v>
      </c>
      <c r="W77" s="14" t="s">
        <v>1591</v>
      </c>
      <c r="X77" s="14" t="s">
        <v>110</v>
      </c>
      <c r="Y77" s="15">
        <v>1</v>
      </c>
      <c r="Z77" s="14" t="s">
        <v>44</v>
      </c>
      <c r="AA77" s="16">
        <v>41703</v>
      </c>
      <c r="AB77" s="16">
        <v>41731</v>
      </c>
      <c r="AC77" s="16">
        <v>41739</v>
      </c>
      <c r="AD77" s="16">
        <v>41733</v>
      </c>
      <c r="AE77" s="14"/>
      <c r="AF77" s="14"/>
      <c r="AG77" s="14"/>
      <c r="AH77" s="14"/>
      <c r="AI77" s="14"/>
      <c r="AJ77" s="14"/>
    </row>
    <row r="78" spans="1:36">
      <c r="A78" s="7">
        <f t="shared" si="19"/>
        <v>0.5</v>
      </c>
      <c r="B78" s="7" t="str">
        <f t="shared" si="12"/>
        <v>14FW SMB_19_FLAT_BK_N</v>
      </c>
      <c r="C78" s="7">
        <f t="shared" si="20"/>
        <v>1</v>
      </c>
      <c r="D78" s="7" t="str">
        <f t="shared" si="17"/>
        <v>동일모자14FW SMB_19_FLAT_BK_N</v>
      </c>
      <c r="E78" s="12" t="str">
        <f t="shared" si="13"/>
        <v>201403</v>
      </c>
      <c r="F78" s="347" t="str">
        <f>VLOOKUP($AA78,[3]주!$A:$F,6,FALSE)</f>
        <v>3월 1주</v>
      </c>
      <c r="G78" s="7">
        <f t="shared" si="21"/>
        <v>0.5</v>
      </c>
      <c r="H78" s="7" t="str">
        <f t="shared" si="14"/>
        <v>14FW SMB_19_FLAT_BK_N</v>
      </c>
      <c r="I78" s="7">
        <f t="shared" si="22"/>
        <v>1</v>
      </c>
      <c r="J78" s="7" t="str">
        <f t="shared" si="18"/>
        <v>동일모자14FW SMB_19_FLAT_BK_N</v>
      </c>
      <c r="K78" s="17">
        <f t="shared" si="15"/>
        <v>41730</v>
      </c>
      <c r="L78" s="12" t="str">
        <f t="shared" si="16"/>
        <v>201404</v>
      </c>
      <c r="M78" s="347" t="str">
        <f>VLOOKUP($K78,[3]주!$A:$F,6,FALSE)</f>
        <v>3월 2주</v>
      </c>
      <c r="N78" s="273" t="str">
        <f>IF(VLOOKUP($Z78,생산업체!$A:$C,2,FALSE)=1,"해외","국내")</f>
        <v>해외</v>
      </c>
      <c r="O78" s="12" t="str">
        <f>IF(VLOOKUP($U78,CODE!$K:$P,CODE!P$1,FALSE)="모자",T78,T78&amp;"-"&amp;VLOOKUP($U78,CODE!$K:$P,CODE!P$1,FALSE))</f>
        <v>SMB</v>
      </c>
      <c r="P78" s="13" t="s">
        <v>47</v>
      </c>
      <c r="Q78" s="13"/>
      <c r="R78" s="13">
        <v>77</v>
      </c>
      <c r="S78" s="13"/>
      <c r="T78" s="14" t="s">
        <v>47</v>
      </c>
      <c r="U78" s="14" t="s">
        <v>50</v>
      </c>
      <c r="V78" s="14" t="s">
        <v>43</v>
      </c>
      <c r="W78" s="14" t="s">
        <v>1581</v>
      </c>
      <c r="X78" s="14" t="s">
        <v>110</v>
      </c>
      <c r="Y78" s="15">
        <v>0.5</v>
      </c>
      <c r="Z78" s="14" t="s">
        <v>44</v>
      </c>
      <c r="AA78" s="16">
        <v>41703</v>
      </c>
      <c r="AB78" s="16">
        <v>41731</v>
      </c>
      <c r="AC78" s="16">
        <v>41731</v>
      </c>
      <c r="AD78" s="16">
        <v>41730</v>
      </c>
      <c r="AE78" s="14"/>
      <c r="AF78" s="14"/>
      <c r="AG78" s="14"/>
      <c r="AH78" s="14"/>
      <c r="AI78" s="14"/>
      <c r="AJ78" s="14"/>
    </row>
    <row r="79" spans="1:36">
      <c r="A79" s="7">
        <f t="shared" si="19"/>
        <v>1</v>
      </c>
      <c r="B79" s="7" t="str">
        <f t="shared" si="12"/>
        <v>14FW SMB_20_FLAT_BW_F</v>
      </c>
      <c r="C79" s="7">
        <f t="shared" si="20"/>
        <v>1</v>
      </c>
      <c r="D79" s="7" t="str">
        <f t="shared" si="17"/>
        <v>동일모자14FW SMB_20_FLAT_BW_F</v>
      </c>
      <c r="E79" s="12" t="str">
        <f t="shared" si="13"/>
        <v>201403</v>
      </c>
      <c r="F79" s="347" t="str">
        <f>VLOOKUP($AA79,[3]주!$A:$F,6,FALSE)</f>
        <v>3월 1주</v>
      </c>
      <c r="G79" s="7">
        <f t="shared" si="21"/>
        <v>1</v>
      </c>
      <c r="H79" s="7" t="str">
        <f t="shared" si="14"/>
        <v>14FW SMB_20_FLAT_BW_F</v>
      </c>
      <c r="I79" s="7">
        <f t="shared" si="22"/>
        <v>1</v>
      </c>
      <c r="J79" s="7" t="str">
        <f t="shared" si="18"/>
        <v>동일모자14FW SMB_20_FLAT_BW_F</v>
      </c>
      <c r="K79" s="17">
        <f t="shared" si="15"/>
        <v>41733</v>
      </c>
      <c r="L79" s="12" t="str">
        <f t="shared" si="16"/>
        <v>201404</v>
      </c>
      <c r="M79" s="347" t="str">
        <f>VLOOKUP($K79,[3]주!$A:$F,6,FALSE)</f>
        <v>3월 2주</v>
      </c>
      <c r="N79" s="273" t="str">
        <f>IF(VLOOKUP($Z79,생산업체!$A:$C,2,FALSE)=1,"해외","국내")</f>
        <v>해외</v>
      </c>
      <c r="O79" s="12" t="str">
        <f>IF(VLOOKUP($U79,CODE!$K:$P,CODE!P$1,FALSE)="모자",T79,T79&amp;"-"&amp;VLOOKUP($U79,CODE!$K:$P,CODE!P$1,FALSE))</f>
        <v>SMB</v>
      </c>
      <c r="P79" s="13" t="s">
        <v>47</v>
      </c>
      <c r="Q79" s="13"/>
      <c r="R79" s="13">
        <v>78</v>
      </c>
      <c r="S79" s="13"/>
      <c r="T79" s="14" t="s">
        <v>47</v>
      </c>
      <c r="U79" s="14" t="s">
        <v>50</v>
      </c>
      <c r="V79" s="14" t="s">
        <v>43</v>
      </c>
      <c r="W79" s="14" t="s">
        <v>1592</v>
      </c>
      <c r="X79" s="14" t="s">
        <v>110</v>
      </c>
      <c r="Y79" s="15">
        <v>1</v>
      </c>
      <c r="Z79" s="14" t="s">
        <v>44</v>
      </c>
      <c r="AA79" s="16">
        <v>41703</v>
      </c>
      <c r="AB79" s="16">
        <v>41731</v>
      </c>
      <c r="AC79" s="16">
        <v>41739</v>
      </c>
      <c r="AD79" s="16">
        <v>41733</v>
      </c>
      <c r="AE79" s="14"/>
      <c r="AF79" s="14"/>
      <c r="AG79" s="14"/>
      <c r="AH79" s="14"/>
      <c r="AI79" s="14"/>
      <c r="AJ79" s="14"/>
    </row>
    <row r="80" spans="1:36">
      <c r="A80" s="7">
        <f t="shared" si="19"/>
        <v>1</v>
      </c>
      <c r="B80" s="7" t="str">
        <f t="shared" si="12"/>
        <v>14FW SMB_25_FLAT_NV_N</v>
      </c>
      <c r="C80" s="7">
        <f t="shared" si="20"/>
        <v>1</v>
      </c>
      <c r="D80" s="7" t="str">
        <f t="shared" si="17"/>
        <v>동일모자14FW SMB_25_FLAT_NV_N</v>
      </c>
      <c r="E80" s="12" t="str">
        <f t="shared" si="13"/>
        <v>201403</v>
      </c>
      <c r="F80" s="347" t="str">
        <f>VLOOKUP($AA80,[3]주!$A:$F,6,FALSE)</f>
        <v>3월 1주</v>
      </c>
      <c r="G80" s="7">
        <f t="shared" si="21"/>
        <v>1</v>
      </c>
      <c r="H80" s="7" t="str">
        <f t="shared" si="14"/>
        <v>14FW SMB_25_FLAT_NV_N</v>
      </c>
      <c r="I80" s="7">
        <f t="shared" si="22"/>
        <v>1</v>
      </c>
      <c r="J80" s="7" t="str">
        <f t="shared" si="18"/>
        <v>동일모자14FW SMB_25_FLAT_NV_N</v>
      </c>
      <c r="K80" s="17">
        <f t="shared" si="15"/>
        <v>0.5714285714285714</v>
      </c>
      <c r="L80" s="12" t="str">
        <f t="shared" si="16"/>
        <v>190001</v>
      </c>
      <c r="M80" s="347" t="e">
        <f>VLOOKUP($K80,[3]주!$A:$F,6,FALSE)</f>
        <v>#N/A</v>
      </c>
      <c r="N80" s="273" t="str">
        <f>IF(VLOOKUP($Z80,생산업체!$A:$C,2,FALSE)=1,"해외","국내")</f>
        <v>해외</v>
      </c>
      <c r="O80" s="12" t="str">
        <f>IF(VLOOKUP($U80,CODE!$K:$P,CODE!P$1,FALSE)="모자",T80,T80&amp;"-"&amp;VLOOKUP($U80,CODE!$K:$P,CODE!P$1,FALSE))</f>
        <v>SMB</v>
      </c>
      <c r="P80" s="13" t="s">
        <v>47</v>
      </c>
      <c r="Q80" s="13"/>
      <c r="R80" s="13">
        <v>79</v>
      </c>
      <c r="S80" s="13"/>
      <c r="T80" s="14" t="s">
        <v>47</v>
      </c>
      <c r="U80" s="14" t="s">
        <v>35</v>
      </c>
      <c r="V80" s="14" t="s">
        <v>43</v>
      </c>
      <c r="W80" s="14" t="s">
        <v>1593</v>
      </c>
      <c r="X80" s="14" t="s">
        <v>110</v>
      </c>
      <c r="Y80" s="15">
        <v>1</v>
      </c>
      <c r="Z80" s="14" t="s">
        <v>44</v>
      </c>
      <c r="AA80" s="16">
        <v>41703</v>
      </c>
      <c r="AB80" s="16">
        <v>41731</v>
      </c>
      <c r="AC80" s="16">
        <v>41736</v>
      </c>
      <c r="AD80" s="16">
        <v>0.5714285714285714</v>
      </c>
      <c r="AE80" s="14"/>
      <c r="AF80" s="14"/>
      <c r="AG80" s="14"/>
      <c r="AH80" s="14"/>
      <c r="AI80" s="14"/>
      <c r="AJ80" s="14"/>
    </row>
    <row r="81" spans="1:36">
      <c r="A81" s="7">
        <f t="shared" si="19"/>
        <v>1</v>
      </c>
      <c r="B81" s="7" t="str">
        <f t="shared" si="12"/>
        <v>14FW SMB_05_KNIT_BR_F_KIDS(FKT)</v>
      </c>
      <c r="C81" s="7">
        <f t="shared" si="20"/>
        <v>1</v>
      </c>
      <c r="D81" s="7" t="str">
        <f t="shared" si="17"/>
        <v>KIDS FIRST TOYS14FW SMB_05_KNIT_BR_F_KIDS(FKT)</v>
      </c>
      <c r="E81" s="12" t="str">
        <f t="shared" si="13"/>
        <v>201403</v>
      </c>
      <c r="F81" s="347" t="str">
        <f>VLOOKUP($AA81,[3]주!$A:$F,6,FALSE)</f>
        <v>3월 1주</v>
      </c>
      <c r="G81" s="7">
        <f t="shared" si="21"/>
        <v>1</v>
      </c>
      <c r="H81" s="7" t="str">
        <f t="shared" si="14"/>
        <v>14FW SMB_05_KNIT_BR_F_KIDS(FKT)</v>
      </c>
      <c r="I81" s="7">
        <f t="shared" si="22"/>
        <v>1</v>
      </c>
      <c r="J81" s="7" t="str">
        <f t="shared" si="18"/>
        <v>KIDS FIRST TOYS14FW SMB_05_KNIT_BR_F_KIDS(FKT)</v>
      </c>
      <c r="K81" s="17">
        <f t="shared" si="15"/>
        <v>41731</v>
      </c>
      <c r="L81" s="12" t="str">
        <f t="shared" si="16"/>
        <v>201404</v>
      </c>
      <c r="M81" s="347" t="str">
        <f>VLOOKUP($K81,[3]주!$A:$F,6,FALSE)</f>
        <v>3월 2주</v>
      </c>
      <c r="N81" s="273" t="str">
        <f>IF(VLOOKUP($Z81,생산업체!$A:$C,2,FALSE)=1,"해외","국내")</f>
        <v>해외</v>
      </c>
      <c r="O81" s="12" t="str">
        <f>IF(VLOOKUP($U81,CODE!$K:$P,CODE!P$1,FALSE)="모자",T81,T81&amp;"-"&amp;VLOOKUP($U81,CODE!$K:$P,CODE!P$1,FALSE))</f>
        <v>SMB</v>
      </c>
      <c r="P81" s="13" t="s">
        <v>47</v>
      </c>
      <c r="Q81" s="13"/>
      <c r="R81" s="13">
        <v>80</v>
      </c>
      <c r="S81" s="13"/>
      <c r="T81" s="14" t="s">
        <v>47</v>
      </c>
      <c r="U81" s="14" t="s">
        <v>56</v>
      </c>
      <c r="V81" s="14" t="s">
        <v>43</v>
      </c>
      <c r="W81" s="14" t="s">
        <v>1594</v>
      </c>
      <c r="X81" s="14" t="s">
        <v>123</v>
      </c>
      <c r="Y81" s="15">
        <v>1</v>
      </c>
      <c r="Z81" s="14" t="s">
        <v>1120</v>
      </c>
      <c r="AA81" s="16">
        <v>41703</v>
      </c>
      <c r="AB81" s="16">
        <v>41731</v>
      </c>
      <c r="AC81" s="16">
        <v>41731</v>
      </c>
      <c r="AD81" s="16">
        <v>41731</v>
      </c>
      <c r="AE81" s="14"/>
      <c r="AF81" s="14"/>
      <c r="AG81" s="14"/>
      <c r="AH81" s="14"/>
      <c r="AI81" s="14"/>
      <c r="AJ81" s="14"/>
    </row>
    <row r="82" spans="1:36">
      <c r="A82" s="7">
        <f t="shared" si="19"/>
        <v>1</v>
      </c>
      <c r="B82" s="7" t="str">
        <f t="shared" si="12"/>
        <v>14FW SMB_06_KNIT_OR_F_KIDS</v>
      </c>
      <c r="C82" s="7">
        <f t="shared" si="20"/>
        <v>1</v>
      </c>
      <c r="D82" s="7" t="str">
        <f t="shared" si="17"/>
        <v>KIDS FIRST TOYS14FW SMB_06_KNIT_OR_F_KIDS</v>
      </c>
      <c r="E82" s="12" t="str">
        <f t="shared" si="13"/>
        <v>201403</v>
      </c>
      <c r="F82" s="347" t="str">
        <f>VLOOKUP($AA82,[3]주!$A:$F,6,FALSE)</f>
        <v>3월 1주</v>
      </c>
      <c r="G82" s="7">
        <f t="shared" si="21"/>
        <v>1</v>
      </c>
      <c r="H82" s="7" t="str">
        <f t="shared" si="14"/>
        <v>14FW SMB_06_KNIT_OR_F_KIDS</v>
      </c>
      <c r="I82" s="7">
        <f t="shared" si="22"/>
        <v>1</v>
      </c>
      <c r="J82" s="7" t="str">
        <f t="shared" si="18"/>
        <v>KIDS FIRST TOYS14FW SMB_06_KNIT_OR_F_KIDS</v>
      </c>
      <c r="K82" s="17">
        <f t="shared" si="15"/>
        <v>41731</v>
      </c>
      <c r="L82" s="12" t="str">
        <f t="shared" si="16"/>
        <v>201404</v>
      </c>
      <c r="M82" s="347" t="str">
        <f>VLOOKUP($K82,[3]주!$A:$F,6,FALSE)</f>
        <v>3월 2주</v>
      </c>
      <c r="N82" s="273" t="str">
        <f>IF(VLOOKUP($Z82,생산업체!$A:$C,2,FALSE)=1,"해외","국내")</f>
        <v>해외</v>
      </c>
      <c r="O82" s="12" t="str">
        <f>IF(VLOOKUP($U82,CODE!$K:$P,CODE!P$1,FALSE)="모자",T82,T82&amp;"-"&amp;VLOOKUP($U82,CODE!$K:$P,CODE!P$1,FALSE))</f>
        <v>SMB</v>
      </c>
      <c r="P82" s="13" t="s">
        <v>47</v>
      </c>
      <c r="Q82" s="13"/>
      <c r="R82" s="13">
        <v>81</v>
      </c>
      <c r="S82" s="13"/>
      <c r="T82" s="14" t="s">
        <v>47</v>
      </c>
      <c r="U82" s="14" t="s">
        <v>56</v>
      </c>
      <c r="V82" s="14" t="s">
        <v>43</v>
      </c>
      <c r="W82" s="14" t="s">
        <v>1595</v>
      </c>
      <c r="X82" s="14" t="s">
        <v>123</v>
      </c>
      <c r="Y82" s="15">
        <v>1</v>
      </c>
      <c r="Z82" s="14" t="s">
        <v>1120</v>
      </c>
      <c r="AA82" s="16">
        <v>41703</v>
      </c>
      <c r="AB82" s="16">
        <v>41731</v>
      </c>
      <c r="AC82" s="16">
        <v>41731</v>
      </c>
      <c r="AD82" s="16">
        <v>41731</v>
      </c>
      <c r="AE82" s="14"/>
      <c r="AF82" s="14"/>
      <c r="AG82" s="14"/>
      <c r="AH82" s="14"/>
      <c r="AI82" s="14"/>
      <c r="AJ82" s="14"/>
    </row>
    <row r="83" spans="1:36">
      <c r="A83" s="7">
        <f t="shared" si="19"/>
        <v>1</v>
      </c>
      <c r="B83" s="7" t="str">
        <f t="shared" si="12"/>
        <v>14FW SMB_01_KNIT_PK_F</v>
      </c>
      <c r="C83" s="7">
        <f t="shared" si="20"/>
        <v>1</v>
      </c>
      <c r="D83" s="7" t="str">
        <f t="shared" si="17"/>
        <v>FOREMOST14FW SMB_01_KNIT_PK_F</v>
      </c>
      <c r="E83" s="12" t="str">
        <f t="shared" si="13"/>
        <v>201403</v>
      </c>
      <c r="F83" s="347" t="str">
        <f>VLOOKUP($AA83,[3]주!$A:$F,6,FALSE)</f>
        <v>3월 1주</v>
      </c>
      <c r="G83" s="7">
        <f t="shared" si="21"/>
        <v>1</v>
      </c>
      <c r="H83" s="7" t="str">
        <f t="shared" si="14"/>
        <v>14FW SMB_01_KNIT_PK_F</v>
      </c>
      <c r="I83" s="7">
        <f t="shared" si="22"/>
        <v>1</v>
      </c>
      <c r="J83" s="7" t="str">
        <f t="shared" si="18"/>
        <v>FOREMOST14FW SMB_01_KNIT_PK_F</v>
      </c>
      <c r="K83" s="17">
        <f t="shared" si="15"/>
        <v>41736</v>
      </c>
      <c r="L83" s="12" t="str">
        <f t="shared" si="16"/>
        <v>201404</v>
      </c>
      <c r="M83" s="347" t="str">
        <f>VLOOKUP($K83,[3]주!$A:$F,6,FALSE)</f>
        <v>3월 2주</v>
      </c>
      <c r="N83" s="273" t="str">
        <f>IF(VLOOKUP($Z83,생산업체!$A:$C,2,FALSE)=1,"해외","국내")</f>
        <v>해외</v>
      </c>
      <c r="O83" s="12" t="str">
        <f>IF(VLOOKUP($U83,CODE!$K:$P,CODE!P$1,FALSE)="모자",T83,T83&amp;"-"&amp;VLOOKUP($U83,CODE!$K:$P,CODE!P$1,FALSE))</f>
        <v>SMB</v>
      </c>
      <c r="P83" s="13" t="s">
        <v>47</v>
      </c>
      <c r="Q83" s="13"/>
      <c r="R83" s="13">
        <v>82</v>
      </c>
      <c r="S83" s="13"/>
      <c r="T83" s="14" t="s">
        <v>47</v>
      </c>
      <c r="U83" s="14" t="s">
        <v>56</v>
      </c>
      <c r="V83" s="14" t="s">
        <v>43</v>
      </c>
      <c r="W83" s="14" t="s">
        <v>1596</v>
      </c>
      <c r="X83" s="14" t="s">
        <v>110</v>
      </c>
      <c r="Y83" s="15">
        <v>1</v>
      </c>
      <c r="Z83" s="14" t="s">
        <v>6</v>
      </c>
      <c r="AA83" s="16">
        <v>41703</v>
      </c>
      <c r="AB83" s="16">
        <v>41731</v>
      </c>
      <c r="AC83" s="16">
        <v>41739</v>
      </c>
      <c r="AD83" s="16">
        <v>41736</v>
      </c>
      <c r="AE83" s="14"/>
      <c r="AF83" s="14"/>
      <c r="AG83" s="14"/>
      <c r="AH83" s="14"/>
      <c r="AI83" s="14"/>
      <c r="AJ83" s="14"/>
    </row>
    <row r="84" spans="1:36">
      <c r="A84" s="7">
        <f t="shared" si="19"/>
        <v>1</v>
      </c>
      <c r="B84" s="7" t="str">
        <f t="shared" si="12"/>
        <v>14FW SMB_02_KNIT_BK_N</v>
      </c>
      <c r="C84" s="7">
        <f t="shared" si="20"/>
        <v>1</v>
      </c>
      <c r="D84" s="7" t="str">
        <f t="shared" si="17"/>
        <v>FOREMOST14FW SMB_02_KNIT_BK_N</v>
      </c>
      <c r="E84" s="12" t="str">
        <f t="shared" si="13"/>
        <v>201403</v>
      </c>
      <c r="F84" s="347" t="str">
        <f>VLOOKUP($AA84,[3]주!$A:$F,6,FALSE)</f>
        <v>3월 1주</v>
      </c>
      <c r="G84" s="7">
        <f t="shared" si="21"/>
        <v>1</v>
      </c>
      <c r="H84" s="7" t="str">
        <f t="shared" si="14"/>
        <v>14FW SMB_02_KNIT_BK_N</v>
      </c>
      <c r="I84" s="7">
        <f t="shared" si="22"/>
        <v>1</v>
      </c>
      <c r="J84" s="7" t="str">
        <f t="shared" si="18"/>
        <v>FOREMOST14FW SMB_02_KNIT_BK_N</v>
      </c>
      <c r="K84" s="17">
        <f t="shared" si="15"/>
        <v>41736</v>
      </c>
      <c r="L84" s="12" t="str">
        <f t="shared" si="16"/>
        <v>201404</v>
      </c>
      <c r="M84" s="347" t="str">
        <f>VLOOKUP($K84,[3]주!$A:$F,6,FALSE)</f>
        <v>3월 2주</v>
      </c>
      <c r="N84" s="273" t="str">
        <f>IF(VLOOKUP($Z84,생산업체!$A:$C,2,FALSE)=1,"해외","국내")</f>
        <v>해외</v>
      </c>
      <c r="O84" s="12" t="str">
        <f>IF(VLOOKUP($U84,CODE!$K:$P,CODE!P$1,FALSE)="모자",T84,T84&amp;"-"&amp;VLOOKUP($U84,CODE!$K:$P,CODE!P$1,FALSE))</f>
        <v>SMB</v>
      </c>
      <c r="P84" s="13" t="s">
        <v>47</v>
      </c>
      <c r="Q84" s="13"/>
      <c r="R84" s="13">
        <v>83</v>
      </c>
      <c r="S84" s="13"/>
      <c r="T84" s="14" t="s">
        <v>47</v>
      </c>
      <c r="U84" s="14" t="s">
        <v>56</v>
      </c>
      <c r="V84" s="14" t="s">
        <v>43</v>
      </c>
      <c r="W84" s="14" t="s">
        <v>1597</v>
      </c>
      <c r="X84" s="14" t="s">
        <v>110</v>
      </c>
      <c r="Y84" s="15">
        <v>1</v>
      </c>
      <c r="Z84" s="14" t="s">
        <v>6</v>
      </c>
      <c r="AA84" s="16">
        <v>41703</v>
      </c>
      <c r="AB84" s="16">
        <v>41731</v>
      </c>
      <c r="AC84" s="16">
        <v>41739</v>
      </c>
      <c r="AD84" s="16">
        <v>41736</v>
      </c>
      <c r="AE84" s="14"/>
      <c r="AF84" s="14"/>
      <c r="AG84" s="14"/>
      <c r="AH84" s="14"/>
      <c r="AI84" s="14"/>
      <c r="AJ84" s="14"/>
    </row>
    <row r="85" spans="1:36">
      <c r="A85" s="7">
        <f t="shared" si="19"/>
        <v>1</v>
      </c>
      <c r="B85" s="7" t="str">
        <f t="shared" si="12"/>
        <v>14FW SMB_03_KNIT_PK_N_KIDS</v>
      </c>
      <c r="C85" s="7">
        <f t="shared" si="20"/>
        <v>1</v>
      </c>
      <c r="D85" s="7" t="str">
        <f t="shared" si="17"/>
        <v>FOREMOST14FW SMB_03_KNIT_PK_N_KIDS</v>
      </c>
      <c r="E85" s="12" t="str">
        <f t="shared" si="13"/>
        <v>201403</v>
      </c>
      <c r="F85" s="347" t="str">
        <f>VLOOKUP($AA85,[3]주!$A:$F,6,FALSE)</f>
        <v>3월 1주</v>
      </c>
      <c r="G85" s="7">
        <f t="shared" si="21"/>
        <v>1</v>
      </c>
      <c r="H85" s="7" t="str">
        <f t="shared" si="14"/>
        <v>14FW SMB_03_KNIT_PK_N_KIDS</v>
      </c>
      <c r="I85" s="7">
        <f t="shared" si="22"/>
        <v>1</v>
      </c>
      <c r="J85" s="7" t="str">
        <f t="shared" si="18"/>
        <v>FOREMOST14FW SMB_03_KNIT_PK_N_KIDS</v>
      </c>
      <c r="K85" s="17">
        <f t="shared" si="15"/>
        <v>41731</v>
      </c>
      <c r="L85" s="12" t="str">
        <f t="shared" si="16"/>
        <v>201404</v>
      </c>
      <c r="M85" s="347" t="str">
        <f>VLOOKUP($K85,[3]주!$A:$F,6,FALSE)</f>
        <v>3월 2주</v>
      </c>
      <c r="N85" s="273" t="str">
        <f>IF(VLOOKUP($Z85,생산업체!$A:$C,2,FALSE)=1,"해외","국내")</f>
        <v>해외</v>
      </c>
      <c r="O85" s="12" t="str">
        <f>IF(VLOOKUP($U85,CODE!$K:$P,CODE!P$1,FALSE)="모자",T85,T85&amp;"-"&amp;VLOOKUP($U85,CODE!$K:$P,CODE!P$1,FALSE))</f>
        <v>SMB</v>
      </c>
      <c r="P85" s="13" t="s">
        <v>47</v>
      </c>
      <c r="Q85" s="13"/>
      <c r="R85" s="13">
        <v>84</v>
      </c>
      <c r="S85" s="13"/>
      <c r="T85" s="14" t="s">
        <v>47</v>
      </c>
      <c r="U85" s="14" t="s">
        <v>56</v>
      </c>
      <c r="V85" s="14" t="s">
        <v>43</v>
      </c>
      <c r="W85" s="14" t="s">
        <v>1598</v>
      </c>
      <c r="X85" s="14" t="s">
        <v>123</v>
      </c>
      <c r="Y85" s="15">
        <v>1</v>
      </c>
      <c r="Z85" s="14" t="s">
        <v>6</v>
      </c>
      <c r="AA85" s="16">
        <v>41703</v>
      </c>
      <c r="AB85" s="16">
        <v>41731</v>
      </c>
      <c r="AC85" s="16">
        <v>41731</v>
      </c>
      <c r="AD85" s="16">
        <v>41731</v>
      </c>
      <c r="AE85" s="14"/>
      <c r="AF85" s="14"/>
      <c r="AG85" s="14"/>
      <c r="AH85" s="14"/>
      <c r="AI85" s="14"/>
      <c r="AJ85" s="14"/>
    </row>
    <row r="86" spans="1:36">
      <c r="A86" s="7">
        <f t="shared" si="19"/>
        <v>1</v>
      </c>
      <c r="B86" s="7" t="str">
        <f t="shared" si="12"/>
        <v>14FW SMB_04_KNIT_PP_N_KIDS</v>
      </c>
      <c r="C86" s="7">
        <f t="shared" si="20"/>
        <v>1</v>
      </c>
      <c r="D86" s="7" t="str">
        <f t="shared" si="17"/>
        <v>FOREMOST14FW SMB_04_KNIT_PP_N_KIDS</v>
      </c>
      <c r="E86" s="12" t="str">
        <f t="shared" si="13"/>
        <v>201403</v>
      </c>
      <c r="F86" s="347" t="str">
        <f>VLOOKUP($AA86,[3]주!$A:$F,6,FALSE)</f>
        <v>3월 1주</v>
      </c>
      <c r="G86" s="7">
        <f t="shared" si="21"/>
        <v>1</v>
      </c>
      <c r="H86" s="7" t="str">
        <f t="shared" si="14"/>
        <v>14FW SMB_04_KNIT_PP_N_KIDS</v>
      </c>
      <c r="I86" s="7">
        <f t="shared" si="22"/>
        <v>1</v>
      </c>
      <c r="J86" s="7" t="str">
        <f t="shared" si="18"/>
        <v>FOREMOST14FW SMB_04_KNIT_PP_N_KIDS</v>
      </c>
      <c r="K86" s="17">
        <f t="shared" si="15"/>
        <v>41731</v>
      </c>
      <c r="L86" s="12" t="str">
        <f t="shared" si="16"/>
        <v>201404</v>
      </c>
      <c r="M86" s="347" t="str">
        <f>VLOOKUP($K86,[3]주!$A:$F,6,FALSE)</f>
        <v>3월 2주</v>
      </c>
      <c r="N86" s="273" t="str">
        <f>IF(VLOOKUP($Z86,생산업체!$A:$C,2,FALSE)=1,"해외","국내")</f>
        <v>해외</v>
      </c>
      <c r="O86" s="12" t="str">
        <f>IF(VLOOKUP($U86,CODE!$K:$P,CODE!P$1,FALSE)="모자",T86,T86&amp;"-"&amp;VLOOKUP($U86,CODE!$K:$P,CODE!P$1,FALSE))</f>
        <v>SMB</v>
      </c>
      <c r="P86" s="13" t="s">
        <v>47</v>
      </c>
      <c r="Q86" s="13"/>
      <c r="R86" s="13">
        <v>85</v>
      </c>
      <c r="S86" s="13"/>
      <c r="T86" s="14" t="s">
        <v>47</v>
      </c>
      <c r="U86" s="14" t="s">
        <v>56</v>
      </c>
      <c r="V86" s="14" t="s">
        <v>43</v>
      </c>
      <c r="W86" s="14" t="s">
        <v>1599</v>
      </c>
      <c r="X86" s="14" t="s">
        <v>123</v>
      </c>
      <c r="Y86" s="15">
        <v>1</v>
      </c>
      <c r="Z86" s="14" t="s">
        <v>6</v>
      </c>
      <c r="AA86" s="16">
        <v>41703</v>
      </c>
      <c r="AB86" s="16">
        <v>41731</v>
      </c>
      <c r="AC86" s="16">
        <v>41731</v>
      </c>
      <c r="AD86" s="16">
        <v>41731</v>
      </c>
      <c r="AE86" s="14"/>
      <c r="AF86" s="14"/>
      <c r="AG86" s="14"/>
      <c r="AH86" s="14"/>
      <c r="AI86" s="14"/>
      <c r="AJ86" s="14"/>
    </row>
    <row r="87" spans="1:36">
      <c r="A87" s="7">
        <f t="shared" si="19"/>
        <v>1</v>
      </c>
      <c r="B87" s="7" t="str">
        <f t="shared" si="12"/>
        <v>14FW SMB_05_KNIT_BR_F_KIDS</v>
      </c>
      <c r="C87" s="7">
        <f t="shared" si="20"/>
        <v>1</v>
      </c>
      <c r="D87" s="7" t="str">
        <f t="shared" si="17"/>
        <v>FOREMOST14FW SMB_05_KNIT_BR_F_KIDS</v>
      </c>
      <c r="E87" s="12" t="str">
        <f t="shared" si="13"/>
        <v>201403</v>
      </c>
      <c r="F87" s="347" t="str">
        <f>VLOOKUP($AA87,[3]주!$A:$F,6,FALSE)</f>
        <v>3월 1주</v>
      </c>
      <c r="G87" s="7">
        <f t="shared" si="21"/>
        <v>1</v>
      </c>
      <c r="H87" s="7" t="str">
        <f t="shared" si="14"/>
        <v>14FW SMB_05_KNIT_BR_F_KIDS</v>
      </c>
      <c r="I87" s="7">
        <f t="shared" si="22"/>
        <v>1</v>
      </c>
      <c r="J87" s="7" t="str">
        <f t="shared" si="18"/>
        <v>FOREMOST14FW SMB_05_KNIT_BR_F_KIDS</v>
      </c>
      <c r="K87" s="17">
        <f t="shared" si="15"/>
        <v>41743</v>
      </c>
      <c r="L87" s="12" t="str">
        <f t="shared" si="16"/>
        <v>201404</v>
      </c>
      <c r="M87" s="347" t="str">
        <f>VLOOKUP($K87,[3]주!$A:$F,6,FALSE)</f>
        <v>3월 2주</v>
      </c>
      <c r="N87" s="273" t="str">
        <f>IF(VLOOKUP($Z87,생산업체!$A:$C,2,FALSE)=1,"해외","국내")</f>
        <v>해외</v>
      </c>
      <c r="O87" s="12" t="str">
        <f>IF(VLOOKUP($U87,CODE!$K:$P,CODE!P$1,FALSE)="모자",T87,T87&amp;"-"&amp;VLOOKUP($U87,CODE!$K:$P,CODE!P$1,FALSE))</f>
        <v>SMB</v>
      </c>
      <c r="P87" s="13" t="s">
        <v>47</v>
      </c>
      <c r="Q87" s="13"/>
      <c r="R87" s="13">
        <v>86</v>
      </c>
      <c r="S87" s="13"/>
      <c r="T87" s="14" t="s">
        <v>47</v>
      </c>
      <c r="U87" s="14" t="s">
        <v>56</v>
      </c>
      <c r="V87" s="14" t="s">
        <v>43</v>
      </c>
      <c r="W87" s="14" t="s">
        <v>1600</v>
      </c>
      <c r="X87" s="14" t="s">
        <v>123</v>
      </c>
      <c r="Y87" s="15">
        <v>1</v>
      </c>
      <c r="Z87" s="14" t="s">
        <v>6</v>
      </c>
      <c r="AA87" s="16">
        <v>41703</v>
      </c>
      <c r="AB87" s="16">
        <v>41731</v>
      </c>
      <c r="AC87" s="16">
        <v>41739</v>
      </c>
      <c r="AD87" s="16">
        <v>41743</v>
      </c>
      <c r="AE87" s="14"/>
      <c r="AF87" s="14"/>
      <c r="AG87" s="14"/>
      <c r="AH87" s="14"/>
      <c r="AI87" s="14"/>
      <c r="AJ87" s="14"/>
    </row>
    <row r="88" spans="1:36">
      <c r="A88" s="7">
        <f t="shared" si="19"/>
        <v>1</v>
      </c>
      <c r="B88" s="7" t="str">
        <f t="shared" si="12"/>
        <v>14FW SMB_07_KNIT_NY_F_KIDS</v>
      </c>
      <c r="C88" s="7">
        <f t="shared" si="20"/>
        <v>1</v>
      </c>
      <c r="D88" s="7" t="str">
        <f t="shared" si="17"/>
        <v>Y&amp;Y14FW SMB_07_KNIT_NY_F_KIDS</v>
      </c>
      <c r="E88" s="12" t="str">
        <f t="shared" si="13"/>
        <v>201403</v>
      </c>
      <c r="F88" s="347" t="str">
        <f>VLOOKUP($AA88,[3]주!$A:$F,6,FALSE)</f>
        <v>3월 1주</v>
      </c>
      <c r="G88" s="7">
        <f t="shared" si="21"/>
        <v>1</v>
      </c>
      <c r="H88" s="7" t="str">
        <f t="shared" si="14"/>
        <v>14FW SMB_07_KNIT_NY_F_KIDS</v>
      </c>
      <c r="I88" s="7">
        <f t="shared" si="22"/>
        <v>1</v>
      </c>
      <c r="J88" s="7" t="str">
        <f t="shared" si="18"/>
        <v>Y&amp;Y14FW SMB_07_KNIT_NY_F_KIDS</v>
      </c>
      <c r="K88" s="17">
        <f t="shared" si="15"/>
        <v>41761</v>
      </c>
      <c r="L88" s="12" t="str">
        <f t="shared" si="16"/>
        <v>201405</v>
      </c>
      <c r="M88" s="347" t="str">
        <f>VLOOKUP($K88,[3]주!$A:$F,6,FALSE)</f>
        <v>3월 2주</v>
      </c>
      <c r="N88" s="273" t="str">
        <f>IF(VLOOKUP($Z88,생산업체!$A:$C,2,FALSE)=1,"해외","국내")</f>
        <v>해외</v>
      </c>
      <c r="O88" s="12" t="str">
        <f>IF(VLOOKUP($U88,CODE!$K:$P,CODE!P$1,FALSE)="모자",T88,T88&amp;"-"&amp;VLOOKUP($U88,CODE!$K:$P,CODE!P$1,FALSE))</f>
        <v>SMB</v>
      </c>
      <c r="P88" s="13" t="s">
        <v>47</v>
      </c>
      <c r="Q88" s="13"/>
      <c r="R88" s="13">
        <v>87</v>
      </c>
      <c r="S88" s="13"/>
      <c r="T88" s="14" t="s">
        <v>47</v>
      </c>
      <c r="U88" s="14" t="s">
        <v>56</v>
      </c>
      <c r="V88" s="14" t="s">
        <v>43</v>
      </c>
      <c r="W88" s="14" t="s">
        <v>1601</v>
      </c>
      <c r="X88" s="14" t="s">
        <v>123</v>
      </c>
      <c r="Y88" s="15">
        <v>1</v>
      </c>
      <c r="Z88" s="14" t="s">
        <v>1415</v>
      </c>
      <c r="AA88" s="16">
        <v>41703</v>
      </c>
      <c r="AB88" s="16">
        <v>41731</v>
      </c>
      <c r="AC88" s="16">
        <v>41754</v>
      </c>
      <c r="AD88" s="16">
        <v>41761</v>
      </c>
      <c r="AE88" s="14"/>
      <c r="AF88" s="14"/>
      <c r="AG88" s="14"/>
      <c r="AH88" s="14"/>
      <c r="AI88" s="14"/>
      <c r="AJ88" s="14"/>
    </row>
    <row r="89" spans="1:36">
      <c r="A89" s="7">
        <f t="shared" si="19"/>
        <v>1</v>
      </c>
      <c r="B89" s="7" t="str">
        <f t="shared" ref="B89:B107" si="23">IF(AA89="","",W89)</f>
        <v>14FW SMB_08_KNIT_BK_N</v>
      </c>
      <c r="C89" s="7">
        <f t="shared" si="20"/>
        <v>1</v>
      </c>
      <c r="D89" s="7" t="str">
        <f t="shared" ref="D89:D107" si="24">IF(AA89="","",Z89&amp;W89)</f>
        <v>Y&amp;Y14FW SMB_08_KNIT_BK_N</v>
      </c>
      <c r="E89" s="12" t="str">
        <f t="shared" ref="E89:E107" si="25">IF(YEAR(AA89)&lt;10,0&amp;YEAR(AA89),YEAR(AA89))&amp;IF(MONTH(AA89)&lt;10,0&amp;MONTH(AA89),MONTH(AA89))</f>
        <v>201403</v>
      </c>
      <c r="F89" s="347" t="str">
        <f>VLOOKUP($AA89,[3]주!$A:$F,6,FALSE)</f>
        <v>3월 1주</v>
      </c>
      <c r="G89" s="7">
        <f t="shared" si="21"/>
        <v>1</v>
      </c>
      <c r="H89" s="7" t="str">
        <f t="shared" ref="H89:H107" si="26">IF(AD89="","",W89)</f>
        <v>14FW SMB_08_KNIT_BK_N</v>
      </c>
      <c r="I89" s="7">
        <f t="shared" si="22"/>
        <v>1</v>
      </c>
      <c r="J89" s="7" t="str">
        <f t="shared" ref="J89:J107" si="27">IF(AD89="","",Z89&amp;W89)</f>
        <v>Y&amp;Y14FW SMB_08_KNIT_BK_N</v>
      </c>
      <c r="K89" s="17">
        <f t="shared" ref="K89:K107" si="28">IF(AD89="",AC89,AD89)</f>
        <v>41758</v>
      </c>
      <c r="L89" s="12" t="str">
        <f t="shared" ref="L89:L107" si="29">IF(YEAR(K89)&lt;10,0&amp;YEAR(K89),YEAR(K89))&amp;IF(MONTH(K89)&lt;10,0&amp;MONTH(K89),MONTH(K89))</f>
        <v>201404</v>
      </c>
      <c r="M89" s="347" t="str">
        <f>VLOOKUP($K89,[3]주!$A:$F,6,FALSE)</f>
        <v>3월 2주</v>
      </c>
      <c r="N89" s="273" t="str">
        <f>IF(VLOOKUP($Z89,생산업체!$A:$C,2,FALSE)=1,"해외","국내")</f>
        <v>해외</v>
      </c>
      <c r="O89" s="12" t="str">
        <f>IF(VLOOKUP($U89,CODE!$K:$P,CODE!P$1,FALSE)="모자",T89,T89&amp;"-"&amp;VLOOKUP($U89,CODE!$K:$P,CODE!P$1,FALSE))</f>
        <v>SMB</v>
      </c>
      <c r="P89" s="11" t="s">
        <v>47</v>
      </c>
      <c r="R89" s="11">
        <v>88</v>
      </c>
      <c r="T89" s="8" t="s">
        <v>47</v>
      </c>
      <c r="U89" s="8" t="s">
        <v>56</v>
      </c>
      <c r="V89" s="8" t="s">
        <v>43</v>
      </c>
      <c r="W89" s="8" t="s">
        <v>1602</v>
      </c>
      <c r="X89" s="8" t="s">
        <v>110</v>
      </c>
      <c r="Y89" s="9">
        <v>1</v>
      </c>
      <c r="Z89" s="8" t="s">
        <v>1415</v>
      </c>
      <c r="AA89" s="10">
        <v>41703</v>
      </c>
      <c r="AB89" s="10">
        <v>41731</v>
      </c>
      <c r="AC89" s="10">
        <v>41754</v>
      </c>
      <c r="AD89" s="10">
        <v>41758</v>
      </c>
    </row>
    <row r="90" spans="1:36">
      <c r="A90" s="7">
        <f t="shared" si="19"/>
        <v>1</v>
      </c>
      <c r="B90" s="7" t="str">
        <f t="shared" si="23"/>
        <v>14FW SMB_09_KNIT_RD_N</v>
      </c>
      <c r="C90" s="7">
        <f t="shared" si="20"/>
        <v>1</v>
      </c>
      <c r="D90" s="7" t="str">
        <f t="shared" si="24"/>
        <v>Y&amp;Y14FW SMB_09_KNIT_RD_N</v>
      </c>
      <c r="E90" s="12" t="str">
        <f t="shared" si="25"/>
        <v>201403</v>
      </c>
      <c r="F90" s="347" t="str">
        <f>VLOOKUP($AA90,[3]주!$A:$F,6,FALSE)</f>
        <v>3월 1주</v>
      </c>
      <c r="G90" s="7">
        <f t="shared" si="21"/>
        <v>1</v>
      </c>
      <c r="H90" s="7" t="str">
        <f t="shared" si="26"/>
        <v>14FW SMB_09_KNIT_RD_N</v>
      </c>
      <c r="I90" s="7">
        <f t="shared" si="22"/>
        <v>1</v>
      </c>
      <c r="J90" s="7" t="str">
        <f t="shared" si="27"/>
        <v>Y&amp;Y14FW SMB_09_KNIT_RD_N</v>
      </c>
      <c r="K90" s="17">
        <f t="shared" si="28"/>
        <v>41761</v>
      </c>
      <c r="L90" s="12" t="str">
        <f t="shared" si="29"/>
        <v>201405</v>
      </c>
      <c r="M90" s="347" t="str">
        <f>VLOOKUP($K90,[3]주!$A:$F,6,FALSE)</f>
        <v>3월 2주</v>
      </c>
      <c r="N90" s="273" t="str">
        <f>IF(VLOOKUP($Z90,생산업체!$A:$C,2,FALSE)=1,"해외","국내")</f>
        <v>해외</v>
      </c>
      <c r="O90" s="12" t="str">
        <f>IF(VLOOKUP($U90,CODE!$K:$P,CODE!P$1,FALSE)="모자",T90,T90&amp;"-"&amp;VLOOKUP($U90,CODE!$K:$P,CODE!P$1,FALSE))</f>
        <v>SMB</v>
      </c>
      <c r="P90" s="11" t="s">
        <v>47</v>
      </c>
      <c r="R90" s="11">
        <v>89</v>
      </c>
      <c r="T90" s="8" t="s">
        <v>47</v>
      </c>
      <c r="U90" s="8" t="s">
        <v>56</v>
      </c>
      <c r="V90" s="8" t="s">
        <v>43</v>
      </c>
      <c r="W90" s="8" t="s">
        <v>1603</v>
      </c>
      <c r="X90" s="8" t="s">
        <v>110</v>
      </c>
      <c r="Y90" s="9">
        <v>1</v>
      </c>
      <c r="Z90" s="8" t="s">
        <v>1415</v>
      </c>
      <c r="AA90" s="10">
        <v>41703</v>
      </c>
      <c r="AB90" s="10">
        <v>41731</v>
      </c>
      <c r="AC90" s="10">
        <v>41754</v>
      </c>
      <c r="AD90" s="10">
        <v>41761</v>
      </c>
    </row>
    <row r="91" spans="1:36">
      <c r="A91" s="7">
        <f t="shared" si="19"/>
        <v>1</v>
      </c>
      <c r="B91" s="7" t="str">
        <f t="shared" si="23"/>
        <v>14FW SMB_10_KNIT_BL_F_KIDS</v>
      </c>
      <c r="C91" s="7">
        <f t="shared" si="20"/>
        <v>1</v>
      </c>
      <c r="D91" s="7" t="str">
        <f t="shared" si="24"/>
        <v>Y&amp;Y14FW SMB_10_KNIT_BL_F_KIDS</v>
      </c>
      <c r="E91" s="12" t="str">
        <f t="shared" si="25"/>
        <v>201403</v>
      </c>
      <c r="F91" s="347" t="str">
        <f>VLOOKUP($AA91,[3]주!$A:$F,6,FALSE)</f>
        <v>3월 1주</v>
      </c>
      <c r="G91" s="7">
        <f t="shared" si="21"/>
        <v>1</v>
      </c>
      <c r="H91" s="7" t="str">
        <f t="shared" si="26"/>
        <v>14FW SMB_10_KNIT_BL_F_KIDS</v>
      </c>
      <c r="I91" s="7">
        <f t="shared" si="22"/>
        <v>1</v>
      </c>
      <c r="J91" s="7" t="str">
        <f t="shared" si="27"/>
        <v>Y&amp;Y14FW SMB_10_KNIT_BL_F_KIDS</v>
      </c>
      <c r="K91" s="17">
        <f t="shared" si="28"/>
        <v>41758</v>
      </c>
      <c r="L91" s="12" t="str">
        <f t="shared" si="29"/>
        <v>201404</v>
      </c>
      <c r="M91" s="347" t="str">
        <f>VLOOKUP($K91,[3]주!$A:$F,6,FALSE)</f>
        <v>3월 2주</v>
      </c>
      <c r="N91" s="273" t="str">
        <f>IF(VLOOKUP($Z91,생산업체!$A:$C,2,FALSE)=1,"해외","국내")</f>
        <v>해외</v>
      </c>
      <c r="O91" s="12" t="str">
        <f>IF(VLOOKUP($U91,CODE!$K:$P,CODE!P$1,FALSE)="모자",T91,T91&amp;"-"&amp;VLOOKUP($U91,CODE!$K:$P,CODE!P$1,FALSE))</f>
        <v>SMB</v>
      </c>
      <c r="P91" s="11" t="s">
        <v>47</v>
      </c>
      <c r="R91" s="11">
        <v>90</v>
      </c>
      <c r="T91" s="8" t="s">
        <v>47</v>
      </c>
      <c r="U91" s="8" t="s">
        <v>56</v>
      </c>
      <c r="V91" s="8" t="s">
        <v>43</v>
      </c>
      <c r="W91" s="8" t="s">
        <v>1604</v>
      </c>
      <c r="X91" s="8" t="s">
        <v>123</v>
      </c>
      <c r="Y91" s="9">
        <v>1</v>
      </c>
      <c r="Z91" s="8" t="s">
        <v>1415</v>
      </c>
      <c r="AA91" s="10">
        <v>41703</v>
      </c>
      <c r="AB91" s="10">
        <v>41731</v>
      </c>
      <c r="AC91" s="10">
        <v>41754</v>
      </c>
      <c r="AD91" s="10">
        <v>41758</v>
      </c>
    </row>
    <row r="92" spans="1:36">
      <c r="A92" s="7">
        <f t="shared" si="19"/>
        <v>1</v>
      </c>
      <c r="B92" s="7" t="str">
        <f t="shared" si="23"/>
        <v>14FW SMB_11_KNIT_PK_F_KIDS</v>
      </c>
      <c r="C92" s="7">
        <f t="shared" si="20"/>
        <v>1</v>
      </c>
      <c r="D92" s="7" t="str">
        <f t="shared" si="24"/>
        <v>Y&amp;Y14FW SMB_11_KNIT_PK_F_KIDS</v>
      </c>
      <c r="E92" s="12" t="str">
        <f t="shared" si="25"/>
        <v>201403</v>
      </c>
      <c r="F92" s="347" t="str">
        <f>VLOOKUP($AA92,[3]주!$A:$F,6,FALSE)</f>
        <v>3월 1주</v>
      </c>
      <c r="G92" s="7">
        <f t="shared" si="21"/>
        <v>1</v>
      </c>
      <c r="H92" s="7" t="str">
        <f t="shared" si="26"/>
        <v>14FW SMB_11_KNIT_PK_F_KIDS</v>
      </c>
      <c r="I92" s="7">
        <f t="shared" si="22"/>
        <v>1</v>
      </c>
      <c r="J92" s="7" t="str">
        <f t="shared" si="27"/>
        <v>Y&amp;Y14FW SMB_11_KNIT_PK_F_KIDS</v>
      </c>
      <c r="K92" s="17">
        <f t="shared" si="28"/>
        <v>41758</v>
      </c>
      <c r="L92" s="12" t="str">
        <f t="shared" si="29"/>
        <v>201404</v>
      </c>
      <c r="M92" s="347" t="str">
        <f>VLOOKUP($K92,[3]주!$A:$F,6,FALSE)</f>
        <v>3월 2주</v>
      </c>
      <c r="N92" s="273" t="str">
        <f>IF(VLOOKUP($Z92,생산업체!$A:$C,2,FALSE)=1,"해외","국내")</f>
        <v>해외</v>
      </c>
      <c r="O92" s="12" t="str">
        <f>IF(VLOOKUP($U92,CODE!$K:$P,CODE!P$1,FALSE)="모자",T92,T92&amp;"-"&amp;VLOOKUP($U92,CODE!$K:$P,CODE!P$1,FALSE))</f>
        <v>SMB</v>
      </c>
      <c r="P92" s="11" t="s">
        <v>47</v>
      </c>
      <c r="R92" s="11">
        <v>91</v>
      </c>
      <c r="T92" s="8" t="s">
        <v>47</v>
      </c>
      <c r="U92" s="8" t="s">
        <v>56</v>
      </c>
      <c r="V92" s="8" t="s">
        <v>43</v>
      </c>
      <c r="W92" s="8" t="s">
        <v>1605</v>
      </c>
      <c r="X92" s="8" t="s">
        <v>123</v>
      </c>
      <c r="Y92" s="9">
        <v>1</v>
      </c>
      <c r="Z92" s="8" t="s">
        <v>1415</v>
      </c>
      <c r="AA92" s="10">
        <v>41703</v>
      </c>
      <c r="AB92" s="10">
        <v>41731</v>
      </c>
      <c r="AC92" s="10">
        <v>41754</v>
      </c>
      <c r="AD92" s="10">
        <v>41758</v>
      </c>
    </row>
    <row r="93" spans="1:36">
      <c r="A93" s="7">
        <f t="shared" si="19"/>
        <v>1</v>
      </c>
      <c r="B93" s="7" t="str">
        <f t="shared" si="23"/>
        <v>14FW SMB_12_KNIT_D.GY_N</v>
      </c>
      <c r="C93" s="7">
        <f t="shared" si="20"/>
        <v>1</v>
      </c>
      <c r="D93" s="7" t="str">
        <f t="shared" si="24"/>
        <v>Y&amp;Y14FW SMB_12_KNIT_D.GY_N</v>
      </c>
      <c r="E93" s="12" t="str">
        <f t="shared" si="25"/>
        <v>201403</v>
      </c>
      <c r="F93" s="347" t="str">
        <f>VLOOKUP($AA93,[3]주!$A:$F,6,FALSE)</f>
        <v>3월 1주</v>
      </c>
      <c r="G93" s="7">
        <f t="shared" si="21"/>
        <v>1</v>
      </c>
      <c r="H93" s="7" t="str">
        <f t="shared" si="26"/>
        <v>14FW SMB_12_KNIT_D.GY_N</v>
      </c>
      <c r="I93" s="7">
        <f t="shared" si="22"/>
        <v>1</v>
      </c>
      <c r="J93" s="7" t="str">
        <f t="shared" si="27"/>
        <v>Y&amp;Y14FW SMB_12_KNIT_D.GY_N</v>
      </c>
      <c r="K93" s="17">
        <f t="shared" si="28"/>
        <v>41745</v>
      </c>
      <c r="L93" s="12" t="str">
        <f t="shared" si="29"/>
        <v>201404</v>
      </c>
      <c r="M93" s="347" t="str">
        <f>VLOOKUP($K93,[3]주!$A:$F,6,FALSE)</f>
        <v>3월 2주</v>
      </c>
      <c r="N93" s="273" t="str">
        <f>IF(VLOOKUP($Z93,생산업체!$A:$C,2,FALSE)=1,"해외","국내")</f>
        <v>해외</v>
      </c>
      <c r="O93" s="12" t="str">
        <f>IF(VLOOKUP($U93,CODE!$K:$P,CODE!P$1,FALSE)="모자",T93,T93&amp;"-"&amp;VLOOKUP($U93,CODE!$K:$P,CODE!P$1,FALSE))</f>
        <v>SMB</v>
      </c>
      <c r="P93" s="11" t="s">
        <v>47</v>
      </c>
      <c r="R93" s="11">
        <v>92</v>
      </c>
      <c r="T93" s="8" t="s">
        <v>47</v>
      </c>
      <c r="U93" s="8" t="s">
        <v>56</v>
      </c>
      <c r="V93" s="8" t="s">
        <v>43</v>
      </c>
      <c r="W93" s="8" t="s">
        <v>1606</v>
      </c>
      <c r="X93" s="8" t="s">
        <v>110</v>
      </c>
      <c r="Y93" s="9">
        <v>1</v>
      </c>
      <c r="Z93" s="8" t="s">
        <v>1415</v>
      </c>
      <c r="AA93" s="10">
        <v>41703</v>
      </c>
      <c r="AB93" s="10">
        <v>41731</v>
      </c>
      <c r="AC93" s="10">
        <v>41745</v>
      </c>
      <c r="AD93" s="10">
        <v>41745</v>
      </c>
      <c r="AE93" s="8">
        <v>2.63</v>
      </c>
      <c r="AJ93" s="8" t="s">
        <v>2076</v>
      </c>
    </row>
    <row r="94" spans="1:36">
      <c r="A94" s="7">
        <f t="shared" si="19"/>
        <v>1</v>
      </c>
      <c r="B94" s="7" t="str">
        <f t="shared" si="23"/>
        <v>14FW SMB_12_KNIT_PK_N</v>
      </c>
      <c r="C94" s="7">
        <f t="shared" si="20"/>
        <v>1</v>
      </c>
      <c r="D94" s="7" t="str">
        <f t="shared" si="24"/>
        <v>Y&amp;Y14FW SMB_12_KNIT_PK_N</v>
      </c>
      <c r="E94" s="12" t="str">
        <f t="shared" si="25"/>
        <v>201403</v>
      </c>
      <c r="F94" s="347" t="str">
        <f>VLOOKUP($AA94,[3]주!$A:$F,6,FALSE)</f>
        <v>3월 1주</v>
      </c>
      <c r="G94" s="7">
        <f t="shared" si="21"/>
        <v>1</v>
      </c>
      <c r="H94" s="7" t="str">
        <f t="shared" si="26"/>
        <v>14FW SMB_12_KNIT_PK_N</v>
      </c>
      <c r="I94" s="7">
        <f t="shared" si="22"/>
        <v>1</v>
      </c>
      <c r="J94" s="7" t="str">
        <f t="shared" si="27"/>
        <v>Y&amp;Y14FW SMB_12_KNIT_PK_N</v>
      </c>
      <c r="K94" s="17">
        <f t="shared" si="28"/>
        <v>41745</v>
      </c>
      <c r="L94" s="12" t="str">
        <f t="shared" si="29"/>
        <v>201404</v>
      </c>
      <c r="M94" s="347" t="str">
        <f>VLOOKUP($K94,[3]주!$A:$F,6,FALSE)</f>
        <v>3월 2주</v>
      </c>
      <c r="N94" s="273" t="str">
        <f>IF(VLOOKUP($Z94,생산업체!$A:$C,2,FALSE)=1,"해외","국내")</f>
        <v>해외</v>
      </c>
      <c r="O94" s="12" t="str">
        <f>IF(VLOOKUP($U94,CODE!$K:$P,CODE!P$1,FALSE)="모자",T94,T94&amp;"-"&amp;VLOOKUP($U94,CODE!$K:$P,CODE!P$1,FALSE))</f>
        <v>SMB</v>
      </c>
      <c r="P94" s="11" t="s">
        <v>47</v>
      </c>
      <c r="R94" s="11">
        <v>93</v>
      </c>
      <c r="T94" s="8" t="s">
        <v>47</v>
      </c>
      <c r="U94" s="8" t="s">
        <v>56</v>
      </c>
      <c r="V94" s="8" t="s">
        <v>43</v>
      </c>
      <c r="W94" s="8" t="s">
        <v>1607</v>
      </c>
      <c r="X94" s="8" t="s">
        <v>110</v>
      </c>
      <c r="Y94" s="9">
        <v>1</v>
      </c>
      <c r="Z94" s="8" t="s">
        <v>1415</v>
      </c>
      <c r="AA94" s="10">
        <v>41703</v>
      </c>
      <c r="AB94" s="10">
        <v>41731</v>
      </c>
      <c r="AC94" s="10">
        <v>41747</v>
      </c>
      <c r="AD94" s="10">
        <v>41745</v>
      </c>
      <c r="AE94" s="8">
        <v>2.63</v>
      </c>
    </row>
    <row r="95" spans="1:36">
      <c r="A95" s="7">
        <f t="shared" si="19"/>
        <v>1</v>
      </c>
      <c r="B95" s="7" t="str">
        <f t="shared" si="23"/>
        <v>14FW SMB_12_KNIT_PP_N</v>
      </c>
      <c r="C95" s="7">
        <f t="shared" si="20"/>
        <v>1</v>
      </c>
      <c r="D95" s="7" t="str">
        <f t="shared" si="24"/>
        <v>Y&amp;Y14FW SMB_12_KNIT_PP_N</v>
      </c>
      <c r="E95" s="12" t="str">
        <f t="shared" si="25"/>
        <v>201403</v>
      </c>
      <c r="F95" s="347" t="str">
        <f>VLOOKUP($AA95,[3]주!$A:$F,6,FALSE)</f>
        <v>3월 1주</v>
      </c>
      <c r="G95" s="7">
        <f t="shared" si="21"/>
        <v>1</v>
      </c>
      <c r="H95" s="7" t="str">
        <f t="shared" si="26"/>
        <v>14FW SMB_12_KNIT_PP_N</v>
      </c>
      <c r="I95" s="7">
        <f t="shared" si="22"/>
        <v>1</v>
      </c>
      <c r="J95" s="7" t="str">
        <f t="shared" si="27"/>
        <v>Y&amp;Y14FW SMB_12_KNIT_PP_N</v>
      </c>
      <c r="K95" s="17">
        <f t="shared" si="28"/>
        <v>41745</v>
      </c>
      <c r="L95" s="12" t="str">
        <f t="shared" si="29"/>
        <v>201404</v>
      </c>
      <c r="M95" s="347" t="str">
        <f>VLOOKUP($K95,[3]주!$A:$F,6,FALSE)</f>
        <v>3월 2주</v>
      </c>
      <c r="N95" s="273" t="str">
        <f>IF(VLOOKUP($Z95,생산업체!$A:$C,2,FALSE)=1,"해외","국내")</f>
        <v>해외</v>
      </c>
      <c r="O95" s="12" t="str">
        <f>IF(VLOOKUP($U95,CODE!$K:$P,CODE!P$1,FALSE)="모자",T95,T95&amp;"-"&amp;VLOOKUP($U95,CODE!$K:$P,CODE!P$1,FALSE))</f>
        <v>SMB</v>
      </c>
      <c r="P95" s="11" t="s">
        <v>47</v>
      </c>
      <c r="R95" s="11">
        <v>94</v>
      </c>
      <c r="T95" s="8" t="s">
        <v>47</v>
      </c>
      <c r="U95" s="8" t="s">
        <v>56</v>
      </c>
      <c r="V95" s="8" t="s">
        <v>43</v>
      </c>
      <c r="W95" s="8" t="s">
        <v>1608</v>
      </c>
      <c r="X95" s="8" t="s">
        <v>110</v>
      </c>
      <c r="Y95" s="9">
        <v>1</v>
      </c>
      <c r="Z95" s="8" t="s">
        <v>1415</v>
      </c>
      <c r="AA95" s="10">
        <v>41703</v>
      </c>
      <c r="AB95" s="10">
        <v>41731</v>
      </c>
      <c r="AC95" s="10">
        <v>41747</v>
      </c>
      <c r="AD95" s="10">
        <v>41745</v>
      </c>
      <c r="AE95" s="8">
        <v>2.63</v>
      </c>
    </row>
    <row r="96" spans="1:36">
      <c r="A96" s="7">
        <f t="shared" si="19"/>
        <v>1</v>
      </c>
      <c r="B96" s="7" t="str">
        <f t="shared" si="23"/>
        <v>14FW SMB_13_KNIT_PP_F_KIDS</v>
      </c>
      <c r="C96" s="7">
        <f t="shared" si="20"/>
        <v>1</v>
      </c>
      <c r="D96" s="7" t="str">
        <f t="shared" si="24"/>
        <v>Y&amp;Y14FW SMB_13_KNIT_PP_F_KIDS</v>
      </c>
      <c r="E96" s="12" t="str">
        <f t="shared" si="25"/>
        <v>201403</v>
      </c>
      <c r="F96" s="347" t="str">
        <f>VLOOKUP($AA96,[3]주!$A:$F,6,FALSE)</f>
        <v>3월 1주</v>
      </c>
      <c r="G96" s="7">
        <f t="shared" si="21"/>
        <v>1</v>
      </c>
      <c r="H96" s="7" t="str">
        <f t="shared" si="26"/>
        <v>14FW SMB_13_KNIT_PP_F_KIDS</v>
      </c>
      <c r="I96" s="7">
        <f t="shared" si="22"/>
        <v>1</v>
      </c>
      <c r="J96" s="7" t="str">
        <f t="shared" si="27"/>
        <v>Y&amp;Y14FW SMB_13_KNIT_PP_F_KIDS</v>
      </c>
      <c r="K96" s="17">
        <f t="shared" si="28"/>
        <v>41751</v>
      </c>
      <c r="L96" s="12" t="str">
        <f t="shared" si="29"/>
        <v>201404</v>
      </c>
      <c r="M96" s="347" t="str">
        <f>VLOOKUP($K96,[3]주!$A:$F,6,FALSE)</f>
        <v>3월 2주</v>
      </c>
      <c r="N96" s="273" t="str">
        <f>IF(VLOOKUP($Z96,생산업체!$A:$C,2,FALSE)=1,"해외","국내")</f>
        <v>해외</v>
      </c>
      <c r="O96" s="12" t="str">
        <f>IF(VLOOKUP($U96,CODE!$K:$P,CODE!P$1,FALSE)="모자",T96,T96&amp;"-"&amp;VLOOKUP($U96,CODE!$K:$P,CODE!P$1,FALSE))</f>
        <v>SMB</v>
      </c>
      <c r="P96" s="11" t="s">
        <v>47</v>
      </c>
      <c r="R96" s="11">
        <v>95</v>
      </c>
      <c r="T96" s="8" t="s">
        <v>47</v>
      </c>
      <c r="U96" s="8" t="s">
        <v>56</v>
      </c>
      <c r="V96" s="8" t="s">
        <v>43</v>
      </c>
      <c r="W96" s="8" t="s">
        <v>1609</v>
      </c>
      <c r="X96" s="8" t="s">
        <v>110</v>
      </c>
      <c r="Y96" s="9">
        <v>1</v>
      </c>
      <c r="Z96" s="8" t="s">
        <v>1415</v>
      </c>
      <c r="AA96" s="10">
        <v>41703</v>
      </c>
      <c r="AB96" s="10">
        <v>41731</v>
      </c>
      <c r="AC96" s="10">
        <v>41751</v>
      </c>
      <c r="AD96" s="10">
        <v>41751</v>
      </c>
      <c r="AE96" s="8">
        <v>3.08</v>
      </c>
    </row>
    <row r="97" spans="1:36">
      <c r="A97" s="7">
        <f t="shared" si="19"/>
        <v>1</v>
      </c>
      <c r="B97" s="7" t="str">
        <f t="shared" si="23"/>
        <v>14FW WITAILOR CAP-13-BK</v>
      </c>
      <c r="C97" s="7">
        <f t="shared" si="20"/>
        <v>1</v>
      </c>
      <c r="D97" s="7" t="str">
        <f t="shared" si="24"/>
        <v>동일모자14FW WITAILOR CAP-13-BK</v>
      </c>
      <c r="E97" s="12" t="str">
        <f t="shared" si="25"/>
        <v>201403</v>
      </c>
      <c r="F97" s="347" t="str">
        <f>VLOOKUP($AA97,[3]주!$A:$F,6,FALSE)</f>
        <v>3월 2주</v>
      </c>
      <c r="G97" s="7">
        <f t="shared" si="21"/>
        <v>1</v>
      </c>
      <c r="H97" s="7" t="str">
        <f t="shared" si="26"/>
        <v>14FW WITAILOR CAP-13-BK</v>
      </c>
      <c r="I97" s="7">
        <f t="shared" si="22"/>
        <v>1</v>
      </c>
      <c r="J97" s="7" t="str">
        <f t="shared" si="27"/>
        <v>동일모자14FW WITAILOR CAP-13-BK</v>
      </c>
      <c r="K97" s="17">
        <f t="shared" si="28"/>
        <v>41746</v>
      </c>
      <c r="L97" s="12" t="str">
        <f t="shared" si="29"/>
        <v>201404</v>
      </c>
      <c r="M97" s="347" t="str">
        <f>VLOOKUP($K97,[3]주!$A:$F,6,FALSE)</f>
        <v>3월 2주</v>
      </c>
      <c r="N97" s="273" t="str">
        <f>IF(VLOOKUP($Z97,생산업체!$A:$C,2,FALSE)=1,"해외","국내")</f>
        <v>해외</v>
      </c>
      <c r="O97" s="12" t="str">
        <f>IF(VLOOKUP($U97,CODE!$K:$P,CODE!P$1,FALSE)="모자",T97,T97&amp;"-"&amp;VLOOKUP($U97,CODE!$K:$P,CODE!P$1,FALSE))</f>
        <v>WTR</v>
      </c>
      <c r="P97" s="11" t="s">
        <v>46</v>
      </c>
      <c r="R97" s="11">
        <v>96</v>
      </c>
      <c r="T97" s="8" t="s">
        <v>46</v>
      </c>
      <c r="U97" s="8" t="s">
        <v>38</v>
      </c>
      <c r="V97" s="8" t="s">
        <v>43</v>
      </c>
      <c r="W97" s="8" t="s">
        <v>1930</v>
      </c>
      <c r="Y97" s="9">
        <v>1</v>
      </c>
      <c r="Z97" s="8" t="s">
        <v>44</v>
      </c>
      <c r="AA97" s="10">
        <v>41718</v>
      </c>
      <c r="AB97" s="10">
        <v>41746</v>
      </c>
      <c r="AC97" s="10">
        <v>41746</v>
      </c>
      <c r="AD97" s="10">
        <v>41746</v>
      </c>
    </row>
    <row r="98" spans="1:36">
      <c r="A98" s="7">
        <f t="shared" si="19"/>
        <v>1</v>
      </c>
      <c r="B98" s="7" t="str">
        <f t="shared" si="23"/>
        <v>14FW WITAILOR CAP-14-BG</v>
      </c>
      <c r="C98" s="7">
        <f t="shared" si="20"/>
        <v>1</v>
      </c>
      <c r="D98" s="7" t="str">
        <f t="shared" si="24"/>
        <v>동일모자14FW WITAILOR CAP-14-BG</v>
      </c>
      <c r="E98" s="12" t="str">
        <f t="shared" si="25"/>
        <v>201403</v>
      </c>
      <c r="F98" s="347" t="str">
        <f>VLOOKUP($AA98,[3]주!$A:$F,6,FALSE)</f>
        <v>3월 2주</v>
      </c>
      <c r="G98" s="7">
        <f t="shared" si="21"/>
        <v>1</v>
      </c>
      <c r="H98" s="7" t="str">
        <f t="shared" si="26"/>
        <v>14FW WITAILOR CAP-14-BG</v>
      </c>
      <c r="I98" s="7">
        <f t="shared" si="22"/>
        <v>1</v>
      </c>
      <c r="J98" s="7" t="str">
        <f t="shared" si="27"/>
        <v>동일모자14FW WITAILOR CAP-14-BG</v>
      </c>
      <c r="K98" s="17">
        <f t="shared" si="28"/>
        <v>41746</v>
      </c>
      <c r="L98" s="12" t="str">
        <f t="shared" si="29"/>
        <v>201404</v>
      </c>
      <c r="M98" s="347" t="str">
        <f>VLOOKUP($K98,[3]주!$A:$F,6,FALSE)</f>
        <v>3월 2주</v>
      </c>
      <c r="N98" s="273" t="str">
        <f>IF(VLOOKUP($Z98,생산업체!$A:$C,2,FALSE)=1,"해외","국내")</f>
        <v>해외</v>
      </c>
      <c r="O98" s="12" t="str">
        <f>IF(VLOOKUP($U98,CODE!$K:$P,CODE!P$1,FALSE)="모자",T98,T98&amp;"-"&amp;VLOOKUP($U98,CODE!$K:$P,CODE!P$1,FALSE))</f>
        <v>WTR</v>
      </c>
      <c r="P98" s="11" t="s">
        <v>46</v>
      </c>
      <c r="R98" s="11">
        <v>97</v>
      </c>
      <c r="T98" s="8" t="s">
        <v>46</v>
      </c>
      <c r="U98" s="8" t="s">
        <v>35</v>
      </c>
      <c r="V98" s="8" t="s">
        <v>43</v>
      </c>
      <c r="W98" s="8" t="s">
        <v>1931</v>
      </c>
      <c r="Y98" s="9">
        <v>1</v>
      </c>
      <c r="Z98" s="8" t="s">
        <v>44</v>
      </c>
      <c r="AA98" s="10">
        <v>41718</v>
      </c>
      <c r="AB98" s="10">
        <v>41746</v>
      </c>
      <c r="AC98" s="10">
        <v>41746</v>
      </c>
      <c r="AD98" s="10">
        <v>41746</v>
      </c>
    </row>
    <row r="99" spans="1:36">
      <c r="A99" s="7">
        <f t="shared" si="19"/>
        <v>1</v>
      </c>
      <c r="B99" s="7" t="str">
        <f t="shared" si="23"/>
        <v>14FW WITAILOR CAP-15-PK</v>
      </c>
      <c r="C99" s="7">
        <f t="shared" si="20"/>
        <v>1</v>
      </c>
      <c r="D99" s="7" t="str">
        <f t="shared" si="24"/>
        <v>동일모자14FW WITAILOR CAP-15-PK</v>
      </c>
      <c r="E99" s="12" t="str">
        <f t="shared" si="25"/>
        <v>201403</v>
      </c>
      <c r="F99" s="347" t="str">
        <f>VLOOKUP($AA99,[3]주!$A:$F,6,FALSE)</f>
        <v>3월 2주</v>
      </c>
      <c r="G99" s="7">
        <f t="shared" si="21"/>
        <v>1</v>
      </c>
      <c r="H99" s="7" t="str">
        <f t="shared" si="26"/>
        <v>14FW WITAILOR CAP-15-PK</v>
      </c>
      <c r="I99" s="7">
        <f t="shared" si="22"/>
        <v>1</v>
      </c>
      <c r="J99" s="7" t="str">
        <f t="shared" si="27"/>
        <v>동일모자14FW WITAILOR CAP-15-PK</v>
      </c>
      <c r="K99" s="17">
        <f t="shared" si="28"/>
        <v>41746</v>
      </c>
      <c r="L99" s="12" t="str">
        <f t="shared" si="29"/>
        <v>201404</v>
      </c>
      <c r="M99" s="347" t="str">
        <f>VLOOKUP($K99,[3]주!$A:$F,6,FALSE)</f>
        <v>3월 2주</v>
      </c>
      <c r="N99" s="273" t="str">
        <f>IF(VLOOKUP($Z99,생산업체!$A:$C,2,FALSE)=1,"해외","국내")</f>
        <v>해외</v>
      </c>
      <c r="O99" s="12" t="str">
        <f>IF(VLOOKUP($U99,CODE!$K:$P,CODE!P$1,FALSE)="모자",T99,T99&amp;"-"&amp;VLOOKUP($U99,CODE!$K:$P,CODE!P$1,FALSE))</f>
        <v>WTR</v>
      </c>
      <c r="P99" s="11" t="s">
        <v>46</v>
      </c>
      <c r="R99" s="11">
        <v>98</v>
      </c>
      <c r="T99" s="8" t="s">
        <v>46</v>
      </c>
      <c r="U99" s="8" t="s">
        <v>35</v>
      </c>
      <c r="V99" s="8" t="s">
        <v>43</v>
      </c>
      <c r="W99" s="8" t="s">
        <v>1932</v>
      </c>
      <c r="Y99" s="9">
        <v>1</v>
      </c>
      <c r="Z99" s="8" t="s">
        <v>44</v>
      </c>
      <c r="AA99" s="10">
        <v>41718</v>
      </c>
      <c r="AB99" s="10">
        <v>41746</v>
      </c>
      <c r="AC99" s="10">
        <v>41746</v>
      </c>
      <c r="AD99" s="10">
        <v>41746</v>
      </c>
    </row>
    <row r="100" spans="1:36">
      <c r="A100" s="7">
        <f t="shared" si="19"/>
        <v>1</v>
      </c>
      <c r="B100" s="7" t="str">
        <f t="shared" si="23"/>
        <v>14FW WITAILER CAP-12-BW</v>
      </c>
      <c r="C100" s="7">
        <f t="shared" si="20"/>
        <v>1</v>
      </c>
      <c r="D100" s="7" t="str">
        <f t="shared" si="24"/>
        <v>FOREMOST14FW WITAILER CAP-12-BW</v>
      </c>
      <c r="E100" s="12" t="str">
        <f t="shared" si="25"/>
        <v>201402</v>
      </c>
      <c r="F100" s="347" t="str">
        <f>VLOOKUP($AA100,[3]주!$A:$F,6,FALSE)</f>
        <v>2월 1주</v>
      </c>
      <c r="G100" s="7">
        <f t="shared" si="21"/>
        <v>1</v>
      </c>
      <c r="H100" s="7" t="str">
        <f t="shared" si="26"/>
        <v>14FW WITAILER CAP-12-BW</v>
      </c>
      <c r="I100" s="7">
        <f t="shared" si="22"/>
        <v>1</v>
      </c>
      <c r="J100" s="7" t="str">
        <f t="shared" si="27"/>
        <v>FOREMOST14FW WITAILER CAP-12-BW</v>
      </c>
      <c r="K100" s="17">
        <f t="shared" si="28"/>
        <v>41722</v>
      </c>
      <c r="L100" s="12" t="str">
        <f t="shared" si="29"/>
        <v>201403</v>
      </c>
      <c r="M100" s="347" t="str">
        <f>VLOOKUP($K100,[3]주!$A:$F,6,FALSE)</f>
        <v>3월 2주</v>
      </c>
      <c r="N100" s="273" t="str">
        <f>IF(VLOOKUP($Z100,생산업체!$A:$C,2,FALSE)=1,"해외","국내")</f>
        <v>해외</v>
      </c>
      <c r="O100" s="12" t="str">
        <f>IF(VLOOKUP($U100,CODE!$K:$P,CODE!P$1,FALSE)="모자",T100,T100&amp;"-"&amp;VLOOKUP($U100,CODE!$K:$P,CODE!P$1,FALSE))</f>
        <v>WTR</v>
      </c>
      <c r="P100" s="11" t="s">
        <v>46</v>
      </c>
      <c r="R100" s="11">
        <v>99</v>
      </c>
      <c r="T100" s="8" t="s">
        <v>46</v>
      </c>
      <c r="U100" s="8" t="s">
        <v>35</v>
      </c>
      <c r="V100" s="8" t="s">
        <v>43</v>
      </c>
      <c r="W100" s="8" t="s">
        <v>1958</v>
      </c>
      <c r="X100" s="8" t="s">
        <v>110</v>
      </c>
      <c r="Y100" s="9">
        <v>1</v>
      </c>
      <c r="Z100" s="8" t="s">
        <v>6</v>
      </c>
      <c r="AA100" s="10">
        <v>41675</v>
      </c>
      <c r="AB100" s="10">
        <v>41703</v>
      </c>
      <c r="AC100" s="10">
        <v>41729</v>
      </c>
      <c r="AD100" s="10">
        <v>41722</v>
      </c>
      <c r="AJ100" s="8" t="s">
        <v>2077</v>
      </c>
    </row>
    <row r="101" spans="1:36">
      <c r="A101" s="7">
        <f t="shared" si="19"/>
        <v>1</v>
      </c>
      <c r="B101" s="7" t="str">
        <f t="shared" si="23"/>
        <v>14FW SMB_35_FLAT_PK_F_KIDS</v>
      </c>
      <c r="C101" s="7">
        <f t="shared" si="20"/>
        <v>1</v>
      </c>
      <c r="D101" s="7" t="str">
        <f t="shared" si="24"/>
        <v>QF14FW SMB_35_FLAT_PK_F_KIDS</v>
      </c>
      <c r="E101" s="12" t="str">
        <f t="shared" si="25"/>
        <v>201403</v>
      </c>
      <c r="F101" s="347" t="str">
        <f>VLOOKUP($AA101,[3]주!$A:$F,6,FALSE)</f>
        <v>3월 2주</v>
      </c>
      <c r="G101" s="7">
        <f t="shared" si="21"/>
        <v>1</v>
      </c>
      <c r="H101" s="7" t="str">
        <f t="shared" si="26"/>
        <v>14FW SMB_35_FLAT_PK_F_KIDS</v>
      </c>
      <c r="I101" s="7">
        <f t="shared" si="22"/>
        <v>1</v>
      </c>
      <c r="J101" s="7" t="str">
        <f t="shared" si="27"/>
        <v>QF14FW SMB_35_FLAT_PK_F_KIDS</v>
      </c>
      <c r="K101" s="17">
        <f t="shared" si="28"/>
        <v>41766</v>
      </c>
      <c r="L101" s="12" t="str">
        <f t="shared" si="29"/>
        <v>201405</v>
      </c>
      <c r="M101" s="347" t="str">
        <f>VLOOKUP($K101,[3]주!$A:$F,6,FALSE)</f>
        <v>3월 2주</v>
      </c>
      <c r="N101" s="273" t="str">
        <f>IF(VLOOKUP($Z101,생산업체!$A:$C,2,FALSE)=1,"해외","국내")</f>
        <v>해외</v>
      </c>
      <c r="O101" s="12" t="str">
        <f>IF(VLOOKUP($U101,CODE!$K:$P,CODE!P$1,FALSE)="모자",T101,T101&amp;"-"&amp;VLOOKUP($U101,CODE!$K:$P,CODE!P$1,FALSE))</f>
        <v>SMB</v>
      </c>
      <c r="P101" s="11" t="s">
        <v>47</v>
      </c>
      <c r="R101" s="11">
        <v>100</v>
      </c>
      <c r="T101" s="8" t="s">
        <v>47</v>
      </c>
      <c r="U101" s="8" t="s">
        <v>35</v>
      </c>
      <c r="V101" s="8" t="s">
        <v>43</v>
      </c>
      <c r="W101" s="8" t="s">
        <v>1977</v>
      </c>
      <c r="Y101" s="9">
        <v>1</v>
      </c>
      <c r="Z101" s="8" t="s">
        <v>792</v>
      </c>
      <c r="AA101" s="10">
        <v>41725</v>
      </c>
      <c r="AB101" s="10">
        <v>41753</v>
      </c>
      <c r="AC101" s="10">
        <v>41766</v>
      </c>
      <c r="AD101" s="10">
        <v>41766</v>
      </c>
      <c r="AH101" s="8">
        <v>4</v>
      </c>
      <c r="AI101" s="8">
        <v>4</v>
      </c>
    </row>
    <row r="102" spans="1:36">
      <c r="A102" s="7">
        <f t="shared" si="19"/>
        <v>1</v>
      </c>
      <c r="B102" s="7" t="str">
        <f t="shared" si="23"/>
        <v>14FW SMB_34_FLAT_OG_F_KIDS</v>
      </c>
      <c r="C102" s="7">
        <f t="shared" si="20"/>
        <v>1</v>
      </c>
      <c r="D102" s="7" t="str">
        <f t="shared" si="24"/>
        <v>QF14FW SMB_34_FLAT_OG_F_KIDS</v>
      </c>
      <c r="E102" s="12" t="str">
        <f t="shared" si="25"/>
        <v>201403</v>
      </c>
      <c r="F102" s="347" t="str">
        <f>VLOOKUP($AA102,[3]주!$A:$F,6,FALSE)</f>
        <v>3월 2주</v>
      </c>
      <c r="G102" s="7">
        <f t="shared" si="21"/>
        <v>1</v>
      </c>
      <c r="H102" s="7" t="str">
        <f t="shared" si="26"/>
        <v>14FW SMB_34_FLAT_OG_F_KIDS</v>
      </c>
      <c r="I102" s="7">
        <f t="shared" si="22"/>
        <v>1</v>
      </c>
      <c r="J102" s="7" t="str">
        <f t="shared" si="27"/>
        <v>QF14FW SMB_34_FLAT_OG_F_KIDS</v>
      </c>
      <c r="K102" s="17">
        <f t="shared" si="28"/>
        <v>41766</v>
      </c>
      <c r="L102" s="12" t="str">
        <f t="shared" si="29"/>
        <v>201405</v>
      </c>
      <c r="M102" s="347" t="str">
        <f>VLOOKUP($K102,[3]주!$A:$F,6,FALSE)</f>
        <v>3월 2주</v>
      </c>
      <c r="N102" s="273" t="str">
        <f>IF(VLOOKUP($Z102,생산업체!$A:$C,2,FALSE)=1,"해외","국내")</f>
        <v>해외</v>
      </c>
      <c r="O102" s="12" t="str">
        <f>IF(VLOOKUP($U102,CODE!$K:$P,CODE!P$1,FALSE)="모자",T102,T102&amp;"-"&amp;VLOOKUP($U102,CODE!$K:$P,CODE!P$1,FALSE))</f>
        <v>SMB</v>
      </c>
      <c r="P102" s="11" t="s">
        <v>47</v>
      </c>
      <c r="R102" s="11">
        <v>101</v>
      </c>
      <c r="T102" s="8" t="s">
        <v>47</v>
      </c>
      <c r="U102" s="8" t="s">
        <v>35</v>
      </c>
      <c r="V102" s="8" t="s">
        <v>43</v>
      </c>
      <c r="W102" s="8" t="s">
        <v>1978</v>
      </c>
      <c r="Y102" s="9">
        <v>1</v>
      </c>
      <c r="Z102" s="8" t="s">
        <v>792</v>
      </c>
      <c r="AA102" s="10">
        <v>41725</v>
      </c>
      <c r="AB102" s="10">
        <v>41753</v>
      </c>
      <c r="AC102" s="10">
        <v>41766</v>
      </c>
      <c r="AD102" s="10">
        <v>41766</v>
      </c>
      <c r="AH102" s="8">
        <v>5</v>
      </c>
      <c r="AI102" s="8">
        <v>5</v>
      </c>
    </row>
    <row r="103" spans="1:36">
      <c r="A103" s="7">
        <f t="shared" si="19"/>
        <v>1</v>
      </c>
      <c r="B103" s="7" t="str">
        <f t="shared" si="23"/>
        <v>14FW SMB_32_FLAT_BK_N.pdf-JPG</v>
      </c>
      <c r="C103" s="7">
        <f t="shared" si="20"/>
        <v>1</v>
      </c>
      <c r="D103" s="7" t="str">
        <f t="shared" si="24"/>
        <v>QF14FW SMB_32_FLAT_BK_N.pdf-JPG</v>
      </c>
      <c r="E103" s="12" t="str">
        <f t="shared" si="25"/>
        <v>201403</v>
      </c>
      <c r="F103" s="347" t="str">
        <f>VLOOKUP($AA103,[3]주!$A:$F,6,FALSE)</f>
        <v>3월 2주</v>
      </c>
      <c r="G103" s="7">
        <f t="shared" si="21"/>
        <v>1</v>
      </c>
      <c r="H103" s="7" t="str">
        <f t="shared" si="26"/>
        <v>14FW SMB_32_FLAT_BK_N.pdf-JPG</v>
      </c>
      <c r="I103" s="7">
        <f t="shared" si="22"/>
        <v>1</v>
      </c>
      <c r="J103" s="7" t="str">
        <f t="shared" si="27"/>
        <v>QF14FW SMB_32_FLAT_BK_N.pdf-JPG</v>
      </c>
      <c r="K103" s="17">
        <f t="shared" si="28"/>
        <v>41766</v>
      </c>
      <c r="L103" s="12" t="str">
        <f t="shared" si="29"/>
        <v>201405</v>
      </c>
      <c r="M103" s="347" t="str">
        <f>VLOOKUP($K103,[3]주!$A:$F,6,FALSE)</f>
        <v>3월 2주</v>
      </c>
      <c r="N103" s="273" t="str">
        <f>IF(VLOOKUP($Z103,생산업체!$A:$C,2,FALSE)=1,"해외","국내")</f>
        <v>해외</v>
      </c>
      <c r="O103" s="12" t="str">
        <f>IF(VLOOKUP($U103,CODE!$K:$P,CODE!P$1,FALSE)="모자",T103,T103&amp;"-"&amp;VLOOKUP($U103,CODE!$K:$P,CODE!P$1,FALSE))</f>
        <v>SMB</v>
      </c>
      <c r="P103" s="11" t="s">
        <v>47</v>
      </c>
      <c r="R103" s="11">
        <v>102</v>
      </c>
      <c r="T103" s="8" t="s">
        <v>47</v>
      </c>
      <c r="U103" s="8" t="s">
        <v>35</v>
      </c>
      <c r="V103" s="8" t="s">
        <v>43</v>
      </c>
      <c r="W103" s="8" t="s">
        <v>1979</v>
      </c>
      <c r="Y103" s="9">
        <v>1</v>
      </c>
      <c r="Z103" s="8" t="s">
        <v>792</v>
      </c>
      <c r="AA103" s="10">
        <v>41725</v>
      </c>
      <c r="AB103" s="10">
        <v>41753</v>
      </c>
      <c r="AC103" s="10">
        <v>41766</v>
      </c>
      <c r="AD103" s="10">
        <v>41766</v>
      </c>
      <c r="AH103" s="8">
        <v>3</v>
      </c>
      <c r="AI103" s="8">
        <v>3</v>
      </c>
    </row>
    <row r="104" spans="1:36">
      <c r="A104" s="7">
        <f t="shared" si="19"/>
        <v>1</v>
      </c>
      <c r="B104" s="7" t="str">
        <f t="shared" si="23"/>
        <v>14FW SMB_33_FLAT_BK_N.pdf-JPG</v>
      </c>
      <c r="C104" s="7">
        <f t="shared" si="20"/>
        <v>1</v>
      </c>
      <c r="D104" s="7" t="str">
        <f t="shared" si="24"/>
        <v>QF14FW SMB_33_FLAT_BK_N.pdf-JPG</v>
      </c>
      <c r="E104" s="12" t="str">
        <f t="shared" si="25"/>
        <v>201403</v>
      </c>
      <c r="F104" s="347" t="str">
        <f>VLOOKUP($AA104,[3]주!$A:$F,6,FALSE)</f>
        <v>3월 2주</v>
      </c>
      <c r="G104" s="7">
        <f t="shared" si="21"/>
        <v>1</v>
      </c>
      <c r="H104" s="7" t="str">
        <f t="shared" si="26"/>
        <v>14FW SMB_33_FLAT_BK_N.pdf-JPG</v>
      </c>
      <c r="I104" s="7">
        <f t="shared" si="22"/>
        <v>1</v>
      </c>
      <c r="J104" s="7" t="str">
        <f t="shared" si="27"/>
        <v>QF14FW SMB_33_FLAT_BK_N.pdf-JPG</v>
      </c>
      <c r="K104" s="17">
        <f t="shared" si="28"/>
        <v>41753</v>
      </c>
      <c r="L104" s="12" t="str">
        <f t="shared" si="29"/>
        <v>201404</v>
      </c>
      <c r="M104" s="347" t="str">
        <f>VLOOKUP($K104,[3]주!$A:$F,6,FALSE)</f>
        <v>3월 2주</v>
      </c>
      <c r="N104" s="273" t="str">
        <f>IF(VLOOKUP($Z104,생산업체!$A:$C,2,FALSE)=1,"해외","국내")</f>
        <v>해외</v>
      </c>
      <c r="O104" s="12" t="str">
        <f>IF(VLOOKUP($U104,CODE!$K:$P,CODE!P$1,FALSE)="모자",T104,T104&amp;"-"&amp;VLOOKUP($U104,CODE!$K:$P,CODE!P$1,FALSE))</f>
        <v>SMB</v>
      </c>
      <c r="P104" s="11" t="s">
        <v>47</v>
      </c>
      <c r="R104" s="11">
        <v>103</v>
      </c>
      <c r="T104" s="8" t="s">
        <v>47</v>
      </c>
      <c r="U104" s="8" t="s">
        <v>35</v>
      </c>
      <c r="V104" s="8" t="s">
        <v>43</v>
      </c>
      <c r="W104" s="8" t="s">
        <v>1980</v>
      </c>
      <c r="Y104" s="9">
        <v>1</v>
      </c>
      <c r="Z104" s="8" t="s">
        <v>792</v>
      </c>
      <c r="AA104" s="10">
        <v>41725</v>
      </c>
      <c r="AB104" s="10">
        <v>41753</v>
      </c>
      <c r="AC104" s="10">
        <v>41753</v>
      </c>
      <c r="AD104" s="10">
        <v>41753</v>
      </c>
      <c r="AH104" s="8">
        <v>3</v>
      </c>
      <c r="AI104" s="8">
        <v>3</v>
      </c>
    </row>
    <row r="105" spans="1:36">
      <c r="A105" s="7">
        <f t="shared" si="19"/>
        <v>1</v>
      </c>
      <c r="B105" s="7" t="str">
        <f t="shared" si="23"/>
        <v>14FW SMB_39_FLAT_BK_F.pdf-JPG</v>
      </c>
      <c r="C105" s="7">
        <f t="shared" si="20"/>
        <v>1</v>
      </c>
      <c r="D105" s="7" t="str">
        <f t="shared" si="24"/>
        <v>QF14FW SMB_39_FLAT_BK_F.pdf-JPG</v>
      </c>
      <c r="E105" s="12" t="str">
        <f t="shared" si="25"/>
        <v>201403</v>
      </c>
      <c r="F105" s="347" t="str">
        <f>VLOOKUP($AA105,[3]주!$A:$F,6,FALSE)</f>
        <v>3월 2주</v>
      </c>
      <c r="G105" s="7">
        <f t="shared" si="21"/>
        <v>1</v>
      </c>
      <c r="H105" s="7" t="str">
        <f t="shared" si="26"/>
        <v>14FW SMB_39_FLAT_BK_F.pdf-JPG</v>
      </c>
      <c r="I105" s="7">
        <f t="shared" si="22"/>
        <v>1</v>
      </c>
      <c r="J105" s="7" t="str">
        <f t="shared" si="27"/>
        <v>QF14FW SMB_39_FLAT_BK_F.pdf-JPG</v>
      </c>
      <c r="K105" s="17">
        <f t="shared" si="28"/>
        <v>41751</v>
      </c>
      <c r="L105" s="12" t="str">
        <f t="shared" si="29"/>
        <v>201404</v>
      </c>
      <c r="M105" s="347" t="str">
        <f>VLOOKUP($K105,[3]주!$A:$F,6,FALSE)</f>
        <v>3월 2주</v>
      </c>
      <c r="N105" s="273" t="str">
        <f>IF(VLOOKUP($Z105,생산업체!$A:$C,2,FALSE)=1,"해외","국내")</f>
        <v>해외</v>
      </c>
      <c r="O105" s="12" t="str">
        <f>IF(VLOOKUP($U105,CODE!$K:$P,CODE!P$1,FALSE)="모자",T105,T105&amp;"-"&amp;VLOOKUP($U105,CODE!$K:$P,CODE!P$1,FALSE))</f>
        <v>SMB</v>
      </c>
      <c r="P105" s="11" t="s">
        <v>47</v>
      </c>
      <c r="R105" s="11">
        <v>104</v>
      </c>
      <c r="T105" s="8" t="s">
        <v>47</v>
      </c>
      <c r="U105" s="8" t="s">
        <v>38</v>
      </c>
      <c r="V105" s="8" t="s">
        <v>43</v>
      </c>
      <c r="W105" s="8" t="s">
        <v>1981</v>
      </c>
      <c r="Y105" s="9">
        <v>1</v>
      </c>
      <c r="Z105" s="8" t="s">
        <v>792</v>
      </c>
      <c r="AA105" s="10">
        <v>41725</v>
      </c>
      <c r="AB105" s="10">
        <v>41753</v>
      </c>
      <c r="AC105" s="10">
        <v>41751</v>
      </c>
      <c r="AD105" s="10">
        <v>41751</v>
      </c>
      <c r="AH105" s="8">
        <v>2</v>
      </c>
      <c r="AI105" s="8">
        <v>2</v>
      </c>
    </row>
    <row r="106" spans="1:36">
      <c r="A106" s="7">
        <f t="shared" si="19"/>
        <v>1</v>
      </c>
      <c r="B106" s="7" t="str">
        <f t="shared" si="23"/>
        <v>14FW SMB_40_FLAT_PK_F.pdf-JPG</v>
      </c>
      <c r="C106" s="7">
        <f t="shared" si="20"/>
        <v>1</v>
      </c>
      <c r="D106" s="7" t="str">
        <f t="shared" si="24"/>
        <v>QF14FW SMB_40_FLAT_PK_F.pdf-JPG</v>
      </c>
      <c r="E106" s="12" t="str">
        <f t="shared" si="25"/>
        <v>201403</v>
      </c>
      <c r="F106" s="347" t="str">
        <f>VLOOKUP($AA106,[3]주!$A:$F,6,FALSE)</f>
        <v>3월 2주</v>
      </c>
      <c r="G106" s="7">
        <f t="shared" si="21"/>
        <v>1</v>
      </c>
      <c r="H106" s="7" t="str">
        <f t="shared" si="26"/>
        <v>14FW SMB_40_FLAT_PK_F.pdf-JPG</v>
      </c>
      <c r="I106" s="7">
        <f t="shared" si="22"/>
        <v>1</v>
      </c>
      <c r="J106" s="7" t="str">
        <f t="shared" si="27"/>
        <v>QF14FW SMB_40_FLAT_PK_F.pdf-JPG</v>
      </c>
      <c r="K106" s="17">
        <f t="shared" si="28"/>
        <v>41766</v>
      </c>
      <c r="L106" s="12" t="str">
        <f t="shared" si="29"/>
        <v>201405</v>
      </c>
      <c r="M106" s="347" t="str">
        <f>VLOOKUP($K106,[3]주!$A:$F,6,FALSE)</f>
        <v>3월 2주</v>
      </c>
      <c r="N106" s="273" t="str">
        <f>IF(VLOOKUP($Z106,생산업체!$A:$C,2,FALSE)=1,"해외","국내")</f>
        <v>해외</v>
      </c>
      <c r="O106" s="12" t="str">
        <f>IF(VLOOKUP($U106,CODE!$K:$P,CODE!P$1,FALSE)="모자",T106,T106&amp;"-"&amp;VLOOKUP($U106,CODE!$K:$P,CODE!P$1,FALSE))</f>
        <v>SMB</v>
      </c>
      <c r="P106" s="11" t="s">
        <v>47</v>
      </c>
      <c r="R106" s="11">
        <v>105</v>
      </c>
      <c r="T106" s="8" t="s">
        <v>47</v>
      </c>
      <c r="U106" s="8" t="s">
        <v>35</v>
      </c>
      <c r="V106" s="8" t="s">
        <v>43</v>
      </c>
      <c r="W106" s="8" t="s">
        <v>1982</v>
      </c>
      <c r="Y106" s="9">
        <v>1</v>
      </c>
      <c r="Z106" s="8" t="s">
        <v>792</v>
      </c>
      <c r="AA106" s="10">
        <v>41725</v>
      </c>
      <c r="AB106" s="10">
        <v>41753</v>
      </c>
      <c r="AC106" s="10">
        <v>41766</v>
      </c>
      <c r="AD106" s="10">
        <v>41766</v>
      </c>
      <c r="AH106" s="8">
        <v>4</v>
      </c>
      <c r="AI106" s="8">
        <v>4</v>
      </c>
    </row>
    <row r="107" spans="1:36">
      <c r="A107" s="7">
        <f t="shared" si="19"/>
        <v>1</v>
      </c>
      <c r="B107" s="7" t="str">
        <f t="shared" si="23"/>
        <v>14FW SMB_41_FLAT_BK_N.pdf-JPG</v>
      </c>
      <c r="C107" s="7">
        <f t="shared" si="20"/>
        <v>1</v>
      </c>
      <c r="D107" s="7" t="str">
        <f t="shared" si="24"/>
        <v>QF14FW SMB_41_FLAT_BK_N.pdf-JPG</v>
      </c>
      <c r="E107" s="12" t="str">
        <f t="shared" si="25"/>
        <v>201403</v>
      </c>
      <c r="F107" s="347" t="str">
        <f>VLOOKUP($AA107,[3]주!$A:$F,6,FALSE)</f>
        <v>3월 2주</v>
      </c>
      <c r="G107" s="7">
        <f t="shared" si="21"/>
        <v>1</v>
      </c>
      <c r="H107" s="7" t="str">
        <f t="shared" si="26"/>
        <v>14FW SMB_41_FLAT_BK_N.pdf-JPG</v>
      </c>
      <c r="I107" s="7">
        <f t="shared" si="22"/>
        <v>1</v>
      </c>
      <c r="J107" s="7" t="str">
        <f t="shared" si="27"/>
        <v>QF14FW SMB_41_FLAT_BK_N.pdf-JPG</v>
      </c>
      <c r="K107" s="17">
        <f t="shared" si="28"/>
        <v>41754</v>
      </c>
      <c r="L107" s="12" t="str">
        <f t="shared" si="29"/>
        <v>201404</v>
      </c>
      <c r="M107" s="347" t="str">
        <f>VLOOKUP($K107,[3]주!$A:$F,6,FALSE)</f>
        <v>3월 2주</v>
      </c>
      <c r="N107" s="273" t="str">
        <f>IF(VLOOKUP($Z107,생산업체!$A:$C,2,FALSE)=1,"해외","국내")</f>
        <v>해외</v>
      </c>
      <c r="O107" s="12" t="str">
        <f>IF(VLOOKUP($U107,CODE!$K:$P,CODE!P$1,FALSE)="모자",T107,T107&amp;"-"&amp;VLOOKUP($U107,CODE!$K:$P,CODE!P$1,FALSE))</f>
        <v>SMB</v>
      </c>
      <c r="P107" s="11" t="s">
        <v>47</v>
      </c>
      <c r="R107" s="11">
        <v>106</v>
      </c>
      <c r="T107" s="8" t="s">
        <v>47</v>
      </c>
      <c r="U107" s="8" t="s">
        <v>38</v>
      </c>
      <c r="V107" s="8" t="s">
        <v>43</v>
      </c>
      <c r="W107" s="8" t="s">
        <v>1983</v>
      </c>
      <c r="Y107" s="9">
        <v>1</v>
      </c>
      <c r="Z107" s="8" t="s">
        <v>792</v>
      </c>
      <c r="AA107" s="10">
        <v>41725</v>
      </c>
      <c r="AB107" s="10">
        <v>41753</v>
      </c>
      <c r="AC107" s="10">
        <v>41754</v>
      </c>
      <c r="AD107" s="10">
        <v>41754</v>
      </c>
      <c r="AH107" s="8">
        <v>1</v>
      </c>
      <c r="AI107" s="8">
        <v>1</v>
      </c>
    </row>
    <row r="108" spans="1:36">
      <c r="A108" s="7">
        <f t="shared" si="19"/>
        <v>1</v>
      </c>
      <c r="B108" s="7" t="str">
        <f t="shared" ref="B108:B122" si="30">IF(AA108="","",W108)</f>
        <v>14FW SMB_42_FLAT_GR_N.pdf-JPG</v>
      </c>
      <c r="C108" s="7">
        <f t="shared" si="20"/>
        <v>1</v>
      </c>
      <c r="D108" s="7" t="str">
        <f t="shared" ref="D108:D122" si="31">IF(AA108="","",Z108&amp;W108)</f>
        <v>QF14FW SMB_42_FLAT_GR_N.pdf-JPG</v>
      </c>
      <c r="E108" s="12" t="str">
        <f t="shared" ref="E108:E122" si="32">IF(YEAR(AA108)&lt;10,0&amp;YEAR(AA108),YEAR(AA108))&amp;IF(MONTH(AA108)&lt;10,0&amp;MONTH(AA108),MONTH(AA108))</f>
        <v>201403</v>
      </c>
      <c r="F108" s="347" t="str">
        <f>VLOOKUP($AA108,[3]주!$A:$F,6,FALSE)</f>
        <v>3월 2주</v>
      </c>
      <c r="G108" s="7">
        <f t="shared" si="21"/>
        <v>1</v>
      </c>
      <c r="H108" s="7" t="str">
        <f t="shared" ref="H108:H122" si="33">IF(AD108="","",W108)</f>
        <v>14FW SMB_42_FLAT_GR_N.pdf-JPG</v>
      </c>
      <c r="I108" s="7">
        <f t="shared" si="22"/>
        <v>1</v>
      </c>
      <c r="J108" s="7" t="str">
        <f t="shared" ref="J108:J122" si="34">IF(AD108="","",Z108&amp;W108)</f>
        <v>QF14FW SMB_42_FLAT_GR_N.pdf-JPG</v>
      </c>
      <c r="K108" s="17">
        <f>IF(AD108="",AC108,AD108)</f>
        <v>41766</v>
      </c>
      <c r="L108" s="12" t="str">
        <f>IF(YEAR(K108)&lt;10,0&amp;YEAR(K108),YEAR(K108))&amp;IF(MONTH(K108)&lt;10,0&amp;MONTH(K108),MONTH(K108))</f>
        <v>201405</v>
      </c>
      <c r="M108" s="347" t="str">
        <f>VLOOKUP($K108,[3]주!$A:$F,6,FALSE)</f>
        <v>3월 2주</v>
      </c>
      <c r="N108" s="273" t="str">
        <f>IF(VLOOKUP($Z108,생산업체!$A:$C,2,FALSE)=1,"해외","국내")</f>
        <v>해외</v>
      </c>
      <c r="O108" s="12" t="str">
        <f>IF(VLOOKUP($U108,CODE!$K:$P,CODE!P$1,FALSE)="모자",T108,T108&amp;"-"&amp;VLOOKUP($U108,CODE!$K:$P,CODE!P$1,FALSE))</f>
        <v>SMB</v>
      </c>
      <c r="P108" s="11" t="s">
        <v>47</v>
      </c>
      <c r="R108" s="11">
        <v>107</v>
      </c>
      <c r="T108" s="8" t="s">
        <v>47</v>
      </c>
      <c r="U108" s="8" t="s">
        <v>38</v>
      </c>
      <c r="V108" s="8" t="s">
        <v>43</v>
      </c>
      <c r="W108" s="8" t="s">
        <v>1984</v>
      </c>
      <c r="Y108" s="9">
        <v>1</v>
      </c>
      <c r="Z108" s="8" t="s">
        <v>792</v>
      </c>
      <c r="AA108" s="10">
        <v>41725</v>
      </c>
      <c r="AB108" s="10">
        <v>41753</v>
      </c>
      <c r="AC108" s="10">
        <v>41766</v>
      </c>
      <c r="AD108" s="10">
        <v>41766</v>
      </c>
      <c r="AH108" s="8">
        <v>2</v>
      </c>
      <c r="AI108" s="8">
        <v>2</v>
      </c>
    </row>
    <row r="109" spans="1:36">
      <c r="A109" s="7">
        <f t="shared" si="19"/>
        <v>1</v>
      </c>
      <c r="B109" s="7" t="str">
        <f t="shared" si="30"/>
        <v>14FW SMB_36_FLAT_PK_F_KIDS.pdf-JPG</v>
      </c>
      <c r="C109" s="7">
        <f t="shared" si="20"/>
        <v>1</v>
      </c>
      <c r="D109" s="7" t="str">
        <f t="shared" si="31"/>
        <v>QF14FW SMB_36_FLAT_PK_F_KIDS.pdf-JPG</v>
      </c>
      <c r="E109" s="12" t="str">
        <f t="shared" si="32"/>
        <v>201403</v>
      </c>
      <c r="F109" s="347" t="str">
        <f>VLOOKUP($AA109,[3]주!$A:$F,6,FALSE)</f>
        <v>3월 2주</v>
      </c>
      <c r="G109" s="7">
        <f t="shared" si="21"/>
        <v>1</v>
      </c>
      <c r="H109" s="7" t="str">
        <f t="shared" si="33"/>
        <v>14FW SMB_36_FLAT_PK_F_KIDS.pdf-JPG</v>
      </c>
      <c r="I109" s="7">
        <f t="shared" si="22"/>
        <v>1</v>
      </c>
      <c r="J109" s="7" t="str">
        <f t="shared" si="34"/>
        <v>QF14FW SMB_36_FLAT_PK_F_KIDS.pdf-JPG</v>
      </c>
      <c r="K109" s="17">
        <f>IF(AD109="",AC109,AD109)</f>
        <v>41766</v>
      </c>
      <c r="L109" s="12" t="str">
        <f>IF(YEAR(K109)&lt;10,0&amp;YEAR(K109),YEAR(K109))&amp;IF(MONTH(K109)&lt;10,0&amp;MONTH(K109),MONTH(K109))</f>
        <v>201405</v>
      </c>
      <c r="M109" s="347" t="str">
        <f>VLOOKUP($K109,[3]주!$A:$F,6,FALSE)</f>
        <v>3월 2주</v>
      </c>
      <c r="N109" s="273" t="str">
        <f>IF(VLOOKUP($Z109,생산업체!$A:$C,2,FALSE)=1,"해외","국내")</f>
        <v>해외</v>
      </c>
      <c r="O109" s="12" t="str">
        <f>IF(VLOOKUP($U109,CODE!$K:$P,CODE!P$1,FALSE)="모자",T109,T109&amp;"-"&amp;VLOOKUP($U109,CODE!$K:$P,CODE!P$1,FALSE))</f>
        <v>SMB</v>
      </c>
      <c r="P109" s="11" t="s">
        <v>47</v>
      </c>
      <c r="R109" s="11">
        <v>108</v>
      </c>
      <c r="T109" s="8" t="s">
        <v>47</v>
      </c>
      <c r="U109" s="8" t="s">
        <v>38</v>
      </c>
      <c r="V109" s="8" t="s">
        <v>43</v>
      </c>
      <c r="W109" s="8" t="s">
        <v>1985</v>
      </c>
      <c r="Y109" s="9">
        <v>1</v>
      </c>
      <c r="Z109" s="8" t="s">
        <v>792</v>
      </c>
      <c r="AA109" s="10">
        <v>41725</v>
      </c>
      <c r="AB109" s="10">
        <v>41753</v>
      </c>
      <c r="AC109" s="10">
        <v>41766</v>
      </c>
      <c r="AD109" s="10">
        <v>41766</v>
      </c>
      <c r="AH109" s="8">
        <v>2</v>
      </c>
      <c r="AI109" s="8">
        <v>2</v>
      </c>
    </row>
    <row r="110" spans="1:36">
      <c r="A110" s="7">
        <f t="shared" si="19"/>
        <v>1</v>
      </c>
      <c r="B110" s="7" t="str">
        <f t="shared" si="30"/>
        <v>14FW SMB_14_KNIT_BK_N.pdf-JPG</v>
      </c>
      <c r="C110" s="7">
        <f t="shared" si="20"/>
        <v>1</v>
      </c>
      <c r="D110" s="7" t="str">
        <f t="shared" si="31"/>
        <v>FOREMOST14FW SMB_14_KNIT_BK_N.pdf-JPG</v>
      </c>
      <c r="E110" s="12" t="str">
        <f t="shared" si="32"/>
        <v>201403</v>
      </c>
      <c r="F110" s="347" t="str">
        <f>VLOOKUP($AA110,[3]주!$A:$F,6,FALSE)</f>
        <v>3월 2주</v>
      </c>
      <c r="G110" s="7">
        <f t="shared" si="21"/>
        <v>1</v>
      </c>
      <c r="H110" s="7" t="str">
        <f t="shared" si="33"/>
        <v>14FW SMB_14_KNIT_BK_N.pdf-JPG</v>
      </c>
      <c r="I110" s="7">
        <f t="shared" si="22"/>
        <v>1</v>
      </c>
      <c r="J110" s="7" t="str">
        <f t="shared" si="34"/>
        <v>FOREMOST14FW SMB_14_KNIT_BK_N.pdf-JPG</v>
      </c>
      <c r="K110" s="17">
        <f t="shared" ref="K110:K124" si="35">IF(AD110="",AC110,AD110)</f>
        <v>41753</v>
      </c>
      <c r="L110" s="12" t="str">
        <f t="shared" ref="L110:L124" si="36">IF(YEAR(K110)&lt;10,0&amp;YEAR(K110),YEAR(K110))&amp;IF(MONTH(K110)&lt;10,0&amp;MONTH(K110),MONTH(K110))</f>
        <v>201404</v>
      </c>
      <c r="M110" s="347" t="str">
        <f>VLOOKUP($K110,[3]주!$A:$F,6,FALSE)</f>
        <v>3월 2주</v>
      </c>
      <c r="N110" s="273" t="str">
        <f>IF(VLOOKUP($Z110,생산업체!$A:$C,2,FALSE)=1,"해외","국내")</f>
        <v>해외</v>
      </c>
      <c r="O110" s="12" t="str">
        <f>IF(VLOOKUP($U110,CODE!$K:$P,CODE!P$1,FALSE)="모자",T110,T110&amp;"-"&amp;VLOOKUP($U110,CODE!$K:$P,CODE!P$1,FALSE))</f>
        <v>SMB</v>
      </c>
      <c r="P110" s="11" t="s">
        <v>47</v>
      </c>
      <c r="R110" s="11">
        <v>109</v>
      </c>
      <c r="T110" s="8" t="s">
        <v>47</v>
      </c>
      <c r="U110" s="8" t="s">
        <v>35</v>
      </c>
      <c r="V110" s="8" t="s">
        <v>43</v>
      </c>
      <c r="W110" s="8" t="s">
        <v>1986</v>
      </c>
      <c r="X110" s="8" t="s">
        <v>110</v>
      </c>
      <c r="Y110" s="9">
        <v>1</v>
      </c>
      <c r="Z110" s="8" t="s">
        <v>6</v>
      </c>
      <c r="AA110" s="10">
        <v>41725</v>
      </c>
      <c r="AB110" s="10">
        <v>41753</v>
      </c>
      <c r="AC110" s="10">
        <v>41753</v>
      </c>
      <c r="AD110" s="10">
        <v>41753</v>
      </c>
      <c r="AE110" s="8">
        <v>7.9</v>
      </c>
      <c r="AH110" s="8">
        <v>3</v>
      </c>
      <c r="AI110" s="8">
        <v>3</v>
      </c>
    </row>
    <row r="111" spans="1:36">
      <c r="A111" s="7">
        <f t="shared" si="19"/>
        <v>1</v>
      </c>
      <c r="B111" s="7" t="str">
        <f t="shared" si="30"/>
        <v>14FW SMB_15_KNIT_RE_N.pdf-JPG</v>
      </c>
      <c r="C111" s="7">
        <f t="shared" si="20"/>
        <v>1</v>
      </c>
      <c r="D111" s="7" t="str">
        <f t="shared" si="31"/>
        <v>FOREMOST14FW SMB_15_KNIT_RE_N.pdf-JPG</v>
      </c>
      <c r="E111" s="12" t="str">
        <f t="shared" si="32"/>
        <v>201403</v>
      </c>
      <c r="F111" s="347" t="str">
        <f>VLOOKUP($AA111,[3]주!$A:$F,6,FALSE)</f>
        <v>3월 2주</v>
      </c>
      <c r="G111" s="7">
        <f t="shared" si="21"/>
        <v>1</v>
      </c>
      <c r="H111" s="7" t="str">
        <f t="shared" si="33"/>
        <v>14FW SMB_15_KNIT_RE_N.pdf-JPG</v>
      </c>
      <c r="I111" s="7">
        <f t="shared" si="22"/>
        <v>1</v>
      </c>
      <c r="J111" s="7" t="str">
        <f t="shared" si="34"/>
        <v>FOREMOST14FW SMB_15_KNIT_RE_N.pdf-JPG</v>
      </c>
      <c r="K111" s="17">
        <f t="shared" si="35"/>
        <v>41750</v>
      </c>
      <c r="L111" s="12" t="str">
        <f t="shared" si="36"/>
        <v>201404</v>
      </c>
      <c r="M111" s="347" t="str">
        <f>VLOOKUP($K111,[3]주!$A:$F,6,FALSE)</f>
        <v>3월 2주</v>
      </c>
      <c r="N111" s="273" t="str">
        <f>IF(VLOOKUP($Z111,생산업체!$A:$C,2,FALSE)=1,"해외","국내")</f>
        <v>해외</v>
      </c>
      <c r="O111" s="12" t="str">
        <f>IF(VLOOKUP($U111,CODE!$K:$P,CODE!P$1,FALSE)="모자",T111,T111&amp;"-"&amp;VLOOKUP($U111,CODE!$K:$P,CODE!P$1,FALSE))</f>
        <v>SMB</v>
      </c>
      <c r="P111" s="11" t="s">
        <v>47</v>
      </c>
      <c r="R111" s="11">
        <v>110</v>
      </c>
      <c r="T111" s="8" t="s">
        <v>47</v>
      </c>
      <c r="U111" s="8" t="s">
        <v>35</v>
      </c>
      <c r="V111" s="8" t="s">
        <v>43</v>
      </c>
      <c r="W111" s="8" t="s">
        <v>1987</v>
      </c>
      <c r="X111" s="8" t="s">
        <v>110</v>
      </c>
      <c r="Y111" s="9">
        <v>1</v>
      </c>
      <c r="Z111" s="8" t="s">
        <v>6</v>
      </c>
      <c r="AA111" s="10">
        <v>41725</v>
      </c>
      <c r="AB111" s="10">
        <v>41753</v>
      </c>
      <c r="AC111" s="10">
        <v>41750</v>
      </c>
      <c r="AD111" s="10">
        <v>41750</v>
      </c>
      <c r="AE111" s="8">
        <v>7.9</v>
      </c>
      <c r="AH111" s="8">
        <v>3</v>
      </c>
      <c r="AI111" s="8">
        <v>3</v>
      </c>
    </row>
    <row r="112" spans="1:36">
      <c r="A112" s="7">
        <f t="shared" si="19"/>
        <v>1</v>
      </c>
      <c r="B112" s="7" t="str">
        <f t="shared" si="30"/>
        <v>14FW SMB_14_CURVED_GY_N</v>
      </c>
      <c r="C112" s="7">
        <f t="shared" si="20"/>
        <v>1</v>
      </c>
      <c r="D112" s="7" t="str">
        <f t="shared" si="31"/>
        <v>동일모자14FW SMB_14_CURVED_GY_N</v>
      </c>
      <c r="E112" s="12" t="str">
        <f t="shared" si="32"/>
        <v>201403</v>
      </c>
      <c r="F112" s="347" t="str">
        <f>VLOOKUP($AA112,[3]주!$A:$F,6,FALSE)</f>
        <v>3월 2주</v>
      </c>
      <c r="G112" s="7">
        <f t="shared" si="21"/>
        <v>1</v>
      </c>
      <c r="H112" s="7" t="str">
        <f t="shared" si="33"/>
        <v>14FW SMB_14_CURVED_GY_N</v>
      </c>
      <c r="I112" s="7">
        <f t="shared" si="22"/>
        <v>1</v>
      </c>
      <c r="J112" s="7" t="str">
        <f t="shared" si="34"/>
        <v>동일모자14FW SMB_14_CURVED_GY_N</v>
      </c>
      <c r="K112" s="17">
        <f t="shared" si="35"/>
        <v>41750</v>
      </c>
      <c r="L112" s="12" t="str">
        <f t="shared" si="36"/>
        <v>201404</v>
      </c>
      <c r="M112" s="347" t="str">
        <f>VLOOKUP($K112,[3]주!$A:$F,6,FALSE)</f>
        <v>3월 2주</v>
      </c>
      <c r="N112" s="273" t="str">
        <f>IF(VLOOKUP($Z112,생산업체!$A:$C,2,FALSE)=1,"해외","국내")</f>
        <v>해외</v>
      </c>
      <c r="O112" s="12" t="str">
        <f>IF(VLOOKUP($U112,CODE!$K:$P,CODE!P$1,FALSE)="모자",T112,T112&amp;"-"&amp;VLOOKUP($U112,CODE!$K:$P,CODE!P$1,FALSE))</f>
        <v>SMB</v>
      </c>
      <c r="P112" s="11" t="s">
        <v>47</v>
      </c>
      <c r="R112" s="11">
        <v>111</v>
      </c>
      <c r="T112" s="8" t="s">
        <v>47</v>
      </c>
      <c r="U112" s="8" t="s">
        <v>35</v>
      </c>
      <c r="V112" s="8" t="s">
        <v>43</v>
      </c>
      <c r="W112" s="8" t="s">
        <v>1988</v>
      </c>
      <c r="Y112" s="9">
        <v>1</v>
      </c>
      <c r="Z112" s="8" t="s">
        <v>44</v>
      </c>
      <c r="AA112" s="10">
        <v>41725</v>
      </c>
      <c r="AB112" s="10">
        <v>41753</v>
      </c>
      <c r="AC112" s="10">
        <v>41750</v>
      </c>
      <c r="AD112" s="10">
        <v>41750</v>
      </c>
      <c r="AE112" s="8">
        <v>6.65</v>
      </c>
      <c r="AH112" s="8">
        <v>3</v>
      </c>
      <c r="AI112" s="8">
        <v>3</v>
      </c>
    </row>
    <row r="113" spans="1:35">
      <c r="A113" s="7">
        <f t="shared" si="19"/>
        <v>1</v>
      </c>
      <c r="B113" s="7" t="str">
        <f t="shared" si="30"/>
        <v>14FW SMB_15_CURVED_PK_F_KIDS.pdf-JPG</v>
      </c>
      <c r="C113" s="7">
        <f t="shared" si="20"/>
        <v>1</v>
      </c>
      <c r="D113" s="7" t="str">
        <f t="shared" si="31"/>
        <v>동일모자14FW SMB_15_CURVED_PK_F_KIDS.pdf-JPG</v>
      </c>
      <c r="E113" s="12" t="str">
        <f t="shared" si="32"/>
        <v>201403</v>
      </c>
      <c r="F113" s="347" t="str">
        <f>VLOOKUP($AA113,[3]주!$A:$F,6,FALSE)</f>
        <v>3월 2주</v>
      </c>
      <c r="G113" s="7">
        <f t="shared" si="21"/>
        <v>1</v>
      </c>
      <c r="H113" s="7" t="str">
        <f t="shared" si="33"/>
        <v>14FW SMB_15_CURVED_PK_F_KIDS.pdf-JPG</v>
      </c>
      <c r="I113" s="7">
        <f t="shared" si="22"/>
        <v>1</v>
      </c>
      <c r="J113" s="7" t="str">
        <f t="shared" si="34"/>
        <v>동일모자14FW SMB_15_CURVED_PK_F_KIDS.pdf-JPG</v>
      </c>
      <c r="K113" s="17">
        <f t="shared" si="35"/>
        <v>41750</v>
      </c>
      <c r="L113" s="12" t="str">
        <f t="shared" si="36"/>
        <v>201404</v>
      </c>
      <c r="M113" s="347" t="str">
        <f>VLOOKUP($K113,[3]주!$A:$F,6,FALSE)</f>
        <v>3월 2주</v>
      </c>
      <c r="N113" s="273" t="str">
        <f>IF(VLOOKUP($Z113,생산업체!$A:$C,2,FALSE)=1,"해외","국내")</f>
        <v>해외</v>
      </c>
      <c r="O113" s="12" t="str">
        <f>IF(VLOOKUP($U113,CODE!$K:$P,CODE!P$1,FALSE)="모자",T113,T113&amp;"-"&amp;VLOOKUP($U113,CODE!$K:$P,CODE!P$1,FALSE))</f>
        <v>SMB</v>
      </c>
      <c r="P113" s="11" t="s">
        <v>47</v>
      </c>
      <c r="R113" s="11">
        <v>112</v>
      </c>
      <c r="T113" s="8" t="s">
        <v>47</v>
      </c>
      <c r="U113" s="8" t="s">
        <v>35</v>
      </c>
      <c r="V113" s="8" t="s">
        <v>43</v>
      </c>
      <c r="W113" s="8" t="s">
        <v>1989</v>
      </c>
      <c r="Y113" s="9">
        <v>1</v>
      </c>
      <c r="Z113" s="8" t="s">
        <v>44</v>
      </c>
      <c r="AA113" s="10">
        <v>41725</v>
      </c>
      <c r="AB113" s="10">
        <v>41753</v>
      </c>
      <c r="AC113" s="10">
        <v>41750</v>
      </c>
      <c r="AD113" s="10">
        <v>41750</v>
      </c>
      <c r="AE113" s="8">
        <v>6.6</v>
      </c>
      <c r="AH113" s="8">
        <v>6</v>
      </c>
      <c r="AI113" s="8">
        <v>6</v>
      </c>
    </row>
    <row r="114" spans="1:35">
      <c r="A114" s="7">
        <f t="shared" si="19"/>
        <v>1</v>
      </c>
      <c r="B114" s="7" t="str">
        <f t="shared" si="30"/>
        <v>14FW SMB_16_CURVED_NY_F_KIDS</v>
      </c>
      <c r="C114" s="7">
        <f t="shared" si="20"/>
        <v>1</v>
      </c>
      <c r="D114" s="7" t="str">
        <f t="shared" si="31"/>
        <v>동일모자14FW SMB_16_CURVED_NY_F_KIDS</v>
      </c>
      <c r="E114" s="12" t="str">
        <f t="shared" si="32"/>
        <v>201403</v>
      </c>
      <c r="F114" s="347" t="str">
        <f>VLOOKUP($AA114,[3]주!$A:$F,6,FALSE)</f>
        <v>3월 2주</v>
      </c>
      <c r="G114" s="7">
        <f t="shared" si="21"/>
        <v>1</v>
      </c>
      <c r="H114" s="7" t="str">
        <f t="shared" si="33"/>
        <v>14FW SMB_16_CURVED_NY_F_KIDS</v>
      </c>
      <c r="I114" s="7">
        <f t="shared" si="22"/>
        <v>1</v>
      </c>
      <c r="J114" s="7" t="str">
        <f t="shared" si="34"/>
        <v>동일모자14FW SMB_16_CURVED_NY_F_KIDS</v>
      </c>
      <c r="K114" s="17">
        <f t="shared" si="35"/>
        <v>41750</v>
      </c>
      <c r="L114" s="12" t="str">
        <f t="shared" si="36"/>
        <v>201404</v>
      </c>
      <c r="M114" s="347" t="str">
        <f>VLOOKUP($K114,[3]주!$A:$F,6,FALSE)</f>
        <v>3월 2주</v>
      </c>
      <c r="N114" s="273" t="str">
        <f>IF(VLOOKUP($Z114,생산업체!$A:$C,2,FALSE)=1,"해외","국내")</f>
        <v>해외</v>
      </c>
      <c r="O114" s="12" t="str">
        <f>IF(VLOOKUP($U114,CODE!$K:$P,CODE!P$1,FALSE)="모자",T114,T114&amp;"-"&amp;VLOOKUP($U114,CODE!$K:$P,CODE!P$1,FALSE))</f>
        <v>SMB</v>
      </c>
      <c r="P114" s="11" t="s">
        <v>47</v>
      </c>
      <c r="R114" s="11">
        <v>113</v>
      </c>
      <c r="T114" s="8" t="s">
        <v>47</v>
      </c>
      <c r="U114" s="8" t="s">
        <v>35</v>
      </c>
      <c r="V114" s="8" t="s">
        <v>43</v>
      </c>
      <c r="W114" s="8" t="s">
        <v>1990</v>
      </c>
      <c r="Y114" s="9">
        <v>1</v>
      </c>
      <c r="Z114" s="8" t="s">
        <v>44</v>
      </c>
      <c r="AA114" s="10">
        <v>41725</v>
      </c>
      <c r="AB114" s="10">
        <v>41753</v>
      </c>
      <c r="AC114" s="10">
        <v>41750</v>
      </c>
      <c r="AD114" s="10">
        <v>41750</v>
      </c>
      <c r="AE114" s="8">
        <v>6.95</v>
      </c>
      <c r="AH114" s="8">
        <v>3</v>
      </c>
      <c r="AI114" s="8">
        <v>3</v>
      </c>
    </row>
    <row r="115" spans="1:35">
      <c r="A115" s="7">
        <f t="shared" si="19"/>
        <v>1</v>
      </c>
      <c r="B115" s="7" t="str">
        <f t="shared" si="30"/>
        <v>14FW SMB_17_CURVED_PK_F_KIDS</v>
      </c>
      <c r="C115" s="7">
        <f t="shared" si="20"/>
        <v>1</v>
      </c>
      <c r="D115" s="7" t="str">
        <f t="shared" si="31"/>
        <v>동일모자14FW SMB_17_CURVED_PK_F_KIDS</v>
      </c>
      <c r="E115" s="12" t="str">
        <f t="shared" si="32"/>
        <v>201403</v>
      </c>
      <c r="F115" s="347" t="str">
        <f>VLOOKUP($AA115,[3]주!$A:$F,6,FALSE)</f>
        <v>3월 2주</v>
      </c>
      <c r="G115" s="7">
        <f t="shared" si="21"/>
        <v>1</v>
      </c>
      <c r="H115" s="7" t="str">
        <f t="shared" si="33"/>
        <v>14FW SMB_17_CURVED_PK_F_KIDS</v>
      </c>
      <c r="I115" s="7">
        <f t="shared" si="22"/>
        <v>1</v>
      </c>
      <c r="J115" s="7" t="str">
        <f t="shared" si="34"/>
        <v>동일모자14FW SMB_17_CURVED_PK_F_KIDS</v>
      </c>
      <c r="K115" s="17">
        <f t="shared" si="35"/>
        <v>41750</v>
      </c>
      <c r="L115" s="12" t="str">
        <f t="shared" si="36"/>
        <v>201404</v>
      </c>
      <c r="M115" s="347" t="str">
        <f>VLOOKUP($K115,[3]주!$A:$F,6,FALSE)</f>
        <v>3월 2주</v>
      </c>
      <c r="N115" s="273" t="str">
        <f>IF(VLOOKUP($Z115,생산업체!$A:$C,2,FALSE)=1,"해외","국내")</f>
        <v>해외</v>
      </c>
      <c r="O115" s="12" t="str">
        <f>IF(VLOOKUP($U115,CODE!$K:$P,CODE!P$1,FALSE)="모자",T115,T115&amp;"-"&amp;VLOOKUP($U115,CODE!$K:$P,CODE!P$1,FALSE))</f>
        <v>SMB</v>
      </c>
      <c r="P115" s="11" t="s">
        <v>47</v>
      </c>
      <c r="R115" s="11">
        <v>114</v>
      </c>
      <c r="T115" s="8" t="s">
        <v>47</v>
      </c>
      <c r="U115" s="8" t="s">
        <v>35</v>
      </c>
      <c r="V115" s="8" t="s">
        <v>43</v>
      </c>
      <c r="W115" s="8" t="s">
        <v>1991</v>
      </c>
      <c r="Y115" s="9">
        <v>1</v>
      </c>
      <c r="Z115" s="8" t="s">
        <v>44</v>
      </c>
      <c r="AA115" s="10">
        <v>41725</v>
      </c>
      <c r="AB115" s="10">
        <v>41753</v>
      </c>
      <c r="AC115" s="10">
        <v>41750</v>
      </c>
      <c r="AD115" s="10">
        <v>41750</v>
      </c>
      <c r="AE115" s="8">
        <v>6.4</v>
      </c>
      <c r="AH115" s="8">
        <v>4</v>
      </c>
      <c r="AI115" s="8">
        <v>4</v>
      </c>
    </row>
    <row r="116" spans="1:35">
      <c r="A116" s="7">
        <f t="shared" si="19"/>
        <v>1</v>
      </c>
      <c r="B116" s="7" t="str">
        <f t="shared" si="30"/>
        <v>14FW SMB_18_CURVED_PP_F_KIDS</v>
      </c>
      <c r="C116" s="7">
        <f t="shared" si="20"/>
        <v>1</v>
      </c>
      <c r="D116" s="7" t="str">
        <f t="shared" si="31"/>
        <v>동일모자14FW SMB_18_CURVED_PP_F_KIDS</v>
      </c>
      <c r="E116" s="12" t="str">
        <f t="shared" si="32"/>
        <v>201403</v>
      </c>
      <c r="F116" s="347" t="str">
        <f>VLOOKUP($AA116,[3]주!$A:$F,6,FALSE)</f>
        <v>3월 2주</v>
      </c>
      <c r="G116" s="7">
        <f t="shared" si="21"/>
        <v>1</v>
      </c>
      <c r="H116" s="7" t="str">
        <f t="shared" si="33"/>
        <v>14FW SMB_18_CURVED_PP_F_KIDS</v>
      </c>
      <c r="I116" s="7">
        <f t="shared" si="22"/>
        <v>1</v>
      </c>
      <c r="J116" s="7" t="str">
        <f t="shared" si="34"/>
        <v>동일모자14FW SMB_18_CURVED_PP_F_KIDS</v>
      </c>
      <c r="K116" s="17">
        <f t="shared" si="35"/>
        <v>41750</v>
      </c>
      <c r="L116" s="12" t="str">
        <f t="shared" si="36"/>
        <v>201404</v>
      </c>
      <c r="M116" s="347" t="str">
        <f>VLOOKUP($K116,[3]주!$A:$F,6,FALSE)</f>
        <v>3월 2주</v>
      </c>
      <c r="N116" s="273" t="str">
        <f>IF(VLOOKUP($Z116,생산업체!$A:$C,2,FALSE)=1,"해외","국내")</f>
        <v>해외</v>
      </c>
      <c r="O116" s="12" t="str">
        <f>IF(VLOOKUP($U116,CODE!$K:$P,CODE!P$1,FALSE)="모자",T116,T116&amp;"-"&amp;VLOOKUP($U116,CODE!$K:$P,CODE!P$1,FALSE))</f>
        <v>SMB</v>
      </c>
      <c r="P116" s="11" t="s">
        <v>47</v>
      </c>
      <c r="R116" s="11">
        <v>115</v>
      </c>
      <c r="T116" s="8" t="s">
        <v>47</v>
      </c>
      <c r="U116" s="8" t="s">
        <v>35</v>
      </c>
      <c r="V116" s="8" t="s">
        <v>43</v>
      </c>
      <c r="W116" s="8" t="s">
        <v>1992</v>
      </c>
      <c r="Y116" s="9">
        <v>1</v>
      </c>
      <c r="Z116" s="8" t="s">
        <v>44</v>
      </c>
      <c r="AA116" s="10">
        <v>41725</v>
      </c>
      <c r="AB116" s="10">
        <v>41753</v>
      </c>
      <c r="AC116" s="10">
        <v>41750</v>
      </c>
      <c r="AD116" s="10">
        <v>41750</v>
      </c>
      <c r="AE116" s="8">
        <v>6.45</v>
      </c>
      <c r="AH116" s="8">
        <v>5</v>
      </c>
      <c r="AI116" s="8">
        <v>5</v>
      </c>
    </row>
    <row r="117" spans="1:35">
      <c r="A117" s="7">
        <f t="shared" si="19"/>
        <v>1</v>
      </c>
      <c r="B117" s="7" t="str">
        <f t="shared" si="30"/>
        <v>14FW SMB_19_CURVED_BW_F</v>
      </c>
      <c r="C117" s="7">
        <f t="shared" si="20"/>
        <v>1</v>
      </c>
      <c r="D117" s="7" t="str">
        <f t="shared" si="31"/>
        <v>동일모자14FW SMB_19_CURVED_BW_F</v>
      </c>
      <c r="E117" s="12" t="str">
        <f t="shared" si="32"/>
        <v>201403</v>
      </c>
      <c r="F117" s="347" t="str">
        <f>VLOOKUP($AA117,[3]주!$A:$F,6,FALSE)</f>
        <v>3월 2주</v>
      </c>
      <c r="G117" s="7">
        <f t="shared" si="21"/>
        <v>1</v>
      </c>
      <c r="H117" s="7" t="str">
        <f t="shared" si="33"/>
        <v>14FW SMB_19_CURVED_BW_F</v>
      </c>
      <c r="I117" s="7">
        <f t="shared" si="22"/>
        <v>1</v>
      </c>
      <c r="J117" s="7" t="str">
        <f t="shared" si="34"/>
        <v>동일모자14FW SMB_19_CURVED_BW_F</v>
      </c>
      <c r="K117" s="17">
        <f t="shared" si="35"/>
        <v>41746</v>
      </c>
      <c r="L117" s="12" t="str">
        <f t="shared" si="36"/>
        <v>201404</v>
      </c>
      <c r="M117" s="347" t="str">
        <f>VLOOKUP($K117,[3]주!$A:$F,6,FALSE)</f>
        <v>3월 2주</v>
      </c>
      <c r="N117" s="273" t="str">
        <f>IF(VLOOKUP($Z117,생산업체!$A:$C,2,FALSE)=1,"해외","국내")</f>
        <v>해외</v>
      </c>
      <c r="O117" s="12" t="str">
        <f>IF(VLOOKUP($U117,CODE!$K:$P,CODE!P$1,FALSE)="모자",T117,T117&amp;"-"&amp;VLOOKUP($U117,CODE!$K:$P,CODE!P$1,FALSE))</f>
        <v>SMB</v>
      </c>
      <c r="P117" s="11" t="s">
        <v>47</v>
      </c>
      <c r="R117" s="11">
        <v>116</v>
      </c>
      <c r="T117" s="8" t="s">
        <v>47</v>
      </c>
      <c r="U117" s="8" t="s">
        <v>35</v>
      </c>
      <c r="V117" s="8" t="s">
        <v>43</v>
      </c>
      <c r="W117" s="8" t="s">
        <v>1993</v>
      </c>
      <c r="Y117" s="9">
        <v>1</v>
      </c>
      <c r="Z117" s="8" t="s">
        <v>44</v>
      </c>
      <c r="AA117" s="10">
        <v>41725</v>
      </c>
      <c r="AB117" s="10">
        <v>41753</v>
      </c>
      <c r="AC117" s="10">
        <v>41753</v>
      </c>
      <c r="AD117" s="10">
        <v>41746</v>
      </c>
      <c r="AE117" s="8">
        <v>4.8499999999999996</v>
      </c>
      <c r="AH117" s="8">
        <v>3</v>
      </c>
      <c r="AI117" s="8">
        <v>3</v>
      </c>
    </row>
    <row r="118" spans="1:35">
      <c r="A118" s="7">
        <f t="shared" si="19"/>
        <v>1</v>
      </c>
      <c r="B118" s="7" t="str">
        <f t="shared" si="30"/>
        <v>14FW SMB_20_CURVED_GY_N</v>
      </c>
      <c r="C118" s="7">
        <f t="shared" si="20"/>
        <v>1</v>
      </c>
      <c r="D118" s="7" t="str">
        <f t="shared" si="31"/>
        <v>동일모자14FW SMB_20_CURVED_GY_N</v>
      </c>
      <c r="E118" s="12" t="str">
        <f t="shared" si="32"/>
        <v>201403</v>
      </c>
      <c r="F118" s="347" t="str">
        <f>VLOOKUP($AA118,[3]주!$A:$F,6,FALSE)</f>
        <v>3월 2주</v>
      </c>
      <c r="G118" s="7">
        <f t="shared" si="21"/>
        <v>1</v>
      </c>
      <c r="H118" s="7" t="str">
        <f t="shared" si="33"/>
        <v>14FW SMB_20_CURVED_GY_N</v>
      </c>
      <c r="I118" s="7">
        <f t="shared" si="22"/>
        <v>1</v>
      </c>
      <c r="J118" s="7" t="str">
        <f t="shared" si="34"/>
        <v>동일모자14FW SMB_20_CURVED_GY_N</v>
      </c>
      <c r="K118" s="17">
        <f t="shared" si="35"/>
        <v>41746</v>
      </c>
      <c r="L118" s="12" t="str">
        <f t="shared" si="36"/>
        <v>201404</v>
      </c>
      <c r="M118" s="347" t="str">
        <f>VLOOKUP($K118,[3]주!$A:$F,6,FALSE)</f>
        <v>3월 2주</v>
      </c>
      <c r="N118" s="273" t="str">
        <f>IF(VLOOKUP($Z118,생산업체!$A:$C,2,FALSE)=1,"해외","국내")</f>
        <v>해외</v>
      </c>
      <c r="O118" s="12" t="str">
        <f>IF(VLOOKUP($U118,CODE!$K:$P,CODE!P$1,FALSE)="모자",T118,T118&amp;"-"&amp;VLOOKUP($U118,CODE!$K:$P,CODE!P$1,FALSE))</f>
        <v>SMB</v>
      </c>
      <c r="P118" s="11" t="s">
        <v>47</v>
      </c>
      <c r="R118" s="11">
        <v>117</v>
      </c>
      <c r="T118" s="8" t="s">
        <v>47</v>
      </c>
      <c r="U118" s="8" t="s">
        <v>38</v>
      </c>
      <c r="V118" s="8" t="s">
        <v>43</v>
      </c>
      <c r="W118" s="8" t="s">
        <v>1994</v>
      </c>
      <c r="Y118" s="9">
        <v>1</v>
      </c>
      <c r="Z118" s="8" t="s">
        <v>44</v>
      </c>
      <c r="AA118" s="10">
        <v>41725</v>
      </c>
      <c r="AB118" s="10">
        <v>41753</v>
      </c>
      <c r="AC118" s="10">
        <v>41753</v>
      </c>
      <c r="AD118" s="10">
        <v>41746</v>
      </c>
      <c r="AE118" s="8">
        <v>5.2</v>
      </c>
      <c r="AH118" s="8">
        <v>4</v>
      </c>
      <c r="AI118" s="8">
        <v>4</v>
      </c>
    </row>
    <row r="119" spans="1:35">
      <c r="A119" s="7">
        <f t="shared" si="19"/>
        <v>1</v>
      </c>
      <c r="B119" s="7" t="str">
        <f t="shared" si="30"/>
        <v>14FW SMB_21_CURVED_GY_N</v>
      </c>
      <c r="C119" s="7">
        <f t="shared" si="20"/>
        <v>1</v>
      </c>
      <c r="D119" s="7" t="str">
        <f t="shared" si="31"/>
        <v>동일모자14FW SMB_21_CURVED_GY_N</v>
      </c>
      <c r="E119" s="12" t="str">
        <f t="shared" si="32"/>
        <v>201403</v>
      </c>
      <c r="F119" s="347" t="str">
        <f>VLOOKUP($AA119,[3]주!$A:$F,6,FALSE)</f>
        <v>3월 2주</v>
      </c>
      <c r="G119" s="7">
        <f t="shared" si="21"/>
        <v>1</v>
      </c>
      <c r="H119" s="7" t="str">
        <f t="shared" si="33"/>
        <v>14FW SMB_21_CURVED_GY_N</v>
      </c>
      <c r="I119" s="7">
        <f t="shared" si="22"/>
        <v>1</v>
      </c>
      <c r="J119" s="7" t="str">
        <f t="shared" si="34"/>
        <v>동일모자14FW SMB_21_CURVED_GY_N</v>
      </c>
      <c r="K119" s="17">
        <f t="shared" si="35"/>
        <v>41750</v>
      </c>
      <c r="L119" s="12" t="str">
        <f t="shared" si="36"/>
        <v>201404</v>
      </c>
      <c r="M119" s="347" t="str">
        <f>VLOOKUP($K119,[3]주!$A:$F,6,FALSE)</f>
        <v>3월 2주</v>
      </c>
      <c r="N119" s="273" t="str">
        <f>IF(VLOOKUP($Z119,생산업체!$A:$C,2,FALSE)=1,"해외","국내")</f>
        <v>해외</v>
      </c>
      <c r="O119" s="12" t="str">
        <f>IF(VLOOKUP($U119,CODE!$K:$P,CODE!P$1,FALSE)="모자",T119,T119&amp;"-"&amp;VLOOKUP($U119,CODE!$K:$P,CODE!P$1,FALSE))</f>
        <v>SMB</v>
      </c>
      <c r="P119" s="11" t="s">
        <v>47</v>
      </c>
      <c r="R119" s="11">
        <v>118</v>
      </c>
      <c r="T119" s="8" t="s">
        <v>47</v>
      </c>
      <c r="U119" s="8" t="s">
        <v>35</v>
      </c>
      <c r="V119" s="8" t="s">
        <v>43</v>
      </c>
      <c r="W119" s="8" t="s">
        <v>1995</v>
      </c>
      <c r="Y119" s="9">
        <v>1</v>
      </c>
      <c r="Z119" s="8" t="s">
        <v>44</v>
      </c>
      <c r="AA119" s="10">
        <v>41725</v>
      </c>
      <c r="AB119" s="10">
        <v>41753</v>
      </c>
      <c r="AC119" s="10">
        <v>41750</v>
      </c>
      <c r="AD119" s="10">
        <v>41750</v>
      </c>
      <c r="AE119" s="8">
        <v>7.3</v>
      </c>
      <c r="AH119" s="8">
        <v>4</v>
      </c>
      <c r="AI119" s="8">
        <v>4</v>
      </c>
    </row>
    <row r="120" spans="1:35">
      <c r="A120" s="7">
        <f t="shared" si="19"/>
        <v>1</v>
      </c>
      <c r="B120" s="7" t="str">
        <f t="shared" si="30"/>
        <v>14FW SMB_23_CURVED_BK_N.</v>
      </c>
      <c r="C120" s="7">
        <f t="shared" si="20"/>
        <v>1</v>
      </c>
      <c r="D120" s="7" t="str">
        <f t="shared" si="31"/>
        <v>동일모자14FW SMB_23_CURVED_BK_N.</v>
      </c>
      <c r="E120" s="12" t="str">
        <f t="shared" si="32"/>
        <v>201403</v>
      </c>
      <c r="F120" s="347" t="str">
        <f>VLOOKUP($AA120,[3]주!$A:$F,6,FALSE)</f>
        <v>3월 2주</v>
      </c>
      <c r="G120" s="7">
        <f t="shared" si="21"/>
        <v>1</v>
      </c>
      <c r="H120" s="7" t="str">
        <f t="shared" si="33"/>
        <v>14FW SMB_23_CURVED_BK_N.</v>
      </c>
      <c r="I120" s="7">
        <f t="shared" si="22"/>
        <v>1</v>
      </c>
      <c r="J120" s="7" t="str">
        <f t="shared" si="34"/>
        <v>동일모자14FW SMB_23_CURVED_BK_N.</v>
      </c>
      <c r="K120" s="17">
        <f t="shared" si="35"/>
        <v>41746</v>
      </c>
      <c r="L120" s="12" t="str">
        <f t="shared" si="36"/>
        <v>201404</v>
      </c>
      <c r="M120" s="347" t="str">
        <f>VLOOKUP($K120,[3]주!$A:$F,6,FALSE)</f>
        <v>3월 2주</v>
      </c>
      <c r="N120" s="273" t="str">
        <f>IF(VLOOKUP($Z120,생산업체!$A:$C,2,FALSE)=1,"해외","국내")</f>
        <v>해외</v>
      </c>
      <c r="O120" s="12" t="str">
        <f>IF(VLOOKUP($U120,CODE!$K:$P,CODE!P$1,FALSE)="모자",T120,T120&amp;"-"&amp;VLOOKUP($U120,CODE!$K:$P,CODE!P$1,FALSE))</f>
        <v>SMB</v>
      </c>
      <c r="P120" s="11" t="s">
        <v>47</v>
      </c>
      <c r="R120" s="11">
        <v>119</v>
      </c>
      <c r="T120" s="8" t="s">
        <v>47</v>
      </c>
      <c r="U120" s="8" t="s">
        <v>38</v>
      </c>
      <c r="V120" s="8" t="s">
        <v>43</v>
      </c>
      <c r="W120" s="8" t="s">
        <v>1996</v>
      </c>
      <c r="Y120" s="9">
        <v>1</v>
      </c>
      <c r="Z120" s="8" t="s">
        <v>44</v>
      </c>
      <c r="AA120" s="10">
        <v>41725</v>
      </c>
      <c r="AB120" s="10">
        <v>41753</v>
      </c>
      <c r="AC120" s="10">
        <v>41753</v>
      </c>
      <c r="AD120" s="10">
        <v>41746</v>
      </c>
      <c r="AE120" s="8">
        <v>4.75</v>
      </c>
      <c r="AH120" s="8">
        <v>1</v>
      </c>
      <c r="AI120" s="8">
        <v>1</v>
      </c>
    </row>
    <row r="121" spans="1:35">
      <c r="A121" s="7">
        <f t="shared" si="19"/>
        <v>1</v>
      </c>
      <c r="B121" s="7" t="str">
        <f t="shared" si="30"/>
        <v>14FW SMB_22_CURVED_BK_N</v>
      </c>
      <c r="C121" s="7">
        <f t="shared" si="20"/>
        <v>1</v>
      </c>
      <c r="D121" s="7" t="str">
        <f t="shared" si="31"/>
        <v>성진14FW SMB_22_CURVED_BK_N</v>
      </c>
      <c r="E121" s="12" t="str">
        <f t="shared" si="32"/>
        <v>201403</v>
      </c>
      <c r="F121" s="347" t="str">
        <f>VLOOKUP($AA121,[3]주!$A:$F,6,FALSE)</f>
        <v>3월 2주</v>
      </c>
      <c r="G121" s="7">
        <f t="shared" si="21"/>
        <v>1</v>
      </c>
      <c r="H121" s="7" t="str">
        <f t="shared" si="33"/>
        <v>14FW SMB_22_CURVED_BK_N</v>
      </c>
      <c r="I121" s="7">
        <f t="shared" si="22"/>
        <v>1</v>
      </c>
      <c r="J121" s="7" t="str">
        <f t="shared" si="34"/>
        <v>성진14FW SMB_22_CURVED_BK_N</v>
      </c>
      <c r="K121" s="17">
        <f t="shared" si="35"/>
        <v>41754</v>
      </c>
      <c r="L121" s="12" t="str">
        <f t="shared" si="36"/>
        <v>201404</v>
      </c>
      <c r="M121" s="347" t="str">
        <f>VLOOKUP($K121,[3]주!$A:$F,6,FALSE)</f>
        <v>3월 2주</v>
      </c>
      <c r="N121" s="273" t="str">
        <f>IF(VLOOKUP($Z121,생산업체!$A:$C,2,FALSE)=1,"해외","국내")</f>
        <v>해외</v>
      </c>
      <c r="O121" s="12" t="str">
        <f>IF(VLOOKUP($U121,CODE!$K:$P,CODE!P$1,FALSE)="모자",T121,T121&amp;"-"&amp;VLOOKUP($U121,CODE!$K:$P,CODE!P$1,FALSE))</f>
        <v>SMB</v>
      </c>
      <c r="P121" s="11" t="s">
        <v>47</v>
      </c>
      <c r="R121" s="11">
        <v>120</v>
      </c>
      <c r="T121" s="8" t="s">
        <v>47</v>
      </c>
      <c r="U121" s="8" t="s">
        <v>38</v>
      </c>
      <c r="V121" s="8" t="s">
        <v>43</v>
      </c>
      <c r="W121" s="8" t="s">
        <v>1997</v>
      </c>
      <c r="Y121" s="9">
        <v>1</v>
      </c>
      <c r="Z121" s="8" t="s">
        <v>48</v>
      </c>
      <c r="AA121" s="10">
        <v>41725</v>
      </c>
      <c r="AB121" s="10">
        <v>41753</v>
      </c>
      <c r="AC121" s="10">
        <v>41753</v>
      </c>
      <c r="AD121" s="10">
        <v>41754</v>
      </c>
      <c r="AE121" s="8" t="s">
        <v>2162</v>
      </c>
      <c r="AH121" s="8">
        <v>1</v>
      </c>
    </row>
    <row r="122" spans="1:35">
      <c r="A122" s="7">
        <f t="shared" si="19"/>
        <v>0</v>
      </c>
      <c r="B122" s="7" t="str">
        <f t="shared" si="30"/>
        <v/>
      </c>
      <c r="C122" s="7">
        <f t="shared" si="20"/>
        <v>0</v>
      </c>
      <c r="D122" s="7" t="str">
        <f t="shared" si="31"/>
        <v/>
      </c>
      <c r="E122" s="12" t="str">
        <f t="shared" si="32"/>
        <v>190001</v>
      </c>
      <c r="F122" s="347" t="e">
        <f>VLOOKUP($AA122,[3]주!$A:$F,6,FALSE)</f>
        <v>#N/A</v>
      </c>
      <c r="G122" s="7">
        <f t="shared" si="21"/>
        <v>0</v>
      </c>
      <c r="H122" s="7" t="str">
        <f t="shared" si="33"/>
        <v/>
      </c>
      <c r="I122" s="7">
        <f t="shared" si="22"/>
        <v>0</v>
      </c>
      <c r="J122" s="7" t="str">
        <f t="shared" si="34"/>
        <v/>
      </c>
      <c r="K122" s="17">
        <f t="shared" si="35"/>
        <v>0</v>
      </c>
      <c r="L122" s="12" t="str">
        <f t="shared" si="36"/>
        <v>190001</v>
      </c>
      <c r="M122" s="347" t="e">
        <f>VLOOKUP($K122,[3]주!$A:$F,6,FALSE)</f>
        <v>#N/A</v>
      </c>
      <c r="N122" s="273" t="str">
        <f>IF(VLOOKUP($Z122,생산업체!$A:$C,2,FALSE)=1,"해외","국내")</f>
        <v>해외</v>
      </c>
      <c r="O122" s="12" t="str">
        <f>IF(VLOOKUP($U122,CODE!$K:$P,CODE!P$1,FALSE)="모자",T122,T122&amp;"-"&amp;VLOOKUP($U122,CODE!$K:$P,CODE!P$1,FALSE))</f>
        <v>SMB</v>
      </c>
      <c r="P122" s="11" t="s">
        <v>47</v>
      </c>
      <c r="R122" s="11">
        <v>121</v>
      </c>
      <c r="T122" s="8" t="s">
        <v>47</v>
      </c>
      <c r="U122" s="8" t="s">
        <v>38</v>
      </c>
      <c r="V122" s="8" t="s">
        <v>43</v>
      </c>
      <c r="W122" s="8" t="s">
        <v>1998</v>
      </c>
      <c r="Y122" s="9">
        <v>1</v>
      </c>
      <c r="Z122" s="8" t="s">
        <v>48</v>
      </c>
      <c r="AH122" s="8">
        <v>2</v>
      </c>
    </row>
    <row r="123" spans="1:35">
      <c r="A123" s="7">
        <f t="shared" si="19"/>
        <v>1</v>
      </c>
      <c r="B123" s="7" t="str">
        <f t="shared" ref="B123:B132" si="37">IF(AA123="","",W123)</f>
        <v>14FW SMB_37_FLAT_BK_N</v>
      </c>
      <c r="C123" s="7">
        <f t="shared" si="20"/>
        <v>1</v>
      </c>
      <c r="D123" s="7" t="str">
        <f t="shared" ref="D123:D132" si="38">IF(AA123="","",Z123&amp;W123)</f>
        <v>성진14FW SMB_37_FLAT_BK_N</v>
      </c>
      <c r="E123" s="12" t="str">
        <f t="shared" ref="E123:E132" si="39">IF(YEAR(AA123)&lt;10,0&amp;YEAR(AA123),YEAR(AA123))&amp;IF(MONTH(AA123)&lt;10,0&amp;MONTH(AA123),MONTH(AA123))</f>
        <v>201403</v>
      </c>
      <c r="F123" s="347" t="str">
        <f>VLOOKUP($AA123,[3]주!$A:$F,6,FALSE)</f>
        <v>3월 2주</v>
      </c>
      <c r="G123" s="7">
        <f t="shared" si="21"/>
        <v>1</v>
      </c>
      <c r="H123" s="7" t="str">
        <f t="shared" ref="H123:H132" si="40">IF(AD123="","",W123)</f>
        <v>14FW SMB_37_FLAT_BK_N</v>
      </c>
      <c r="I123" s="7">
        <f t="shared" si="22"/>
        <v>1</v>
      </c>
      <c r="J123" s="7" t="str">
        <f t="shared" ref="J123:J132" si="41">IF(AD123="","",Z123&amp;W123)</f>
        <v>성진14FW SMB_37_FLAT_BK_N</v>
      </c>
      <c r="K123" s="17">
        <f t="shared" si="35"/>
        <v>41758</v>
      </c>
      <c r="L123" s="12" t="str">
        <f t="shared" si="36"/>
        <v>201404</v>
      </c>
      <c r="M123" s="347" t="str">
        <f>VLOOKUP($K123,[3]주!$A:$F,6,FALSE)</f>
        <v>3월 2주</v>
      </c>
      <c r="N123" s="273" t="str">
        <f>IF(VLOOKUP($Z123,생산업체!$A:$C,2,FALSE)=1,"해외","국내")</f>
        <v>해외</v>
      </c>
      <c r="O123" s="12" t="str">
        <f>IF(VLOOKUP($U123,CODE!$K:$P,CODE!P$1,FALSE)="모자",T123,T123&amp;"-"&amp;VLOOKUP($U123,CODE!$K:$P,CODE!P$1,FALSE))</f>
        <v>SMB</v>
      </c>
      <c r="P123" s="11" t="s">
        <v>47</v>
      </c>
      <c r="R123" s="11">
        <v>122</v>
      </c>
      <c r="T123" s="8" t="s">
        <v>47</v>
      </c>
      <c r="U123" s="8" t="s">
        <v>38</v>
      </c>
      <c r="V123" s="8" t="s">
        <v>43</v>
      </c>
      <c r="W123" s="8" t="s">
        <v>1999</v>
      </c>
      <c r="Y123" s="9">
        <v>1</v>
      </c>
      <c r="Z123" s="8" t="s">
        <v>48</v>
      </c>
      <c r="AA123" s="10">
        <v>41725</v>
      </c>
      <c r="AB123" s="10">
        <v>41753</v>
      </c>
      <c r="AC123" s="10">
        <v>41753</v>
      </c>
      <c r="AD123" s="10">
        <v>41758</v>
      </c>
      <c r="AE123" s="8">
        <v>6.05</v>
      </c>
      <c r="AH123" s="8">
        <v>2</v>
      </c>
    </row>
    <row r="124" spans="1:35">
      <c r="A124" s="7">
        <f t="shared" si="19"/>
        <v>1</v>
      </c>
      <c r="B124" s="7" t="str">
        <f t="shared" si="37"/>
        <v>14FW SMB_38_FLAT_BL_N</v>
      </c>
      <c r="C124" s="7">
        <f t="shared" si="20"/>
        <v>1</v>
      </c>
      <c r="D124" s="7" t="str">
        <f t="shared" si="38"/>
        <v>성진14FW SMB_38_FLAT_BL_N</v>
      </c>
      <c r="E124" s="12" t="str">
        <f t="shared" si="39"/>
        <v>201403</v>
      </c>
      <c r="F124" s="347" t="str">
        <f>VLOOKUP($AA124,[3]주!$A:$F,6,FALSE)</f>
        <v>3월 2주</v>
      </c>
      <c r="G124" s="7">
        <f t="shared" si="21"/>
        <v>1</v>
      </c>
      <c r="H124" s="7" t="str">
        <f t="shared" si="40"/>
        <v>14FW SMB_38_FLAT_BL_N</v>
      </c>
      <c r="I124" s="7">
        <f t="shared" si="22"/>
        <v>1</v>
      </c>
      <c r="J124" s="7" t="str">
        <f t="shared" si="41"/>
        <v>성진14FW SMB_38_FLAT_BL_N</v>
      </c>
      <c r="K124" s="17">
        <f t="shared" si="35"/>
        <v>41754</v>
      </c>
      <c r="L124" s="12" t="str">
        <f t="shared" si="36"/>
        <v>201404</v>
      </c>
      <c r="M124" s="347" t="str">
        <f>VLOOKUP($K124,[3]주!$A:$F,6,FALSE)</f>
        <v>3월 2주</v>
      </c>
      <c r="N124" s="273" t="str">
        <f>IF(VLOOKUP($Z124,생산업체!$A:$C,2,FALSE)=1,"해외","국내")</f>
        <v>해외</v>
      </c>
      <c r="O124" s="12" t="str">
        <f>IF(VLOOKUP($U124,CODE!$K:$P,CODE!P$1,FALSE)="모자",T124,T124&amp;"-"&amp;VLOOKUP($U124,CODE!$K:$P,CODE!P$1,FALSE))</f>
        <v>SMB</v>
      </c>
      <c r="P124" s="11" t="s">
        <v>47</v>
      </c>
      <c r="R124" s="11">
        <v>123</v>
      </c>
      <c r="T124" s="8" t="s">
        <v>47</v>
      </c>
      <c r="U124" s="8" t="s">
        <v>38</v>
      </c>
      <c r="V124" s="8" t="s">
        <v>43</v>
      </c>
      <c r="W124" s="8" t="s">
        <v>2000</v>
      </c>
      <c r="Y124" s="9">
        <v>1</v>
      </c>
      <c r="Z124" s="8" t="s">
        <v>48</v>
      </c>
      <c r="AA124" s="10">
        <v>41725</v>
      </c>
      <c r="AB124" s="10">
        <v>41753</v>
      </c>
      <c r="AC124" s="10">
        <v>41754</v>
      </c>
      <c r="AD124" s="10">
        <v>41754</v>
      </c>
      <c r="AE124" s="8">
        <v>6.15</v>
      </c>
      <c r="AH124" s="8">
        <v>3</v>
      </c>
    </row>
    <row r="125" spans="1:35">
      <c r="A125" s="7">
        <f t="shared" si="19"/>
        <v>1</v>
      </c>
      <c r="B125" s="7" t="str">
        <f t="shared" si="37"/>
        <v>14FW SMB_04_FLAT_BK_N</v>
      </c>
      <c r="C125" s="7">
        <f t="shared" si="20"/>
        <v>1</v>
      </c>
      <c r="D125" s="7" t="str">
        <f t="shared" si="38"/>
        <v>QF14FW SMB_04_FLAT_BK_N</v>
      </c>
      <c r="E125" s="12" t="str">
        <f t="shared" si="39"/>
        <v>201401</v>
      </c>
      <c r="F125" s="347" t="str">
        <f>VLOOKUP($AA125,[3]주!$A:$F,6,FALSE)</f>
        <v>1월 4주</v>
      </c>
      <c r="G125" s="7">
        <f t="shared" si="21"/>
        <v>1</v>
      </c>
      <c r="H125" s="7" t="str">
        <f t="shared" si="40"/>
        <v>14FW SMB_04_FLAT_BK_N</v>
      </c>
      <c r="I125" s="7">
        <f t="shared" si="22"/>
        <v>1</v>
      </c>
      <c r="J125" s="7" t="str">
        <f t="shared" si="41"/>
        <v>QF14FW SMB_04_FLAT_BK_N</v>
      </c>
      <c r="K125" s="17">
        <f t="shared" ref="K125:K132" si="42">IF(AD125="",AC125,AD125)</f>
        <v>41729</v>
      </c>
      <c r="L125" s="12" t="str">
        <f t="shared" ref="L125:L132" si="43">IF(YEAR(K125)&lt;10,0&amp;YEAR(K125),YEAR(K125))&amp;IF(MONTH(K125)&lt;10,0&amp;MONTH(K125),MONTH(K125))</f>
        <v>201403</v>
      </c>
      <c r="M125" s="347" t="str">
        <f>VLOOKUP($K125,[3]주!$A:$F,6,FALSE)</f>
        <v>3월 2주</v>
      </c>
      <c r="N125" s="273" t="str">
        <f>IF(VLOOKUP($Z125,생산업체!$A:$C,2,FALSE)=1,"해외","국내")</f>
        <v>해외</v>
      </c>
      <c r="O125" s="12" t="str">
        <f>IF(VLOOKUP($U125,CODE!$K:$P,CODE!P$1,FALSE)="모자",T125,T125&amp;"-"&amp;VLOOKUP($U125,CODE!$K:$P,CODE!P$1,FALSE))</f>
        <v>SMB</v>
      </c>
      <c r="P125" s="11" t="s">
        <v>47</v>
      </c>
      <c r="R125" s="11">
        <v>124</v>
      </c>
      <c r="T125" s="8" t="s">
        <v>47</v>
      </c>
      <c r="U125" s="8" t="s">
        <v>38</v>
      </c>
      <c r="V125" s="8" t="s">
        <v>43</v>
      </c>
      <c r="W125" s="8" t="s">
        <v>2057</v>
      </c>
      <c r="Y125" s="9">
        <v>1</v>
      </c>
      <c r="Z125" s="8" t="s">
        <v>792</v>
      </c>
      <c r="AA125" s="10">
        <v>41663</v>
      </c>
      <c r="AB125" s="10">
        <v>41691</v>
      </c>
      <c r="AC125" s="10">
        <v>41729</v>
      </c>
      <c r="AD125" s="10">
        <v>41729</v>
      </c>
    </row>
    <row r="126" spans="1:35">
      <c r="A126" s="7">
        <f t="shared" si="19"/>
        <v>0.5</v>
      </c>
      <c r="B126" s="7" t="str">
        <f t="shared" si="37"/>
        <v>14FW SMB_08_CURVED_NY_N</v>
      </c>
      <c r="C126" s="7">
        <f t="shared" si="20"/>
        <v>1</v>
      </c>
      <c r="D126" s="7" t="str">
        <f t="shared" si="38"/>
        <v>동일모자14FW SMB_08_CURVED_NY_N</v>
      </c>
      <c r="E126" s="12" t="str">
        <f t="shared" si="39"/>
        <v>201403</v>
      </c>
      <c r="F126" s="347" t="str">
        <f>VLOOKUP($AA126,[3]주!$A:$F,6,FALSE)</f>
        <v>3월 1주</v>
      </c>
      <c r="G126" s="7">
        <f t="shared" si="21"/>
        <v>0.5</v>
      </c>
      <c r="H126" s="7" t="str">
        <f t="shared" si="40"/>
        <v>14FW SMB_08_CURVED_NY_N</v>
      </c>
      <c r="I126" s="7">
        <f t="shared" si="22"/>
        <v>1</v>
      </c>
      <c r="J126" s="7" t="str">
        <f t="shared" si="41"/>
        <v>동일모자14FW SMB_08_CURVED_NY_N</v>
      </c>
      <c r="K126" s="17">
        <f t="shared" si="42"/>
        <v>41731</v>
      </c>
      <c r="L126" s="12" t="str">
        <f t="shared" si="43"/>
        <v>201404</v>
      </c>
      <c r="M126" s="347" t="str">
        <f>VLOOKUP($K126,[3]주!$A:$F,6,FALSE)</f>
        <v>3월 2주</v>
      </c>
      <c r="N126" s="273" t="str">
        <f>IF(VLOOKUP($Z126,생산업체!$A:$C,2,FALSE)=1,"해외","국내")</f>
        <v>해외</v>
      </c>
      <c r="O126" s="12" t="str">
        <f>IF(VLOOKUP($U126,CODE!$K:$P,CODE!P$1,FALSE)="모자",T126,T126&amp;"-"&amp;VLOOKUP($U126,CODE!$K:$P,CODE!P$1,FALSE))</f>
        <v>SMB</v>
      </c>
      <c r="P126" s="11" t="s">
        <v>47</v>
      </c>
      <c r="R126" s="11">
        <v>125</v>
      </c>
      <c r="T126" s="8" t="s">
        <v>47</v>
      </c>
      <c r="U126" s="8" t="s">
        <v>35</v>
      </c>
      <c r="V126" s="8" t="s">
        <v>43</v>
      </c>
      <c r="W126" s="8" t="s">
        <v>1318</v>
      </c>
      <c r="X126" s="8" t="s">
        <v>110</v>
      </c>
      <c r="Y126" s="9">
        <v>1</v>
      </c>
      <c r="Z126" s="8" t="s">
        <v>44</v>
      </c>
      <c r="AA126" s="10">
        <v>41703</v>
      </c>
      <c r="AB126" s="10">
        <v>41731</v>
      </c>
      <c r="AC126" s="10">
        <v>41731</v>
      </c>
      <c r="AD126" s="10">
        <v>41731</v>
      </c>
    </row>
    <row r="127" spans="1:35">
      <c r="A127" s="7">
        <f t="shared" si="19"/>
        <v>1</v>
      </c>
      <c r="B127" s="7" t="str">
        <f t="shared" si="37"/>
        <v>14FWPB 01_FLAT_GY</v>
      </c>
      <c r="C127" s="7">
        <f t="shared" si="20"/>
        <v>1</v>
      </c>
      <c r="D127" s="7" t="str">
        <f t="shared" si="38"/>
        <v>성진14FWPB 01_FLAT_GY</v>
      </c>
      <c r="E127" s="12" t="str">
        <f t="shared" si="39"/>
        <v>201401</v>
      </c>
      <c r="F127" s="347" t="str">
        <f>VLOOKUP($AA127,[3]주!$A:$F,6,FALSE)</f>
        <v>1월 3주</v>
      </c>
      <c r="G127" s="7">
        <f t="shared" si="21"/>
        <v>1</v>
      </c>
      <c r="H127" s="7" t="str">
        <f t="shared" si="40"/>
        <v>14FWPB 01_FLAT_GY</v>
      </c>
      <c r="I127" s="7">
        <f t="shared" si="22"/>
        <v>1</v>
      </c>
      <c r="J127" s="7" t="str">
        <f t="shared" si="41"/>
        <v>성진14FWPB 01_FLAT_GY</v>
      </c>
      <c r="K127" s="17">
        <f t="shared" si="42"/>
        <v>41704</v>
      </c>
      <c r="L127" s="12" t="str">
        <f t="shared" si="43"/>
        <v>201403</v>
      </c>
      <c r="M127" s="347" t="str">
        <f>VLOOKUP($K127,[3]주!$A:$F,6,FALSE)</f>
        <v>3월 1주</v>
      </c>
      <c r="N127" s="273" t="str">
        <f>IF(VLOOKUP($Z127,생산업체!$A:$C,2,FALSE)=1,"해외","국내")</f>
        <v>해외</v>
      </c>
      <c r="O127" s="12" t="str">
        <f>IF(VLOOKUP($U127,CODE!$K:$P,CODE!P$1,FALSE)="모자",T127,T127&amp;"-"&amp;VLOOKUP($U127,CODE!$K:$P,CODE!P$1,FALSE))</f>
        <v>PLA</v>
      </c>
      <c r="P127" s="11" t="s">
        <v>61</v>
      </c>
      <c r="R127" s="11">
        <v>1</v>
      </c>
      <c r="T127" s="8" t="s">
        <v>61</v>
      </c>
      <c r="U127" s="8" t="s">
        <v>50</v>
      </c>
      <c r="V127" s="8" t="s">
        <v>43</v>
      </c>
      <c r="W127" s="8" t="s">
        <v>2078</v>
      </c>
      <c r="X127" s="8" t="s">
        <v>900</v>
      </c>
      <c r="Y127" s="9">
        <v>1</v>
      </c>
      <c r="Z127" s="8" t="s">
        <v>48</v>
      </c>
      <c r="AA127" s="10">
        <v>41654</v>
      </c>
      <c r="AB127" s="10">
        <v>41682</v>
      </c>
      <c r="AC127" s="10">
        <v>41715</v>
      </c>
      <c r="AD127" s="10">
        <v>41704</v>
      </c>
      <c r="AE127" s="8">
        <v>5.8</v>
      </c>
    </row>
    <row r="128" spans="1:35">
      <c r="A128" s="7">
        <f t="shared" si="19"/>
        <v>1</v>
      </c>
      <c r="B128" s="7" t="str">
        <f t="shared" si="37"/>
        <v>14FWPB 02_FLAT_NY</v>
      </c>
      <c r="C128" s="7">
        <f t="shared" si="20"/>
        <v>1</v>
      </c>
      <c r="D128" s="7" t="str">
        <f t="shared" si="38"/>
        <v>성진14FWPB 02_FLAT_NY</v>
      </c>
      <c r="E128" s="12" t="str">
        <f t="shared" si="39"/>
        <v>201401</v>
      </c>
      <c r="F128" s="347" t="str">
        <f>VLOOKUP($AA128,[3]주!$A:$F,6,FALSE)</f>
        <v>1월 3주</v>
      </c>
      <c r="G128" s="7">
        <f t="shared" si="21"/>
        <v>1</v>
      </c>
      <c r="H128" s="7" t="str">
        <f t="shared" si="40"/>
        <v>14FWPB 02_FLAT_NY</v>
      </c>
      <c r="I128" s="7">
        <f t="shared" si="22"/>
        <v>1</v>
      </c>
      <c r="J128" s="7" t="str">
        <f t="shared" si="41"/>
        <v>성진14FWPB 02_FLAT_NY</v>
      </c>
      <c r="K128" s="17">
        <f t="shared" si="42"/>
        <v>41704</v>
      </c>
      <c r="L128" s="12" t="str">
        <f t="shared" si="43"/>
        <v>201403</v>
      </c>
      <c r="M128" s="347" t="str">
        <f>VLOOKUP($K128,[3]주!$A:$F,6,FALSE)</f>
        <v>3월 1주</v>
      </c>
      <c r="N128" s="273" t="str">
        <f>IF(VLOOKUP($Z128,생산업체!$A:$C,2,FALSE)=1,"해외","국내")</f>
        <v>해외</v>
      </c>
      <c r="O128" s="12" t="str">
        <f>IF(VLOOKUP($U128,CODE!$K:$P,CODE!P$1,FALSE)="모자",T128,T128&amp;"-"&amp;VLOOKUP($U128,CODE!$K:$P,CODE!P$1,FALSE))</f>
        <v>PLA</v>
      </c>
      <c r="P128" s="11" t="s">
        <v>61</v>
      </c>
      <c r="R128" s="11">
        <v>2</v>
      </c>
      <c r="T128" s="8" t="s">
        <v>61</v>
      </c>
      <c r="U128" s="8" t="s">
        <v>50</v>
      </c>
      <c r="V128" s="8" t="s">
        <v>43</v>
      </c>
      <c r="W128" s="8" t="s">
        <v>2079</v>
      </c>
      <c r="X128" s="8" t="s">
        <v>900</v>
      </c>
      <c r="Y128" s="9">
        <v>1</v>
      </c>
      <c r="Z128" s="8" t="s">
        <v>48</v>
      </c>
      <c r="AA128" s="10">
        <v>41654</v>
      </c>
      <c r="AB128" s="10">
        <v>41682</v>
      </c>
      <c r="AC128" s="10">
        <v>41715</v>
      </c>
      <c r="AD128" s="10">
        <v>41704</v>
      </c>
      <c r="AE128" s="8">
        <v>5.8</v>
      </c>
    </row>
    <row r="129" spans="1:35">
      <c r="A129" s="7">
        <f t="shared" si="19"/>
        <v>1</v>
      </c>
      <c r="B129" s="7" t="str">
        <f t="shared" si="37"/>
        <v>14FWPB 02_FLAT_RE</v>
      </c>
      <c r="C129" s="7">
        <f t="shared" si="20"/>
        <v>1</v>
      </c>
      <c r="D129" s="7" t="str">
        <f t="shared" si="38"/>
        <v>성진14FWPB 02_FLAT_RE</v>
      </c>
      <c r="E129" s="12" t="str">
        <f t="shared" si="39"/>
        <v>201401</v>
      </c>
      <c r="F129" s="347" t="str">
        <f>VLOOKUP($AA129,[3]주!$A:$F,6,FALSE)</f>
        <v>1월 3주</v>
      </c>
      <c r="G129" s="7">
        <f t="shared" si="21"/>
        <v>1</v>
      </c>
      <c r="H129" s="7" t="str">
        <f t="shared" si="40"/>
        <v>14FWPB 02_FLAT_RE</v>
      </c>
      <c r="I129" s="7">
        <f t="shared" si="22"/>
        <v>1</v>
      </c>
      <c r="J129" s="7" t="str">
        <f t="shared" si="41"/>
        <v>성진14FWPB 02_FLAT_RE</v>
      </c>
      <c r="K129" s="17">
        <f t="shared" si="42"/>
        <v>41704</v>
      </c>
      <c r="L129" s="12" t="str">
        <f t="shared" si="43"/>
        <v>201403</v>
      </c>
      <c r="M129" s="347" t="str">
        <f>VLOOKUP($K129,[3]주!$A:$F,6,FALSE)</f>
        <v>3월 1주</v>
      </c>
      <c r="N129" s="273" t="str">
        <f>IF(VLOOKUP($Z129,생산업체!$A:$C,2,FALSE)=1,"해외","국내")</f>
        <v>해외</v>
      </c>
      <c r="O129" s="12" t="str">
        <f>IF(VLOOKUP($U129,CODE!$K:$P,CODE!P$1,FALSE)="모자",T129,T129&amp;"-"&amp;VLOOKUP($U129,CODE!$K:$P,CODE!P$1,FALSE))</f>
        <v>PLA</v>
      </c>
      <c r="P129" s="11" t="s">
        <v>61</v>
      </c>
      <c r="R129" s="11">
        <v>3</v>
      </c>
      <c r="T129" s="8" t="s">
        <v>61</v>
      </c>
      <c r="U129" s="8" t="s">
        <v>50</v>
      </c>
      <c r="V129" s="8" t="s">
        <v>43</v>
      </c>
      <c r="W129" s="8" t="s">
        <v>2080</v>
      </c>
      <c r="X129" s="8" t="s">
        <v>900</v>
      </c>
      <c r="Y129" s="9">
        <v>1</v>
      </c>
      <c r="Z129" s="8" t="s">
        <v>48</v>
      </c>
      <c r="AA129" s="10">
        <v>41654</v>
      </c>
      <c r="AB129" s="10">
        <v>41682</v>
      </c>
      <c r="AC129" s="10">
        <v>41715</v>
      </c>
      <c r="AD129" s="10">
        <v>41704</v>
      </c>
      <c r="AE129" s="8">
        <v>5.8</v>
      </c>
    </row>
    <row r="130" spans="1:35">
      <c r="A130" s="7">
        <f t="shared" ref="A130:A193" si="44">IF(B130="",0,1/COUNTIF(B:B,B130))</f>
        <v>1</v>
      </c>
      <c r="B130" s="7" t="str">
        <f t="shared" si="37"/>
        <v>14FWPB 03_FLAT_BK</v>
      </c>
      <c r="C130" s="7">
        <f t="shared" ref="C130:C193" si="45">IF(D130="",0,1/COUNTIF(D:D,D130))</f>
        <v>1</v>
      </c>
      <c r="D130" s="7" t="str">
        <f t="shared" si="38"/>
        <v>성진14FWPB 03_FLAT_BK</v>
      </c>
      <c r="E130" s="12" t="str">
        <f t="shared" si="39"/>
        <v>201401</v>
      </c>
      <c r="F130" s="347" t="str">
        <f>VLOOKUP($AA130,[3]주!$A:$F,6,FALSE)</f>
        <v>1월 3주</v>
      </c>
      <c r="G130" s="7">
        <f t="shared" ref="G130:G193" si="46">IF(H130="",0,1/COUNTIF(H:H,H130))</f>
        <v>1</v>
      </c>
      <c r="H130" s="7" t="str">
        <f t="shared" si="40"/>
        <v>14FWPB 03_FLAT_BK</v>
      </c>
      <c r="I130" s="7">
        <f t="shared" ref="I130:I193" si="47">IF(J130="",0,1/COUNTIF(J:J,J130))</f>
        <v>1</v>
      </c>
      <c r="J130" s="7" t="str">
        <f t="shared" si="41"/>
        <v>성진14FWPB 03_FLAT_BK</v>
      </c>
      <c r="K130" s="17">
        <f t="shared" si="42"/>
        <v>41708</v>
      </c>
      <c r="L130" s="12" t="str">
        <f t="shared" si="43"/>
        <v>201403</v>
      </c>
      <c r="M130" s="347" t="str">
        <f>VLOOKUP($K130,[3]주!$A:$F,6,FALSE)</f>
        <v>3월 2주</v>
      </c>
      <c r="N130" s="273" t="str">
        <f>IF(VLOOKUP($Z130,생산업체!$A:$C,2,FALSE)=1,"해외","국내")</f>
        <v>해외</v>
      </c>
      <c r="O130" s="12" t="str">
        <f>IF(VLOOKUP($U130,CODE!$K:$P,CODE!P$1,FALSE)="모자",T130,T130&amp;"-"&amp;VLOOKUP($U130,CODE!$K:$P,CODE!P$1,FALSE))</f>
        <v>PLA</v>
      </c>
      <c r="P130" s="11" t="s">
        <v>61</v>
      </c>
      <c r="R130" s="11">
        <v>4</v>
      </c>
      <c r="T130" s="8" t="s">
        <v>61</v>
      </c>
      <c r="U130" s="8" t="s">
        <v>50</v>
      </c>
      <c r="V130" s="8" t="s">
        <v>43</v>
      </c>
      <c r="W130" s="8" t="s">
        <v>2081</v>
      </c>
      <c r="X130" s="8" t="s">
        <v>900</v>
      </c>
      <c r="Y130" s="9">
        <v>1</v>
      </c>
      <c r="Z130" s="8" t="s">
        <v>48</v>
      </c>
      <c r="AA130" s="10">
        <v>41654</v>
      </c>
      <c r="AB130" s="10">
        <v>41682</v>
      </c>
      <c r="AC130" s="10">
        <v>41715</v>
      </c>
      <c r="AD130" s="10">
        <v>41708</v>
      </c>
      <c r="AE130" s="8">
        <v>5.3</v>
      </c>
    </row>
    <row r="131" spans="1:35">
      <c r="A131" s="7">
        <f t="shared" si="44"/>
        <v>1</v>
      </c>
      <c r="B131" s="7" t="str">
        <f t="shared" si="37"/>
        <v>14FWPB 04_FLAT_GR</v>
      </c>
      <c r="C131" s="7">
        <f t="shared" si="45"/>
        <v>1</v>
      </c>
      <c r="D131" s="7" t="str">
        <f t="shared" si="38"/>
        <v>성진14FWPB 04_FLAT_GR</v>
      </c>
      <c r="E131" s="12" t="str">
        <f t="shared" si="39"/>
        <v>201401</v>
      </c>
      <c r="F131" s="347" t="str">
        <f>VLOOKUP($AA131,[3]주!$A:$F,6,FALSE)</f>
        <v>1월 3주</v>
      </c>
      <c r="G131" s="7">
        <f t="shared" si="46"/>
        <v>1</v>
      </c>
      <c r="H131" s="7" t="str">
        <f t="shared" si="40"/>
        <v>14FWPB 04_FLAT_GR</v>
      </c>
      <c r="I131" s="7">
        <f t="shared" si="47"/>
        <v>1</v>
      </c>
      <c r="J131" s="7" t="str">
        <f t="shared" si="41"/>
        <v>성진14FWPB 04_FLAT_GR</v>
      </c>
      <c r="K131" s="17">
        <f t="shared" si="42"/>
        <v>41708</v>
      </c>
      <c r="L131" s="12" t="str">
        <f t="shared" si="43"/>
        <v>201403</v>
      </c>
      <c r="M131" s="347" t="str">
        <f>VLOOKUP($K131,[3]주!$A:$F,6,FALSE)</f>
        <v>3월 2주</v>
      </c>
      <c r="N131" s="273" t="str">
        <f>IF(VLOOKUP($Z131,생산업체!$A:$C,2,FALSE)=1,"해외","국내")</f>
        <v>해외</v>
      </c>
      <c r="O131" s="12" t="str">
        <f>IF(VLOOKUP($U131,CODE!$K:$P,CODE!P$1,FALSE)="모자",T131,T131&amp;"-"&amp;VLOOKUP($U131,CODE!$K:$P,CODE!P$1,FALSE))</f>
        <v>PLA</v>
      </c>
      <c r="P131" s="11" t="s">
        <v>61</v>
      </c>
      <c r="R131" s="11">
        <v>5</v>
      </c>
      <c r="T131" s="8" t="s">
        <v>61</v>
      </c>
      <c r="U131" s="8" t="s">
        <v>50</v>
      </c>
      <c r="V131" s="8" t="s">
        <v>43</v>
      </c>
      <c r="W131" s="8" t="s">
        <v>2082</v>
      </c>
      <c r="X131" s="8" t="s">
        <v>900</v>
      </c>
      <c r="Y131" s="9">
        <v>1</v>
      </c>
      <c r="Z131" s="8" t="s">
        <v>48</v>
      </c>
      <c r="AA131" s="10">
        <v>41654</v>
      </c>
      <c r="AB131" s="10">
        <v>41682</v>
      </c>
      <c r="AC131" s="10">
        <v>41715</v>
      </c>
      <c r="AD131" s="10">
        <v>41708</v>
      </c>
      <c r="AE131" s="8">
        <v>5.5</v>
      </c>
    </row>
    <row r="132" spans="1:35">
      <c r="A132" s="7">
        <f t="shared" si="44"/>
        <v>1</v>
      </c>
      <c r="B132" s="7" t="str">
        <f t="shared" si="37"/>
        <v>14FWPB 04_FLAT_OR</v>
      </c>
      <c r="C132" s="7">
        <f t="shared" si="45"/>
        <v>1</v>
      </c>
      <c r="D132" s="7" t="str">
        <f t="shared" si="38"/>
        <v>성진14FWPB 04_FLAT_OR</v>
      </c>
      <c r="E132" s="12" t="str">
        <f t="shared" si="39"/>
        <v>201401</v>
      </c>
      <c r="F132" s="347" t="str">
        <f>VLOOKUP($AA132,[3]주!$A:$F,6,FALSE)</f>
        <v>1월 3주</v>
      </c>
      <c r="G132" s="7">
        <f t="shared" si="46"/>
        <v>1</v>
      </c>
      <c r="H132" s="7" t="str">
        <f t="shared" si="40"/>
        <v>14FWPB 04_FLAT_OR</v>
      </c>
      <c r="I132" s="7">
        <f t="shared" si="47"/>
        <v>1</v>
      </c>
      <c r="J132" s="7" t="str">
        <f t="shared" si="41"/>
        <v>성진14FWPB 04_FLAT_OR</v>
      </c>
      <c r="K132" s="17">
        <f t="shared" si="42"/>
        <v>41708</v>
      </c>
      <c r="L132" s="12" t="str">
        <f t="shared" si="43"/>
        <v>201403</v>
      </c>
      <c r="M132" s="347" t="str">
        <f>VLOOKUP($K132,[3]주!$A:$F,6,FALSE)</f>
        <v>3월 2주</v>
      </c>
      <c r="N132" s="273" t="str">
        <f>IF(VLOOKUP($Z132,생산업체!$A:$C,2,FALSE)=1,"해외","국내")</f>
        <v>해외</v>
      </c>
      <c r="O132" s="12" t="str">
        <f>IF(VLOOKUP($U132,CODE!$K:$P,CODE!P$1,FALSE)="모자",T132,T132&amp;"-"&amp;VLOOKUP($U132,CODE!$K:$P,CODE!P$1,FALSE))</f>
        <v>PLA</v>
      </c>
      <c r="P132" s="11" t="s">
        <v>61</v>
      </c>
      <c r="R132" s="11">
        <v>6</v>
      </c>
      <c r="T132" s="8" t="s">
        <v>61</v>
      </c>
      <c r="U132" s="8" t="s">
        <v>50</v>
      </c>
      <c r="V132" s="8" t="s">
        <v>43</v>
      </c>
      <c r="W132" s="8" t="s">
        <v>2083</v>
      </c>
      <c r="X132" s="8" t="s">
        <v>900</v>
      </c>
      <c r="Y132" s="9">
        <v>1</v>
      </c>
      <c r="Z132" s="8" t="s">
        <v>48</v>
      </c>
      <c r="AA132" s="10">
        <v>41654</v>
      </c>
      <c r="AB132" s="10">
        <v>41682</v>
      </c>
      <c r="AC132" s="10">
        <v>41715</v>
      </c>
      <c r="AD132" s="10">
        <v>41708</v>
      </c>
      <c r="AE132" s="8">
        <v>5.4</v>
      </c>
    </row>
    <row r="133" spans="1:35">
      <c r="A133" s="7">
        <f t="shared" si="44"/>
        <v>1</v>
      </c>
      <c r="B133" s="7" t="str">
        <f t="shared" ref="B133:B152" si="48">IF(AA133="","",W133)</f>
        <v>14FWPB 05_FLAT_BK</v>
      </c>
      <c r="C133" s="7">
        <f t="shared" si="45"/>
        <v>1</v>
      </c>
      <c r="D133" s="7" t="str">
        <f t="shared" ref="D133:D152" si="49">IF(AA133="","",Z133&amp;W133)</f>
        <v>성진14FWPB 05_FLAT_BK</v>
      </c>
      <c r="E133" s="12" t="str">
        <f t="shared" ref="E133:E152" si="50">IF(YEAR(AA133)&lt;10,0&amp;YEAR(AA133),YEAR(AA133))&amp;IF(MONTH(AA133)&lt;10,0&amp;MONTH(AA133),MONTH(AA133))</f>
        <v>201401</v>
      </c>
      <c r="F133" s="347" t="str">
        <f>VLOOKUP($AA133,[3]주!$A:$F,6,FALSE)</f>
        <v>1월 3주</v>
      </c>
      <c r="G133" s="7">
        <f t="shared" si="46"/>
        <v>1</v>
      </c>
      <c r="H133" s="7" t="str">
        <f t="shared" ref="H133:H152" si="51">IF(AD133="","",W133)</f>
        <v>14FWPB 05_FLAT_BK</v>
      </c>
      <c r="I133" s="7">
        <f t="shared" si="47"/>
        <v>1</v>
      </c>
      <c r="J133" s="7" t="str">
        <f t="shared" ref="J133:J152" si="52">IF(AD133="","",Z133&amp;W133)</f>
        <v>성진14FWPB 05_FLAT_BK</v>
      </c>
      <c r="K133" s="17">
        <f t="shared" ref="K133:K152" si="53">IF(AD133="",AC133,AD133)</f>
        <v>41716</v>
      </c>
      <c r="L133" s="12" t="str">
        <f t="shared" ref="L133:L152" si="54">IF(YEAR(K133)&lt;10,0&amp;YEAR(K133),YEAR(K133))&amp;IF(MONTH(K133)&lt;10,0&amp;MONTH(K133),MONTH(K133))</f>
        <v>201403</v>
      </c>
      <c r="M133" s="347" t="str">
        <f>VLOOKUP($K133,[3]주!$A:$F,6,FALSE)</f>
        <v>3월 2주</v>
      </c>
      <c r="N133" s="273" t="str">
        <f>IF(VLOOKUP($Z133,생산업체!$A:$C,2,FALSE)=1,"해외","국내")</f>
        <v>해외</v>
      </c>
      <c r="O133" s="12" t="str">
        <f>IF(VLOOKUP($U133,CODE!$K:$P,CODE!P$1,FALSE)="모자",T133,T133&amp;"-"&amp;VLOOKUP($U133,CODE!$K:$P,CODE!P$1,FALSE))</f>
        <v>PLA</v>
      </c>
      <c r="P133" s="11" t="s">
        <v>61</v>
      </c>
      <c r="R133" s="11">
        <v>7</v>
      </c>
      <c r="T133" s="8" t="s">
        <v>61</v>
      </c>
      <c r="U133" s="8" t="s">
        <v>50</v>
      </c>
      <c r="V133" s="8" t="s">
        <v>43</v>
      </c>
      <c r="W133" s="8" t="s">
        <v>2084</v>
      </c>
      <c r="X133" s="8" t="s">
        <v>900</v>
      </c>
      <c r="Y133" s="9">
        <v>1</v>
      </c>
      <c r="Z133" s="8" t="s">
        <v>48</v>
      </c>
      <c r="AA133" s="10">
        <v>41654</v>
      </c>
      <c r="AB133" s="10">
        <v>41682</v>
      </c>
      <c r="AC133" s="10">
        <v>41715</v>
      </c>
      <c r="AD133" s="10">
        <v>41716</v>
      </c>
      <c r="AE133" s="8">
        <v>6.1</v>
      </c>
    </row>
    <row r="134" spans="1:35">
      <c r="A134" s="7">
        <f t="shared" si="44"/>
        <v>1</v>
      </c>
      <c r="B134" s="7" t="str">
        <f t="shared" si="48"/>
        <v>14FWPB 05_FLAT_NY</v>
      </c>
      <c r="C134" s="7">
        <f t="shared" si="45"/>
        <v>1</v>
      </c>
      <c r="D134" s="7" t="str">
        <f t="shared" si="49"/>
        <v>성진14FWPB 05_FLAT_NY</v>
      </c>
      <c r="E134" s="12" t="str">
        <f t="shared" si="50"/>
        <v>201401</v>
      </c>
      <c r="F134" s="347" t="str">
        <f>VLOOKUP($AA134,[3]주!$A:$F,6,FALSE)</f>
        <v>1월 3주</v>
      </c>
      <c r="G134" s="7">
        <f t="shared" si="46"/>
        <v>1</v>
      </c>
      <c r="H134" s="7" t="str">
        <f t="shared" si="51"/>
        <v>14FWPB 05_FLAT_NY</v>
      </c>
      <c r="I134" s="7">
        <f t="shared" si="47"/>
        <v>1</v>
      </c>
      <c r="J134" s="7" t="str">
        <f t="shared" si="52"/>
        <v>성진14FWPB 05_FLAT_NY</v>
      </c>
      <c r="K134" s="17">
        <f t="shared" si="53"/>
        <v>41716</v>
      </c>
      <c r="L134" s="12" t="str">
        <f t="shared" si="54"/>
        <v>201403</v>
      </c>
      <c r="M134" s="347" t="str">
        <f>VLOOKUP($K134,[3]주!$A:$F,6,FALSE)</f>
        <v>3월 2주</v>
      </c>
      <c r="N134" s="273" t="str">
        <f>IF(VLOOKUP($Z134,생산업체!$A:$C,2,FALSE)=1,"해외","국내")</f>
        <v>해외</v>
      </c>
      <c r="O134" s="12" t="str">
        <f>IF(VLOOKUP($U134,CODE!$K:$P,CODE!P$1,FALSE)="모자",T134,T134&amp;"-"&amp;VLOOKUP($U134,CODE!$K:$P,CODE!P$1,FALSE))</f>
        <v>PLA</v>
      </c>
      <c r="P134" s="11" t="s">
        <v>61</v>
      </c>
      <c r="R134" s="11">
        <v>8</v>
      </c>
      <c r="T134" s="8" t="s">
        <v>61</v>
      </c>
      <c r="U134" s="8" t="s">
        <v>50</v>
      </c>
      <c r="V134" s="8" t="s">
        <v>43</v>
      </c>
      <c r="W134" s="8" t="s">
        <v>2085</v>
      </c>
      <c r="X134" s="8" t="s">
        <v>900</v>
      </c>
      <c r="Y134" s="9">
        <v>1</v>
      </c>
      <c r="Z134" s="8" t="s">
        <v>48</v>
      </c>
      <c r="AA134" s="10">
        <v>41654</v>
      </c>
      <c r="AB134" s="10">
        <v>41682</v>
      </c>
      <c r="AC134" s="10">
        <v>41715</v>
      </c>
      <c r="AD134" s="10">
        <v>41716</v>
      </c>
      <c r="AE134" s="8">
        <v>6.2</v>
      </c>
    </row>
    <row r="135" spans="1:35">
      <c r="A135" s="7">
        <f t="shared" si="44"/>
        <v>1</v>
      </c>
      <c r="B135" s="7" t="str">
        <f t="shared" si="48"/>
        <v>14FWPB 06_FLAT_RE</v>
      </c>
      <c r="C135" s="7">
        <f t="shared" si="45"/>
        <v>1</v>
      </c>
      <c r="D135" s="7" t="str">
        <f t="shared" si="49"/>
        <v>성진14FWPB 06_FLAT_RE</v>
      </c>
      <c r="E135" s="12" t="str">
        <f t="shared" si="50"/>
        <v>201401</v>
      </c>
      <c r="F135" s="347" t="str">
        <f>VLOOKUP($AA135,[3]주!$A:$F,6,FALSE)</f>
        <v>1월 3주</v>
      </c>
      <c r="G135" s="7">
        <f t="shared" si="46"/>
        <v>1</v>
      </c>
      <c r="H135" s="7" t="str">
        <f t="shared" si="51"/>
        <v>14FWPB 06_FLAT_RE</v>
      </c>
      <c r="I135" s="7">
        <f t="shared" si="47"/>
        <v>1</v>
      </c>
      <c r="J135" s="7" t="str">
        <f t="shared" si="52"/>
        <v>성진14FWPB 06_FLAT_RE</v>
      </c>
      <c r="K135" s="17">
        <f t="shared" si="53"/>
        <v>41708</v>
      </c>
      <c r="L135" s="12" t="str">
        <f t="shared" si="54"/>
        <v>201403</v>
      </c>
      <c r="M135" s="347" t="str">
        <f>VLOOKUP($K135,[3]주!$A:$F,6,FALSE)</f>
        <v>3월 2주</v>
      </c>
      <c r="N135" s="273" t="str">
        <f>IF(VLOOKUP($Z135,생산업체!$A:$C,2,FALSE)=1,"해외","국내")</f>
        <v>해외</v>
      </c>
      <c r="O135" s="12" t="str">
        <f>IF(VLOOKUP($U135,CODE!$K:$P,CODE!P$1,FALSE)="모자",T135,T135&amp;"-"&amp;VLOOKUP($U135,CODE!$K:$P,CODE!P$1,FALSE))</f>
        <v>PLA</v>
      </c>
      <c r="P135" s="11" t="s">
        <v>61</v>
      </c>
      <c r="R135" s="11">
        <v>9</v>
      </c>
      <c r="T135" s="8" t="s">
        <v>61</v>
      </c>
      <c r="U135" s="8" t="s">
        <v>50</v>
      </c>
      <c r="V135" s="8" t="s">
        <v>43</v>
      </c>
      <c r="W135" s="8" t="s">
        <v>2086</v>
      </c>
      <c r="X135" s="8" t="s">
        <v>900</v>
      </c>
      <c r="Y135" s="9">
        <v>1</v>
      </c>
      <c r="Z135" s="8" t="s">
        <v>48</v>
      </c>
      <c r="AA135" s="10">
        <v>41654</v>
      </c>
      <c r="AB135" s="10">
        <v>41682</v>
      </c>
      <c r="AC135" s="10">
        <v>41715</v>
      </c>
      <c r="AD135" s="10">
        <v>41708</v>
      </c>
      <c r="AE135" s="8">
        <v>5.6</v>
      </c>
    </row>
    <row r="136" spans="1:35">
      <c r="A136" s="7">
        <f t="shared" si="44"/>
        <v>1</v>
      </c>
      <c r="B136" s="7" t="str">
        <f t="shared" si="48"/>
        <v>14FWPB 07_FLAT_GY</v>
      </c>
      <c r="C136" s="7">
        <f t="shared" si="45"/>
        <v>1</v>
      </c>
      <c r="D136" s="7" t="str">
        <f t="shared" si="49"/>
        <v>성진14FWPB 07_FLAT_GY</v>
      </c>
      <c r="E136" s="12" t="str">
        <f t="shared" si="50"/>
        <v>201401</v>
      </c>
      <c r="F136" s="347" t="str">
        <f>VLOOKUP($AA136,[3]주!$A:$F,6,FALSE)</f>
        <v>1월 3주</v>
      </c>
      <c r="G136" s="7">
        <f t="shared" si="46"/>
        <v>1</v>
      </c>
      <c r="H136" s="7" t="str">
        <f t="shared" si="51"/>
        <v>14FWPB 07_FLAT_GY</v>
      </c>
      <c r="I136" s="7">
        <f t="shared" si="47"/>
        <v>1</v>
      </c>
      <c r="J136" s="7" t="str">
        <f t="shared" si="52"/>
        <v>성진14FWPB 07_FLAT_GY</v>
      </c>
      <c r="K136" s="17">
        <f t="shared" si="53"/>
        <v>41704</v>
      </c>
      <c r="L136" s="12" t="str">
        <f t="shared" si="54"/>
        <v>201403</v>
      </c>
      <c r="M136" s="347" t="str">
        <f>VLOOKUP($K136,[3]주!$A:$F,6,FALSE)</f>
        <v>3월 1주</v>
      </c>
      <c r="N136" s="273" t="str">
        <f>IF(VLOOKUP($Z136,생산업체!$A:$C,2,FALSE)=1,"해외","국내")</f>
        <v>해외</v>
      </c>
      <c r="O136" s="12" t="str">
        <f>IF(VLOOKUP($U136,CODE!$K:$P,CODE!P$1,FALSE)="모자",T136,T136&amp;"-"&amp;VLOOKUP($U136,CODE!$K:$P,CODE!P$1,FALSE))</f>
        <v>PLA</v>
      </c>
      <c r="P136" s="11" t="s">
        <v>61</v>
      </c>
      <c r="R136" s="11">
        <v>10</v>
      </c>
      <c r="T136" s="8" t="s">
        <v>61</v>
      </c>
      <c r="U136" s="8" t="s">
        <v>50</v>
      </c>
      <c r="V136" s="8" t="s">
        <v>43</v>
      </c>
      <c r="W136" s="8" t="s">
        <v>2087</v>
      </c>
      <c r="X136" s="8" t="s">
        <v>900</v>
      </c>
      <c r="Y136" s="9">
        <v>1</v>
      </c>
      <c r="Z136" s="8" t="s">
        <v>48</v>
      </c>
      <c r="AA136" s="10">
        <v>41654</v>
      </c>
      <c r="AB136" s="10">
        <v>41682</v>
      </c>
      <c r="AC136" s="10">
        <v>41715</v>
      </c>
      <c r="AD136" s="10">
        <v>41704</v>
      </c>
      <c r="AE136" s="8">
        <v>5.5</v>
      </c>
    </row>
    <row r="137" spans="1:35">
      <c r="A137" s="7">
        <f t="shared" si="44"/>
        <v>1</v>
      </c>
      <c r="B137" s="7" t="str">
        <f t="shared" si="48"/>
        <v>14FWPB 08_FLAT_MT</v>
      </c>
      <c r="C137" s="7">
        <f t="shared" si="45"/>
        <v>1</v>
      </c>
      <c r="D137" s="7" t="str">
        <f t="shared" si="49"/>
        <v>성진14FWPB 08_FLAT_MT</v>
      </c>
      <c r="E137" s="12" t="str">
        <f t="shared" si="50"/>
        <v>201403</v>
      </c>
      <c r="F137" s="347" t="str">
        <f>VLOOKUP($AA137,[3]주!$A:$F,6,FALSE)</f>
        <v>3월 2주</v>
      </c>
      <c r="G137" s="7">
        <f t="shared" ref="G137:G142" si="55">IF(H137="",0,1/COUNTIF(H:H,H137))</f>
        <v>0</v>
      </c>
      <c r="H137" s="7" t="str">
        <f t="shared" ref="H137:H142" si="56">IF(AD137="","",W137)</f>
        <v/>
      </c>
      <c r="I137" s="7">
        <f t="shared" ref="I137:I142" si="57">IF(J137="",0,1/COUNTIF(J:J,J137))</f>
        <v>0</v>
      </c>
      <c r="J137" s="7" t="str">
        <f t="shared" ref="J137:J142" si="58">IF(AD137="","",Z137&amp;W137)</f>
        <v/>
      </c>
      <c r="K137" s="17">
        <f t="shared" si="53"/>
        <v>41774</v>
      </c>
      <c r="L137" s="12" t="str">
        <f t="shared" si="54"/>
        <v>201405</v>
      </c>
      <c r="M137" s="347" t="str">
        <f>VLOOKUP($K137,[3]주!$A:$F,6,FALSE)</f>
        <v>3월 2주</v>
      </c>
      <c r="N137" s="273" t="str">
        <f>IF(VLOOKUP($Z137,생산업체!$A:$C,2,FALSE)=1,"해외","국내")</f>
        <v>해외</v>
      </c>
      <c r="O137" s="12" t="str">
        <f>IF(VLOOKUP($U137,CODE!$K:$P,CODE!P$1,FALSE)="모자",T137,T137&amp;"-"&amp;VLOOKUP($U137,CODE!$K:$P,CODE!P$1,FALSE))</f>
        <v>PLA</v>
      </c>
      <c r="P137" s="11" t="s">
        <v>61</v>
      </c>
      <c r="R137" s="11">
        <v>11</v>
      </c>
      <c r="T137" s="8" t="s">
        <v>61</v>
      </c>
      <c r="U137" s="8" t="s">
        <v>50</v>
      </c>
      <c r="V137" s="8" t="s">
        <v>43</v>
      </c>
      <c r="W137" s="8" t="s">
        <v>2088</v>
      </c>
      <c r="X137" s="8" t="s">
        <v>900</v>
      </c>
      <c r="Y137" s="9">
        <v>1</v>
      </c>
      <c r="Z137" s="8" t="s">
        <v>48</v>
      </c>
      <c r="AA137" s="10">
        <v>41708</v>
      </c>
      <c r="AB137" s="10">
        <v>41736</v>
      </c>
      <c r="AC137" s="10">
        <v>41774</v>
      </c>
    </row>
    <row r="138" spans="1:35">
      <c r="A138" s="7">
        <f t="shared" si="44"/>
        <v>1</v>
      </c>
      <c r="B138" s="7" t="str">
        <f t="shared" si="48"/>
        <v>14FWPB 08_FLAT_PK</v>
      </c>
      <c r="C138" s="7">
        <f t="shared" si="45"/>
        <v>1</v>
      </c>
      <c r="D138" s="7" t="str">
        <f t="shared" si="49"/>
        <v>성진14FWPB 08_FLAT_PK</v>
      </c>
      <c r="E138" s="12" t="str">
        <f t="shared" si="50"/>
        <v>201403</v>
      </c>
      <c r="F138" s="347" t="str">
        <f>VLOOKUP($AA138,[3]주!$A:$F,6,FALSE)</f>
        <v>3월 2주</v>
      </c>
      <c r="G138" s="7">
        <f t="shared" si="55"/>
        <v>1</v>
      </c>
      <c r="H138" s="7" t="str">
        <f t="shared" si="56"/>
        <v>14FWPB 08_FLAT_PK</v>
      </c>
      <c r="I138" s="7">
        <f t="shared" si="57"/>
        <v>1</v>
      </c>
      <c r="J138" s="7" t="str">
        <f t="shared" si="58"/>
        <v>성진14FWPB 08_FLAT_PK</v>
      </c>
      <c r="K138" s="17">
        <f t="shared" si="53"/>
        <v>41746</v>
      </c>
      <c r="L138" s="12" t="str">
        <f t="shared" si="54"/>
        <v>201404</v>
      </c>
      <c r="M138" s="347" t="str">
        <f>VLOOKUP($K138,[3]주!$A:$F,6,FALSE)</f>
        <v>3월 2주</v>
      </c>
      <c r="N138" s="273" t="str">
        <f>IF(VLOOKUP($Z138,생산업체!$A:$C,2,FALSE)=1,"해외","국내")</f>
        <v>해외</v>
      </c>
      <c r="O138" s="12" t="str">
        <f>IF(VLOOKUP($U138,CODE!$K:$P,CODE!P$1,FALSE)="모자",T138,T138&amp;"-"&amp;VLOOKUP($U138,CODE!$K:$P,CODE!P$1,FALSE))</f>
        <v>PLA</v>
      </c>
      <c r="P138" s="11" t="s">
        <v>61</v>
      </c>
      <c r="R138" s="11">
        <v>12</v>
      </c>
      <c r="T138" s="8" t="s">
        <v>61</v>
      </c>
      <c r="U138" s="8" t="s">
        <v>50</v>
      </c>
      <c r="V138" s="8" t="s">
        <v>43</v>
      </c>
      <c r="W138" s="8" t="s">
        <v>2163</v>
      </c>
      <c r="X138" s="8" t="s">
        <v>900</v>
      </c>
      <c r="Y138" s="9">
        <v>1</v>
      </c>
      <c r="Z138" s="8" t="s">
        <v>48</v>
      </c>
      <c r="AA138" s="10">
        <v>41708</v>
      </c>
      <c r="AB138" s="10">
        <v>41736</v>
      </c>
      <c r="AC138" s="10">
        <v>41774</v>
      </c>
      <c r="AD138" s="10">
        <v>41746</v>
      </c>
    </row>
    <row r="139" spans="1:35">
      <c r="A139" s="7">
        <f t="shared" si="44"/>
        <v>1</v>
      </c>
      <c r="B139" s="7" t="str">
        <f t="shared" si="48"/>
        <v>14FW PB 09_FLAT_BK</v>
      </c>
      <c r="C139" s="7">
        <f t="shared" si="45"/>
        <v>1</v>
      </c>
      <c r="D139" s="7" t="str">
        <f t="shared" si="49"/>
        <v>성진14FW PB 09_FLAT_BK</v>
      </c>
      <c r="E139" s="12" t="str">
        <f t="shared" si="50"/>
        <v>201405</v>
      </c>
      <c r="F139" s="347" t="str">
        <f>VLOOKUP($AA139,[3]주!$A:$F,6,FALSE)</f>
        <v>3월 2주</v>
      </c>
      <c r="G139" s="7">
        <f t="shared" si="55"/>
        <v>0</v>
      </c>
      <c r="H139" s="7" t="str">
        <f t="shared" si="56"/>
        <v/>
      </c>
      <c r="I139" s="7">
        <f t="shared" si="57"/>
        <v>0</v>
      </c>
      <c r="J139" s="7" t="str">
        <f t="shared" si="58"/>
        <v/>
      </c>
      <c r="K139" s="17">
        <f t="shared" si="53"/>
        <v>41805</v>
      </c>
      <c r="L139" s="12" t="str">
        <f t="shared" si="54"/>
        <v>201406</v>
      </c>
      <c r="M139" s="347" t="str">
        <f>VLOOKUP($K139,[3]주!$A:$F,6,FALSE)</f>
        <v>3월 2주</v>
      </c>
      <c r="N139" s="273" t="str">
        <f>IF(VLOOKUP($Z139,생산업체!$A:$C,2,FALSE)=1,"해외","국내")</f>
        <v>해외</v>
      </c>
      <c r="O139" s="12" t="str">
        <f>IF(VLOOKUP($U139,CODE!$K:$P,CODE!P$1,FALSE)="모자",T139,T139&amp;"-"&amp;VLOOKUP($U139,CODE!$K:$P,CODE!P$1,FALSE))</f>
        <v>PLA</v>
      </c>
      <c r="P139" s="11" t="s">
        <v>61</v>
      </c>
      <c r="R139" s="11">
        <v>13</v>
      </c>
      <c r="T139" s="8" t="s">
        <v>61</v>
      </c>
      <c r="U139" s="8" t="s">
        <v>50</v>
      </c>
      <c r="V139" s="8" t="s">
        <v>43</v>
      </c>
      <c r="W139" s="8" t="s">
        <v>2164</v>
      </c>
      <c r="X139" s="8" t="s">
        <v>900</v>
      </c>
      <c r="Y139" s="9">
        <v>1</v>
      </c>
      <c r="Z139" s="8" t="s">
        <v>48</v>
      </c>
      <c r="AA139" s="10">
        <v>41771</v>
      </c>
      <c r="AB139" s="10">
        <v>41799</v>
      </c>
      <c r="AC139" s="10">
        <v>41805</v>
      </c>
    </row>
    <row r="140" spans="1:35">
      <c r="A140" s="7">
        <f t="shared" si="44"/>
        <v>1</v>
      </c>
      <c r="B140" s="7" t="str">
        <f t="shared" si="48"/>
        <v>14FW PB 10_FLAT_BK</v>
      </c>
      <c r="C140" s="7">
        <f t="shared" si="45"/>
        <v>1</v>
      </c>
      <c r="D140" s="7" t="str">
        <f t="shared" si="49"/>
        <v>성진14FW PB 10_FLAT_BK</v>
      </c>
      <c r="E140" s="12" t="str">
        <f t="shared" si="50"/>
        <v>201405</v>
      </c>
      <c r="F140" s="347" t="str">
        <f>VLOOKUP($AA140,[3]주!$A:$F,6,FALSE)</f>
        <v>3월 2주</v>
      </c>
      <c r="G140" s="7">
        <f t="shared" si="55"/>
        <v>0</v>
      </c>
      <c r="H140" s="7" t="str">
        <f t="shared" si="56"/>
        <v/>
      </c>
      <c r="I140" s="7">
        <f t="shared" si="57"/>
        <v>0</v>
      </c>
      <c r="J140" s="7" t="str">
        <f t="shared" si="58"/>
        <v/>
      </c>
      <c r="K140" s="17">
        <f t="shared" si="53"/>
        <v>41806</v>
      </c>
      <c r="L140" s="12" t="str">
        <f t="shared" si="54"/>
        <v>201406</v>
      </c>
      <c r="M140" s="347" t="str">
        <f>VLOOKUP($K140,[3]주!$A:$F,6,FALSE)</f>
        <v>3월 2주</v>
      </c>
      <c r="N140" s="273" t="str">
        <f>IF(VLOOKUP($Z140,생산업체!$A:$C,2,FALSE)=1,"해외","국내")</f>
        <v>해외</v>
      </c>
      <c r="O140" s="12" t="str">
        <f>IF(VLOOKUP($U140,CODE!$K:$P,CODE!P$1,FALSE)="모자",T140,T140&amp;"-"&amp;VLOOKUP($U140,CODE!$K:$P,CODE!P$1,FALSE))</f>
        <v>PLA</v>
      </c>
      <c r="P140" s="11" t="s">
        <v>61</v>
      </c>
      <c r="R140" s="11">
        <v>14</v>
      </c>
      <c r="T140" s="8" t="s">
        <v>61</v>
      </c>
      <c r="U140" s="8" t="s">
        <v>50</v>
      </c>
      <c r="V140" s="8" t="s">
        <v>43</v>
      </c>
      <c r="W140" s="8" t="s">
        <v>2165</v>
      </c>
      <c r="X140" s="8" t="s">
        <v>900</v>
      </c>
      <c r="Y140" s="9">
        <v>1</v>
      </c>
      <c r="Z140" s="8" t="s">
        <v>48</v>
      </c>
      <c r="AA140" s="10">
        <v>41771</v>
      </c>
      <c r="AB140" s="10">
        <v>41799</v>
      </c>
      <c r="AC140" s="10">
        <v>41806</v>
      </c>
    </row>
    <row r="141" spans="1:35">
      <c r="A141" s="7">
        <f t="shared" si="44"/>
        <v>1</v>
      </c>
      <c r="B141" s="7" t="str">
        <f t="shared" si="48"/>
        <v>14FW PB 11_FLAT_BK</v>
      </c>
      <c r="C141" s="7">
        <f t="shared" si="45"/>
        <v>1</v>
      </c>
      <c r="D141" s="7" t="str">
        <f t="shared" si="49"/>
        <v>성진14FW PB 11_FLAT_BK</v>
      </c>
      <c r="E141" s="12" t="str">
        <f t="shared" si="50"/>
        <v>201405</v>
      </c>
      <c r="F141" s="347" t="str">
        <f>VLOOKUP($AA141,[3]주!$A:$F,6,FALSE)</f>
        <v>3월 2주</v>
      </c>
      <c r="G141" s="7">
        <f t="shared" si="55"/>
        <v>0</v>
      </c>
      <c r="H141" s="7" t="str">
        <f t="shared" si="56"/>
        <v/>
      </c>
      <c r="I141" s="7">
        <f t="shared" si="57"/>
        <v>0</v>
      </c>
      <c r="J141" s="7" t="str">
        <f t="shared" si="58"/>
        <v/>
      </c>
      <c r="K141" s="17">
        <f t="shared" si="53"/>
        <v>41807</v>
      </c>
      <c r="L141" s="12" t="str">
        <f t="shared" si="54"/>
        <v>201406</v>
      </c>
      <c r="M141" s="347" t="str">
        <f>VLOOKUP($K141,[3]주!$A:$F,6,FALSE)</f>
        <v>3월 2주</v>
      </c>
      <c r="N141" s="273" t="str">
        <f>IF(VLOOKUP($Z141,생산업체!$A:$C,2,FALSE)=1,"해외","국내")</f>
        <v>해외</v>
      </c>
      <c r="O141" s="12" t="str">
        <f>IF(VLOOKUP($U141,CODE!$K:$P,CODE!P$1,FALSE)="모자",T141,T141&amp;"-"&amp;VLOOKUP($U141,CODE!$K:$P,CODE!P$1,FALSE))</f>
        <v>PLA</v>
      </c>
      <c r="P141" s="11" t="s">
        <v>61</v>
      </c>
      <c r="R141" s="11">
        <v>15</v>
      </c>
      <c r="T141" s="8" t="s">
        <v>61</v>
      </c>
      <c r="U141" s="8" t="s">
        <v>50</v>
      </c>
      <c r="V141" s="8" t="s">
        <v>43</v>
      </c>
      <c r="W141" s="8" t="s">
        <v>2166</v>
      </c>
      <c r="X141" s="8" t="s">
        <v>900</v>
      </c>
      <c r="Y141" s="9">
        <v>1</v>
      </c>
      <c r="Z141" s="8" t="s">
        <v>48</v>
      </c>
      <c r="AA141" s="10">
        <v>41771</v>
      </c>
      <c r="AB141" s="10">
        <v>41799</v>
      </c>
      <c r="AC141" s="10">
        <v>41807</v>
      </c>
    </row>
    <row r="142" spans="1:35">
      <c r="A142" s="7">
        <f t="shared" si="44"/>
        <v>1</v>
      </c>
      <c r="B142" s="7" t="str">
        <f t="shared" si="48"/>
        <v>14FW PB 12_FLAT_BW</v>
      </c>
      <c r="C142" s="7">
        <f t="shared" si="45"/>
        <v>1</v>
      </c>
      <c r="D142" s="7" t="str">
        <f t="shared" si="49"/>
        <v>성진14FW PB 12_FLAT_BW</v>
      </c>
      <c r="E142" s="12" t="str">
        <f t="shared" si="50"/>
        <v>201405</v>
      </c>
      <c r="F142" s="347" t="str">
        <f>VLOOKUP($AA142,[3]주!$A:$F,6,FALSE)</f>
        <v>3월 2주</v>
      </c>
      <c r="G142" s="7">
        <f t="shared" si="55"/>
        <v>0</v>
      </c>
      <c r="H142" s="7" t="str">
        <f t="shared" si="56"/>
        <v/>
      </c>
      <c r="I142" s="7">
        <f t="shared" si="57"/>
        <v>0</v>
      </c>
      <c r="J142" s="7" t="str">
        <f t="shared" si="58"/>
        <v/>
      </c>
      <c r="K142" s="17">
        <f t="shared" si="53"/>
        <v>41808</v>
      </c>
      <c r="L142" s="12" t="str">
        <f t="shared" si="54"/>
        <v>201406</v>
      </c>
      <c r="M142" s="347" t="str">
        <f>VLOOKUP($K142,[3]주!$A:$F,6,FALSE)</f>
        <v>3월 2주</v>
      </c>
      <c r="N142" s="273" t="str">
        <f>IF(VLOOKUP($Z142,생산업체!$A:$C,2,FALSE)=1,"해외","국내")</f>
        <v>해외</v>
      </c>
      <c r="O142" s="12" t="str">
        <f>IF(VLOOKUP($U142,CODE!$K:$P,CODE!P$1,FALSE)="모자",T142,T142&amp;"-"&amp;VLOOKUP($U142,CODE!$K:$P,CODE!P$1,FALSE))</f>
        <v>PLA</v>
      </c>
      <c r="P142" s="11" t="s">
        <v>61</v>
      </c>
      <c r="R142" s="11">
        <v>16</v>
      </c>
      <c r="T142" s="8" t="s">
        <v>61</v>
      </c>
      <c r="U142" s="8" t="s">
        <v>50</v>
      </c>
      <c r="V142" s="8" t="s">
        <v>43</v>
      </c>
      <c r="W142" s="8" t="s">
        <v>2167</v>
      </c>
      <c r="X142" s="8" t="s">
        <v>900</v>
      </c>
      <c r="Y142" s="9">
        <v>1</v>
      </c>
      <c r="Z142" s="8" t="s">
        <v>48</v>
      </c>
      <c r="AA142" s="10">
        <v>41771</v>
      </c>
      <c r="AB142" s="10">
        <v>41799</v>
      </c>
      <c r="AC142" s="10">
        <v>41808</v>
      </c>
    </row>
    <row r="143" spans="1:35">
      <c r="A143" s="7">
        <f t="shared" si="44"/>
        <v>0.5</v>
      </c>
      <c r="B143" s="7" t="str">
        <f t="shared" si="48"/>
        <v>14FW-JILL-BY_01_NV</v>
      </c>
      <c r="C143" s="7">
        <f t="shared" si="45"/>
        <v>1</v>
      </c>
      <c r="D143" s="7" t="str">
        <f t="shared" si="49"/>
        <v>FOREMOST14FW-JILL-BY_01_NV</v>
      </c>
      <c r="E143" s="12" t="str">
        <f t="shared" si="50"/>
        <v>201401</v>
      </c>
      <c r="F143" s="347" t="str">
        <f>VLOOKUP($AA143,[3]주!$A:$F,6,FALSE)</f>
        <v>1월 3주</v>
      </c>
      <c r="G143" s="7">
        <f t="shared" si="46"/>
        <v>0.5</v>
      </c>
      <c r="H143" s="7" t="str">
        <f t="shared" si="51"/>
        <v>14FW-JILL-BY_01_NV</v>
      </c>
      <c r="I143" s="7">
        <f t="shared" si="47"/>
        <v>1</v>
      </c>
      <c r="J143" s="7" t="str">
        <f t="shared" si="52"/>
        <v>FOREMOST14FW-JILL-BY_01_NV</v>
      </c>
      <c r="K143" s="17">
        <f t="shared" si="53"/>
        <v>41712</v>
      </c>
      <c r="L143" s="12" t="str">
        <f t="shared" si="54"/>
        <v>201403</v>
      </c>
      <c r="M143" s="347" t="str">
        <f>VLOOKUP($K143,[3]주!$A:$F,6,FALSE)</f>
        <v>3월 2주</v>
      </c>
      <c r="N143" s="273" t="str">
        <f>IF(VLOOKUP($Z143,생산업체!$A:$C,2,FALSE)=1,"해외","국내")</f>
        <v>해외</v>
      </c>
      <c r="O143" s="12" t="str">
        <f>IF(VLOOKUP($U143,CODE!$K:$P,CODE!P$1,FALSE)="모자",T143,T143&amp;"-"&amp;VLOOKUP($U143,CODE!$K:$P,CODE!P$1,FALSE))</f>
        <v>JIL</v>
      </c>
      <c r="P143" s="11" t="s">
        <v>32</v>
      </c>
      <c r="R143" s="11">
        <v>1</v>
      </c>
      <c r="T143" s="8" t="s">
        <v>32</v>
      </c>
      <c r="U143" s="8" t="s">
        <v>33</v>
      </c>
      <c r="V143" s="8" t="s">
        <v>43</v>
      </c>
      <c r="W143" s="8" t="s">
        <v>1220</v>
      </c>
      <c r="X143" s="8" t="s">
        <v>900</v>
      </c>
      <c r="Y143" s="9">
        <v>0.5</v>
      </c>
      <c r="Z143" s="8" t="s">
        <v>6</v>
      </c>
      <c r="AA143" s="10">
        <v>41655</v>
      </c>
      <c r="AB143" s="10">
        <v>41683</v>
      </c>
      <c r="AC143" s="10">
        <v>41683</v>
      </c>
      <c r="AD143" s="10">
        <v>41712</v>
      </c>
      <c r="AE143" s="8">
        <v>3.85</v>
      </c>
      <c r="AH143" s="8">
        <v>3</v>
      </c>
      <c r="AI143" s="8">
        <v>0</v>
      </c>
    </row>
    <row r="144" spans="1:35">
      <c r="A144" s="7">
        <f t="shared" si="44"/>
        <v>0.5</v>
      </c>
      <c r="B144" s="7" t="str">
        <f t="shared" si="48"/>
        <v>14FW-JILL-BY_01_NV</v>
      </c>
      <c r="C144" s="7">
        <f t="shared" si="45"/>
        <v>1</v>
      </c>
      <c r="D144" s="7" t="str">
        <f t="shared" si="49"/>
        <v>동일모자14FW-JILL-BY_01_NV</v>
      </c>
      <c r="E144" s="12" t="str">
        <f t="shared" si="50"/>
        <v>201401</v>
      </c>
      <c r="F144" s="347" t="str">
        <f>VLOOKUP($AA144,[3]주!$A:$F,6,FALSE)</f>
        <v>1월 3주</v>
      </c>
      <c r="G144" s="7">
        <f t="shared" si="46"/>
        <v>0.5</v>
      </c>
      <c r="H144" s="7" t="str">
        <f t="shared" si="51"/>
        <v>14FW-JILL-BY_01_NV</v>
      </c>
      <c r="I144" s="7">
        <f t="shared" si="47"/>
        <v>1</v>
      </c>
      <c r="J144" s="7" t="str">
        <f t="shared" si="52"/>
        <v>동일모자14FW-JILL-BY_01_NV</v>
      </c>
      <c r="K144" s="17">
        <f t="shared" si="53"/>
        <v>41670</v>
      </c>
      <c r="L144" s="12" t="str">
        <f t="shared" si="54"/>
        <v>201401</v>
      </c>
      <c r="M144" s="347" t="str">
        <f>VLOOKUP($K144,[3]주!$A:$F,6,FALSE)</f>
        <v>1월 5주</v>
      </c>
      <c r="N144" s="273" t="str">
        <f>IF(VLOOKUP($Z144,생산업체!$A:$C,2,FALSE)=1,"해외","국내")</f>
        <v>해외</v>
      </c>
      <c r="O144" s="12" t="str">
        <f>IF(VLOOKUP($U144,CODE!$K:$P,CODE!P$1,FALSE)="모자",T144,T144&amp;"-"&amp;VLOOKUP($U144,CODE!$K:$P,CODE!P$1,FALSE))</f>
        <v>JIL</v>
      </c>
      <c r="P144" s="11" t="s">
        <v>32</v>
      </c>
      <c r="R144" s="11">
        <v>2</v>
      </c>
      <c r="T144" s="8" t="s">
        <v>32</v>
      </c>
      <c r="U144" s="8" t="s">
        <v>33</v>
      </c>
      <c r="V144" s="8" t="s">
        <v>43</v>
      </c>
      <c r="W144" s="8" t="s">
        <v>1220</v>
      </c>
      <c r="X144" s="8" t="s">
        <v>900</v>
      </c>
      <c r="Y144" s="9">
        <v>0.5</v>
      </c>
      <c r="Z144" s="8" t="s">
        <v>44</v>
      </c>
      <c r="AA144" s="10">
        <v>41655</v>
      </c>
      <c r="AB144" s="10">
        <v>41683</v>
      </c>
      <c r="AC144" s="10">
        <v>41683</v>
      </c>
      <c r="AD144" s="10">
        <v>41670</v>
      </c>
      <c r="AE144" s="8">
        <v>4.7</v>
      </c>
      <c r="AH144" s="8">
        <v>3</v>
      </c>
      <c r="AI144" s="8">
        <v>0</v>
      </c>
    </row>
    <row r="145" spans="1:35">
      <c r="A145" s="7">
        <f t="shared" si="44"/>
        <v>1</v>
      </c>
      <c r="B145" s="7" t="str">
        <f t="shared" si="48"/>
        <v>14FW-JILL-BY_02_GY</v>
      </c>
      <c r="C145" s="7">
        <f t="shared" si="45"/>
        <v>1</v>
      </c>
      <c r="D145" s="7" t="str">
        <f t="shared" si="49"/>
        <v>FOREMOST14FW-JILL-BY_02_GY</v>
      </c>
      <c r="E145" s="12" t="str">
        <f t="shared" si="50"/>
        <v>201401</v>
      </c>
      <c r="F145" s="347" t="str">
        <f>VLOOKUP($AA145,[3]주!$A:$F,6,FALSE)</f>
        <v>1월 3주</v>
      </c>
      <c r="G145" s="7">
        <f t="shared" si="46"/>
        <v>1</v>
      </c>
      <c r="H145" s="7" t="str">
        <f t="shared" si="51"/>
        <v>14FW-JILL-BY_02_GY</v>
      </c>
      <c r="I145" s="7">
        <f t="shared" si="47"/>
        <v>1</v>
      </c>
      <c r="J145" s="7" t="str">
        <f t="shared" si="52"/>
        <v>FOREMOST14FW-JILL-BY_02_GY</v>
      </c>
      <c r="K145" s="17">
        <f t="shared" si="53"/>
        <v>41710</v>
      </c>
      <c r="L145" s="12" t="str">
        <f t="shared" si="54"/>
        <v>201403</v>
      </c>
      <c r="M145" s="347" t="str">
        <f>VLOOKUP($K145,[3]주!$A:$F,6,FALSE)</f>
        <v>3월 2주</v>
      </c>
      <c r="N145" s="273" t="str">
        <f>IF(VLOOKUP($Z145,생산업체!$A:$C,2,FALSE)=1,"해외","국내")</f>
        <v>해외</v>
      </c>
      <c r="O145" s="12" t="str">
        <f>IF(VLOOKUP($U145,CODE!$K:$P,CODE!P$1,FALSE)="모자",T145,T145&amp;"-"&amp;VLOOKUP($U145,CODE!$K:$P,CODE!P$1,FALSE))</f>
        <v>JIL</v>
      </c>
      <c r="P145" s="11" t="s">
        <v>32</v>
      </c>
      <c r="R145" s="11">
        <v>3</v>
      </c>
      <c r="T145" s="8" t="s">
        <v>32</v>
      </c>
      <c r="U145" s="8" t="s">
        <v>33</v>
      </c>
      <c r="V145" s="8" t="s">
        <v>43</v>
      </c>
      <c r="W145" s="8" t="s">
        <v>1221</v>
      </c>
      <c r="X145" s="8" t="s">
        <v>900</v>
      </c>
      <c r="Y145" s="9">
        <v>1</v>
      </c>
      <c r="Z145" s="8" t="s">
        <v>6</v>
      </c>
      <c r="AA145" s="10">
        <v>41655</v>
      </c>
      <c r="AB145" s="10">
        <v>41683</v>
      </c>
      <c r="AC145" s="10">
        <v>41683</v>
      </c>
      <c r="AD145" s="10">
        <v>41710</v>
      </c>
      <c r="AH145" s="8">
        <v>3</v>
      </c>
      <c r="AI145" s="8">
        <v>0</v>
      </c>
    </row>
    <row r="146" spans="1:35">
      <c r="A146" s="7">
        <f t="shared" si="44"/>
        <v>1</v>
      </c>
      <c r="B146" s="7" t="str">
        <f t="shared" si="48"/>
        <v>14FW-JILL-BY_03_BG</v>
      </c>
      <c r="C146" s="7">
        <f t="shared" si="45"/>
        <v>1</v>
      </c>
      <c r="D146" s="7" t="str">
        <f t="shared" si="49"/>
        <v>FOREMOST14FW-JILL-BY_03_BG</v>
      </c>
      <c r="E146" s="12" t="str">
        <f t="shared" si="50"/>
        <v>201401</v>
      </c>
      <c r="F146" s="347" t="str">
        <f>VLOOKUP($AA146,[3]주!$A:$F,6,FALSE)</f>
        <v>1월 3주</v>
      </c>
      <c r="G146" s="7">
        <f t="shared" si="46"/>
        <v>1</v>
      </c>
      <c r="H146" s="7" t="str">
        <f t="shared" si="51"/>
        <v>14FW-JILL-BY_03_BG</v>
      </c>
      <c r="I146" s="7">
        <f t="shared" si="47"/>
        <v>1</v>
      </c>
      <c r="J146" s="7" t="str">
        <f t="shared" si="52"/>
        <v>FOREMOST14FW-JILL-BY_03_BG</v>
      </c>
      <c r="K146" s="17">
        <f t="shared" si="53"/>
        <v>41717</v>
      </c>
      <c r="L146" s="12" t="str">
        <f t="shared" si="54"/>
        <v>201403</v>
      </c>
      <c r="M146" s="347" t="str">
        <f>VLOOKUP($K146,[3]주!$A:$F,6,FALSE)</f>
        <v>3월 2주</v>
      </c>
      <c r="N146" s="273" t="str">
        <f>IF(VLOOKUP($Z146,생산업체!$A:$C,2,FALSE)=1,"해외","국내")</f>
        <v>해외</v>
      </c>
      <c r="O146" s="12" t="str">
        <f>IF(VLOOKUP($U146,CODE!$K:$P,CODE!P$1,FALSE)="모자",T146,T146&amp;"-"&amp;VLOOKUP($U146,CODE!$K:$P,CODE!P$1,FALSE))</f>
        <v>JIL</v>
      </c>
      <c r="P146" s="11" t="s">
        <v>32</v>
      </c>
      <c r="R146" s="11">
        <v>4</v>
      </c>
      <c r="T146" s="8" t="s">
        <v>32</v>
      </c>
      <c r="U146" s="8" t="s">
        <v>38</v>
      </c>
      <c r="V146" s="8" t="s">
        <v>43</v>
      </c>
      <c r="W146" s="8" t="s">
        <v>1222</v>
      </c>
      <c r="X146" s="8" t="s">
        <v>900</v>
      </c>
      <c r="Y146" s="9">
        <v>1</v>
      </c>
      <c r="Z146" s="8" t="s">
        <v>6</v>
      </c>
      <c r="AA146" s="10">
        <v>41655</v>
      </c>
      <c r="AB146" s="10">
        <v>41683</v>
      </c>
      <c r="AC146" s="10">
        <v>41683</v>
      </c>
      <c r="AD146" s="10">
        <v>41717</v>
      </c>
      <c r="AE146" s="8">
        <v>4.4000000000000004</v>
      </c>
      <c r="AG146" s="8" t="s">
        <v>1413</v>
      </c>
      <c r="AH146" s="8">
        <v>3</v>
      </c>
      <c r="AI146" s="8">
        <v>2</v>
      </c>
    </row>
    <row r="147" spans="1:35">
      <c r="A147" s="7">
        <f t="shared" si="44"/>
        <v>1</v>
      </c>
      <c r="B147" s="7" t="str">
        <f t="shared" si="48"/>
        <v>14FW-JILL-BY_04_GY</v>
      </c>
      <c r="C147" s="7">
        <f t="shared" si="45"/>
        <v>1</v>
      </c>
      <c r="D147" s="7" t="str">
        <f t="shared" si="49"/>
        <v>FOREMOST14FW-JILL-BY_04_GY</v>
      </c>
      <c r="E147" s="12" t="str">
        <f t="shared" si="50"/>
        <v>201401</v>
      </c>
      <c r="F147" s="347" t="str">
        <f>VLOOKUP($AA147,[3]주!$A:$F,6,FALSE)</f>
        <v>1월 3주</v>
      </c>
      <c r="G147" s="7">
        <f t="shared" si="46"/>
        <v>1</v>
      </c>
      <c r="H147" s="7" t="str">
        <f t="shared" si="51"/>
        <v>14FW-JILL-BY_04_GY</v>
      </c>
      <c r="I147" s="7">
        <f t="shared" si="47"/>
        <v>1</v>
      </c>
      <c r="J147" s="7" t="str">
        <f t="shared" si="52"/>
        <v>FOREMOST14FW-JILL-BY_04_GY</v>
      </c>
      <c r="K147" s="17">
        <f t="shared" si="53"/>
        <v>41722</v>
      </c>
      <c r="L147" s="12" t="str">
        <f t="shared" si="54"/>
        <v>201403</v>
      </c>
      <c r="M147" s="347" t="str">
        <f>VLOOKUP($K147,[3]주!$A:$F,6,FALSE)</f>
        <v>3월 2주</v>
      </c>
      <c r="N147" s="273" t="str">
        <f>IF(VLOOKUP($Z147,생산업체!$A:$C,2,FALSE)=1,"해외","국내")</f>
        <v>해외</v>
      </c>
      <c r="O147" s="12" t="str">
        <f>IF(VLOOKUP($U147,CODE!$K:$P,CODE!P$1,FALSE)="모자",T147,T147&amp;"-"&amp;VLOOKUP($U147,CODE!$K:$P,CODE!P$1,FALSE))</f>
        <v>JIL</v>
      </c>
      <c r="P147" s="11" t="s">
        <v>32</v>
      </c>
      <c r="R147" s="11">
        <v>5</v>
      </c>
      <c r="T147" s="8" t="s">
        <v>32</v>
      </c>
      <c r="U147" s="8" t="s">
        <v>35</v>
      </c>
      <c r="V147" s="8" t="s">
        <v>43</v>
      </c>
      <c r="W147" s="8" t="s">
        <v>1223</v>
      </c>
      <c r="X147" s="8" t="s">
        <v>900</v>
      </c>
      <c r="Y147" s="9">
        <v>1</v>
      </c>
      <c r="Z147" s="8" t="s">
        <v>6</v>
      </c>
      <c r="AA147" s="10">
        <v>41655</v>
      </c>
      <c r="AB147" s="10">
        <v>41683</v>
      </c>
      <c r="AC147" s="10">
        <v>41683</v>
      </c>
      <c r="AD147" s="10">
        <v>41722</v>
      </c>
      <c r="AE147" s="8">
        <v>4.5999999999999996</v>
      </c>
      <c r="AH147" s="8">
        <v>5</v>
      </c>
      <c r="AI147" s="8">
        <v>3</v>
      </c>
    </row>
    <row r="148" spans="1:35">
      <c r="A148" s="7">
        <f t="shared" si="44"/>
        <v>1</v>
      </c>
      <c r="B148" s="7" t="str">
        <f t="shared" si="48"/>
        <v>14FW-JILL-BY_05_MT</v>
      </c>
      <c r="C148" s="7">
        <f t="shared" si="45"/>
        <v>1</v>
      </c>
      <c r="D148" s="7" t="str">
        <f t="shared" si="49"/>
        <v>FOREMOST14FW-JILL-BY_05_MT</v>
      </c>
      <c r="E148" s="12" t="str">
        <f t="shared" si="50"/>
        <v>201401</v>
      </c>
      <c r="F148" s="347" t="str">
        <f>VLOOKUP($AA148,[3]주!$A:$F,6,FALSE)</f>
        <v>1월 3주</v>
      </c>
      <c r="G148" s="7">
        <f t="shared" si="46"/>
        <v>1</v>
      </c>
      <c r="H148" s="7" t="str">
        <f t="shared" si="51"/>
        <v>14FW-JILL-BY_05_MT</v>
      </c>
      <c r="I148" s="7">
        <f t="shared" si="47"/>
        <v>1</v>
      </c>
      <c r="J148" s="7" t="str">
        <f t="shared" si="52"/>
        <v>FOREMOST14FW-JILL-BY_05_MT</v>
      </c>
      <c r="K148" s="17">
        <f t="shared" si="53"/>
        <v>41722</v>
      </c>
      <c r="L148" s="12" t="str">
        <f t="shared" si="54"/>
        <v>201403</v>
      </c>
      <c r="M148" s="347" t="str">
        <f>VLOOKUP($K148,[3]주!$A:$F,6,FALSE)</f>
        <v>3월 2주</v>
      </c>
      <c r="N148" s="273" t="str">
        <f>IF(VLOOKUP($Z148,생산업체!$A:$C,2,FALSE)=1,"해외","국내")</f>
        <v>해외</v>
      </c>
      <c r="O148" s="12" t="str">
        <f>IF(VLOOKUP($U148,CODE!$K:$P,CODE!P$1,FALSE)="모자",T148,T148&amp;"-"&amp;VLOOKUP($U148,CODE!$K:$P,CODE!P$1,FALSE))</f>
        <v>JIL</v>
      </c>
      <c r="P148" s="11" t="s">
        <v>32</v>
      </c>
      <c r="R148" s="11">
        <v>6</v>
      </c>
      <c r="T148" s="8" t="s">
        <v>32</v>
      </c>
      <c r="U148" s="8" t="s">
        <v>35</v>
      </c>
      <c r="V148" s="8" t="s">
        <v>43</v>
      </c>
      <c r="W148" s="8" t="s">
        <v>1224</v>
      </c>
      <c r="X148" s="8" t="s">
        <v>900</v>
      </c>
      <c r="Y148" s="9">
        <v>1</v>
      </c>
      <c r="Z148" s="8" t="s">
        <v>6</v>
      </c>
      <c r="AA148" s="10">
        <v>41655</v>
      </c>
      <c r="AB148" s="10">
        <v>41683</v>
      </c>
      <c r="AC148" s="10">
        <v>41683</v>
      </c>
      <c r="AD148" s="10">
        <v>41722</v>
      </c>
      <c r="AE148" s="8">
        <v>5.95</v>
      </c>
      <c r="AH148" s="8">
        <v>5</v>
      </c>
      <c r="AI148" s="8">
        <v>1</v>
      </c>
    </row>
    <row r="149" spans="1:35">
      <c r="A149" s="7">
        <f t="shared" si="44"/>
        <v>1</v>
      </c>
      <c r="B149" s="7" t="str">
        <f t="shared" si="48"/>
        <v>14FW-JILL-BY_06_IV</v>
      </c>
      <c r="C149" s="7">
        <f t="shared" si="45"/>
        <v>1</v>
      </c>
      <c r="D149" s="7" t="str">
        <f t="shared" si="49"/>
        <v>FOREMOST14FW-JILL-BY_06_IV</v>
      </c>
      <c r="E149" s="12" t="str">
        <f t="shared" si="50"/>
        <v>201401</v>
      </c>
      <c r="F149" s="347" t="str">
        <f>VLOOKUP($AA149,[3]주!$A:$F,6,FALSE)</f>
        <v>1월 3주</v>
      </c>
      <c r="G149" s="7">
        <f t="shared" si="46"/>
        <v>1</v>
      </c>
      <c r="H149" s="7" t="str">
        <f t="shared" si="51"/>
        <v>14FW-JILL-BY_06_IV</v>
      </c>
      <c r="I149" s="7">
        <f t="shared" si="47"/>
        <v>1</v>
      </c>
      <c r="J149" s="7" t="str">
        <f t="shared" si="52"/>
        <v>FOREMOST14FW-JILL-BY_06_IV</v>
      </c>
      <c r="K149" s="17">
        <f t="shared" si="53"/>
        <v>41731</v>
      </c>
      <c r="L149" s="12" t="str">
        <f t="shared" si="54"/>
        <v>201404</v>
      </c>
      <c r="M149" s="347" t="str">
        <f>VLOOKUP($K149,[3]주!$A:$F,6,FALSE)</f>
        <v>3월 2주</v>
      </c>
      <c r="N149" s="273" t="str">
        <f>IF(VLOOKUP($Z149,생산업체!$A:$C,2,FALSE)=1,"해외","국내")</f>
        <v>해외</v>
      </c>
      <c r="O149" s="12" t="str">
        <f>IF(VLOOKUP($U149,CODE!$K:$P,CODE!P$1,FALSE)="모자",T149,T149&amp;"-"&amp;VLOOKUP($U149,CODE!$K:$P,CODE!P$1,FALSE))</f>
        <v>JIL</v>
      </c>
      <c r="P149" s="11" t="s">
        <v>32</v>
      </c>
      <c r="R149" s="11">
        <v>7</v>
      </c>
      <c r="T149" s="8" t="s">
        <v>32</v>
      </c>
      <c r="U149" s="8" t="s">
        <v>35</v>
      </c>
      <c r="V149" s="8" t="s">
        <v>43</v>
      </c>
      <c r="W149" s="8" t="s">
        <v>1225</v>
      </c>
      <c r="X149" s="8" t="s">
        <v>900</v>
      </c>
      <c r="Y149" s="9">
        <v>1</v>
      </c>
      <c r="Z149" s="8" t="s">
        <v>6</v>
      </c>
      <c r="AA149" s="10">
        <v>41655</v>
      </c>
      <c r="AB149" s="10">
        <v>41683</v>
      </c>
      <c r="AC149" s="10">
        <v>41683</v>
      </c>
      <c r="AD149" s="10">
        <v>41731</v>
      </c>
      <c r="AH149" s="8">
        <v>6</v>
      </c>
      <c r="AI149" s="8">
        <v>2</v>
      </c>
    </row>
    <row r="150" spans="1:35">
      <c r="A150" s="7">
        <f t="shared" si="44"/>
        <v>1</v>
      </c>
      <c r="B150" s="7" t="str">
        <f t="shared" si="48"/>
        <v>14FW-JILL-BY_07_NV</v>
      </c>
      <c r="C150" s="7">
        <f t="shared" si="45"/>
        <v>1</v>
      </c>
      <c r="D150" s="7" t="str">
        <f t="shared" si="49"/>
        <v>FOREMOST14FW-JILL-BY_07_NV</v>
      </c>
      <c r="E150" s="12" t="str">
        <f t="shared" si="50"/>
        <v>201401</v>
      </c>
      <c r="F150" s="347" t="str">
        <f>VLOOKUP($AA150,[3]주!$A:$F,6,FALSE)</f>
        <v>1월 3주</v>
      </c>
      <c r="G150" s="7">
        <f t="shared" si="46"/>
        <v>1</v>
      </c>
      <c r="H150" s="7" t="str">
        <f t="shared" si="51"/>
        <v>14FW-JILL-BY_07_NV</v>
      </c>
      <c r="I150" s="7">
        <f t="shared" si="47"/>
        <v>1</v>
      </c>
      <c r="J150" s="7" t="str">
        <f t="shared" si="52"/>
        <v>FOREMOST14FW-JILL-BY_07_NV</v>
      </c>
      <c r="K150" s="17">
        <f t="shared" si="53"/>
        <v>41737</v>
      </c>
      <c r="L150" s="12" t="str">
        <f t="shared" si="54"/>
        <v>201404</v>
      </c>
      <c r="M150" s="347" t="str">
        <f>VLOOKUP($K150,[3]주!$A:$F,6,FALSE)</f>
        <v>3월 2주</v>
      </c>
      <c r="N150" s="273" t="str">
        <f>IF(VLOOKUP($Z150,생산업체!$A:$C,2,FALSE)=1,"해외","국내")</f>
        <v>해외</v>
      </c>
      <c r="O150" s="12" t="str">
        <f>IF(VLOOKUP($U150,CODE!$K:$P,CODE!P$1,FALSE)="모자",T150,T150&amp;"-"&amp;VLOOKUP($U150,CODE!$K:$P,CODE!P$1,FALSE))</f>
        <v>JIL</v>
      </c>
      <c r="P150" s="11" t="s">
        <v>32</v>
      </c>
      <c r="R150" s="11">
        <v>8</v>
      </c>
      <c r="T150" s="8" t="s">
        <v>32</v>
      </c>
      <c r="U150" s="8" t="s">
        <v>36</v>
      </c>
      <c r="V150" s="8" t="s">
        <v>43</v>
      </c>
      <c r="W150" s="8" t="s">
        <v>1226</v>
      </c>
      <c r="X150" s="8" t="s">
        <v>900</v>
      </c>
      <c r="Y150" s="9">
        <v>1</v>
      </c>
      <c r="Z150" s="8" t="s">
        <v>6</v>
      </c>
      <c r="AA150" s="10">
        <v>41655</v>
      </c>
      <c r="AB150" s="10">
        <v>41683</v>
      </c>
      <c r="AC150" s="10">
        <v>41683</v>
      </c>
      <c r="AD150" s="10">
        <v>41737</v>
      </c>
      <c r="AH150" s="8">
        <v>3</v>
      </c>
      <c r="AI150" s="8">
        <v>1</v>
      </c>
    </row>
    <row r="151" spans="1:35">
      <c r="A151" s="7">
        <f t="shared" si="44"/>
        <v>1</v>
      </c>
      <c r="B151" s="7" t="str">
        <f t="shared" si="48"/>
        <v>14FW-JILLBY-08-BK</v>
      </c>
      <c r="C151" s="7">
        <f t="shared" si="45"/>
        <v>1</v>
      </c>
      <c r="D151" s="7" t="str">
        <f t="shared" si="49"/>
        <v>FOREMOST14FW-JILLBY-08-BK</v>
      </c>
      <c r="E151" s="12" t="str">
        <f t="shared" si="50"/>
        <v>201401</v>
      </c>
      <c r="F151" s="347" t="str">
        <f>VLOOKUP($AA151,[3]주!$A:$F,6,FALSE)</f>
        <v>1월 3주</v>
      </c>
      <c r="G151" s="7">
        <f t="shared" si="46"/>
        <v>1</v>
      </c>
      <c r="H151" s="7" t="str">
        <f t="shared" si="51"/>
        <v>14FW-JILLBY-08-BK</v>
      </c>
      <c r="I151" s="7">
        <f t="shared" si="47"/>
        <v>1</v>
      </c>
      <c r="J151" s="7" t="str">
        <f t="shared" si="52"/>
        <v>FOREMOST14FW-JILLBY-08-BK</v>
      </c>
      <c r="K151" s="17">
        <f t="shared" si="53"/>
        <v>41717</v>
      </c>
      <c r="L151" s="12" t="str">
        <f t="shared" si="54"/>
        <v>201403</v>
      </c>
      <c r="M151" s="347" t="str">
        <f>VLOOKUP($K151,[3]주!$A:$F,6,FALSE)</f>
        <v>3월 2주</v>
      </c>
      <c r="N151" s="273" t="str">
        <f>IF(VLOOKUP($Z151,생산업체!$A:$C,2,FALSE)=1,"해외","국내")</f>
        <v>해외</v>
      </c>
      <c r="O151" s="12" t="str">
        <f>IF(VLOOKUP($U151,CODE!$K:$P,CODE!P$1,FALSE)="모자",T151,T151&amp;"-"&amp;VLOOKUP($U151,CODE!$K:$P,CODE!P$1,FALSE))</f>
        <v>JIL</v>
      </c>
      <c r="P151" s="11" t="s">
        <v>32</v>
      </c>
      <c r="R151" s="11">
        <v>9</v>
      </c>
      <c r="T151" s="8" t="s">
        <v>32</v>
      </c>
      <c r="U151" s="8" t="s">
        <v>33</v>
      </c>
      <c r="V151" s="8" t="s">
        <v>43</v>
      </c>
      <c r="W151" s="8" t="s">
        <v>1227</v>
      </c>
      <c r="X151" s="8" t="s">
        <v>900</v>
      </c>
      <c r="Y151" s="9">
        <v>1</v>
      </c>
      <c r="Z151" s="8" t="s">
        <v>6</v>
      </c>
      <c r="AA151" s="10">
        <v>41655</v>
      </c>
      <c r="AB151" s="10">
        <v>41683</v>
      </c>
      <c r="AC151" s="10">
        <v>41683</v>
      </c>
      <c r="AD151" s="10">
        <v>41717</v>
      </c>
      <c r="AE151" s="8">
        <v>5.05</v>
      </c>
      <c r="AH151" s="8">
        <v>4</v>
      </c>
      <c r="AI151" s="8">
        <v>3</v>
      </c>
    </row>
    <row r="152" spans="1:35">
      <c r="A152" s="7">
        <f t="shared" si="44"/>
        <v>1</v>
      </c>
      <c r="B152" s="7" t="str">
        <f t="shared" si="48"/>
        <v>14FW-JILLBY-09-KH</v>
      </c>
      <c r="C152" s="7">
        <f t="shared" si="45"/>
        <v>1</v>
      </c>
      <c r="D152" s="7" t="str">
        <f t="shared" si="49"/>
        <v>FOREMOST14FW-JILLBY-09-KH</v>
      </c>
      <c r="E152" s="12" t="str">
        <f t="shared" si="50"/>
        <v>201401</v>
      </c>
      <c r="F152" s="347" t="str">
        <f>VLOOKUP($AA152,[3]주!$A:$F,6,FALSE)</f>
        <v>1월 3주</v>
      </c>
      <c r="G152" s="7">
        <f t="shared" si="46"/>
        <v>1</v>
      </c>
      <c r="H152" s="7" t="str">
        <f t="shared" si="51"/>
        <v>14FW-JILLBY-09-KH</v>
      </c>
      <c r="I152" s="7">
        <f t="shared" si="47"/>
        <v>1</v>
      </c>
      <c r="J152" s="7" t="str">
        <f t="shared" si="52"/>
        <v>FOREMOST14FW-JILLBY-09-KH</v>
      </c>
      <c r="K152" s="17">
        <f t="shared" si="53"/>
        <v>41710</v>
      </c>
      <c r="L152" s="12" t="str">
        <f t="shared" si="54"/>
        <v>201403</v>
      </c>
      <c r="M152" s="347" t="str">
        <f>VLOOKUP($K152,[3]주!$A:$F,6,FALSE)</f>
        <v>3월 2주</v>
      </c>
      <c r="N152" s="273" t="str">
        <f>IF(VLOOKUP($Z152,생산업체!$A:$C,2,FALSE)=1,"해외","국내")</f>
        <v>해외</v>
      </c>
      <c r="O152" s="12" t="str">
        <f>IF(VLOOKUP($U152,CODE!$K:$P,CODE!P$1,FALSE)="모자",T152,T152&amp;"-"&amp;VLOOKUP($U152,CODE!$K:$P,CODE!P$1,FALSE))</f>
        <v>JIL</v>
      </c>
      <c r="P152" s="11" t="s">
        <v>32</v>
      </c>
      <c r="R152" s="11">
        <v>10</v>
      </c>
      <c r="T152" s="8" t="s">
        <v>32</v>
      </c>
      <c r="U152" s="8" t="s">
        <v>33</v>
      </c>
      <c r="V152" s="8" t="s">
        <v>43</v>
      </c>
      <c r="W152" s="8" t="s">
        <v>1228</v>
      </c>
      <c r="X152" s="8" t="s">
        <v>900</v>
      </c>
      <c r="Y152" s="9">
        <v>1</v>
      </c>
      <c r="Z152" s="8" t="s">
        <v>6</v>
      </c>
      <c r="AA152" s="10">
        <v>41655</v>
      </c>
      <c r="AB152" s="10">
        <v>41683</v>
      </c>
      <c r="AC152" s="10">
        <v>41683</v>
      </c>
      <c r="AD152" s="10">
        <v>41710</v>
      </c>
      <c r="AE152" s="8">
        <v>3.85</v>
      </c>
      <c r="AH152" s="8">
        <v>4</v>
      </c>
      <c r="AI152" s="8">
        <v>1</v>
      </c>
    </row>
    <row r="153" spans="1:35">
      <c r="A153" s="7">
        <f t="shared" si="44"/>
        <v>0.5</v>
      </c>
      <c r="B153" s="7" t="str">
        <f t="shared" ref="B153:B176" si="59">IF(AA153="","",W153)</f>
        <v>14FW-JILLBY-10-GY</v>
      </c>
      <c r="C153" s="7">
        <f t="shared" si="45"/>
        <v>1</v>
      </c>
      <c r="D153" s="7" t="str">
        <f t="shared" ref="D153:D176" si="60">IF(AA153="","",Z153&amp;W153)</f>
        <v>FOREMOST14FW-JILLBY-10-GY</v>
      </c>
      <c r="E153" s="12" t="str">
        <f t="shared" ref="E153:E176" si="61">IF(YEAR(AA153)&lt;10,0&amp;YEAR(AA153),YEAR(AA153))&amp;IF(MONTH(AA153)&lt;10,0&amp;MONTH(AA153),MONTH(AA153))</f>
        <v>201401</v>
      </c>
      <c r="F153" s="347" t="str">
        <f>VLOOKUP($AA153,[3]주!$A:$F,6,FALSE)</f>
        <v>1월 3주</v>
      </c>
      <c r="G153" s="7">
        <f t="shared" si="46"/>
        <v>0.5</v>
      </c>
      <c r="H153" s="7" t="str">
        <f t="shared" ref="H153:H176" si="62">IF(AD153="","",W153)</f>
        <v>14FW-JILLBY-10-GY</v>
      </c>
      <c r="I153" s="7">
        <f t="shared" si="47"/>
        <v>1</v>
      </c>
      <c r="J153" s="7" t="str">
        <f t="shared" ref="J153:J176" si="63">IF(AD153="","",Z153&amp;W153)</f>
        <v>FOREMOST14FW-JILLBY-10-GY</v>
      </c>
      <c r="K153" s="17">
        <f t="shared" ref="K153:K176" si="64">IF(AD153="",AC153,AD153)</f>
        <v>41716</v>
      </c>
      <c r="L153" s="12" t="str">
        <f t="shared" ref="L153:L176" si="65">IF(YEAR(K153)&lt;10,0&amp;YEAR(K153),YEAR(K153))&amp;IF(MONTH(K153)&lt;10,0&amp;MONTH(K153),MONTH(K153))</f>
        <v>201403</v>
      </c>
      <c r="M153" s="347" t="str">
        <f>VLOOKUP($K153,[3]주!$A:$F,6,FALSE)</f>
        <v>3월 2주</v>
      </c>
      <c r="N153" s="273" t="str">
        <f>IF(VLOOKUP($Z153,생산업체!$A:$C,2,FALSE)=1,"해외","국내")</f>
        <v>해외</v>
      </c>
      <c r="O153" s="12" t="str">
        <f>IF(VLOOKUP($U153,CODE!$K:$P,CODE!P$1,FALSE)="모자",T153,T153&amp;"-"&amp;VLOOKUP($U153,CODE!$K:$P,CODE!P$1,FALSE))</f>
        <v>JIL</v>
      </c>
      <c r="P153" s="11" t="s">
        <v>32</v>
      </c>
      <c r="R153" s="11">
        <v>11</v>
      </c>
      <c r="T153" s="8" t="s">
        <v>32</v>
      </c>
      <c r="U153" s="8" t="s">
        <v>33</v>
      </c>
      <c r="V153" s="8" t="s">
        <v>43</v>
      </c>
      <c r="W153" s="8" t="s">
        <v>1229</v>
      </c>
      <c r="X153" s="8" t="s">
        <v>900</v>
      </c>
      <c r="Y153" s="9">
        <v>0.5</v>
      </c>
      <c r="Z153" s="8" t="s">
        <v>6</v>
      </c>
      <c r="AA153" s="10">
        <v>41655</v>
      </c>
      <c r="AB153" s="10">
        <v>41683</v>
      </c>
      <c r="AC153" s="10">
        <v>41683</v>
      </c>
      <c r="AD153" s="10">
        <v>41716</v>
      </c>
      <c r="AE153" s="8">
        <v>4.75</v>
      </c>
      <c r="AH153" s="8">
        <v>3</v>
      </c>
      <c r="AI153" s="8">
        <v>1</v>
      </c>
    </row>
    <row r="154" spans="1:35">
      <c r="A154" s="7">
        <f t="shared" si="44"/>
        <v>0.5</v>
      </c>
      <c r="B154" s="7" t="str">
        <f t="shared" si="59"/>
        <v>14FW-JILLBY-10-GY</v>
      </c>
      <c r="C154" s="7">
        <f t="shared" si="45"/>
        <v>1</v>
      </c>
      <c r="D154" s="7" t="str">
        <f t="shared" si="60"/>
        <v>동일모자14FW-JILLBY-10-GY</v>
      </c>
      <c r="E154" s="12" t="str">
        <f t="shared" si="61"/>
        <v>201401</v>
      </c>
      <c r="F154" s="347" t="str">
        <f>VLOOKUP($AA154,[3]주!$A:$F,6,FALSE)</f>
        <v>1월 3주</v>
      </c>
      <c r="G154" s="7">
        <f t="shared" si="46"/>
        <v>0.5</v>
      </c>
      <c r="H154" s="7" t="str">
        <f t="shared" si="62"/>
        <v>14FW-JILLBY-10-GY</v>
      </c>
      <c r="I154" s="7">
        <f t="shared" si="47"/>
        <v>1</v>
      </c>
      <c r="J154" s="7" t="str">
        <f t="shared" si="63"/>
        <v>동일모자14FW-JILLBY-10-GY</v>
      </c>
      <c r="K154" s="17">
        <f t="shared" si="64"/>
        <v>41670</v>
      </c>
      <c r="L154" s="12" t="str">
        <f t="shared" si="65"/>
        <v>201401</v>
      </c>
      <c r="M154" s="347" t="str">
        <f>VLOOKUP($K154,[3]주!$A:$F,6,FALSE)</f>
        <v>1월 5주</v>
      </c>
      <c r="N154" s="273" t="str">
        <f>IF(VLOOKUP($Z154,생산업체!$A:$C,2,FALSE)=1,"해외","국내")</f>
        <v>해외</v>
      </c>
      <c r="O154" s="12" t="str">
        <f>IF(VLOOKUP($U154,CODE!$K:$P,CODE!P$1,FALSE)="모자",T154,T154&amp;"-"&amp;VLOOKUP($U154,CODE!$K:$P,CODE!P$1,FALSE))</f>
        <v>JIL</v>
      </c>
      <c r="P154" s="11" t="s">
        <v>32</v>
      </c>
      <c r="R154" s="11">
        <v>12</v>
      </c>
      <c r="T154" s="8" t="s">
        <v>32</v>
      </c>
      <c r="U154" s="8" t="s">
        <v>33</v>
      </c>
      <c r="V154" s="8" t="s">
        <v>43</v>
      </c>
      <c r="W154" s="8" t="s">
        <v>1229</v>
      </c>
      <c r="X154" s="8" t="s">
        <v>900</v>
      </c>
      <c r="Y154" s="9">
        <v>0.5</v>
      </c>
      <c r="Z154" s="8" t="s">
        <v>44</v>
      </c>
      <c r="AA154" s="10">
        <v>41655</v>
      </c>
      <c r="AB154" s="10">
        <v>41683</v>
      </c>
      <c r="AC154" s="10">
        <v>41683</v>
      </c>
      <c r="AD154" s="10">
        <v>41670</v>
      </c>
      <c r="AE154" s="8">
        <v>4.8</v>
      </c>
      <c r="AH154" s="8">
        <v>3</v>
      </c>
      <c r="AI154" s="8">
        <v>1</v>
      </c>
    </row>
    <row r="155" spans="1:35">
      <c r="A155" s="7">
        <f t="shared" si="44"/>
        <v>1</v>
      </c>
      <c r="B155" s="7" t="str">
        <f t="shared" si="59"/>
        <v>14FW-JILLBY-11-GY</v>
      </c>
      <c r="C155" s="7">
        <f t="shared" si="45"/>
        <v>1</v>
      </c>
      <c r="D155" s="7" t="str">
        <f t="shared" si="60"/>
        <v>FOREMOST14FW-JILLBY-11-GY</v>
      </c>
      <c r="E155" s="12" t="str">
        <f t="shared" si="61"/>
        <v>201401</v>
      </c>
      <c r="F155" s="347" t="str">
        <f>VLOOKUP($AA155,[3]주!$A:$F,6,FALSE)</f>
        <v>1월 3주</v>
      </c>
      <c r="G155" s="7">
        <f t="shared" si="46"/>
        <v>1</v>
      </c>
      <c r="H155" s="7" t="str">
        <f t="shared" si="62"/>
        <v>14FW-JILLBY-11-GY</v>
      </c>
      <c r="I155" s="7">
        <f t="shared" si="47"/>
        <v>1</v>
      </c>
      <c r="J155" s="7" t="str">
        <f t="shared" si="63"/>
        <v>FOREMOST14FW-JILLBY-11-GY</v>
      </c>
      <c r="K155" s="17">
        <f t="shared" si="64"/>
        <v>41719</v>
      </c>
      <c r="L155" s="12" t="str">
        <f t="shared" si="65"/>
        <v>201403</v>
      </c>
      <c r="M155" s="347" t="str">
        <f>VLOOKUP($K155,[3]주!$A:$F,6,FALSE)</f>
        <v>3월 2주</v>
      </c>
      <c r="N155" s="273" t="str">
        <f>IF(VLOOKUP($Z155,생산업체!$A:$C,2,FALSE)=1,"해외","국내")</f>
        <v>해외</v>
      </c>
      <c r="O155" s="12" t="str">
        <f>IF(VLOOKUP($U155,CODE!$K:$P,CODE!P$1,FALSE)="모자",T155,T155&amp;"-"&amp;VLOOKUP($U155,CODE!$K:$P,CODE!P$1,FALSE))</f>
        <v>JIL</v>
      </c>
      <c r="P155" s="11" t="s">
        <v>32</v>
      </c>
      <c r="R155" s="11">
        <v>13</v>
      </c>
      <c r="T155" s="8" t="s">
        <v>32</v>
      </c>
      <c r="U155" s="8" t="s">
        <v>38</v>
      </c>
      <c r="V155" s="8" t="s">
        <v>43</v>
      </c>
      <c r="W155" s="8" t="s">
        <v>1230</v>
      </c>
      <c r="X155" s="8" t="s">
        <v>900</v>
      </c>
      <c r="Y155" s="9">
        <v>1</v>
      </c>
      <c r="Z155" s="8" t="s">
        <v>6</v>
      </c>
      <c r="AA155" s="10">
        <v>41655</v>
      </c>
      <c r="AB155" s="10">
        <v>41683</v>
      </c>
      <c r="AC155" s="10">
        <v>41683</v>
      </c>
      <c r="AD155" s="10">
        <v>41719</v>
      </c>
      <c r="AE155" s="8">
        <v>4.3499999999999996</v>
      </c>
      <c r="AH155" s="8">
        <v>5</v>
      </c>
      <c r="AI155" s="8">
        <v>2</v>
      </c>
    </row>
    <row r="156" spans="1:35">
      <c r="A156" s="7">
        <f t="shared" si="44"/>
        <v>1</v>
      </c>
      <c r="B156" s="7" t="str">
        <f t="shared" si="59"/>
        <v>14FW-JILLBY-12-BG</v>
      </c>
      <c r="C156" s="7">
        <f t="shared" si="45"/>
        <v>1</v>
      </c>
      <c r="D156" s="7" t="str">
        <f t="shared" si="60"/>
        <v>FOREMOST14FW-JILLBY-12-BG</v>
      </c>
      <c r="E156" s="12" t="str">
        <f t="shared" si="61"/>
        <v>201401</v>
      </c>
      <c r="F156" s="347" t="str">
        <f>VLOOKUP($AA156,[3]주!$A:$F,6,FALSE)</f>
        <v>1월 3주</v>
      </c>
      <c r="G156" s="7">
        <f t="shared" si="46"/>
        <v>1</v>
      </c>
      <c r="H156" s="7" t="str">
        <f t="shared" si="62"/>
        <v>14FW-JILLBY-12-BG</v>
      </c>
      <c r="I156" s="7">
        <f t="shared" si="47"/>
        <v>1</v>
      </c>
      <c r="J156" s="7" t="str">
        <f t="shared" si="63"/>
        <v>FOREMOST14FW-JILLBY-12-BG</v>
      </c>
      <c r="K156" s="17">
        <f t="shared" si="64"/>
        <v>41716</v>
      </c>
      <c r="L156" s="12" t="str">
        <f t="shared" si="65"/>
        <v>201403</v>
      </c>
      <c r="M156" s="347" t="str">
        <f>VLOOKUP($K156,[3]주!$A:$F,6,FALSE)</f>
        <v>3월 2주</v>
      </c>
      <c r="N156" s="273" t="str">
        <f>IF(VLOOKUP($Z156,생산업체!$A:$C,2,FALSE)=1,"해외","국내")</f>
        <v>해외</v>
      </c>
      <c r="O156" s="12" t="str">
        <f>IF(VLOOKUP($U156,CODE!$K:$P,CODE!P$1,FALSE)="모자",T156,T156&amp;"-"&amp;VLOOKUP($U156,CODE!$K:$P,CODE!P$1,FALSE))</f>
        <v>JIL</v>
      </c>
      <c r="P156" s="11" t="s">
        <v>32</v>
      </c>
      <c r="R156" s="11">
        <v>14</v>
      </c>
      <c r="T156" s="8" t="s">
        <v>32</v>
      </c>
      <c r="U156" s="8" t="s">
        <v>38</v>
      </c>
      <c r="V156" s="8" t="s">
        <v>43</v>
      </c>
      <c r="W156" s="8" t="s">
        <v>1231</v>
      </c>
      <c r="X156" s="8" t="s">
        <v>900</v>
      </c>
      <c r="Y156" s="9">
        <v>1</v>
      </c>
      <c r="Z156" s="8" t="s">
        <v>6</v>
      </c>
      <c r="AA156" s="10">
        <v>41655</v>
      </c>
      <c r="AB156" s="10">
        <v>41683</v>
      </c>
      <c r="AC156" s="10">
        <v>41683</v>
      </c>
      <c r="AD156" s="10">
        <v>41716</v>
      </c>
      <c r="AE156" s="8">
        <v>5.05</v>
      </c>
      <c r="AH156" s="8">
        <v>5</v>
      </c>
      <c r="AI156" s="8">
        <v>2</v>
      </c>
    </row>
    <row r="157" spans="1:35">
      <c r="A157" s="7">
        <f t="shared" si="44"/>
        <v>1</v>
      </c>
      <c r="B157" s="7" t="str">
        <f t="shared" si="59"/>
        <v>14FW-JILLBY-13-PK</v>
      </c>
      <c r="C157" s="7">
        <f t="shared" si="45"/>
        <v>1</v>
      </c>
      <c r="D157" s="7" t="str">
        <f t="shared" si="60"/>
        <v>FOREMOST14FW-JILLBY-13-PK</v>
      </c>
      <c r="E157" s="12" t="str">
        <f t="shared" si="61"/>
        <v>201401</v>
      </c>
      <c r="F157" s="347" t="str">
        <f>VLOOKUP($AA157,[3]주!$A:$F,6,FALSE)</f>
        <v>1월 3주</v>
      </c>
      <c r="G157" s="7">
        <f t="shared" si="46"/>
        <v>1</v>
      </c>
      <c r="H157" s="7" t="str">
        <f t="shared" si="62"/>
        <v>14FW-JILLBY-13-PK</v>
      </c>
      <c r="I157" s="7">
        <f t="shared" si="47"/>
        <v>1</v>
      </c>
      <c r="J157" s="7" t="str">
        <f t="shared" si="63"/>
        <v>FOREMOST14FW-JILLBY-13-PK</v>
      </c>
      <c r="K157" s="17">
        <f t="shared" si="64"/>
        <v>41725</v>
      </c>
      <c r="L157" s="12" t="str">
        <f t="shared" si="65"/>
        <v>201403</v>
      </c>
      <c r="M157" s="347" t="str">
        <f>VLOOKUP($K157,[3]주!$A:$F,6,FALSE)</f>
        <v>3월 2주</v>
      </c>
      <c r="N157" s="273" t="str">
        <f>IF(VLOOKUP($Z157,생산업체!$A:$C,2,FALSE)=1,"해외","국내")</f>
        <v>해외</v>
      </c>
      <c r="O157" s="12" t="str">
        <f>IF(VLOOKUP($U157,CODE!$K:$P,CODE!P$1,FALSE)="모자",T157,T157&amp;"-"&amp;VLOOKUP($U157,CODE!$K:$P,CODE!P$1,FALSE))</f>
        <v>JIL</v>
      </c>
      <c r="P157" s="11" t="s">
        <v>32</v>
      </c>
      <c r="R157" s="11">
        <v>15</v>
      </c>
      <c r="T157" s="8" t="s">
        <v>32</v>
      </c>
      <c r="U157" s="8" t="s">
        <v>38</v>
      </c>
      <c r="V157" s="8" t="s">
        <v>43</v>
      </c>
      <c r="W157" s="8" t="s">
        <v>1232</v>
      </c>
      <c r="X157" s="8" t="s">
        <v>900</v>
      </c>
      <c r="Y157" s="9">
        <v>1</v>
      </c>
      <c r="Z157" s="8" t="s">
        <v>6</v>
      </c>
      <c r="AA157" s="10">
        <v>41655</v>
      </c>
      <c r="AB157" s="10">
        <v>41683</v>
      </c>
      <c r="AC157" s="10">
        <v>41683</v>
      </c>
      <c r="AD157" s="10">
        <v>41725</v>
      </c>
      <c r="AE157" s="8">
        <v>4.3</v>
      </c>
      <c r="AH157" s="8">
        <v>5</v>
      </c>
      <c r="AI157" s="8">
        <v>1</v>
      </c>
    </row>
    <row r="158" spans="1:35">
      <c r="A158" s="7">
        <f t="shared" si="44"/>
        <v>1</v>
      </c>
      <c r="B158" s="7" t="str">
        <f t="shared" si="59"/>
        <v>14FW-JILLBY-14-GY</v>
      </c>
      <c r="C158" s="7">
        <f t="shared" si="45"/>
        <v>1</v>
      </c>
      <c r="D158" s="7" t="str">
        <f t="shared" si="60"/>
        <v>FOREMOST14FW-JILLBY-14-GY</v>
      </c>
      <c r="E158" s="12" t="str">
        <f t="shared" si="61"/>
        <v>201401</v>
      </c>
      <c r="F158" s="347" t="str">
        <f>VLOOKUP($AA158,[3]주!$A:$F,6,FALSE)</f>
        <v>1월 3주</v>
      </c>
      <c r="G158" s="7">
        <f t="shared" si="46"/>
        <v>1</v>
      </c>
      <c r="H158" s="7" t="str">
        <f t="shared" si="62"/>
        <v>14FW-JILLBY-14-GY</v>
      </c>
      <c r="I158" s="7">
        <f t="shared" si="47"/>
        <v>1</v>
      </c>
      <c r="J158" s="7" t="str">
        <f t="shared" si="63"/>
        <v>FOREMOST14FW-JILLBY-14-GY</v>
      </c>
      <c r="K158" s="17">
        <f t="shared" si="64"/>
        <v>41716</v>
      </c>
      <c r="L158" s="12" t="str">
        <f t="shared" si="65"/>
        <v>201403</v>
      </c>
      <c r="M158" s="347" t="str">
        <f>VLOOKUP($K158,[3]주!$A:$F,6,FALSE)</f>
        <v>3월 2주</v>
      </c>
      <c r="N158" s="273" t="str">
        <f>IF(VLOOKUP($Z158,생산업체!$A:$C,2,FALSE)=1,"해외","국내")</f>
        <v>해외</v>
      </c>
      <c r="O158" s="12" t="str">
        <f>IF(VLOOKUP($U158,CODE!$K:$P,CODE!P$1,FALSE)="모자",T158,T158&amp;"-"&amp;VLOOKUP($U158,CODE!$K:$P,CODE!P$1,FALSE))</f>
        <v>JIL</v>
      </c>
      <c r="P158" s="11" t="s">
        <v>32</v>
      </c>
      <c r="R158" s="11">
        <v>16</v>
      </c>
      <c r="T158" s="8" t="s">
        <v>32</v>
      </c>
      <c r="U158" s="8" t="s">
        <v>38</v>
      </c>
      <c r="V158" s="8" t="s">
        <v>43</v>
      </c>
      <c r="W158" s="8" t="s">
        <v>1233</v>
      </c>
      <c r="X158" s="8" t="s">
        <v>900</v>
      </c>
      <c r="Y158" s="9">
        <v>1</v>
      </c>
      <c r="Z158" s="8" t="s">
        <v>6</v>
      </c>
      <c r="AA158" s="10">
        <v>41655</v>
      </c>
      <c r="AB158" s="10">
        <v>41683</v>
      </c>
      <c r="AC158" s="10">
        <v>41683</v>
      </c>
      <c r="AD158" s="10">
        <v>41716</v>
      </c>
      <c r="AE158" s="8">
        <v>9</v>
      </c>
      <c r="AH158" s="8">
        <v>4</v>
      </c>
      <c r="AI158" s="8">
        <v>2</v>
      </c>
    </row>
    <row r="159" spans="1:35">
      <c r="A159" s="7">
        <f t="shared" si="44"/>
        <v>1</v>
      </c>
      <c r="B159" s="7" t="str">
        <f t="shared" si="59"/>
        <v>14FW-JILLBY-15-BK</v>
      </c>
      <c r="C159" s="7">
        <f t="shared" si="45"/>
        <v>1</v>
      </c>
      <c r="D159" s="7" t="str">
        <f t="shared" si="60"/>
        <v>FOREMOST14FW-JILLBY-15-BK</v>
      </c>
      <c r="E159" s="12" t="str">
        <f t="shared" si="61"/>
        <v>201401</v>
      </c>
      <c r="F159" s="347" t="str">
        <f>VLOOKUP($AA159,[3]주!$A:$F,6,FALSE)</f>
        <v>1월 3주</v>
      </c>
      <c r="G159" s="7">
        <f t="shared" si="46"/>
        <v>1</v>
      </c>
      <c r="H159" s="7" t="str">
        <f t="shared" si="62"/>
        <v>14FW-JILLBY-15-BK</v>
      </c>
      <c r="I159" s="7">
        <f t="shared" si="47"/>
        <v>1</v>
      </c>
      <c r="J159" s="7" t="str">
        <f t="shared" si="63"/>
        <v>FOREMOST14FW-JILLBY-15-BK</v>
      </c>
      <c r="K159" s="17">
        <f t="shared" si="64"/>
        <v>41716</v>
      </c>
      <c r="L159" s="12" t="str">
        <f t="shared" si="65"/>
        <v>201403</v>
      </c>
      <c r="M159" s="347" t="str">
        <f>VLOOKUP($K159,[3]주!$A:$F,6,FALSE)</f>
        <v>3월 2주</v>
      </c>
      <c r="N159" s="273" t="str">
        <f>IF(VLOOKUP($Z159,생산업체!$A:$C,2,FALSE)=1,"해외","국내")</f>
        <v>해외</v>
      </c>
      <c r="O159" s="12" t="str">
        <f>IF(VLOOKUP($U159,CODE!$K:$P,CODE!P$1,FALSE)="모자",T159,T159&amp;"-"&amp;VLOOKUP($U159,CODE!$K:$P,CODE!P$1,FALSE))</f>
        <v>JIL</v>
      </c>
      <c r="P159" s="11" t="s">
        <v>32</v>
      </c>
      <c r="R159" s="11">
        <v>17</v>
      </c>
      <c r="T159" s="8" t="s">
        <v>32</v>
      </c>
      <c r="U159" s="8" t="s">
        <v>38</v>
      </c>
      <c r="V159" s="8" t="s">
        <v>43</v>
      </c>
      <c r="W159" s="8" t="s">
        <v>1234</v>
      </c>
      <c r="X159" s="8" t="s">
        <v>900</v>
      </c>
      <c r="Y159" s="9">
        <v>1</v>
      </c>
      <c r="Z159" s="8" t="s">
        <v>6</v>
      </c>
      <c r="AA159" s="10">
        <v>41655</v>
      </c>
      <c r="AB159" s="10">
        <v>41683</v>
      </c>
      <c r="AC159" s="10">
        <v>41683</v>
      </c>
      <c r="AD159" s="10">
        <v>41716</v>
      </c>
      <c r="AE159" s="8">
        <v>5.6</v>
      </c>
      <c r="AG159" s="8">
        <v>41655</v>
      </c>
      <c r="AH159" s="8">
        <v>4</v>
      </c>
      <c r="AI159" s="8">
        <v>2</v>
      </c>
    </row>
    <row r="160" spans="1:35">
      <c r="A160" s="7">
        <f t="shared" si="44"/>
        <v>1</v>
      </c>
      <c r="B160" s="7" t="str">
        <f t="shared" si="59"/>
        <v>14FW JILL BY_16_NV</v>
      </c>
      <c r="C160" s="7">
        <f t="shared" si="45"/>
        <v>1</v>
      </c>
      <c r="D160" s="7" t="str">
        <f t="shared" si="60"/>
        <v>FOREMOST14FW JILL BY_16_NV</v>
      </c>
      <c r="E160" s="12" t="str">
        <f t="shared" si="61"/>
        <v>201402</v>
      </c>
      <c r="F160" s="347" t="str">
        <f>VLOOKUP($AA160,[3]주!$A:$F,6,FALSE)</f>
        <v>2월 1주</v>
      </c>
      <c r="G160" s="7">
        <f t="shared" si="46"/>
        <v>1</v>
      </c>
      <c r="H160" s="7" t="str">
        <f t="shared" si="62"/>
        <v>14FW JILL BY_16_NV</v>
      </c>
      <c r="I160" s="7">
        <f t="shared" si="47"/>
        <v>1</v>
      </c>
      <c r="J160" s="7" t="str">
        <f t="shared" si="63"/>
        <v>FOREMOST14FW JILL BY_16_NV</v>
      </c>
      <c r="K160" s="17">
        <f t="shared" si="64"/>
        <v>41710</v>
      </c>
      <c r="L160" s="12" t="str">
        <f t="shared" si="65"/>
        <v>201403</v>
      </c>
      <c r="M160" s="347" t="str">
        <f>VLOOKUP($K160,[3]주!$A:$F,6,FALSE)</f>
        <v>3월 2주</v>
      </c>
      <c r="N160" s="273" t="str">
        <f>IF(VLOOKUP($Z160,생산업체!$A:$C,2,FALSE)=1,"해외","국내")</f>
        <v>해외</v>
      </c>
      <c r="O160" s="12" t="str">
        <f>IF(VLOOKUP($U160,CODE!$K:$P,CODE!P$1,FALSE)="모자",T160,T160&amp;"-"&amp;VLOOKUP($U160,CODE!$K:$P,CODE!P$1,FALSE))</f>
        <v>JIL</v>
      </c>
      <c r="P160" s="11" t="s">
        <v>32</v>
      </c>
      <c r="R160" s="11">
        <v>18</v>
      </c>
      <c r="T160" s="8" t="s">
        <v>32</v>
      </c>
      <c r="U160" s="8" t="s">
        <v>36</v>
      </c>
      <c r="V160" s="8" t="s">
        <v>43</v>
      </c>
      <c r="W160" s="8" t="s">
        <v>1373</v>
      </c>
      <c r="X160" s="8" t="s">
        <v>900</v>
      </c>
      <c r="Y160" s="9">
        <v>1</v>
      </c>
      <c r="Z160" s="8" t="s">
        <v>6</v>
      </c>
      <c r="AA160" s="10">
        <v>41676</v>
      </c>
      <c r="AB160" s="10">
        <v>41704</v>
      </c>
      <c r="AC160" s="10">
        <v>41704</v>
      </c>
      <c r="AD160" s="10">
        <v>41710</v>
      </c>
      <c r="AE160" s="8">
        <v>5.45</v>
      </c>
      <c r="AH160" s="8">
        <v>3</v>
      </c>
      <c r="AI160" s="8">
        <v>2</v>
      </c>
    </row>
    <row r="161" spans="1:36">
      <c r="A161" s="7">
        <f t="shared" si="44"/>
        <v>1</v>
      </c>
      <c r="B161" s="7" t="str">
        <f t="shared" si="59"/>
        <v>14FW-JILLBY-17-BG</v>
      </c>
      <c r="C161" s="7">
        <f t="shared" si="45"/>
        <v>1</v>
      </c>
      <c r="D161" s="7" t="str">
        <f t="shared" si="60"/>
        <v>FOREMOST14FW-JILLBY-17-BG</v>
      </c>
      <c r="E161" s="12" t="str">
        <f t="shared" si="61"/>
        <v>201402</v>
      </c>
      <c r="F161" s="347" t="str">
        <f>VLOOKUP($AA161,[3]주!$A:$F,6,FALSE)</f>
        <v>2월 1주</v>
      </c>
      <c r="G161" s="7">
        <f t="shared" si="46"/>
        <v>1</v>
      </c>
      <c r="H161" s="7" t="str">
        <f t="shared" si="62"/>
        <v>14FW-JILLBY-17-BG</v>
      </c>
      <c r="I161" s="7">
        <f t="shared" si="47"/>
        <v>1</v>
      </c>
      <c r="J161" s="7" t="str">
        <f t="shared" si="63"/>
        <v>FOREMOST14FW-JILLBY-17-BG</v>
      </c>
      <c r="K161" s="17">
        <f t="shared" si="64"/>
        <v>41712</v>
      </c>
      <c r="L161" s="12" t="str">
        <f t="shared" si="65"/>
        <v>201403</v>
      </c>
      <c r="M161" s="347" t="str">
        <f>VLOOKUP($K161,[3]주!$A:$F,6,FALSE)</f>
        <v>3월 2주</v>
      </c>
      <c r="N161" s="273" t="str">
        <f>IF(VLOOKUP($Z161,생산업체!$A:$C,2,FALSE)=1,"해외","국내")</f>
        <v>해외</v>
      </c>
      <c r="O161" s="12" t="str">
        <f>IF(VLOOKUP($U161,CODE!$K:$P,CODE!P$1,FALSE)="모자",T161,T161&amp;"-"&amp;VLOOKUP($U161,CODE!$K:$P,CODE!P$1,FALSE))</f>
        <v>JIL</v>
      </c>
      <c r="P161" s="11" t="s">
        <v>32</v>
      </c>
      <c r="R161" s="11">
        <v>19</v>
      </c>
      <c r="T161" s="8" t="s">
        <v>32</v>
      </c>
      <c r="U161" s="8" t="s">
        <v>35</v>
      </c>
      <c r="V161" s="8" t="s">
        <v>43</v>
      </c>
      <c r="W161" s="8" t="s">
        <v>1374</v>
      </c>
      <c r="X161" s="8" t="s">
        <v>900</v>
      </c>
      <c r="Y161" s="9">
        <v>1</v>
      </c>
      <c r="Z161" s="8" t="s">
        <v>6</v>
      </c>
      <c r="AA161" s="10">
        <v>41676</v>
      </c>
      <c r="AB161" s="10">
        <v>41704</v>
      </c>
      <c r="AC161" s="10">
        <v>41704</v>
      </c>
      <c r="AD161" s="10">
        <v>41712</v>
      </c>
      <c r="AE161" s="8">
        <v>3.85</v>
      </c>
      <c r="AH161" s="8">
        <v>6</v>
      </c>
      <c r="AI161" s="8">
        <v>2</v>
      </c>
    </row>
    <row r="162" spans="1:36">
      <c r="A162" s="7">
        <f t="shared" si="44"/>
        <v>1</v>
      </c>
      <c r="B162" s="7" t="str">
        <f t="shared" si="59"/>
        <v>14FW-JILLBY-18-BK</v>
      </c>
      <c r="C162" s="7">
        <f t="shared" si="45"/>
        <v>1</v>
      </c>
      <c r="D162" s="7" t="str">
        <f t="shared" si="60"/>
        <v>FOREMOST14FW-JILLBY-18-BK</v>
      </c>
      <c r="E162" s="12" t="str">
        <f t="shared" si="61"/>
        <v>201402</v>
      </c>
      <c r="F162" s="347" t="str">
        <f>VLOOKUP($AA162,[3]주!$A:$F,6,FALSE)</f>
        <v>2월 1주</v>
      </c>
      <c r="G162" s="7">
        <f t="shared" si="46"/>
        <v>1</v>
      </c>
      <c r="H162" s="7" t="str">
        <f t="shared" si="62"/>
        <v>14FW-JILLBY-18-BK</v>
      </c>
      <c r="I162" s="7">
        <f t="shared" si="47"/>
        <v>1</v>
      </c>
      <c r="J162" s="7" t="str">
        <f t="shared" si="63"/>
        <v>FOREMOST14FW-JILLBY-18-BK</v>
      </c>
      <c r="K162" s="17">
        <f t="shared" si="64"/>
        <v>41716</v>
      </c>
      <c r="L162" s="12" t="str">
        <f t="shared" si="65"/>
        <v>201403</v>
      </c>
      <c r="M162" s="347" t="str">
        <f>VLOOKUP($K162,[3]주!$A:$F,6,FALSE)</f>
        <v>3월 2주</v>
      </c>
      <c r="N162" s="273" t="str">
        <f>IF(VLOOKUP($Z162,생산업체!$A:$C,2,FALSE)=1,"해외","국내")</f>
        <v>해외</v>
      </c>
      <c r="O162" s="12" t="str">
        <f>IF(VLOOKUP($U162,CODE!$K:$P,CODE!P$1,FALSE)="모자",T162,T162&amp;"-"&amp;VLOOKUP($U162,CODE!$K:$P,CODE!P$1,FALSE))</f>
        <v>JIL</v>
      </c>
      <c r="P162" s="11" t="s">
        <v>32</v>
      </c>
      <c r="R162" s="11">
        <v>20</v>
      </c>
      <c r="T162" s="8" t="s">
        <v>32</v>
      </c>
      <c r="U162" s="8" t="s">
        <v>33</v>
      </c>
      <c r="V162" s="8" t="s">
        <v>43</v>
      </c>
      <c r="W162" s="8" t="s">
        <v>1375</v>
      </c>
      <c r="X162" s="8" t="s">
        <v>900</v>
      </c>
      <c r="Y162" s="9">
        <v>1</v>
      </c>
      <c r="Z162" s="8" t="s">
        <v>6</v>
      </c>
      <c r="AA162" s="10">
        <v>41676</v>
      </c>
      <c r="AB162" s="10">
        <v>41704</v>
      </c>
      <c r="AC162" s="10">
        <v>41704</v>
      </c>
      <c r="AD162" s="10">
        <v>41716</v>
      </c>
      <c r="AE162" s="8">
        <v>4.45</v>
      </c>
      <c r="AH162" s="8">
        <v>6</v>
      </c>
      <c r="AI162" s="8">
        <v>2</v>
      </c>
    </row>
    <row r="163" spans="1:36">
      <c r="A163" s="7">
        <f t="shared" si="44"/>
        <v>1</v>
      </c>
      <c r="B163" s="7" t="str">
        <f t="shared" si="59"/>
        <v>14FW-JILLBY-19-NV</v>
      </c>
      <c r="C163" s="7">
        <f t="shared" si="45"/>
        <v>1</v>
      </c>
      <c r="D163" s="7" t="str">
        <f t="shared" si="60"/>
        <v>FOREMOST14FW-JILLBY-19-NV</v>
      </c>
      <c r="E163" s="12" t="str">
        <f t="shared" si="61"/>
        <v>201402</v>
      </c>
      <c r="F163" s="347" t="str">
        <f>VLOOKUP($AA163,[3]주!$A:$F,6,FALSE)</f>
        <v>2월 1주</v>
      </c>
      <c r="G163" s="7">
        <f t="shared" si="46"/>
        <v>1</v>
      </c>
      <c r="H163" s="7" t="str">
        <f t="shared" si="62"/>
        <v>14FW-JILLBY-19-NV</v>
      </c>
      <c r="I163" s="7">
        <f t="shared" si="47"/>
        <v>1</v>
      </c>
      <c r="J163" s="7" t="str">
        <f t="shared" si="63"/>
        <v>FOREMOST14FW-JILLBY-19-NV</v>
      </c>
      <c r="K163" s="17">
        <f t="shared" si="64"/>
        <v>41716</v>
      </c>
      <c r="L163" s="12" t="str">
        <f t="shared" si="65"/>
        <v>201403</v>
      </c>
      <c r="M163" s="347" t="str">
        <f>VLOOKUP($K163,[3]주!$A:$F,6,FALSE)</f>
        <v>3월 2주</v>
      </c>
      <c r="N163" s="273" t="str">
        <f>IF(VLOOKUP($Z163,생산업체!$A:$C,2,FALSE)=1,"해외","국내")</f>
        <v>해외</v>
      </c>
      <c r="O163" s="12" t="str">
        <f>IF(VLOOKUP($U163,CODE!$K:$P,CODE!P$1,FALSE)="모자",T163,T163&amp;"-"&amp;VLOOKUP($U163,CODE!$K:$P,CODE!P$1,FALSE))</f>
        <v>JIL</v>
      </c>
      <c r="P163" s="11" t="s">
        <v>32</v>
      </c>
      <c r="R163" s="11">
        <v>21</v>
      </c>
      <c r="T163" s="8" t="s">
        <v>32</v>
      </c>
      <c r="U163" s="8" t="s">
        <v>33</v>
      </c>
      <c r="V163" s="8" t="s">
        <v>43</v>
      </c>
      <c r="W163" s="8" t="s">
        <v>1376</v>
      </c>
      <c r="X163" s="8" t="s">
        <v>900</v>
      </c>
      <c r="Y163" s="9">
        <v>1</v>
      </c>
      <c r="Z163" s="8" t="s">
        <v>6</v>
      </c>
      <c r="AA163" s="10">
        <v>41676</v>
      </c>
      <c r="AB163" s="10">
        <v>41704</v>
      </c>
      <c r="AC163" s="10">
        <v>41704</v>
      </c>
      <c r="AD163" s="10">
        <v>41716</v>
      </c>
      <c r="AE163" s="8">
        <v>4.8</v>
      </c>
      <c r="AH163" s="8">
        <v>6</v>
      </c>
      <c r="AI163" s="8">
        <v>2</v>
      </c>
    </row>
    <row r="164" spans="1:36">
      <c r="A164" s="7">
        <f t="shared" si="44"/>
        <v>1</v>
      </c>
      <c r="B164" s="7" t="str">
        <f t="shared" si="59"/>
        <v>14FW-JILLBY-20-KH</v>
      </c>
      <c r="C164" s="7">
        <f t="shared" si="45"/>
        <v>1</v>
      </c>
      <c r="D164" s="7" t="str">
        <f t="shared" si="60"/>
        <v>FOREMOST14FW-JILLBY-20-KH</v>
      </c>
      <c r="E164" s="12" t="str">
        <f t="shared" si="61"/>
        <v>201402</v>
      </c>
      <c r="F164" s="347" t="str">
        <f>VLOOKUP($AA164,[3]주!$A:$F,6,FALSE)</f>
        <v>2월 1주</v>
      </c>
      <c r="G164" s="7">
        <f t="shared" si="46"/>
        <v>1</v>
      </c>
      <c r="H164" s="7" t="str">
        <f t="shared" si="62"/>
        <v>14FW-JILLBY-20-KH</v>
      </c>
      <c r="I164" s="7">
        <f t="shared" si="47"/>
        <v>1</v>
      </c>
      <c r="J164" s="7" t="str">
        <f t="shared" si="63"/>
        <v>FOREMOST14FW-JILLBY-20-KH</v>
      </c>
      <c r="K164" s="17">
        <f t="shared" si="64"/>
        <v>41712</v>
      </c>
      <c r="L164" s="12" t="str">
        <f t="shared" si="65"/>
        <v>201403</v>
      </c>
      <c r="M164" s="347" t="str">
        <f>VLOOKUP($K164,[3]주!$A:$F,6,FALSE)</f>
        <v>3월 2주</v>
      </c>
      <c r="N164" s="273" t="str">
        <f>IF(VLOOKUP($Z164,생산업체!$A:$C,2,FALSE)=1,"해외","국내")</f>
        <v>해외</v>
      </c>
      <c r="O164" s="12" t="str">
        <f>IF(VLOOKUP($U164,CODE!$K:$P,CODE!P$1,FALSE)="모자",T164,T164&amp;"-"&amp;VLOOKUP($U164,CODE!$K:$P,CODE!P$1,FALSE))</f>
        <v>JIL</v>
      </c>
      <c r="P164" s="11" t="s">
        <v>32</v>
      </c>
      <c r="R164" s="11">
        <v>22</v>
      </c>
      <c r="T164" s="8" t="s">
        <v>32</v>
      </c>
      <c r="U164" s="8" t="s">
        <v>28</v>
      </c>
      <c r="V164" s="8" t="s">
        <v>43</v>
      </c>
      <c r="W164" s="8" t="s">
        <v>1377</v>
      </c>
      <c r="X164" s="8" t="s">
        <v>900</v>
      </c>
      <c r="Y164" s="9">
        <v>1</v>
      </c>
      <c r="Z164" s="8" t="s">
        <v>6</v>
      </c>
      <c r="AA164" s="10">
        <v>41676</v>
      </c>
      <c r="AB164" s="10">
        <v>41704</v>
      </c>
      <c r="AC164" s="10">
        <v>41704</v>
      </c>
      <c r="AD164" s="10">
        <v>41712</v>
      </c>
      <c r="AE164" s="8">
        <v>3.3</v>
      </c>
      <c r="AH164" s="8">
        <v>4</v>
      </c>
      <c r="AI164" s="8">
        <v>0</v>
      </c>
    </row>
    <row r="165" spans="1:36">
      <c r="A165" s="7">
        <f t="shared" si="44"/>
        <v>1</v>
      </c>
      <c r="B165" s="7" t="str">
        <f t="shared" si="59"/>
        <v>14FW-JILLBY-21-GR</v>
      </c>
      <c r="C165" s="7">
        <f t="shared" si="45"/>
        <v>1</v>
      </c>
      <c r="D165" s="7" t="str">
        <f t="shared" si="60"/>
        <v>FOREMOST14FW-JILLBY-21-GR</v>
      </c>
      <c r="E165" s="12" t="str">
        <f t="shared" si="61"/>
        <v>201402</v>
      </c>
      <c r="F165" s="347" t="str">
        <f>VLOOKUP($AA165,[3]주!$A:$F,6,FALSE)</f>
        <v>2월 1주</v>
      </c>
      <c r="G165" s="7">
        <f t="shared" si="46"/>
        <v>1</v>
      </c>
      <c r="H165" s="7" t="str">
        <f t="shared" si="62"/>
        <v>14FW-JILLBY-21-GR</v>
      </c>
      <c r="I165" s="7">
        <f t="shared" si="47"/>
        <v>1</v>
      </c>
      <c r="J165" s="7" t="str">
        <f t="shared" si="63"/>
        <v>FOREMOST14FW-JILLBY-21-GR</v>
      </c>
      <c r="K165" s="17">
        <f t="shared" si="64"/>
        <v>41722</v>
      </c>
      <c r="L165" s="12" t="str">
        <f t="shared" si="65"/>
        <v>201403</v>
      </c>
      <c r="M165" s="347" t="str">
        <f>VLOOKUP($K165,[3]주!$A:$F,6,FALSE)</f>
        <v>3월 2주</v>
      </c>
      <c r="N165" s="273" t="str">
        <f>IF(VLOOKUP($Z165,생산업체!$A:$C,2,FALSE)=1,"해외","국내")</f>
        <v>해외</v>
      </c>
      <c r="O165" s="12" t="str">
        <f>IF(VLOOKUP($U165,CODE!$K:$P,CODE!P$1,FALSE)="모자",T165,T165&amp;"-"&amp;VLOOKUP($U165,CODE!$K:$P,CODE!P$1,FALSE))</f>
        <v>JIL</v>
      </c>
      <c r="P165" s="11" t="s">
        <v>32</v>
      </c>
      <c r="R165" s="11">
        <v>23</v>
      </c>
      <c r="T165" s="8" t="s">
        <v>32</v>
      </c>
      <c r="U165" s="8" t="s">
        <v>35</v>
      </c>
      <c r="V165" s="8" t="s">
        <v>43</v>
      </c>
      <c r="W165" s="8" t="s">
        <v>1378</v>
      </c>
      <c r="X165" s="8" t="s">
        <v>900</v>
      </c>
      <c r="Y165" s="9">
        <v>1</v>
      </c>
      <c r="Z165" s="8" t="s">
        <v>6</v>
      </c>
      <c r="AA165" s="10">
        <v>41676</v>
      </c>
      <c r="AB165" s="10">
        <v>41704</v>
      </c>
      <c r="AC165" s="10">
        <v>41704</v>
      </c>
      <c r="AD165" s="10">
        <v>41722</v>
      </c>
      <c r="AH165" s="8">
        <v>3</v>
      </c>
      <c r="AI165" s="8">
        <v>2</v>
      </c>
    </row>
    <row r="166" spans="1:36">
      <c r="A166" s="7">
        <f t="shared" si="44"/>
        <v>1</v>
      </c>
      <c r="B166" s="7" t="str">
        <f t="shared" si="59"/>
        <v>14FW-JILLBY-22-GY</v>
      </c>
      <c r="C166" s="7">
        <f t="shared" si="45"/>
        <v>1</v>
      </c>
      <c r="D166" s="7" t="str">
        <f t="shared" si="60"/>
        <v>FOREMOST14FW-JILLBY-22-GY</v>
      </c>
      <c r="E166" s="12" t="str">
        <f t="shared" si="61"/>
        <v>201402</v>
      </c>
      <c r="F166" s="347" t="str">
        <f>VLOOKUP($AA166,[3]주!$A:$F,6,FALSE)</f>
        <v>2월 1주</v>
      </c>
      <c r="G166" s="7">
        <f t="shared" si="46"/>
        <v>1</v>
      </c>
      <c r="H166" s="7" t="str">
        <f t="shared" si="62"/>
        <v>14FW-JILLBY-22-GY</v>
      </c>
      <c r="I166" s="7">
        <f t="shared" si="47"/>
        <v>1</v>
      </c>
      <c r="J166" s="7" t="str">
        <f t="shared" si="63"/>
        <v>FOREMOST14FW-JILLBY-22-GY</v>
      </c>
      <c r="K166" s="17">
        <f t="shared" si="64"/>
        <v>41725</v>
      </c>
      <c r="L166" s="12" t="str">
        <f t="shared" si="65"/>
        <v>201403</v>
      </c>
      <c r="M166" s="347" t="str">
        <f>VLOOKUP($K166,[3]주!$A:$F,6,FALSE)</f>
        <v>3월 2주</v>
      </c>
      <c r="N166" s="273" t="str">
        <f>IF(VLOOKUP($Z166,생산업체!$A:$C,2,FALSE)=1,"해외","국내")</f>
        <v>해외</v>
      </c>
      <c r="O166" s="12" t="str">
        <f>IF(VLOOKUP($U166,CODE!$K:$P,CODE!P$1,FALSE)="모자",T166,T166&amp;"-"&amp;VLOOKUP($U166,CODE!$K:$P,CODE!P$1,FALSE))</f>
        <v>JIL</v>
      </c>
      <c r="P166" s="11" t="s">
        <v>32</v>
      </c>
      <c r="R166" s="11">
        <v>24</v>
      </c>
      <c r="T166" s="8" t="s">
        <v>32</v>
      </c>
      <c r="U166" s="8" t="s">
        <v>28</v>
      </c>
      <c r="V166" s="8" t="s">
        <v>43</v>
      </c>
      <c r="W166" s="8" t="s">
        <v>1379</v>
      </c>
      <c r="X166" s="8" t="s">
        <v>900</v>
      </c>
      <c r="Y166" s="9">
        <v>1</v>
      </c>
      <c r="Z166" s="8" t="s">
        <v>6</v>
      </c>
      <c r="AA166" s="10">
        <v>41676</v>
      </c>
      <c r="AB166" s="10">
        <v>41704</v>
      </c>
      <c r="AC166" s="10">
        <v>41704</v>
      </c>
      <c r="AD166" s="10">
        <v>41725</v>
      </c>
      <c r="AE166" s="8">
        <v>5.65</v>
      </c>
      <c r="AH166" s="8">
        <v>3</v>
      </c>
      <c r="AI166" s="8">
        <v>1</v>
      </c>
    </row>
    <row r="167" spans="1:36">
      <c r="A167" s="7">
        <f t="shared" si="44"/>
        <v>1</v>
      </c>
      <c r="B167" s="7" t="str">
        <f t="shared" si="59"/>
        <v>14FW-JILLBY-23-KH</v>
      </c>
      <c r="C167" s="7">
        <f t="shared" si="45"/>
        <v>1</v>
      </c>
      <c r="D167" s="7" t="str">
        <f t="shared" si="60"/>
        <v>FOREMOST14FW-JILLBY-23-KH</v>
      </c>
      <c r="E167" s="12" t="str">
        <f t="shared" si="61"/>
        <v>201402</v>
      </c>
      <c r="F167" s="347" t="str">
        <f>VLOOKUP($AA167,[3]주!$A:$F,6,FALSE)</f>
        <v>2월 1주</v>
      </c>
      <c r="G167" s="7">
        <f t="shared" si="46"/>
        <v>1</v>
      </c>
      <c r="H167" s="7" t="str">
        <f t="shared" si="62"/>
        <v>14FW-JILLBY-23-KH</v>
      </c>
      <c r="I167" s="7">
        <f t="shared" si="47"/>
        <v>1</v>
      </c>
      <c r="J167" s="7" t="str">
        <f t="shared" si="63"/>
        <v>FOREMOST14FW-JILLBY-23-KH</v>
      </c>
      <c r="K167" s="17">
        <f t="shared" si="64"/>
        <v>41722</v>
      </c>
      <c r="L167" s="12" t="str">
        <f t="shared" si="65"/>
        <v>201403</v>
      </c>
      <c r="M167" s="347" t="str">
        <f>VLOOKUP($K167,[3]주!$A:$F,6,FALSE)</f>
        <v>3월 2주</v>
      </c>
      <c r="N167" s="273" t="str">
        <f>IF(VLOOKUP($Z167,생산업체!$A:$C,2,FALSE)=1,"해외","국내")</f>
        <v>해외</v>
      </c>
      <c r="O167" s="12" t="str">
        <f>IF(VLOOKUP($U167,CODE!$K:$P,CODE!P$1,FALSE)="모자",T167,T167&amp;"-"&amp;VLOOKUP($U167,CODE!$K:$P,CODE!P$1,FALSE))</f>
        <v>JIL</v>
      </c>
      <c r="P167" s="11" t="s">
        <v>32</v>
      </c>
      <c r="R167" s="11">
        <v>25</v>
      </c>
      <c r="T167" s="8" t="s">
        <v>32</v>
      </c>
      <c r="U167" s="8" t="s">
        <v>28</v>
      </c>
      <c r="V167" s="8" t="s">
        <v>43</v>
      </c>
      <c r="W167" s="8" t="s">
        <v>1380</v>
      </c>
      <c r="X167" s="8" t="s">
        <v>900</v>
      </c>
      <c r="Y167" s="9">
        <v>1</v>
      </c>
      <c r="Z167" s="8" t="s">
        <v>6</v>
      </c>
      <c r="AA167" s="10">
        <v>41676</v>
      </c>
      <c r="AB167" s="10">
        <v>41704</v>
      </c>
      <c r="AC167" s="10">
        <v>41704</v>
      </c>
      <c r="AD167" s="10">
        <v>41722</v>
      </c>
      <c r="AH167" s="8">
        <v>5</v>
      </c>
      <c r="AI167" s="8">
        <v>2</v>
      </c>
    </row>
    <row r="168" spans="1:36">
      <c r="A168" s="7">
        <f t="shared" si="44"/>
        <v>1</v>
      </c>
      <c r="B168" s="7" t="str">
        <f t="shared" si="59"/>
        <v>14FW-JILLBY-24-PK</v>
      </c>
      <c r="C168" s="7">
        <f t="shared" si="45"/>
        <v>1</v>
      </c>
      <c r="D168" s="7" t="str">
        <f t="shared" si="60"/>
        <v>FOREMOST14FW-JILLBY-24-PK</v>
      </c>
      <c r="E168" s="12" t="str">
        <f t="shared" si="61"/>
        <v>201402</v>
      </c>
      <c r="F168" s="347" t="str">
        <f>VLOOKUP($AA168,[3]주!$A:$F,6,FALSE)</f>
        <v>2월 1주</v>
      </c>
      <c r="G168" s="7">
        <f t="shared" si="46"/>
        <v>1</v>
      </c>
      <c r="H168" s="7" t="str">
        <f t="shared" si="62"/>
        <v>14FW-JILLBY-24-PK</v>
      </c>
      <c r="I168" s="7">
        <f t="shared" si="47"/>
        <v>1</v>
      </c>
      <c r="J168" s="7" t="str">
        <f t="shared" si="63"/>
        <v>FOREMOST14FW-JILLBY-24-PK</v>
      </c>
      <c r="K168" s="17">
        <f t="shared" si="64"/>
        <v>41732</v>
      </c>
      <c r="L168" s="12" t="str">
        <f t="shared" si="65"/>
        <v>201404</v>
      </c>
      <c r="M168" s="347" t="str">
        <f>VLOOKUP($K168,[3]주!$A:$F,6,FALSE)</f>
        <v>3월 2주</v>
      </c>
      <c r="N168" s="273" t="str">
        <f>IF(VLOOKUP($Z168,생산업체!$A:$C,2,FALSE)=1,"해외","국내")</f>
        <v>해외</v>
      </c>
      <c r="O168" s="12" t="str">
        <f>IF(VLOOKUP($U168,CODE!$K:$P,CODE!P$1,FALSE)="모자",T168,T168&amp;"-"&amp;VLOOKUP($U168,CODE!$K:$P,CODE!P$1,FALSE))</f>
        <v>JIL</v>
      </c>
      <c r="P168" s="11" t="s">
        <v>32</v>
      </c>
      <c r="R168" s="11">
        <v>26</v>
      </c>
      <c r="T168" s="8" t="s">
        <v>32</v>
      </c>
      <c r="U168" s="8" t="s">
        <v>28</v>
      </c>
      <c r="V168" s="8" t="s">
        <v>43</v>
      </c>
      <c r="W168" s="8" t="s">
        <v>1381</v>
      </c>
      <c r="X168" s="8" t="s">
        <v>900</v>
      </c>
      <c r="Y168" s="9">
        <v>1</v>
      </c>
      <c r="Z168" s="8" t="s">
        <v>6</v>
      </c>
      <c r="AA168" s="10">
        <v>41676</v>
      </c>
      <c r="AB168" s="10">
        <v>41704</v>
      </c>
      <c r="AC168" s="10">
        <v>41704</v>
      </c>
      <c r="AD168" s="10">
        <v>41732</v>
      </c>
      <c r="AJ168" s="8" t="s">
        <v>2001</v>
      </c>
    </row>
    <row r="169" spans="1:36">
      <c r="A169" s="7">
        <f t="shared" si="44"/>
        <v>1</v>
      </c>
      <c r="B169" s="7" t="str">
        <f t="shared" si="59"/>
        <v>14FW-JILLBY-25-GY</v>
      </c>
      <c r="C169" s="7">
        <f t="shared" si="45"/>
        <v>1</v>
      </c>
      <c r="D169" s="7" t="str">
        <f t="shared" si="60"/>
        <v>FOREMOST14FW-JILLBY-25-GY</v>
      </c>
      <c r="E169" s="12" t="str">
        <f t="shared" si="61"/>
        <v>201402</v>
      </c>
      <c r="F169" s="347" t="str">
        <f>VLOOKUP($AA169,[3]주!$A:$F,6,FALSE)</f>
        <v>2월 1주</v>
      </c>
      <c r="G169" s="7">
        <f t="shared" si="46"/>
        <v>1</v>
      </c>
      <c r="H169" s="7" t="str">
        <f t="shared" si="62"/>
        <v>14FW-JILLBY-25-GY</v>
      </c>
      <c r="I169" s="7">
        <f t="shared" si="47"/>
        <v>1</v>
      </c>
      <c r="J169" s="7" t="str">
        <f t="shared" si="63"/>
        <v>FOREMOST14FW-JILLBY-25-GY</v>
      </c>
      <c r="K169" s="17">
        <f t="shared" si="64"/>
        <v>41725</v>
      </c>
      <c r="L169" s="12" t="str">
        <f t="shared" si="65"/>
        <v>201403</v>
      </c>
      <c r="M169" s="347" t="str">
        <f>VLOOKUP($K169,[3]주!$A:$F,6,FALSE)</f>
        <v>3월 2주</v>
      </c>
      <c r="N169" s="273" t="str">
        <f>IF(VLOOKUP($Z169,생산업체!$A:$C,2,FALSE)=1,"해외","국내")</f>
        <v>해외</v>
      </c>
      <c r="O169" s="12" t="str">
        <f>IF(VLOOKUP($U169,CODE!$K:$P,CODE!P$1,FALSE)="모자",T169,T169&amp;"-"&amp;VLOOKUP($U169,CODE!$K:$P,CODE!P$1,FALSE))</f>
        <v>JIL</v>
      </c>
      <c r="P169" s="11" t="s">
        <v>32</v>
      </c>
      <c r="R169" s="11">
        <v>27</v>
      </c>
      <c r="T169" s="8" t="s">
        <v>32</v>
      </c>
      <c r="U169" s="8" t="s">
        <v>28</v>
      </c>
      <c r="V169" s="8" t="s">
        <v>43</v>
      </c>
      <c r="W169" s="8" t="s">
        <v>1382</v>
      </c>
      <c r="X169" s="8" t="s">
        <v>900</v>
      </c>
      <c r="Y169" s="9">
        <v>1</v>
      </c>
      <c r="Z169" s="8" t="s">
        <v>6</v>
      </c>
      <c r="AA169" s="10">
        <v>41676</v>
      </c>
      <c r="AB169" s="10">
        <v>41704</v>
      </c>
      <c r="AC169" s="10">
        <v>41704</v>
      </c>
      <c r="AD169" s="10">
        <v>41725</v>
      </c>
      <c r="AE169" s="8">
        <v>6.85</v>
      </c>
      <c r="AH169" s="8">
        <v>5</v>
      </c>
      <c r="AI169" s="8">
        <v>2</v>
      </c>
    </row>
    <row r="170" spans="1:36">
      <c r="A170" s="7">
        <f t="shared" si="44"/>
        <v>1</v>
      </c>
      <c r="B170" s="7" t="str">
        <f t="shared" si="59"/>
        <v>14FW-JILLBY-26-BK</v>
      </c>
      <c r="C170" s="7">
        <f t="shared" si="45"/>
        <v>1</v>
      </c>
      <c r="D170" s="7" t="str">
        <f t="shared" si="60"/>
        <v>FOREMOST14FW-JILLBY-26-BK</v>
      </c>
      <c r="E170" s="12" t="str">
        <f t="shared" si="61"/>
        <v>201402</v>
      </c>
      <c r="F170" s="347" t="str">
        <f>VLOOKUP($AA170,[3]주!$A:$F,6,FALSE)</f>
        <v>2월 1주</v>
      </c>
      <c r="G170" s="7">
        <f t="shared" si="46"/>
        <v>1</v>
      </c>
      <c r="H170" s="7" t="str">
        <f t="shared" si="62"/>
        <v>14FW-JILLBY-26-BK</v>
      </c>
      <c r="I170" s="7">
        <f t="shared" si="47"/>
        <v>1</v>
      </c>
      <c r="J170" s="7" t="str">
        <f t="shared" si="63"/>
        <v>FOREMOST14FW-JILLBY-26-BK</v>
      </c>
      <c r="K170" s="17">
        <f t="shared" si="64"/>
        <v>41740</v>
      </c>
      <c r="L170" s="12" t="str">
        <f t="shared" si="65"/>
        <v>201404</v>
      </c>
      <c r="M170" s="347" t="str">
        <f>VLOOKUP($K170,[3]주!$A:$F,6,FALSE)</f>
        <v>3월 2주</v>
      </c>
      <c r="N170" s="273" t="str">
        <f>IF(VLOOKUP($Z170,생산업체!$A:$C,2,FALSE)=1,"해외","국내")</f>
        <v>해외</v>
      </c>
      <c r="O170" s="12" t="str">
        <f>IF(VLOOKUP($U170,CODE!$K:$P,CODE!P$1,FALSE)="모자",T170,T170&amp;"-"&amp;VLOOKUP($U170,CODE!$K:$P,CODE!P$1,FALSE))</f>
        <v>JIL</v>
      </c>
      <c r="P170" s="11" t="s">
        <v>32</v>
      </c>
      <c r="R170" s="11">
        <v>28</v>
      </c>
      <c r="T170" s="8" t="s">
        <v>32</v>
      </c>
      <c r="U170" s="8" t="s">
        <v>35</v>
      </c>
      <c r="V170" s="8" t="s">
        <v>43</v>
      </c>
      <c r="W170" s="8" t="s">
        <v>1383</v>
      </c>
      <c r="X170" s="8" t="s">
        <v>900</v>
      </c>
      <c r="Y170" s="9">
        <v>1</v>
      </c>
      <c r="Z170" s="8" t="s">
        <v>6</v>
      </c>
      <c r="AA170" s="10">
        <v>41676</v>
      </c>
      <c r="AB170" s="10">
        <v>41704</v>
      </c>
      <c r="AC170" s="10">
        <v>41704</v>
      </c>
      <c r="AD170" s="10">
        <v>41740</v>
      </c>
      <c r="AH170" s="8">
        <v>5</v>
      </c>
      <c r="AI170" s="8">
        <v>5</v>
      </c>
    </row>
    <row r="171" spans="1:36">
      <c r="A171" s="7">
        <f t="shared" si="44"/>
        <v>1</v>
      </c>
      <c r="B171" s="7" t="str">
        <f t="shared" si="59"/>
        <v>14FW-JILLBY-27-BW</v>
      </c>
      <c r="C171" s="7">
        <f t="shared" si="45"/>
        <v>1</v>
      </c>
      <c r="D171" s="7" t="str">
        <f t="shared" si="60"/>
        <v>FOREMOST14FW-JILLBY-27-BW</v>
      </c>
      <c r="E171" s="12" t="str">
        <f t="shared" si="61"/>
        <v>201402</v>
      </c>
      <c r="F171" s="347" t="str">
        <f>VLOOKUP($AA171,[3]주!$A:$F,6,FALSE)</f>
        <v>2월 1주</v>
      </c>
      <c r="G171" s="7">
        <f t="shared" si="46"/>
        <v>1</v>
      </c>
      <c r="H171" s="7" t="str">
        <f t="shared" si="62"/>
        <v>14FW-JILLBY-27-BW</v>
      </c>
      <c r="I171" s="7">
        <f t="shared" si="47"/>
        <v>1</v>
      </c>
      <c r="J171" s="7" t="str">
        <f t="shared" si="63"/>
        <v>FOREMOST14FW-JILLBY-27-BW</v>
      </c>
      <c r="K171" s="17">
        <f t="shared" si="64"/>
        <v>41740</v>
      </c>
      <c r="L171" s="12" t="str">
        <f t="shared" si="65"/>
        <v>201404</v>
      </c>
      <c r="M171" s="347" t="str">
        <f>VLOOKUP($K171,[3]주!$A:$F,6,FALSE)</f>
        <v>3월 2주</v>
      </c>
      <c r="N171" s="273" t="str">
        <f>IF(VLOOKUP($Z171,생산업체!$A:$C,2,FALSE)=1,"해외","국내")</f>
        <v>해외</v>
      </c>
      <c r="O171" s="12" t="str">
        <f>IF(VLOOKUP($U171,CODE!$K:$P,CODE!P$1,FALSE)="모자",T171,T171&amp;"-"&amp;VLOOKUP($U171,CODE!$K:$P,CODE!P$1,FALSE))</f>
        <v>JIL</v>
      </c>
      <c r="P171" s="11" t="s">
        <v>32</v>
      </c>
      <c r="R171" s="11">
        <v>29</v>
      </c>
      <c r="T171" s="8" t="s">
        <v>32</v>
      </c>
      <c r="U171" s="8" t="s">
        <v>35</v>
      </c>
      <c r="V171" s="8" t="s">
        <v>43</v>
      </c>
      <c r="W171" s="8" t="s">
        <v>1384</v>
      </c>
      <c r="X171" s="8" t="s">
        <v>900</v>
      </c>
      <c r="Y171" s="9">
        <v>1</v>
      </c>
      <c r="Z171" s="8" t="s">
        <v>6</v>
      </c>
      <c r="AA171" s="10">
        <v>41676</v>
      </c>
      <c r="AB171" s="10">
        <v>41704</v>
      </c>
      <c r="AC171" s="10">
        <v>41704</v>
      </c>
      <c r="AD171" s="10">
        <v>41740</v>
      </c>
      <c r="AH171" s="8">
        <v>6</v>
      </c>
      <c r="AI171" s="8">
        <v>4</v>
      </c>
    </row>
    <row r="172" spans="1:36">
      <c r="A172" s="7">
        <f t="shared" si="44"/>
        <v>1</v>
      </c>
      <c r="B172" s="7" t="str">
        <f t="shared" si="59"/>
        <v>14FW-JILLBY-28-BL</v>
      </c>
      <c r="C172" s="7">
        <f t="shared" si="45"/>
        <v>1</v>
      </c>
      <c r="D172" s="7" t="str">
        <f t="shared" si="60"/>
        <v>FOREMOST14FW-JILLBY-28-BL</v>
      </c>
      <c r="E172" s="12" t="str">
        <f t="shared" si="61"/>
        <v>201402</v>
      </c>
      <c r="F172" s="347" t="str">
        <f>VLOOKUP($AA172,[3]주!$A:$F,6,FALSE)</f>
        <v>2월 1주</v>
      </c>
      <c r="G172" s="7">
        <f t="shared" si="46"/>
        <v>1</v>
      </c>
      <c r="H172" s="7" t="str">
        <f t="shared" si="62"/>
        <v>14FW-JILLBY-28-BL</v>
      </c>
      <c r="I172" s="7">
        <f t="shared" si="47"/>
        <v>1</v>
      </c>
      <c r="J172" s="7" t="str">
        <f t="shared" si="63"/>
        <v>FOREMOST14FW-JILLBY-28-BL</v>
      </c>
      <c r="K172" s="17">
        <f t="shared" si="64"/>
        <v>41736</v>
      </c>
      <c r="L172" s="12" t="str">
        <f t="shared" si="65"/>
        <v>201404</v>
      </c>
      <c r="M172" s="347" t="str">
        <f>VLOOKUP($K172,[3]주!$A:$F,6,FALSE)</f>
        <v>3월 2주</v>
      </c>
      <c r="N172" s="273" t="str">
        <f>IF(VLOOKUP($Z172,생산업체!$A:$C,2,FALSE)=1,"해외","국내")</f>
        <v>해외</v>
      </c>
      <c r="O172" s="12" t="str">
        <f>IF(VLOOKUP($U172,CODE!$K:$P,CODE!P$1,FALSE)="모자",T172,T172&amp;"-"&amp;VLOOKUP($U172,CODE!$K:$P,CODE!P$1,FALSE))</f>
        <v>JIL</v>
      </c>
      <c r="P172" s="11" t="s">
        <v>32</v>
      </c>
      <c r="R172" s="11">
        <v>30</v>
      </c>
      <c r="T172" s="8" t="s">
        <v>32</v>
      </c>
      <c r="U172" s="8" t="s">
        <v>35</v>
      </c>
      <c r="V172" s="8" t="s">
        <v>43</v>
      </c>
      <c r="W172" s="8" t="s">
        <v>1385</v>
      </c>
      <c r="X172" s="8" t="s">
        <v>900</v>
      </c>
      <c r="Y172" s="9">
        <v>1</v>
      </c>
      <c r="Z172" s="8" t="s">
        <v>6</v>
      </c>
      <c r="AA172" s="10">
        <v>41676</v>
      </c>
      <c r="AB172" s="10">
        <v>41704</v>
      </c>
      <c r="AC172" s="10">
        <v>41704</v>
      </c>
      <c r="AD172" s="10">
        <v>41736</v>
      </c>
      <c r="AH172" s="8">
        <v>5</v>
      </c>
      <c r="AI172" s="8">
        <v>3</v>
      </c>
    </row>
    <row r="173" spans="1:36">
      <c r="A173" s="7">
        <f t="shared" si="44"/>
        <v>1</v>
      </c>
      <c r="B173" s="7" t="str">
        <f t="shared" si="59"/>
        <v>14FW-JILLBY-29-BG</v>
      </c>
      <c r="C173" s="7">
        <f t="shared" si="45"/>
        <v>1</v>
      </c>
      <c r="D173" s="7" t="str">
        <f t="shared" si="60"/>
        <v>FOREMOST14FW-JILLBY-29-BG</v>
      </c>
      <c r="E173" s="12" t="str">
        <f t="shared" si="61"/>
        <v>201402</v>
      </c>
      <c r="F173" s="347" t="str">
        <f>VLOOKUP($AA173,[3]주!$A:$F,6,FALSE)</f>
        <v>2월 1주</v>
      </c>
      <c r="G173" s="7">
        <f t="shared" si="46"/>
        <v>1</v>
      </c>
      <c r="H173" s="7" t="str">
        <f t="shared" si="62"/>
        <v>14FW-JILLBY-29-BG</v>
      </c>
      <c r="I173" s="7">
        <f t="shared" si="47"/>
        <v>1</v>
      </c>
      <c r="J173" s="7" t="str">
        <f t="shared" si="63"/>
        <v>FOREMOST14FW-JILLBY-29-BG</v>
      </c>
      <c r="K173" s="17">
        <f t="shared" si="64"/>
        <v>41722</v>
      </c>
      <c r="L173" s="12" t="str">
        <f t="shared" si="65"/>
        <v>201403</v>
      </c>
      <c r="M173" s="347" t="str">
        <f>VLOOKUP($K173,[3]주!$A:$F,6,FALSE)</f>
        <v>3월 2주</v>
      </c>
      <c r="N173" s="273" t="str">
        <f>IF(VLOOKUP($Z173,생산업체!$A:$C,2,FALSE)=1,"해외","국내")</f>
        <v>해외</v>
      </c>
      <c r="O173" s="12" t="str">
        <f>IF(VLOOKUP($U173,CODE!$K:$P,CODE!P$1,FALSE)="모자",T173,T173&amp;"-"&amp;VLOOKUP($U173,CODE!$K:$P,CODE!P$1,FALSE))</f>
        <v>JIL</v>
      </c>
      <c r="P173" s="11" t="s">
        <v>32</v>
      </c>
      <c r="R173" s="11">
        <v>31</v>
      </c>
      <c r="T173" s="8" t="s">
        <v>32</v>
      </c>
      <c r="U173" s="8" t="s">
        <v>35</v>
      </c>
      <c r="V173" s="8" t="s">
        <v>43</v>
      </c>
      <c r="W173" s="8" t="s">
        <v>1386</v>
      </c>
      <c r="X173" s="8" t="s">
        <v>900</v>
      </c>
      <c r="Y173" s="9">
        <v>1</v>
      </c>
      <c r="Z173" s="8" t="s">
        <v>6</v>
      </c>
      <c r="AA173" s="10">
        <v>41676</v>
      </c>
      <c r="AB173" s="10">
        <v>41704</v>
      </c>
      <c r="AC173" s="10">
        <v>41704</v>
      </c>
      <c r="AD173" s="10">
        <v>41722</v>
      </c>
      <c r="AE173" s="8">
        <v>7.15</v>
      </c>
      <c r="AH173" s="8">
        <v>6</v>
      </c>
      <c r="AI173" s="8">
        <v>5</v>
      </c>
    </row>
    <row r="174" spans="1:36">
      <c r="A174" s="7">
        <f t="shared" si="44"/>
        <v>1</v>
      </c>
      <c r="B174" s="7" t="str">
        <f t="shared" si="59"/>
        <v>14FW-JILLBY-30-BG</v>
      </c>
      <c r="C174" s="7">
        <f t="shared" si="45"/>
        <v>1</v>
      </c>
      <c r="D174" s="7" t="str">
        <f t="shared" si="60"/>
        <v>FOREMOST14FW-JILLBY-30-BG</v>
      </c>
      <c r="E174" s="12" t="str">
        <f t="shared" si="61"/>
        <v>201402</v>
      </c>
      <c r="F174" s="347" t="str">
        <f>VLOOKUP($AA174,[3]주!$A:$F,6,FALSE)</f>
        <v>2월 1주</v>
      </c>
      <c r="G174" s="7">
        <f t="shared" si="46"/>
        <v>1</v>
      </c>
      <c r="H174" s="7" t="str">
        <f t="shared" si="62"/>
        <v>14FW-JILLBY-30-BG</v>
      </c>
      <c r="I174" s="7">
        <f t="shared" si="47"/>
        <v>1</v>
      </c>
      <c r="J174" s="7" t="str">
        <f t="shared" si="63"/>
        <v>FOREMOST14FW-JILLBY-30-BG</v>
      </c>
      <c r="K174" s="17">
        <f t="shared" si="64"/>
        <v>41719</v>
      </c>
      <c r="L174" s="12" t="str">
        <f t="shared" si="65"/>
        <v>201403</v>
      </c>
      <c r="M174" s="347" t="str">
        <f>VLOOKUP($K174,[3]주!$A:$F,6,FALSE)</f>
        <v>3월 2주</v>
      </c>
      <c r="N174" s="273" t="str">
        <f>IF(VLOOKUP($Z174,생산업체!$A:$C,2,FALSE)=1,"해외","국내")</f>
        <v>해외</v>
      </c>
      <c r="O174" s="12" t="str">
        <f>IF(VLOOKUP($U174,CODE!$K:$P,CODE!P$1,FALSE)="모자",T174,T174&amp;"-"&amp;VLOOKUP($U174,CODE!$K:$P,CODE!P$1,FALSE))</f>
        <v>JIL</v>
      </c>
      <c r="P174" s="11" t="s">
        <v>32</v>
      </c>
      <c r="R174" s="11">
        <v>32</v>
      </c>
      <c r="T174" s="8" t="s">
        <v>32</v>
      </c>
      <c r="U174" s="8" t="s">
        <v>35</v>
      </c>
      <c r="V174" s="8" t="s">
        <v>43</v>
      </c>
      <c r="W174" s="8" t="s">
        <v>1387</v>
      </c>
      <c r="X174" s="8" t="s">
        <v>900</v>
      </c>
      <c r="Y174" s="9">
        <v>1</v>
      </c>
      <c r="Z174" s="8" t="s">
        <v>6</v>
      </c>
      <c r="AA174" s="10">
        <v>41676</v>
      </c>
      <c r="AB174" s="10">
        <v>41704</v>
      </c>
      <c r="AC174" s="10">
        <v>41704</v>
      </c>
      <c r="AD174" s="10">
        <v>41719</v>
      </c>
      <c r="AE174" s="8">
        <v>4.95</v>
      </c>
      <c r="AH174" s="8">
        <v>5</v>
      </c>
      <c r="AI174" s="8">
        <v>2</v>
      </c>
    </row>
    <row r="175" spans="1:36">
      <c r="A175" s="7">
        <f t="shared" si="44"/>
        <v>1</v>
      </c>
      <c r="B175" s="7" t="str">
        <f t="shared" si="59"/>
        <v>14FW-JILL-BY_SP_31_BK</v>
      </c>
      <c r="C175" s="7">
        <f t="shared" si="45"/>
        <v>1</v>
      </c>
      <c r="D175" s="7" t="str">
        <f t="shared" si="60"/>
        <v>FOREMOST14FW-JILL-BY_SP_31_BK</v>
      </c>
      <c r="E175" s="12" t="str">
        <f t="shared" si="61"/>
        <v>201402</v>
      </c>
      <c r="F175" s="347" t="str">
        <f>VLOOKUP($AA175,[3]주!$A:$F,6,FALSE)</f>
        <v>2월 1주</v>
      </c>
      <c r="G175" s="7">
        <f t="shared" si="46"/>
        <v>1</v>
      </c>
      <c r="H175" s="7" t="str">
        <f t="shared" si="62"/>
        <v>14FW-JILL-BY_SP_31_BK</v>
      </c>
      <c r="I175" s="7">
        <f t="shared" si="47"/>
        <v>1</v>
      </c>
      <c r="J175" s="7" t="str">
        <f t="shared" si="63"/>
        <v>FOREMOST14FW-JILL-BY_SP_31_BK</v>
      </c>
      <c r="K175" s="17">
        <f t="shared" si="64"/>
        <v>41722</v>
      </c>
      <c r="L175" s="12" t="str">
        <f t="shared" si="65"/>
        <v>201403</v>
      </c>
      <c r="M175" s="347" t="str">
        <f>VLOOKUP($K175,[3]주!$A:$F,6,FALSE)</f>
        <v>3월 2주</v>
      </c>
      <c r="N175" s="273" t="str">
        <f>IF(VLOOKUP($Z175,생산업체!$A:$C,2,FALSE)=1,"해외","국내")</f>
        <v>해외</v>
      </c>
      <c r="O175" s="12" t="str">
        <f>IF(VLOOKUP($U175,CODE!$K:$P,CODE!P$1,FALSE)="모자",T175,T175&amp;"-"&amp;VLOOKUP($U175,CODE!$K:$P,CODE!P$1,FALSE))</f>
        <v>JIL</v>
      </c>
      <c r="P175" s="11" t="s">
        <v>32</v>
      </c>
      <c r="R175" s="11">
        <v>33</v>
      </c>
      <c r="T175" s="8" t="s">
        <v>32</v>
      </c>
      <c r="U175" s="8" t="s">
        <v>35</v>
      </c>
      <c r="V175" s="8" t="s">
        <v>43</v>
      </c>
      <c r="W175" s="8" t="s">
        <v>1388</v>
      </c>
      <c r="X175" s="8" t="s">
        <v>900</v>
      </c>
      <c r="Y175" s="9">
        <v>1</v>
      </c>
      <c r="Z175" s="8" t="s">
        <v>6</v>
      </c>
      <c r="AA175" s="10">
        <v>41676</v>
      </c>
      <c r="AB175" s="10">
        <v>41704</v>
      </c>
      <c r="AC175" s="10">
        <v>41704</v>
      </c>
      <c r="AD175" s="10">
        <v>41722</v>
      </c>
      <c r="AE175" s="8">
        <v>6.15</v>
      </c>
      <c r="AH175" s="8">
        <v>5</v>
      </c>
      <c r="AI175" s="8">
        <v>4</v>
      </c>
    </row>
    <row r="176" spans="1:36">
      <c r="A176" s="7">
        <f t="shared" si="44"/>
        <v>1</v>
      </c>
      <c r="B176" s="7" t="str">
        <f t="shared" si="59"/>
        <v>14FW-JILL-BY_32_GR</v>
      </c>
      <c r="C176" s="7">
        <f t="shared" si="45"/>
        <v>1</v>
      </c>
      <c r="D176" s="7" t="str">
        <f t="shared" si="60"/>
        <v>FOREMOST14FW-JILL-BY_32_GR</v>
      </c>
      <c r="E176" s="12" t="str">
        <f t="shared" si="61"/>
        <v>201402</v>
      </c>
      <c r="F176" s="347" t="str">
        <f>VLOOKUP($AA176,[3]주!$A:$F,6,FALSE)</f>
        <v>2월 1주</v>
      </c>
      <c r="G176" s="7">
        <f t="shared" si="46"/>
        <v>1</v>
      </c>
      <c r="H176" s="7" t="str">
        <f t="shared" si="62"/>
        <v>14FW-JILL-BY_32_GR</v>
      </c>
      <c r="I176" s="7">
        <f t="shared" si="47"/>
        <v>1</v>
      </c>
      <c r="J176" s="7" t="str">
        <f t="shared" si="63"/>
        <v>FOREMOST14FW-JILL-BY_32_GR</v>
      </c>
      <c r="K176" s="17">
        <f t="shared" si="64"/>
        <v>41717</v>
      </c>
      <c r="L176" s="12" t="str">
        <f t="shared" si="65"/>
        <v>201403</v>
      </c>
      <c r="M176" s="347" t="str">
        <f>VLOOKUP($K176,[3]주!$A:$F,6,FALSE)</f>
        <v>3월 2주</v>
      </c>
      <c r="N176" s="273" t="str">
        <f>IF(VLOOKUP($Z176,생산업체!$A:$C,2,FALSE)=1,"해외","국내")</f>
        <v>해외</v>
      </c>
      <c r="O176" s="12" t="str">
        <f>IF(VLOOKUP($U176,CODE!$K:$P,CODE!P$1,FALSE)="모자",T176,T176&amp;"-"&amp;VLOOKUP($U176,CODE!$K:$P,CODE!P$1,FALSE))</f>
        <v>JIL</v>
      </c>
      <c r="P176" s="11" t="s">
        <v>32</v>
      </c>
      <c r="R176" s="11">
        <v>34</v>
      </c>
      <c r="T176" s="8" t="s">
        <v>32</v>
      </c>
      <c r="U176" s="8" t="s">
        <v>38</v>
      </c>
      <c r="V176" s="8" t="s">
        <v>43</v>
      </c>
      <c r="W176" s="8" t="s">
        <v>1389</v>
      </c>
      <c r="X176" s="8" t="s">
        <v>900</v>
      </c>
      <c r="Y176" s="9">
        <v>1</v>
      </c>
      <c r="Z176" s="8" t="s">
        <v>6</v>
      </c>
      <c r="AA176" s="10">
        <v>41676</v>
      </c>
      <c r="AB176" s="10">
        <v>41704</v>
      </c>
      <c r="AC176" s="10">
        <v>41704</v>
      </c>
      <c r="AD176" s="10">
        <v>41717</v>
      </c>
      <c r="AE176" s="8">
        <v>5.05</v>
      </c>
      <c r="AH176" s="8">
        <v>3</v>
      </c>
      <c r="AI176" s="8">
        <v>3</v>
      </c>
    </row>
    <row r="177" spans="1:36">
      <c r="A177" s="7">
        <f t="shared" si="44"/>
        <v>1</v>
      </c>
      <c r="B177" s="7" t="str">
        <f t="shared" ref="B177:B203" si="66">IF(AA177="","",W177)</f>
        <v>14FW-JILL-BY_33_PK</v>
      </c>
      <c r="C177" s="7">
        <f t="shared" si="45"/>
        <v>1</v>
      </c>
      <c r="D177" s="7" t="str">
        <f t="shared" ref="D177:D203" si="67">IF(AA177="","",Z177&amp;W177)</f>
        <v>FOREMOST14FW-JILL-BY_33_PK</v>
      </c>
      <c r="E177" s="12" t="str">
        <f t="shared" ref="E177:E203" si="68">IF(YEAR(AA177)&lt;10,0&amp;YEAR(AA177),YEAR(AA177))&amp;IF(MONTH(AA177)&lt;10,0&amp;MONTH(AA177),MONTH(AA177))</f>
        <v>201402</v>
      </c>
      <c r="F177" s="347" t="str">
        <f>VLOOKUP($AA177,[3]주!$A:$F,6,FALSE)</f>
        <v>2월 1주</v>
      </c>
      <c r="G177" s="7">
        <f t="shared" si="46"/>
        <v>1</v>
      </c>
      <c r="H177" s="7" t="str">
        <f t="shared" ref="H177:H203" si="69">IF(AD177="","",W177)</f>
        <v>14FW-JILL-BY_33_PK</v>
      </c>
      <c r="I177" s="7">
        <f t="shared" si="47"/>
        <v>1</v>
      </c>
      <c r="J177" s="7" t="str">
        <f t="shared" ref="J177:J203" si="70">IF(AD177="","",Z177&amp;W177)</f>
        <v>FOREMOST14FW-JILL-BY_33_PK</v>
      </c>
      <c r="K177" s="17">
        <f t="shared" ref="K177:K203" si="71">IF(AD177="",AC177,AD177)</f>
        <v>41722</v>
      </c>
      <c r="L177" s="12" t="str">
        <f t="shared" ref="L177:L203" si="72">IF(YEAR(K177)&lt;10,0&amp;YEAR(K177),YEAR(K177))&amp;IF(MONTH(K177)&lt;10,0&amp;MONTH(K177),MONTH(K177))</f>
        <v>201403</v>
      </c>
      <c r="M177" s="347" t="str">
        <f>VLOOKUP($K177,[3]주!$A:$F,6,FALSE)</f>
        <v>3월 2주</v>
      </c>
      <c r="N177" s="273" t="str">
        <f>IF(VLOOKUP($Z177,생산업체!$A:$C,2,FALSE)=1,"해외","국내")</f>
        <v>해외</v>
      </c>
      <c r="O177" s="12" t="str">
        <f>IF(VLOOKUP($U177,CODE!$K:$P,CODE!P$1,FALSE)="모자",T177,T177&amp;"-"&amp;VLOOKUP($U177,CODE!$K:$P,CODE!P$1,FALSE))</f>
        <v>JIL</v>
      </c>
      <c r="P177" s="11" t="s">
        <v>32</v>
      </c>
      <c r="R177" s="11">
        <v>35</v>
      </c>
      <c r="T177" s="8" t="s">
        <v>32</v>
      </c>
      <c r="U177" s="8" t="s">
        <v>38</v>
      </c>
      <c r="V177" s="8" t="s">
        <v>43</v>
      </c>
      <c r="W177" s="8" t="s">
        <v>1390</v>
      </c>
      <c r="X177" s="8" t="s">
        <v>900</v>
      </c>
      <c r="Y177" s="9">
        <v>1</v>
      </c>
      <c r="Z177" s="8" t="s">
        <v>6</v>
      </c>
      <c r="AA177" s="10">
        <v>41676</v>
      </c>
      <c r="AB177" s="10">
        <v>41704</v>
      </c>
      <c r="AC177" s="10">
        <v>41704</v>
      </c>
      <c r="AD177" s="10">
        <v>41722</v>
      </c>
      <c r="AE177" s="8">
        <v>3.8</v>
      </c>
      <c r="AH177" s="8">
        <v>4</v>
      </c>
      <c r="AI177" s="8">
        <v>3</v>
      </c>
    </row>
    <row r="178" spans="1:36">
      <c r="A178" s="7">
        <f t="shared" si="44"/>
        <v>1</v>
      </c>
      <c r="B178" s="7" t="str">
        <f t="shared" si="66"/>
        <v>14FW-JILL-BY_34_KH</v>
      </c>
      <c r="C178" s="7">
        <f t="shared" si="45"/>
        <v>1</v>
      </c>
      <c r="D178" s="7" t="str">
        <f t="shared" si="67"/>
        <v>FOREMOST14FW-JILL-BY_34_KH</v>
      </c>
      <c r="E178" s="12" t="str">
        <f t="shared" si="68"/>
        <v>201402</v>
      </c>
      <c r="F178" s="347" t="str">
        <f>VLOOKUP($AA178,[3]주!$A:$F,6,FALSE)</f>
        <v>2월 1주</v>
      </c>
      <c r="G178" s="7">
        <f t="shared" si="46"/>
        <v>1</v>
      </c>
      <c r="H178" s="7" t="str">
        <f t="shared" si="69"/>
        <v>14FW-JILL-BY_34_KH</v>
      </c>
      <c r="I178" s="7">
        <f t="shared" si="47"/>
        <v>1</v>
      </c>
      <c r="J178" s="7" t="str">
        <f t="shared" si="70"/>
        <v>FOREMOST14FW-JILL-BY_34_KH</v>
      </c>
      <c r="K178" s="17">
        <f t="shared" si="71"/>
        <v>41722</v>
      </c>
      <c r="L178" s="12" t="str">
        <f t="shared" si="72"/>
        <v>201403</v>
      </c>
      <c r="M178" s="347" t="str">
        <f>VLOOKUP($K178,[3]주!$A:$F,6,FALSE)</f>
        <v>3월 2주</v>
      </c>
      <c r="N178" s="273" t="str">
        <f>IF(VLOOKUP($Z178,생산업체!$A:$C,2,FALSE)=1,"해외","국내")</f>
        <v>해외</v>
      </c>
      <c r="O178" s="12" t="str">
        <f>IF(VLOOKUP($U178,CODE!$K:$P,CODE!P$1,FALSE)="모자",T178,T178&amp;"-"&amp;VLOOKUP($U178,CODE!$K:$P,CODE!P$1,FALSE))</f>
        <v>JIL</v>
      </c>
      <c r="P178" s="11" t="s">
        <v>32</v>
      </c>
      <c r="R178" s="11">
        <v>36</v>
      </c>
      <c r="T178" s="8" t="s">
        <v>32</v>
      </c>
      <c r="U178" s="8" t="s">
        <v>38</v>
      </c>
      <c r="V178" s="8" t="s">
        <v>43</v>
      </c>
      <c r="W178" s="8" t="s">
        <v>1391</v>
      </c>
      <c r="X178" s="8" t="s">
        <v>900</v>
      </c>
      <c r="Y178" s="9">
        <v>1</v>
      </c>
      <c r="Z178" s="8" t="s">
        <v>6</v>
      </c>
      <c r="AA178" s="10">
        <v>41676</v>
      </c>
      <c r="AB178" s="10">
        <v>41704</v>
      </c>
      <c r="AC178" s="10">
        <v>41704</v>
      </c>
      <c r="AD178" s="10">
        <v>41722</v>
      </c>
      <c r="AE178" s="8">
        <v>2.95</v>
      </c>
      <c r="AH178" s="8">
        <v>4</v>
      </c>
      <c r="AI178" s="8">
        <v>3</v>
      </c>
    </row>
    <row r="179" spans="1:36">
      <c r="A179" s="7">
        <f t="shared" si="44"/>
        <v>1</v>
      </c>
      <c r="B179" s="7" t="str">
        <f t="shared" si="66"/>
        <v>14FW-JILL-BY_35_CH</v>
      </c>
      <c r="C179" s="7">
        <f t="shared" si="45"/>
        <v>1</v>
      </c>
      <c r="D179" s="7" t="str">
        <f t="shared" si="67"/>
        <v>FOREMOST14FW-JILL-BY_35_CH</v>
      </c>
      <c r="E179" s="12" t="str">
        <f t="shared" si="68"/>
        <v>201402</v>
      </c>
      <c r="F179" s="347" t="str">
        <f>VLOOKUP($AA179,[3]주!$A:$F,6,FALSE)</f>
        <v>2월 1주</v>
      </c>
      <c r="G179" s="7">
        <f t="shared" si="46"/>
        <v>1</v>
      </c>
      <c r="H179" s="7" t="str">
        <f t="shared" si="69"/>
        <v>14FW-JILL-BY_35_CH</v>
      </c>
      <c r="I179" s="7">
        <f t="shared" si="47"/>
        <v>1</v>
      </c>
      <c r="J179" s="7" t="str">
        <f t="shared" si="70"/>
        <v>FOREMOST14FW-JILL-BY_35_CH</v>
      </c>
      <c r="K179" s="17">
        <f t="shared" si="71"/>
        <v>41725</v>
      </c>
      <c r="L179" s="12" t="str">
        <f t="shared" si="72"/>
        <v>201403</v>
      </c>
      <c r="M179" s="347" t="str">
        <f>VLOOKUP($K179,[3]주!$A:$F,6,FALSE)</f>
        <v>3월 2주</v>
      </c>
      <c r="N179" s="273" t="str">
        <f>IF(VLOOKUP($Z179,생산업체!$A:$C,2,FALSE)=1,"해외","국내")</f>
        <v>해외</v>
      </c>
      <c r="O179" s="12" t="str">
        <f>IF(VLOOKUP($U179,CODE!$K:$P,CODE!P$1,FALSE)="모자",T179,T179&amp;"-"&amp;VLOOKUP($U179,CODE!$K:$P,CODE!P$1,FALSE))</f>
        <v>JIL</v>
      </c>
      <c r="P179" s="11" t="s">
        <v>32</v>
      </c>
      <c r="R179" s="11">
        <v>37</v>
      </c>
      <c r="T179" s="8" t="s">
        <v>32</v>
      </c>
      <c r="U179" s="8" t="s">
        <v>28</v>
      </c>
      <c r="V179" s="8" t="s">
        <v>43</v>
      </c>
      <c r="W179" s="8" t="s">
        <v>1392</v>
      </c>
      <c r="X179" s="8" t="s">
        <v>900</v>
      </c>
      <c r="Y179" s="9">
        <v>1</v>
      </c>
      <c r="Z179" s="8" t="s">
        <v>6</v>
      </c>
      <c r="AA179" s="10">
        <v>41676</v>
      </c>
      <c r="AB179" s="10">
        <v>41704</v>
      </c>
      <c r="AC179" s="10">
        <v>41704</v>
      </c>
      <c r="AD179" s="10">
        <v>41725</v>
      </c>
      <c r="AE179" s="8">
        <v>8.0500000000000007</v>
      </c>
      <c r="AH179" s="8">
        <v>4</v>
      </c>
      <c r="AI179" s="8">
        <v>3</v>
      </c>
    </row>
    <row r="180" spans="1:36">
      <c r="A180" s="7">
        <f t="shared" si="44"/>
        <v>1</v>
      </c>
      <c r="B180" s="7" t="str">
        <f t="shared" si="66"/>
        <v>14FW-JILLBY-KNIT_01-GR</v>
      </c>
      <c r="C180" s="7">
        <f t="shared" si="45"/>
        <v>1</v>
      </c>
      <c r="D180" s="7" t="str">
        <f t="shared" si="67"/>
        <v>Y&amp;Y14FW-JILLBY-KNIT_01-GR</v>
      </c>
      <c r="E180" s="12" t="str">
        <f t="shared" si="68"/>
        <v>201402</v>
      </c>
      <c r="F180" s="347" t="str">
        <f>VLOOKUP($AA180,[3]주!$A:$F,6,FALSE)</f>
        <v>2월 1주</v>
      </c>
      <c r="G180" s="7">
        <f t="shared" si="46"/>
        <v>1</v>
      </c>
      <c r="H180" s="7" t="str">
        <f t="shared" si="69"/>
        <v>14FW-JILLBY-KNIT_01-GR</v>
      </c>
      <c r="I180" s="7">
        <f t="shared" si="47"/>
        <v>1</v>
      </c>
      <c r="J180" s="7" t="str">
        <f t="shared" si="70"/>
        <v>Y&amp;Y14FW-JILLBY-KNIT_01-GR</v>
      </c>
      <c r="K180" s="17">
        <f t="shared" si="71"/>
        <v>41722</v>
      </c>
      <c r="L180" s="12" t="str">
        <f t="shared" si="72"/>
        <v>201403</v>
      </c>
      <c r="M180" s="347" t="str">
        <f>VLOOKUP($K180,[3]주!$A:$F,6,FALSE)</f>
        <v>3월 2주</v>
      </c>
      <c r="N180" s="273" t="str">
        <f>IF(VLOOKUP($Z180,생산업체!$A:$C,2,FALSE)=1,"해외","국내")</f>
        <v>해외</v>
      </c>
      <c r="O180" s="12" t="str">
        <f>IF(VLOOKUP($U180,CODE!$K:$P,CODE!P$1,FALSE)="모자",T180,T180&amp;"-"&amp;VLOOKUP($U180,CODE!$K:$P,CODE!P$1,FALSE))</f>
        <v>JIL</v>
      </c>
      <c r="P180" s="11" t="s">
        <v>32</v>
      </c>
      <c r="R180" s="11">
        <v>38</v>
      </c>
      <c r="T180" s="8" t="s">
        <v>32</v>
      </c>
      <c r="U180" s="8" t="s">
        <v>56</v>
      </c>
      <c r="V180" s="8" t="s">
        <v>43</v>
      </c>
      <c r="W180" s="8" t="s">
        <v>1414</v>
      </c>
      <c r="X180" s="8" t="s">
        <v>900</v>
      </c>
      <c r="Y180" s="9">
        <v>1</v>
      </c>
      <c r="Z180" s="8" t="s">
        <v>1415</v>
      </c>
      <c r="AA180" s="10">
        <v>41676</v>
      </c>
      <c r="AB180" s="10">
        <v>41704</v>
      </c>
      <c r="AC180" s="10">
        <v>41704</v>
      </c>
      <c r="AD180" s="10">
        <v>41722</v>
      </c>
      <c r="AE180" s="8">
        <v>2.98</v>
      </c>
      <c r="AH180" s="8">
        <v>1</v>
      </c>
      <c r="AI180" s="8">
        <v>1</v>
      </c>
      <c r="AJ180" s="8" t="s">
        <v>2002</v>
      </c>
    </row>
    <row r="181" spans="1:36">
      <c r="A181" s="7">
        <f t="shared" si="44"/>
        <v>1</v>
      </c>
      <c r="B181" s="7" t="str">
        <f t="shared" si="66"/>
        <v>14FW-JILLBY-KNIT_01-RE</v>
      </c>
      <c r="C181" s="7">
        <f t="shared" si="45"/>
        <v>1</v>
      </c>
      <c r="D181" s="7" t="str">
        <f t="shared" si="67"/>
        <v>Y&amp;Y14FW-JILLBY-KNIT_01-RE</v>
      </c>
      <c r="E181" s="12" t="str">
        <f t="shared" si="68"/>
        <v>201402</v>
      </c>
      <c r="F181" s="347" t="str">
        <f>VLOOKUP($AA181,[3]주!$A:$F,6,FALSE)</f>
        <v>2월 1주</v>
      </c>
      <c r="G181" s="7">
        <f t="shared" si="46"/>
        <v>1</v>
      </c>
      <c r="H181" s="7" t="str">
        <f t="shared" si="69"/>
        <v>14FW-JILLBY-KNIT_01-RE</v>
      </c>
      <c r="I181" s="7">
        <f t="shared" si="47"/>
        <v>1</v>
      </c>
      <c r="J181" s="7" t="str">
        <f t="shared" si="70"/>
        <v>Y&amp;Y14FW-JILLBY-KNIT_01-RE</v>
      </c>
      <c r="K181" s="17">
        <f t="shared" si="71"/>
        <v>41722</v>
      </c>
      <c r="L181" s="12" t="str">
        <f t="shared" si="72"/>
        <v>201403</v>
      </c>
      <c r="M181" s="347" t="str">
        <f>VLOOKUP($K181,[3]주!$A:$F,6,FALSE)</f>
        <v>3월 2주</v>
      </c>
      <c r="N181" s="273" t="str">
        <f>IF(VLOOKUP($Z181,생산업체!$A:$C,2,FALSE)=1,"해외","국내")</f>
        <v>해외</v>
      </c>
      <c r="O181" s="12" t="str">
        <f>IF(VLOOKUP($U181,CODE!$K:$P,CODE!P$1,FALSE)="모자",T181,T181&amp;"-"&amp;VLOOKUP($U181,CODE!$K:$P,CODE!P$1,FALSE))</f>
        <v>JIL</v>
      </c>
      <c r="P181" s="11" t="s">
        <v>32</v>
      </c>
      <c r="R181" s="11">
        <v>39</v>
      </c>
      <c r="T181" s="8" t="s">
        <v>32</v>
      </c>
      <c r="U181" s="8" t="s">
        <v>56</v>
      </c>
      <c r="V181" s="8" t="s">
        <v>43</v>
      </c>
      <c r="W181" s="8" t="s">
        <v>1416</v>
      </c>
      <c r="X181" s="8" t="s">
        <v>900</v>
      </c>
      <c r="Y181" s="9">
        <v>1</v>
      </c>
      <c r="Z181" s="8" t="s">
        <v>1415</v>
      </c>
      <c r="AA181" s="10">
        <v>41676</v>
      </c>
      <c r="AB181" s="10">
        <v>41704</v>
      </c>
      <c r="AC181" s="10">
        <v>41704</v>
      </c>
      <c r="AD181" s="10">
        <v>41722</v>
      </c>
      <c r="AE181" s="8">
        <v>2.98</v>
      </c>
      <c r="AH181" s="8">
        <v>1</v>
      </c>
      <c r="AI181" s="8">
        <v>1</v>
      </c>
      <c r="AJ181" s="8" t="s">
        <v>2002</v>
      </c>
    </row>
    <row r="182" spans="1:36">
      <c r="A182" s="7">
        <f t="shared" si="44"/>
        <v>1</v>
      </c>
      <c r="B182" s="7" t="str">
        <f t="shared" si="66"/>
        <v>14FW-JILLBY-KNIT_01-BL</v>
      </c>
      <c r="C182" s="7">
        <f t="shared" si="45"/>
        <v>1</v>
      </c>
      <c r="D182" s="7" t="str">
        <f t="shared" si="67"/>
        <v>Y&amp;Y14FW-JILLBY-KNIT_01-BL</v>
      </c>
      <c r="E182" s="12" t="str">
        <f t="shared" si="68"/>
        <v>201402</v>
      </c>
      <c r="F182" s="347" t="str">
        <f>VLOOKUP($AA182,[3]주!$A:$F,6,FALSE)</f>
        <v>2월 1주</v>
      </c>
      <c r="G182" s="7">
        <f t="shared" si="46"/>
        <v>1</v>
      </c>
      <c r="H182" s="7" t="str">
        <f t="shared" si="69"/>
        <v>14FW-JILLBY-KNIT_01-BL</v>
      </c>
      <c r="I182" s="7">
        <f t="shared" si="47"/>
        <v>1</v>
      </c>
      <c r="J182" s="7" t="str">
        <f t="shared" si="70"/>
        <v>Y&amp;Y14FW-JILLBY-KNIT_01-BL</v>
      </c>
      <c r="K182" s="17">
        <f t="shared" si="71"/>
        <v>41722</v>
      </c>
      <c r="L182" s="12" t="str">
        <f t="shared" si="72"/>
        <v>201403</v>
      </c>
      <c r="M182" s="347" t="str">
        <f>VLOOKUP($K182,[3]주!$A:$F,6,FALSE)</f>
        <v>3월 2주</v>
      </c>
      <c r="N182" s="273" t="str">
        <f>IF(VLOOKUP($Z182,생산업체!$A:$C,2,FALSE)=1,"해외","국내")</f>
        <v>해외</v>
      </c>
      <c r="O182" s="12" t="str">
        <f>IF(VLOOKUP($U182,CODE!$K:$P,CODE!P$1,FALSE)="모자",T182,T182&amp;"-"&amp;VLOOKUP($U182,CODE!$K:$P,CODE!P$1,FALSE))</f>
        <v>JIL</v>
      </c>
      <c r="P182" s="11" t="s">
        <v>32</v>
      </c>
      <c r="R182" s="11">
        <v>40</v>
      </c>
      <c r="T182" s="8" t="s">
        <v>32</v>
      </c>
      <c r="U182" s="8" t="s">
        <v>56</v>
      </c>
      <c r="V182" s="8" t="s">
        <v>43</v>
      </c>
      <c r="W182" s="8" t="s">
        <v>1417</v>
      </c>
      <c r="X182" s="8" t="s">
        <v>900</v>
      </c>
      <c r="Y182" s="9">
        <v>1</v>
      </c>
      <c r="Z182" s="8" t="s">
        <v>1415</v>
      </c>
      <c r="AA182" s="10">
        <v>41676</v>
      </c>
      <c r="AB182" s="10">
        <v>41704</v>
      </c>
      <c r="AC182" s="10">
        <v>41704</v>
      </c>
      <c r="AD182" s="10">
        <v>41722</v>
      </c>
      <c r="AE182" s="8">
        <v>2.98</v>
      </c>
      <c r="AH182" s="8">
        <v>1</v>
      </c>
      <c r="AI182" s="8">
        <v>1</v>
      </c>
      <c r="AJ182" s="8" t="s">
        <v>2002</v>
      </c>
    </row>
    <row r="183" spans="1:36">
      <c r="A183" s="7">
        <f t="shared" si="44"/>
        <v>1</v>
      </c>
      <c r="B183" s="7" t="str">
        <f t="shared" si="66"/>
        <v>14FW-JILLBY-KNIT_01-YE</v>
      </c>
      <c r="C183" s="7">
        <f t="shared" si="45"/>
        <v>1</v>
      </c>
      <c r="D183" s="7" t="str">
        <f t="shared" si="67"/>
        <v>Y&amp;Y14FW-JILLBY-KNIT_01-YE</v>
      </c>
      <c r="E183" s="12" t="str">
        <f t="shared" si="68"/>
        <v>201402</v>
      </c>
      <c r="F183" s="347" t="str">
        <f>VLOOKUP($AA183,[3]주!$A:$F,6,FALSE)</f>
        <v>2월 1주</v>
      </c>
      <c r="G183" s="7">
        <f t="shared" si="46"/>
        <v>1</v>
      </c>
      <c r="H183" s="7" t="str">
        <f t="shared" si="69"/>
        <v>14FW-JILLBY-KNIT_01-YE</v>
      </c>
      <c r="I183" s="7">
        <f t="shared" si="47"/>
        <v>1</v>
      </c>
      <c r="J183" s="7" t="str">
        <f t="shared" si="70"/>
        <v>Y&amp;Y14FW-JILLBY-KNIT_01-YE</v>
      </c>
      <c r="K183" s="17">
        <f t="shared" si="71"/>
        <v>41722</v>
      </c>
      <c r="L183" s="12" t="str">
        <f t="shared" si="72"/>
        <v>201403</v>
      </c>
      <c r="M183" s="347" t="str">
        <f>VLOOKUP($K183,[3]주!$A:$F,6,FALSE)</f>
        <v>3월 2주</v>
      </c>
      <c r="N183" s="273" t="str">
        <f>IF(VLOOKUP($Z183,생산업체!$A:$C,2,FALSE)=1,"해외","국내")</f>
        <v>해외</v>
      </c>
      <c r="O183" s="12" t="str">
        <f>IF(VLOOKUP($U183,CODE!$K:$P,CODE!P$1,FALSE)="모자",T183,T183&amp;"-"&amp;VLOOKUP($U183,CODE!$K:$P,CODE!P$1,FALSE))</f>
        <v>JIL</v>
      </c>
      <c r="P183" s="11" t="s">
        <v>32</v>
      </c>
      <c r="R183" s="11">
        <v>41</v>
      </c>
      <c r="T183" s="8" t="s">
        <v>32</v>
      </c>
      <c r="U183" s="8" t="s">
        <v>56</v>
      </c>
      <c r="V183" s="8" t="s">
        <v>43</v>
      </c>
      <c r="W183" s="8" t="s">
        <v>1418</v>
      </c>
      <c r="X183" s="8" t="s">
        <v>900</v>
      </c>
      <c r="Y183" s="9">
        <v>1</v>
      </c>
      <c r="Z183" s="8" t="s">
        <v>1415</v>
      </c>
      <c r="AA183" s="10">
        <v>41676</v>
      </c>
      <c r="AB183" s="10">
        <v>41704</v>
      </c>
      <c r="AC183" s="10">
        <v>41704</v>
      </c>
      <c r="AD183" s="10">
        <v>41722</v>
      </c>
      <c r="AE183" s="8">
        <v>2.98</v>
      </c>
      <c r="AH183" s="8">
        <v>1</v>
      </c>
      <c r="AI183" s="8">
        <v>1</v>
      </c>
      <c r="AJ183" s="8" t="s">
        <v>2002</v>
      </c>
    </row>
    <row r="184" spans="1:36">
      <c r="A184" s="7">
        <f t="shared" si="44"/>
        <v>1</v>
      </c>
      <c r="B184" s="7" t="str">
        <f t="shared" si="66"/>
        <v>14FW-JILLBY-KNIT_01-GY</v>
      </c>
      <c r="C184" s="7">
        <f t="shared" si="45"/>
        <v>1</v>
      </c>
      <c r="D184" s="7" t="str">
        <f t="shared" si="67"/>
        <v>Y&amp;Y14FW-JILLBY-KNIT_01-GY</v>
      </c>
      <c r="E184" s="12" t="str">
        <f t="shared" si="68"/>
        <v>201402</v>
      </c>
      <c r="F184" s="347" t="str">
        <f>VLOOKUP($AA184,[3]주!$A:$F,6,FALSE)</f>
        <v>2월 1주</v>
      </c>
      <c r="G184" s="7">
        <f t="shared" si="46"/>
        <v>1</v>
      </c>
      <c r="H184" s="7" t="str">
        <f t="shared" si="69"/>
        <v>14FW-JILLBY-KNIT_01-GY</v>
      </c>
      <c r="I184" s="7">
        <f t="shared" si="47"/>
        <v>1</v>
      </c>
      <c r="J184" s="7" t="str">
        <f t="shared" si="70"/>
        <v>Y&amp;Y14FW-JILLBY-KNIT_01-GY</v>
      </c>
      <c r="K184" s="17">
        <f t="shared" si="71"/>
        <v>41722</v>
      </c>
      <c r="L184" s="12" t="str">
        <f t="shared" si="72"/>
        <v>201403</v>
      </c>
      <c r="M184" s="347" t="str">
        <f>VLOOKUP($K184,[3]주!$A:$F,6,FALSE)</f>
        <v>3월 2주</v>
      </c>
      <c r="N184" s="273" t="str">
        <f>IF(VLOOKUP($Z184,생산업체!$A:$C,2,FALSE)=1,"해외","국내")</f>
        <v>해외</v>
      </c>
      <c r="O184" s="12" t="str">
        <f>IF(VLOOKUP($U184,CODE!$K:$P,CODE!P$1,FALSE)="모자",T184,T184&amp;"-"&amp;VLOOKUP($U184,CODE!$K:$P,CODE!P$1,FALSE))</f>
        <v>JIL</v>
      </c>
      <c r="P184" s="11" t="s">
        <v>32</v>
      </c>
      <c r="R184" s="11">
        <v>42</v>
      </c>
      <c r="T184" s="8" t="s">
        <v>32</v>
      </c>
      <c r="U184" s="8" t="s">
        <v>56</v>
      </c>
      <c r="V184" s="8" t="s">
        <v>43</v>
      </c>
      <c r="W184" s="8" t="s">
        <v>1419</v>
      </c>
      <c r="X184" s="8" t="s">
        <v>900</v>
      </c>
      <c r="Y184" s="9">
        <v>1</v>
      </c>
      <c r="Z184" s="8" t="s">
        <v>1415</v>
      </c>
      <c r="AA184" s="10">
        <v>41676</v>
      </c>
      <c r="AB184" s="10">
        <v>41704</v>
      </c>
      <c r="AC184" s="10">
        <v>41704</v>
      </c>
      <c r="AD184" s="10">
        <v>41722</v>
      </c>
      <c r="AE184" s="8">
        <v>2.98</v>
      </c>
      <c r="AH184" s="8">
        <v>1</v>
      </c>
      <c r="AI184" s="8">
        <v>1</v>
      </c>
      <c r="AJ184" s="8" t="s">
        <v>2002</v>
      </c>
    </row>
    <row r="185" spans="1:36">
      <c r="A185" s="7">
        <f t="shared" si="44"/>
        <v>1</v>
      </c>
      <c r="B185" s="7" t="str">
        <f t="shared" si="66"/>
        <v>14FW-JILLBY-KNIT_02_IV</v>
      </c>
      <c r="C185" s="7">
        <f t="shared" si="45"/>
        <v>1</v>
      </c>
      <c r="D185" s="7" t="str">
        <f t="shared" si="67"/>
        <v>FOREMOST14FW-JILLBY-KNIT_02_IV</v>
      </c>
      <c r="E185" s="12" t="str">
        <f t="shared" si="68"/>
        <v>201402</v>
      </c>
      <c r="F185" s="347" t="str">
        <f>VLOOKUP($AA185,[3]주!$A:$F,6,FALSE)</f>
        <v>2월 1주</v>
      </c>
      <c r="G185" s="7">
        <f t="shared" si="46"/>
        <v>1</v>
      </c>
      <c r="H185" s="7" t="str">
        <f t="shared" si="69"/>
        <v>14FW-JILLBY-KNIT_02_IV</v>
      </c>
      <c r="I185" s="7">
        <f t="shared" si="47"/>
        <v>1</v>
      </c>
      <c r="J185" s="7" t="str">
        <f t="shared" si="70"/>
        <v>FOREMOST14FW-JILLBY-KNIT_02_IV</v>
      </c>
      <c r="K185" s="17">
        <f t="shared" si="71"/>
        <v>41730</v>
      </c>
      <c r="L185" s="12" t="str">
        <f t="shared" si="72"/>
        <v>201404</v>
      </c>
      <c r="M185" s="347" t="str">
        <f>VLOOKUP($K185,[3]주!$A:$F,6,FALSE)</f>
        <v>3월 2주</v>
      </c>
      <c r="N185" s="273" t="str">
        <f>IF(VLOOKUP($Z185,생산업체!$A:$C,2,FALSE)=1,"해외","국내")</f>
        <v>해외</v>
      </c>
      <c r="O185" s="12" t="str">
        <f>IF(VLOOKUP($U185,CODE!$K:$P,CODE!P$1,FALSE)="모자",T185,T185&amp;"-"&amp;VLOOKUP($U185,CODE!$K:$P,CODE!P$1,FALSE))</f>
        <v>JIL</v>
      </c>
      <c r="P185" s="11" t="s">
        <v>32</v>
      </c>
      <c r="R185" s="11">
        <v>43</v>
      </c>
      <c r="T185" s="8" t="s">
        <v>32</v>
      </c>
      <c r="U185" s="8" t="s">
        <v>56</v>
      </c>
      <c r="V185" s="8" t="s">
        <v>43</v>
      </c>
      <c r="W185" s="8" t="s">
        <v>1420</v>
      </c>
      <c r="X185" s="8" t="s">
        <v>900</v>
      </c>
      <c r="Y185" s="9">
        <v>1</v>
      </c>
      <c r="Z185" s="8" t="s">
        <v>6</v>
      </c>
      <c r="AA185" s="10">
        <v>41676</v>
      </c>
      <c r="AB185" s="10">
        <v>41704</v>
      </c>
      <c r="AC185" s="10">
        <v>41704</v>
      </c>
      <c r="AD185" s="10">
        <v>41730</v>
      </c>
      <c r="AE185" s="8">
        <v>4</v>
      </c>
      <c r="AH185" s="8">
        <v>2</v>
      </c>
      <c r="AI185" s="8">
        <v>2</v>
      </c>
    </row>
    <row r="186" spans="1:36">
      <c r="A186" s="7">
        <f t="shared" si="44"/>
        <v>1</v>
      </c>
      <c r="B186" s="7" t="str">
        <f t="shared" si="66"/>
        <v>14FW-JILLBY-KNIT_02_Bg</v>
      </c>
      <c r="C186" s="7">
        <f t="shared" si="45"/>
        <v>1</v>
      </c>
      <c r="D186" s="7" t="str">
        <f t="shared" si="67"/>
        <v>FOREMOST14FW-JILLBY-KNIT_02_Bg</v>
      </c>
      <c r="E186" s="12" t="str">
        <f t="shared" si="68"/>
        <v>201402</v>
      </c>
      <c r="F186" s="347" t="str">
        <f>VLOOKUP($AA186,[3]주!$A:$F,6,FALSE)</f>
        <v>2월 1주</v>
      </c>
      <c r="G186" s="7">
        <f t="shared" si="46"/>
        <v>1</v>
      </c>
      <c r="H186" s="7" t="str">
        <f t="shared" si="69"/>
        <v>14FW-JILLBY-KNIT_02_Bg</v>
      </c>
      <c r="I186" s="7">
        <f t="shared" si="47"/>
        <v>1</v>
      </c>
      <c r="J186" s="7" t="str">
        <f t="shared" si="70"/>
        <v>FOREMOST14FW-JILLBY-KNIT_02_Bg</v>
      </c>
      <c r="K186" s="17">
        <f t="shared" si="71"/>
        <v>41730</v>
      </c>
      <c r="L186" s="12" t="str">
        <f t="shared" si="72"/>
        <v>201404</v>
      </c>
      <c r="M186" s="347" t="str">
        <f>VLOOKUP($K186,[3]주!$A:$F,6,FALSE)</f>
        <v>3월 2주</v>
      </c>
      <c r="N186" s="273" t="str">
        <f>IF(VLOOKUP($Z186,생산업체!$A:$C,2,FALSE)=1,"해외","국내")</f>
        <v>해외</v>
      </c>
      <c r="O186" s="12" t="str">
        <f>IF(VLOOKUP($U186,CODE!$K:$P,CODE!P$1,FALSE)="모자",T186,T186&amp;"-"&amp;VLOOKUP($U186,CODE!$K:$P,CODE!P$1,FALSE))</f>
        <v>JIL</v>
      </c>
      <c r="P186" s="11" t="s">
        <v>32</v>
      </c>
      <c r="R186" s="11">
        <v>44</v>
      </c>
      <c r="T186" s="8" t="s">
        <v>32</v>
      </c>
      <c r="U186" s="8" t="s">
        <v>56</v>
      </c>
      <c r="V186" s="8" t="s">
        <v>43</v>
      </c>
      <c r="W186" s="8" t="s">
        <v>1421</v>
      </c>
      <c r="X186" s="8" t="s">
        <v>900</v>
      </c>
      <c r="Y186" s="9">
        <v>1</v>
      </c>
      <c r="Z186" s="8" t="s">
        <v>6</v>
      </c>
      <c r="AA186" s="10">
        <v>41676</v>
      </c>
      <c r="AB186" s="10">
        <v>41704</v>
      </c>
      <c r="AC186" s="10">
        <v>41704</v>
      </c>
      <c r="AD186" s="10">
        <v>41730</v>
      </c>
      <c r="AE186" s="8">
        <v>4</v>
      </c>
      <c r="AH186" s="8">
        <v>2</v>
      </c>
      <c r="AI186" s="8">
        <v>2</v>
      </c>
    </row>
    <row r="187" spans="1:36">
      <c r="A187" s="7">
        <f t="shared" si="44"/>
        <v>1</v>
      </c>
      <c r="B187" s="7" t="str">
        <f t="shared" si="66"/>
        <v>14FW-JILLBY-KNIT_02_GY</v>
      </c>
      <c r="C187" s="7">
        <f t="shared" si="45"/>
        <v>1</v>
      </c>
      <c r="D187" s="7" t="str">
        <f t="shared" si="67"/>
        <v>FOREMOST14FW-JILLBY-KNIT_02_GY</v>
      </c>
      <c r="E187" s="12" t="str">
        <f t="shared" si="68"/>
        <v>201402</v>
      </c>
      <c r="F187" s="347" t="str">
        <f>VLOOKUP($AA187,[3]주!$A:$F,6,FALSE)</f>
        <v>2월 1주</v>
      </c>
      <c r="G187" s="7">
        <f t="shared" si="46"/>
        <v>1</v>
      </c>
      <c r="H187" s="7" t="str">
        <f t="shared" si="69"/>
        <v>14FW-JILLBY-KNIT_02_GY</v>
      </c>
      <c r="I187" s="7">
        <f t="shared" si="47"/>
        <v>1</v>
      </c>
      <c r="J187" s="7" t="str">
        <f t="shared" si="70"/>
        <v>FOREMOST14FW-JILLBY-KNIT_02_GY</v>
      </c>
      <c r="K187" s="17">
        <f t="shared" si="71"/>
        <v>41730</v>
      </c>
      <c r="L187" s="12" t="str">
        <f t="shared" si="72"/>
        <v>201404</v>
      </c>
      <c r="M187" s="347" t="str">
        <f>VLOOKUP($K187,[3]주!$A:$F,6,FALSE)</f>
        <v>3월 2주</v>
      </c>
      <c r="N187" s="273" t="str">
        <f>IF(VLOOKUP($Z187,생산업체!$A:$C,2,FALSE)=1,"해외","국내")</f>
        <v>해외</v>
      </c>
      <c r="O187" s="12" t="str">
        <f>IF(VLOOKUP($U187,CODE!$K:$P,CODE!P$1,FALSE)="모자",T187,T187&amp;"-"&amp;VLOOKUP($U187,CODE!$K:$P,CODE!P$1,FALSE))</f>
        <v>JIL</v>
      </c>
      <c r="P187" s="11" t="s">
        <v>32</v>
      </c>
      <c r="R187" s="11">
        <v>45</v>
      </c>
      <c r="T187" s="8" t="s">
        <v>32</v>
      </c>
      <c r="U187" s="8" t="s">
        <v>56</v>
      </c>
      <c r="V187" s="8" t="s">
        <v>43</v>
      </c>
      <c r="W187" s="8" t="s">
        <v>1422</v>
      </c>
      <c r="X187" s="8" t="s">
        <v>900</v>
      </c>
      <c r="Y187" s="9">
        <v>1</v>
      </c>
      <c r="Z187" s="8" t="s">
        <v>6</v>
      </c>
      <c r="AA187" s="10">
        <v>41676</v>
      </c>
      <c r="AB187" s="10">
        <v>41704</v>
      </c>
      <c r="AC187" s="10">
        <v>41704</v>
      </c>
      <c r="AD187" s="10">
        <v>41730</v>
      </c>
      <c r="AE187" s="8">
        <v>4</v>
      </c>
      <c r="AH187" s="8">
        <v>2</v>
      </c>
      <c r="AI187" s="8">
        <v>2</v>
      </c>
    </row>
    <row r="188" spans="1:36">
      <c r="A188" s="7">
        <f t="shared" si="44"/>
        <v>1</v>
      </c>
      <c r="B188" s="7" t="str">
        <f t="shared" si="66"/>
        <v>14FW-JILLBY-KNIT_03_NY</v>
      </c>
      <c r="C188" s="7">
        <f t="shared" si="45"/>
        <v>1</v>
      </c>
      <c r="D188" s="7" t="str">
        <f t="shared" si="67"/>
        <v>FOREMOST14FW-JILLBY-KNIT_03_NY</v>
      </c>
      <c r="E188" s="12" t="str">
        <f t="shared" si="68"/>
        <v>201402</v>
      </c>
      <c r="F188" s="347" t="str">
        <f>VLOOKUP($AA188,[3]주!$A:$F,6,FALSE)</f>
        <v>2월 1주</v>
      </c>
      <c r="G188" s="7">
        <f t="shared" si="46"/>
        <v>1</v>
      </c>
      <c r="H188" s="7" t="str">
        <f t="shared" si="69"/>
        <v>14FW-JILLBY-KNIT_03_NY</v>
      </c>
      <c r="I188" s="7">
        <f t="shared" si="47"/>
        <v>1</v>
      </c>
      <c r="J188" s="7" t="str">
        <f t="shared" si="70"/>
        <v>FOREMOST14FW-JILLBY-KNIT_03_NY</v>
      </c>
      <c r="K188" s="17">
        <f t="shared" si="71"/>
        <v>41731</v>
      </c>
      <c r="L188" s="12" t="str">
        <f t="shared" si="72"/>
        <v>201404</v>
      </c>
      <c r="M188" s="347" t="str">
        <f>VLOOKUP($K188,[3]주!$A:$F,6,FALSE)</f>
        <v>3월 2주</v>
      </c>
      <c r="N188" s="273" t="str">
        <f>IF(VLOOKUP($Z188,생산업체!$A:$C,2,FALSE)=1,"해외","국내")</f>
        <v>해외</v>
      </c>
      <c r="O188" s="12" t="str">
        <f>IF(VLOOKUP($U188,CODE!$K:$P,CODE!P$1,FALSE)="모자",T188,T188&amp;"-"&amp;VLOOKUP($U188,CODE!$K:$P,CODE!P$1,FALSE))</f>
        <v>JIL</v>
      </c>
      <c r="P188" s="11" t="s">
        <v>32</v>
      </c>
      <c r="R188" s="11">
        <v>46</v>
      </c>
      <c r="T188" s="8" t="s">
        <v>32</v>
      </c>
      <c r="U188" s="8" t="s">
        <v>56</v>
      </c>
      <c r="V188" s="8" t="s">
        <v>43</v>
      </c>
      <c r="W188" s="8" t="s">
        <v>1423</v>
      </c>
      <c r="X188" s="8" t="s">
        <v>900</v>
      </c>
      <c r="Y188" s="9">
        <v>1</v>
      </c>
      <c r="Z188" s="8" t="s">
        <v>6</v>
      </c>
      <c r="AA188" s="10">
        <v>41676</v>
      </c>
      <c r="AB188" s="10">
        <v>41704</v>
      </c>
      <c r="AC188" s="10">
        <v>41704</v>
      </c>
      <c r="AD188" s="10">
        <v>41731</v>
      </c>
      <c r="AE188" s="8">
        <v>3.85</v>
      </c>
      <c r="AH188" s="8">
        <v>2</v>
      </c>
      <c r="AI188" s="8">
        <v>2</v>
      </c>
    </row>
    <row r="189" spans="1:36">
      <c r="A189" s="7">
        <f t="shared" si="44"/>
        <v>1</v>
      </c>
      <c r="B189" s="7" t="str">
        <f t="shared" si="66"/>
        <v>14FW-JILLBY-KNIT_03_GY</v>
      </c>
      <c r="C189" s="7">
        <f t="shared" si="45"/>
        <v>1</v>
      </c>
      <c r="D189" s="7" t="str">
        <f t="shared" si="67"/>
        <v>FOREMOST14FW-JILLBY-KNIT_03_GY</v>
      </c>
      <c r="E189" s="12" t="str">
        <f t="shared" si="68"/>
        <v>201402</v>
      </c>
      <c r="F189" s="347" t="str">
        <f>VLOOKUP($AA189,[3]주!$A:$F,6,FALSE)</f>
        <v>2월 1주</v>
      </c>
      <c r="G189" s="7">
        <f t="shared" si="46"/>
        <v>1</v>
      </c>
      <c r="H189" s="7" t="str">
        <f t="shared" si="69"/>
        <v>14FW-JILLBY-KNIT_03_GY</v>
      </c>
      <c r="I189" s="7">
        <f t="shared" si="47"/>
        <v>1</v>
      </c>
      <c r="J189" s="7" t="str">
        <f t="shared" si="70"/>
        <v>FOREMOST14FW-JILLBY-KNIT_03_GY</v>
      </c>
      <c r="K189" s="17">
        <f t="shared" si="71"/>
        <v>41731</v>
      </c>
      <c r="L189" s="12" t="str">
        <f t="shared" si="72"/>
        <v>201404</v>
      </c>
      <c r="M189" s="347" t="str">
        <f>VLOOKUP($K189,[3]주!$A:$F,6,FALSE)</f>
        <v>3월 2주</v>
      </c>
      <c r="N189" s="273" t="str">
        <f>IF(VLOOKUP($Z189,생산업체!$A:$C,2,FALSE)=1,"해외","국내")</f>
        <v>해외</v>
      </c>
      <c r="O189" s="12" t="str">
        <f>IF(VLOOKUP($U189,CODE!$K:$P,CODE!P$1,FALSE)="모자",T189,T189&amp;"-"&amp;VLOOKUP($U189,CODE!$K:$P,CODE!P$1,FALSE))</f>
        <v>JIL</v>
      </c>
      <c r="P189" s="11" t="s">
        <v>32</v>
      </c>
      <c r="R189" s="11">
        <v>47</v>
      </c>
      <c r="T189" s="8" t="s">
        <v>32</v>
      </c>
      <c r="U189" s="8" t="s">
        <v>56</v>
      </c>
      <c r="V189" s="8" t="s">
        <v>43</v>
      </c>
      <c r="W189" s="8" t="s">
        <v>1424</v>
      </c>
      <c r="X189" s="8" t="s">
        <v>900</v>
      </c>
      <c r="Y189" s="9">
        <v>1</v>
      </c>
      <c r="Z189" s="8" t="s">
        <v>6</v>
      </c>
      <c r="AA189" s="10">
        <v>41676</v>
      </c>
      <c r="AB189" s="10">
        <v>41704</v>
      </c>
      <c r="AC189" s="10">
        <v>41704</v>
      </c>
      <c r="AD189" s="10">
        <v>41731</v>
      </c>
      <c r="AE189" s="8">
        <v>3.85</v>
      </c>
      <c r="AH189" s="8">
        <v>2</v>
      </c>
      <c r="AI189" s="8">
        <v>2</v>
      </c>
    </row>
    <row r="190" spans="1:36">
      <c r="A190" s="7">
        <f t="shared" si="44"/>
        <v>0.5</v>
      </c>
      <c r="B190" s="7" t="str">
        <f t="shared" si="66"/>
        <v>14FW-JILLBY-KNIT_04_WN</v>
      </c>
      <c r="C190" s="7">
        <f t="shared" si="45"/>
        <v>1</v>
      </c>
      <c r="D190" s="7" t="str">
        <f t="shared" si="67"/>
        <v>FOREMOST14FW-JILLBY-KNIT_04_WN</v>
      </c>
      <c r="E190" s="12" t="str">
        <f t="shared" si="68"/>
        <v>201402</v>
      </c>
      <c r="F190" s="347" t="str">
        <f>VLOOKUP($AA190,[3]주!$A:$F,6,FALSE)</f>
        <v>2월 1주</v>
      </c>
      <c r="G190" s="7">
        <f t="shared" si="46"/>
        <v>1</v>
      </c>
      <c r="H190" s="7" t="str">
        <f t="shared" si="69"/>
        <v>14FW-JILLBY-KNIT_04_WN</v>
      </c>
      <c r="I190" s="7">
        <f t="shared" si="47"/>
        <v>1</v>
      </c>
      <c r="J190" s="7" t="str">
        <f t="shared" si="70"/>
        <v>FOREMOST14FW-JILLBY-KNIT_04_WN</v>
      </c>
      <c r="K190" s="17">
        <f t="shared" si="71"/>
        <v>41730</v>
      </c>
      <c r="L190" s="12" t="str">
        <f t="shared" si="72"/>
        <v>201404</v>
      </c>
      <c r="M190" s="347" t="str">
        <f>VLOOKUP($K190,[3]주!$A:$F,6,FALSE)</f>
        <v>3월 2주</v>
      </c>
      <c r="N190" s="273" t="str">
        <f>IF(VLOOKUP($Z190,생산업체!$A:$C,2,FALSE)=1,"해외","국내")</f>
        <v>해외</v>
      </c>
      <c r="O190" s="12" t="str">
        <f>IF(VLOOKUP($U190,CODE!$K:$P,CODE!P$1,FALSE)="모자",T190,T190&amp;"-"&amp;VLOOKUP($U190,CODE!$K:$P,CODE!P$1,FALSE))</f>
        <v>JIL</v>
      </c>
      <c r="P190" s="11" t="s">
        <v>32</v>
      </c>
      <c r="R190" s="11">
        <v>48</v>
      </c>
      <c r="T190" s="8" t="s">
        <v>32</v>
      </c>
      <c r="U190" s="8" t="s">
        <v>56</v>
      </c>
      <c r="V190" s="8" t="s">
        <v>43</v>
      </c>
      <c r="W190" s="8" t="s">
        <v>1425</v>
      </c>
      <c r="X190" s="8" t="s">
        <v>900</v>
      </c>
      <c r="Y190" s="9">
        <v>0.5</v>
      </c>
      <c r="Z190" s="8" t="s">
        <v>6</v>
      </c>
      <c r="AA190" s="10">
        <v>41676</v>
      </c>
      <c r="AB190" s="10">
        <v>41704</v>
      </c>
      <c r="AC190" s="10">
        <v>41704</v>
      </c>
      <c r="AD190" s="10">
        <v>41730</v>
      </c>
      <c r="AE190" s="8">
        <v>9.6</v>
      </c>
      <c r="AH190" s="8">
        <v>2</v>
      </c>
      <c r="AI190" s="8">
        <v>2</v>
      </c>
    </row>
    <row r="191" spans="1:36">
      <c r="A191" s="7">
        <f t="shared" si="44"/>
        <v>0.5</v>
      </c>
      <c r="B191" s="7" t="str">
        <f t="shared" si="66"/>
        <v>14FW-JILLBY-KNIT_04_GY</v>
      </c>
      <c r="C191" s="7">
        <f t="shared" si="45"/>
        <v>1</v>
      </c>
      <c r="D191" s="7" t="str">
        <f t="shared" si="67"/>
        <v>FOREMOST14FW-JILLBY-KNIT_04_GY</v>
      </c>
      <c r="E191" s="12" t="str">
        <f t="shared" si="68"/>
        <v>201402</v>
      </c>
      <c r="F191" s="347" t="str">
        <f>VLOOKUP($AA191,[3]주!$A:$F,6,FALSE)</f>
        <v>2월 1주</v>
      </c>
      <c r="G191" s="7">
        <f t="shared" si="46"/>
        <v>1</v>
      </c>
      <c r="H191" s="7" t="str">
        <f t="shared" si="69"/>
        <v>14FW-JILLBY-KNIT_04_GY</v>
      </c>
      <c r="I191" s="7">
        <f t="shared" si="47"/>
        <v>1</v>
      </c>
      <c r="J191" s="7" t="str">
        <f t="shared" si="70"/>
        <v>FOREMOST14FW-JILLBY-KNIT_04_GY</v>
      </c>
      <c r="K191" s="17">
        <f t="shared" si="71"/>
        <v>41730</v>
      </c>
      <c r="L191" s="12" t="str">
        <f t="shared" si="72"/>
        <v>201404</v>
      </c>
      <c r="M191" s="347" t="str">
        <f>VLOOKUP($K191,[3]주!$A:$F,6,FALSE)</f>
        <v>3월 2주</v>
      </c>
      <c r="N191" s="273" t="str">
        <f>IF(VLOOKUP($Z191,생산업체!$A:$C,2,FALSE)=1,"해외","국내")</f>
        <v>해외</v>
      </c>
      <c r="O191" s="12" t="str">
        <f>IF(VLOOKUP($U191,CODE!$K:$P,CODE!P$1,FALSE)="모자",T191,T191&amp;"-"&amp;VLOOKUP($U191,CODE!$K:$P,CODE!P$1,FALSE))</f>
        <v>JIL</v>
      </c>
      <c r="P191" s="11" t="s">
        <v>32</v>
      </c>
      <c r="R191" s="11">
        <v>49</v>
      </c>
      <c r="T191" s="8" t="s">
        <v>32</v>
      </c>
      <c r="U191" s="8" t="s">
        <v>56</v>
      </c>
      <c r="V191" s="8" t="s">
        <v>43</v>
      </c>
      <c r="W191" s="8" t="s">
        <v>1426</v>
      </c>
      <c r="X191" s="8" t="s">
        <v>900</v>
      </c>
      <c r="Y191" s="9">
        <v>0.5</v>
      </c>
      <c r="Z191" s="8" t="s">
        <v>6</v>
      </c>
      <c r="AA191" s="10">
        <v>41676</v>
      </c>
      <c r="AB191" s="10">
        <v>41704</v>
      </c>
      <c r="AC191" s="10">
        <v>41704</v>
      </c>
      <c r="AD191" s="10">
        <v>41730</v>
      </c>
      <c r="AE191" s="8">
        <v>9.6</v>
      </c>
      <c r="AH191" s="8">
        <v>2</v>
      </c>
      <c r="AI191" s="8">
        <v>2</v>
      </c>
    </row>
    <row r="192" spans="1:36">
      <c r="A192" s="7">
        <f t="shared" si="44"/>
        <v>0.5</v>
      </c>
      <c r="B192" s="7" t="str">
        <f t="shared" si="66"/>
        <v>14FW-JILLBY-KNIT_04_BK</v>
      </c>
      <c r="C192" s="7">
        <f t="shared" si="45"/>
        <v>1</v>
      </c>
      <c r="D192" s="7" t="str">
        <f t="shared" si="67"/>
        <v>FOREMOST14FW-JILLBY-KNIT_04_BK</v>
      </c>
      <c r="E192" s="12" t="str">
        <f t="shared" si="68"/>
        <v>201402</v>
      </c>
      <c r="F192" s="347" t="str">
        <f>VLOOKUP($AA192,[3]주!$A:$F,6,FALSE)</f>
        <v>2월 1주</v>
      </c>
      <c r="G192" s="7">
        <f t="shared" si="46"/>
        <v>1</v>
      </c>
      <c r="H192" s="7" t="str">
        <f t="shared" si="69"/>
        <v>14FW-JILLBY-KNIT_04_BK</v>
      </c>
      <c r="I192" s="7">
        <f t="shared" si="47"/>
        <v>1</v>
      </c>
      <c r="J192" s="7" t="str">
        <f t="shared" si="70"/>
        <v>FOREMOST14FW-JILLBY-KNIT_04_BK</v>
      </c>
      <c r="K192" s="17">
        <f t="shared" si="71"/>
        <v>41730</v>
      </c>
      <c r="L192" s="12" t="str">
        <f t="shared" si="72"/>
        <v>201404</v>
      </c>
      <c r="M192" s="347" t="str">
        <f>VLOOKUP($K192,[3]주!$A:$F,6,FALSE)</f>
        <v>3월 2주</v>
      </c>
      <c r="N192" s="273" t="str">
        <f>IF(VLOOKUP($Z192,생산업체!$A:$C,2,FALSE)=1,"해외","국내")</f>
        <v>해외</v>
      </c>
      <c r="O192" s="12" t="str">
        <f>IF(VLOOKUP($U192,CODE!$K:$P,CODE!P$1,FALSE)="모자",T192,T192&amp;"-"&amp;VLOOKUP($U192,CODE!$K:$P,CODE!P$1,FALSE))</f>
        <v>JIL</v>
      </c>
      <c r="P192" s="11" t="s">
        <v>32</v>
      </c>
      <c r="R192" s="11">
        <v>50</v>
      </c>
      <c r="T192" s="8" t="s">
        <v>32</v>
      </c>
      <c r="U192" s="8" t="s">
        <v>56</v>
      </c>
      <c r="V192" s="8" t="s">
        <v>43</v>
      </c>
      <c r="W192" s="8" t="s">
        <v>1427</v>
      </c>
      <c r="X192" s="8" t="s">
        <v>900</v>
      </c>
      <c r="Y192" s="9">
        <v>0.5</v>
      </c>
      <c r="Z192" s="8" t="s">
        <v>6</v>
      </c>
      <c r="AA192" s="10">
        <v>41676</v>
      </c>
      <c r="AB192" s="10">
        <v>41704</v>
      </c>
      <c r="AC192" s="10">
        <v>41704</v>
      </c>
      <c r="AD192" s="10">
        <v>41730</v>
      </c>
      <c r="AE192" s="8">
        <v>9.6</v>
      </c>
      <c r="AH192" s="8">
        <v>1</v>
      </c>
      <c r="AI192" s="8">
        <v>1</v>
      </c>
    </row>
    <row r="193" spans="1:35">
      <c r="A193" s="7">
        <f t="shared" si="44"/>
        <v>1</v>
      </c>
      <c r="B193" s="7" t="str">
        <f t="shared" si="66"/>
        <v>14FW-JILLBY-KNIT-12-GY</v>
      </c>
      <c r="C193" s="7">
        <f t="shared" si="45"/>
        <v>1</v>
      </c>
      <c r="D193" s="7" t="str">
        <f t="shared" si="67"/>
        <v>Y&amp;Y14FW-JILLBY-KNIT-12-GY</v>
      </c>
      <c r="E193" s="12" t="str">
        <f t="shared" si="68"/>
        <v>201402</v>
      </c>
      <c r="F193" s="347" t="str">
        <f>VLOOKUP($AA193,[3]주!$A:$F,6,FALSE)</f>
        <v>2월 1주</v>
      </c>
      <c r="G193" s="7">
        <f t="shared" si="46"/>
        <v>1</v>
      </c>
      <c r="H193" s="7" t="str">
        <f t="shared" si="69"/>
        <v>14FW-JILLBY-KNIT-12-GY</v>
      </c>
      <c r="I193" s="7">
        <f t="shared" si="47"/>
        <v>1</v>
      </c>
      <c r="J193" s="7" t="str">
        <f t="shared" si="70"/>
        <v>Y&amp;Y14FW-JILLBY-KNIT-12-GY</v>
      </c>
      <c r="K193" s="17">
        <f t="shared" si="71"/>
        <v>41761</v>
      </c>
      <c r="L193" s="12" t="str">
        <f t="shared" si="72"/>
        <v>201405</v>
      </c>
      <c r="M193" s="347" t="str">
        <f>VLOOKUP($K193,[3]주!$A:$F,6,FALSE)</f>
        <v>3월 2주</v>
      </c>
      <c r="N193" s="273" t="str">
        <f>IF(VLOOKUP($Z193,생산업체!$A:$C,2,FALSE)=1,"해외","국내")</f>
        <v>해외</v>
      </c>
      <c r="O193" s="12" t="str">
        <f>IF(VLOOKUP($U193,CODE!$K:$P,CODE!P$1,FALSE)="모자",T193,T193&amp;"-"&amp;VLOOKUP($U193,CODE!$K:$P,CODE!P$1,FALSE))</f>
        <v>JIL</v>
      </c>
      <c r="P193" s="11" t="s">
        <v>32</v>
      </c>
      <c r="R193" s="11">
        <v>51</v>
      </c>
      <c r="T193" s="8" t="s">
        <v>32</v>
      </c>
      <c r="U193" s="8" t="s">
        <v>56</v>
      </c>
      <c r="V193" s="8" t="s">
        <v>43</v>
      </c>
      <c r="W193" s="8" t="s">
        <v>1428</v>
      </c>
      <c r="X193" s="8" t="s">
        <v>900</v>
      </c>
      <c r="Y193" s="9">
        <v>1</v>
      </c>
      <c r="Z193" s="8" t="s">
        <v>1415</v>
      </c>
      <c r="AA193" s="10">
        <v>41676</v>
      </c>
      <c r="AB193" s="10">
        <v>41704</v>
      </c>
      <c r="AC193" s="10">
        <v>41704</v>
      </c>
      <c r="AD193" s="10">
        <v>41761</v>
      </c>
      <c r="AG193" s="8">
        <v>1</v>
      </c>
      <c r="AH193" s="8">
        <v>1</v>
      </c>
      <c r="AI193" s="8">
        <v>1</v>
      </c>
    </row>
    <row r="194" spans="1:35">
      <c r="A194" s="7">
        <f t="shared" ref="A194:A257" si="73">IF(B194="",0,1/COUNTIF(B:B,B194))</f>
        <v>1</v>
      </c>
      <c r="B194" s="7" t="str">
        <f t="shared" si="66"/>
        <v>14FW-JILLBY-KNIT-12-KH</v>
      </c>
      <c r="C194" s="7">
        <f t="shared" ref="C194:C257" si="74">IF(D194="",0,1/COUNTIF(D:D,D194))</f>
        <v>1</v>
      </c>
      <c r="D194" s="7" t="str">
        <f t="shared" si="67"/>
        <v>Y&amp;Y14FW-JILLBY-KNIT-12-KH</v>
      </c>
      <c r="E194" s="12" t="str">
        <f t="shared" si="68"/>
        <v>201402</v>
      </c>
      <c r="F194" s="347" t="str">
        <f>VLOOKUP($AA194,[3]주!$A:$F,6,FALSE)</f>
        <v>2월 1주</v>
      </c>
      <c r="G194" s="7">
        <f t="shared" ref="G194:G257" si="75">IF(H194="",0,1/COUNTIF(H:H,H194))</f>
        <v>1</v>
      </c>
      <c r="H194" s="7" t="str">
        <f t="shared" si="69"/>
        <v>14FW-JILLBY-KNIT-12-KH</v>
      </c>
      <c r="I194" s="7">
        <f t="shared" ref="I194:I257" si="76">IF(J194="",0,1/COUNTIF(J:J,J194))</f>
        <v>1</v>
      </c>
      <c r="J194" s="7" t="str">
        <f t="shared" si="70"/>
        <v>Y&amp;Y14FW-JILLBY-KNIT-12-KH</v>
      </c>
      <c r="K194" s="17">
        <f t="shared" si="71"/>
        <v>41761</v>
      </c>
      <c r="L194" s="12" t="str">
        <f t="shared" si="72"/>
        <v>201405</v>
      </c>
      <c r="M194" s="347" t="str">
        <f>VLOOKUP($K194,[3]주!$A:$F,6,FALSE)</f>
        <v>3월 2주</v>
      </c>
      <c r="N194" s="273" t="str">
        <f>IF(VLOOKUP($Z194,생산업체!$A:$C,2,FALSE)=1,"해외","국내")</f>
        <v>해외</v>
      </c>
      <c r="O194" s="12" t="str">
        <f>IF(VLOOKUP($U194,CODE!$K:$P,CODE!P$1,FALSE)="모자",T194,T194&amp;"-"&amp;VLOOKUP($U194,CODE!$K:$P,CODE!P$1,FALSE))</f>
        <v>JIL</v>
      </c>
      <c r="P194" s="11" t="s">
        <v>32</v>
      </c>
      <c r="R194" s="11">
        <v>52</v>
      </c>
      <c r="T194" s="8" t="s">
        <v>32</v>
      </c>
      <c r="U194" s="8" t="s">
        <v>56</v>
      </c>
      <c r="V194" s="8" t="s">
        <v>43</v>
      </c>
      <c r="W194" s="8" t="s">
        <v>1429</v>
      </c>
      <c r="X194" s="8" t="s">
        <v>900</v>
      </c>
      <c r="Y194" s="9">
        <v>1</v>
      </c>
      <c r="Z194" s="8" t="s">
        <v>1415</v>
      </c>
      <c r="AA194" s="10">
        <v>41676</v>
      </c>
      <c r="AB194" s="10">
        <v>41704</v>
      </c>
      <c r="AC194" s="10">
        <v>41704</v>
      </c>
      <c r="AD194" s="10">
        <v>41761</v>
      </c>
      <c r="AH194" s="8">
        <v>1</v>
      </c>
      <c r="AI194" s="8">
        <v>1</v>
      </c>
    </row>
    <row r="195" spans="1:35">
      <c r="A195" s="7">
        <f t="shared" si="73"/>
        <v>0.5</v>
      </c>
      <c r="B195" s="7" t="str">
        <f t="shared" si="66"/>
        <v>14FW-JILLBY-KNIT-12-PP</v>
      </c>
      <c r="C195" s="7">
        <f t="shared" si="74"/>
        <v>1</v>
      </c>
      <c r="D195" s="7" t="str">
        <f t="shared" si="67"/>
        <v>Y&amp;Y14FW-JILLBY-KNIT-12-PP</v>
      </c>
      <c r="E195" s="12" t="str">
        <f t="shared" si="68"/>
        <v>201402</v>
      </c>
      <c r="F195" s="347" t="str">
        <f>VLOOKUP($AA195,[3]주!$A:$F,6,FALSE)</f>
        <v>2월 1주</v>
      </c>
      <c r="G195" s="7">
        <f t="shared" si="75"/>
        <v>0.5</v>
      </c>
      <c r="H195" s="7" t="str">
        <f t="shared" si="69"/>
        <v>14FW-JILLBY-KNIT-12-PP</v>
      </c>
      <c r="I195" s="7">
        <f t="shared" si="76"/>
        <v>1</v>
      </c>
      <c r="J195" s="7" t="str">
        <f t="shared" si="70"/>
        <v>Y&amp;Y14FW-JILLBY-KNIT-12-PP</v>
      </c>
      <c r="K195" s="17">
        <f t="shared" si="71"/>
        <v>41761</v>
      </c>
      <c r="L195" s="12" t="str">
        <f t="shared" si="72"/>
        <v>201405</v>
      </c>
      <c r="M195" s="347" t="str">
        <f>VLOOKUP($K195,[3]주!$A:$F,6,FALSE)</f>
        <v>3월 2주</v>
      </c>
      <c r="N195" s="273" t="str">
        <f>IF(VLOOKUP($Z195,생산업체!$A:$C,2,FALSE)=1,"해외","국내")</f>
        <v>해외</v>
      </c>
      <c r="O195" s="12" t="str">
        <f>IF(VLOOKUP($U195,CODE!$K:$P,CODE!P$1,FALSE)="모자",T195,T195&amp;"-"&amp;VLOOKUP($U195,CODE!$K:$P,CODE!P$1,FALSE))</f>
        <v>JIL</v>
      </c>
      <c r="P195" s="11" t="s">
        <v>32</v>
      </c>
      <c r="R195" s="11">
        <v>53</v>
      </c>
      <c r="T195" s="8" t="s">
        <v>32</v>
      </c>
      <c r="U195" s="8" t="s">
        <v>56</v>
      </c>
      <c r="V195" s="8" t="s">
        <v>43</v>
      </c>
      <c r="W195" s="8" t="s">
        <v>1430</v>
      </c>
      <c r="X195" s="8" t="s">
        <v>900</v>
      </c>
      <c r="Y195" s="9">
        <v>0.5</v>
      </c>
      <c r="Z195" s="8" t="s">
        <v>1415</v>
      </c>
      <c r="AA195" s="10">
        <v>41676</v>
      </c>
      <c r="AB195" s="10">
        <v>41704</v>
      </c>
      <c r="AC195" s="10">
        <v>41704</v>
      </c>
      <c r="AD195" s="10">
        <v>41761</v>
      </c>
      <c r="AH195" s="8">
        <v>1</v>
      </c>
      <c r="AI195" s="8">
        <v>1</v>
      </c>
    </row>
    <row r="196" spans="1:35">
      <c r="A196" s="7">
        <f t="shared" si="73"/>
        <v>1</v>
      </c>
      <c r="B196" s="7" t="str">
        <f t="shared" si="66"/>
        <v>14FW-JILLBY-KNIT-12-BK</v>
      </c>
      <c r="C196" s="7">
        <f t="shared" si="74"/>
        <v>1</v>
      </c>
      <c r="D196" s="7" t="str">
        <f t="shared" si="67"/>
        <v>Y&amp;Y14FW-JILLBY-KNIT-12-BK</v>
      </c>
      <c r="E196" s="12" t="str">
        <f t="shared" si="68"/>
        <v>201402</v>
      </c>
      <c r="F196" s="347" t="str">
        <f>VLOOKUP($AA196,[3]주!$A:$F,6,FALSE)</f>
        <v>2월 1주</v>
      </c>
      <c r="G196" s="7">
        <f t="shared" si="75"/>
        <v>1</v>
      </c>
      <c r="H196" s="7" t="str">
        <f t="shared" si="69"/>
        <v>14FW-JILLBY-KNIT-12-BK</v>
      </c>
      <c r="I196" s="7">
        <f t="shared" si="76"/>
        <v>1</v>
      </c>
      <c r="J196" s="7" t="str">
        <f t="shared" si="70"/>
        <v>Y&amp;Y14FW-JILLBY-KNIT-12-BK</v>
      </c>
      <c r="K196" s="17">
        <f t="shared" si="71"/>
        <v>41761</v>
      </c>
      <c r="L196" s="12" t="str">
        <f t="shared" si="72"/>
        <v>201405</v>
      </c>
      <c r="M196" s="347" t="str">
        <f>VLOOKUP($K196,[3]주!$A:$F,6,FALSE)</f>
        <v>3월 2주</v>
      </c>
      <c r="N196" s="273" t="str">
        <f>IF(VLOOKUP($Z196,생산업체!$A:$C,2,FALSE)=1,"해외","국내")</f>
        <v>해외</v>
      </c>
      <c r="O196" s="12" t="str">
        <f>IF(VLOOKUP($U196,CODE!$K:$P,CODE!P$1,FALSE)="모자",T196,T196&amp;"-"&amp;VLOOKUP($U196,CODE!$K:$P,CODE!P$1,FALSE))</f>
        <v>JIL</v>
      </c>
      <c r="P196" s="11" t="s">
        <v>32</v>
      </c>
      <c r="R196" s="11">
        <v>54</v>
      </c>
      <c r="T196" s="8" t="s">
        <v>32</v>
      </c>
      <c r="U196" s="8" t="s">
        <v>56</v>
      </c>
      <c r="V196" s="8" t="s">
        <v>43</v>
      </c>
      <c r="W196" s="8" t="s">
        <v>1431</v>
      </c>
      <c r="X196" s="8" t="s">
        <v>900</v>
      </c>
      <c r="Y196" s="9">
        <v>1</v>
      </c>
      <c r="Z196" s="8" t="s">
        <v>1415</v>
      </c>
      <c r="AA196" s="10">
        <v>41676</v>
      </c>
      <c r="AB196" s="10">
        <v>41704</v>
      </c>
      <c r="AC196" s="10">
        <v>41704</v>
      </c>
      <c r="AD196" s="10">
        <v>41761</v>
      </c>
      <c r="AH196" s="8">
        <v>1</v>
      </c>
      <c r="AI196" s="8">
        <v>1</v>
      </c>
    </row>
    <row r="197" spans="1:35">
      <c r="A197" s="7">
        <f t="shared" si="73"/>
        <v>0.5</v>
      </c>
      <c r="B197" s="7" t="str">
        <f t="shared" si="66"/>
        <v>14FW-JILLBY-KNIT-12-BL</v>
      </c>
      <c r="C197" s="7">
        <f t="shared" si="74"/>
        <v>1</v>
      </c>
      <c r="D197" s="7" t="str">
        <f t="shared" si="67"/>
        <v>Y&amp;Y14FW-JILLBY-KNIT-12-BL</v>
      </c>
      <c r="E197" s="12" t="str">
        <f t="shared" si="68"/>
        <v>201402</v>
      </c>
      <c r="F197" s="347" t="str">
        <f>VLOOKUP($AA197,[3]주!$A:$F,6,FALSE)</f>
        <v>2월 1주</v>
      </c>
      <c r="G197" s="7">
        <f t="shared" si="75"/>
        <v>0.5</v>
      </c>
      <c r="H197" s="7" t="str">
        <f t="shared" si="69"/>
        <v>14FW-JILLBY-KNIT-12-BL</v>
      </c>
      <c r="I197" s="7">
        <f t="shared" si="76"/>
        <v>1</v>
      </c>
      <c r="J197" s="7" t="str">
        <f t="shared" si="70"/>
        <v>Y&amp;Y14FW-JILLBY-KNIT-12-BL</v>
      </c>
      <c r="K197" s="17">
        <f t="shared" si="71"/>
        <v>41761</v>
      </c>
      <c r="L197" s="12" t="str">
        <f t="shared" si="72"/>
        <v>201405</v>
      </c>
      <c r="M197" s="347" t="str">
        <f>VLOOKUP($K197,[3]주!$A:$F,6,FALSE)</f>
        <v>3월 2주</v>
      </c>
      <c r="N197" s="273" t="str">
        <f>IF(VLOOKUP($Z197,생산업체!$A:$C,2,FALSE)=1,"해외","국내")</f>
        <v>해외</v>
      </c>
      <c r="O197" s="12" t="str">
        <f>IF(VLOOKUP($U197,CODE!$K:$P,CODE!P$1,FALSE)="모자",T197,T197&amp;"-"&amp;VLOOKUP($U197,CODE!$K:$P,CODE!P$1,FALSE))</f>
        <v>JIL</v>
      </c>
      <c r="P197" s="11" t="s">
        <v>32</v>
      </c>
      <c r="R197" s="11">
        <v>55</v>
      </c>
      <c r="T197" s="8" t="s">
        <v>32</v>
      </c>
      <c r="U197" s="8" t="s">
        <v>56</v>
      </c>
      <c r="V197" s="8" t="s">
        <v>43</v>
      </c>
      <c r="W197" s="8" t="s">
        <v>1432</v>
      </c>
      <c r="X197" s="8" t="s">
        <v>900</v>
      </c>
      <c r="Y197" s="9">
        <v>0.5</v>
      </c>
      <c r="Z197" s="8" t="s">
        <v>1415</v>
      </c>
      <c r="AA197" s="10">
        <v>41676</v>
      </c>
      <c r="AB197" s="10">
        <v>41704</v>
      </c>
      <c r="AC197" s="10">
        <v>41704</v>
      </c>
      <c r="AD197" s="10">
        <v>41761</v>
      </c>
      <c r="AH197" s="8">
        <v>1</v>
      </c>
      <c r="AI197" s="8">
        <v>1</v>
      </c>
    </row>
    <row r="198" spans="1:35">
      <c r="A198" s="7">
        <f t="shared" si="73"/>
        <v>0.5</v>
      </c>
      <c r="B198" s="7" t="str">
        <f t="shared" si="66"/>
        <v>14FW-JILLBY-KNIT-12-PP</v>
      </c>
      <c r="C198" s="7">
        <f t="shared" si="74"/>
        <v>1</v>
      </c>
      <c r="D198" s="7" t="str">
        <f t="shared" si="67"/>
        <v>FOREMOST14FW-JILLBY-KNIT-12-PP</v>
      </c>
      <c r="E198" s="12" t="str">
        <f t="shared" si="68"/>
        <v>201402</v>
      </c>
      <c r="F198" s="347" t="str">
        <f>VLOOKUP($AA198,[3]주!$A:$F,6,FALSE)</f>
        <v>2월 1주</v>
      </c>
      <c r="G198" s="7">
        <f t="shared" si="75"/>
        <v>0.5</v>
      </c>
      <c r="H198" s="7" t="str">
        <f t="shared" si="69"/>
        <v>14FW-JILLBY-KNIT-12-PP</v>
      </c>
      <c r="I198" s="7">
        <f t="shared" si="76"/>
        <v>1</v>
      </c>
      <c r="J198" s="7" t="str">
        <f t="shared" si="70"/>
        <v>FOREMOST14FW-JILLBY-KNIT-12-PP</v>
      </c>
      <c r="K198" s="17">
        <f t="shared" si="71"/>
        <v>41730</v>
      </c>
      <c r="L198" s="12" t="str">
        <f t="shared" si="72"/>
        <v>201404</v>
      </c>
      <c r="M198" s="347" t="str">
        <f>VLOOKUP($K198,[3]주!$A:$F,6,FALSE)</f>
        <v>3월 2주</v>
      </c>
      <c r="N198" s="273" t="str">
        <f>IF(VLOOKUP($Z198,생산업체!$A:$C,2,FALSE)=1,"해외","국내")</f>
        <v>해외</v>
      </c>
      <c r="O198" s="12" t="str">
        <f>IF(VLOOKUP($U198,CODE!$K:$P,CODE!P$1,FALSE)="모자",T198,T198&amp;"-"&amp;VLOOKUP($U198,CODE!$K:$P,CODE!P$1,FALSE))</f>
        <v>JIL</v>
      </c>
      <c r="P198" s="11" t="s">
        <v>32</v>
      </c>
      <c r="R198" s="11">
        <v>56</v>
      </c>
      <c r="T198" s="8" t="s">
        <v>32</v>
      </c>
      <c r="U198" s="8" t="s">
        <v>56</v>
      </c>
      <c r="V198" s="8" t="s">
        <v>43</v>
      </c>
      <c r="W198" s="8" t="s">
        <v>1430</v>
      </c>
      <c r="X198" s="8" t="s">
        <v>900</v>
      </c>
      <c r="Y198" s="9">
        <v>0.5</v>
      </c>
      <c r="Z198" s="8" t="s">
        <v>6</v>
      </c>
      <c r="AA198" s="10">
        <v>41676</v>
      </c>
      <c r="AB198" s="10">
        <v>41704</v>
      </c>
      <c r="AC198" s="10">
        <v>41704</v>
      </c>
      <c r="AD198" s="10">
        <v>41730</v>
      </c>
      <c r="AE198" s="8">
        <v>4.6500000000000004</v>
      </c>
      <c r="AH198" s="8">
        <v>1</v>
      </c>
      <c r="AI198" s="8">
        <v>1</v>
      </c>
    </row>
    <row r="199" spans="1:35">
      <c r="A199" s="7">
        <f t="shared" si="73"/>
        <v>0.5</v>
      </c>
      <c r="B199" s="7" t="str">
        <f t="shared" si="66"/>
        <v>14FW-JILLBY-KNIT-12-BL</v>
      </c>
      <c r="C199" s="7">
        <f t="shared" si="74"/>
        <v>1</v>
      </c>
      <c r="D199" s="7" t="str">
        <f t="shared" si="67"/>
        <v>FOREMOST14FW-JILLBY-KNIT-12-BL</v>
      </c>
      <c r="E199" s="12" t="str">
        <f t="shared" si="68"/>
        <v>201402</v>
      </c>
      <c r="F199" s="347" t="str">
        <f>VLOOKUP($AA199,[3]주!$A:$F,6,FALSE)</f>
        <v>2월 1주</v>
      </c>
      <c r="G199" s="7">
        <f t="shared" si="75"/>
        <v>0.5</v>
      </c>
      <c r="H199" s="7" t="str">
        <f t="shared" si="69"/>
        <v>14FW-JILLBY-KNIT-12-BL</v>
      </c>
      <c r="I199" s="7">
        <f t="shared" si="76"/>
        <v>1</v>
      </c>
      <c r="J199" s="7" t="str">
        <f t="shared" si="70"/>
        <v>FOREMOST14FW-JILLBY-KNIT-12-BL</v>
      </c>
      <c r="K199" s="17">
        <f t="shared" si="71"/>
        <v>41730</v>
      </c>
      <c r="L199" s="12" t="str">
        <f t="shared" si="72"/>
        <v>201404</v>
      </c>
      <c r="M199" s="347" t="str">
        <f>VLOOKUP($K199,[3]주!$A:$F,6,FALSE)</f>
        <v>3월 2주</v>
      </c>
      <c r="N199" s="273" t="str">
        <f>IF(VLOOKUP($Z199,생산업체!$A:$C,2,FALSE)=1,"해외","국내")</f>
        <v>해외</v>
      </c>
      <c r="O199" s="12" t="str">
        <f>IF(VLOOKUP($U199,CODE!$K:$P,CODE!P$1,FALSE)="모자",T199,T199&amp;"-"&amp;VLOOKUP($U199,CODE!$K:$P,CODE!P$1,FALSE))</f>
        <v>JIL</v>
      </c>
      <c r="P199" s="11" t="s">
        <v>32</v>
      </c>
      <c r="R199" s="11">
        <v>57</v>
      </c>
      <c r="T199" s="8" t="s">
        <v>32</v>
      </c>
      <c r="U199" s="8" t="s">
        <v>56</v>
      </c>
      <c r="V199" s="8" t="s">
        <v>43</v>
      </c>
      <c r="W199" s="8" t="s">
        <v>1432</v>
      </c>
      <c r="X199" s="8" t="s">
        <v>900</v>
      </c>
      <c r="Y199" s="9">
        <v>0.5</v>
      </c>
      <c r="Z199" s="8" t="s">
        <v>6</v>
      </c>
      <c r="AA199" s="10">
        <v>41676</v>
      </c>
      <c r="AB199" s="10">
        <v>41704</v>
      </c>
      <c r="AC199" s="10">
        <v>41704</v>
      </c>
      <c r="AD199" s="10">
        <v>41730</v>
      </c>
      <c r="AE199" s="8">
        <v>4.6500000000000004</v>
      </c>
      <c r="AH199" s="8">
        <v>1</v>
      </c>
      <c r="AI199" s="8">
        <v>1</v>
      </c>
    </row>
    <row r="200" spans="1:35">
      <c r="A200" s="7">
        <f t="shared" si="73"/>
        <v>0.5</v>
      </c>
      <c r="B200" s="7" t="str">
        <f t="shared" si="66"/>
        <v>14FW-JILLBY-KNIT-13-BG</v>
      </c>
      <c r="C200" s="7">
        <f t="shared" si="74"/>
        <v>1</v>
      </c>
      <c r="D200" s="7" t="str">
        <f t="shared" si="67"/>
        <v>NT SENHONG14FW-JILLBY-KNIT-13-BG</v>
      </c>
      <c r="E200" s="12" t="str">
        <f t="shared" si="68"/>
        <v>201402</v>
      </c>
      <c r="F200" s="347" t="str">
        <f>VLOOKUP($AA200,[3]주!$A:$F,6,FALSE)</f>
        <v>2월 1주</v>
      </c>
      <c r="G200" s="7">
        <f t="shared" si="75"/>
        <v>0.5</v>
      </c>
      <c r="H200" s="7" t="str">
        <f t="shared" si="69"/>
        <v>14FW-JILLBY-KNIT-13-BG</v>
      </c>
      <c r="I200" s="7">
        <f t="shared" si="76"/>
        <v>1</v>
      </c>
      <c r="J200" s="7" t="str">
        <f t="shared" si="70"/>
        <v>NT SENHONG14FW-JILLBY-KNIT-13-BG</v>
      </c>
      <c r="K200" s="17">
        <f t="shared" si="71"/>
        <v>41701</v>
      </c>
      <c r="L200" s="12" t="str">
        <f t="shared" si="72"/>
        <v>201403</v>
      </c>
      <c r="M200" s="347" t="str">
        <f>VLOOKUP($K200,[3]주!$A:$F,6,FALSE)</f>
        <v>3월 1주</v>
      </c>
      <c r="N200" s="273" t="str">
        <f>IF(VLOOKUP($Z200,생산업체!$A:$C,2,FALSE)=1,"해외","국내")</f>
        <v>해외</v>
      </c>
      <c r="O200" s="12" t="str">
        <f>IF(VLOOKUP($U200,CODE!$K:$P,CODE!P$1,FALSE)="모자",T200,T200&amp;"-"&amp;VLOOKUP($U200,CODE!$K:$P,CODE!P$1,FALSE))</f>
        <v>JIL</v>
      </c>
      <c r="P200" s="11" t="s">
        <v>32</v>
      </c>
      <c r="R200" s="11">
        <v>58</v>
      </c>
      <c r="T200" s="8" t="s">
        <v>32</v>
      </c>
      <c r="U200" s="8" t="s">
        <v>56</v>
      </c>
      <c r="V200" s="8" t="s">
        <v>43</v>
      </c>
      <c r="W200" s="8" t="s">
        <v>1433</v>
      </c>
      <c r="X200" s="8" t="s">
        <v>900</v>
      </c>
      <c r="Y200" s="9">
        <v>0.5</v>
      </c>
      <c r="Z200" s="8" t="s">
        <v>1434</v>
      </c>
      <c r="AA200" s="10">
        <v>41676</v>
      </c>
      <c r="AB200" s="10">
        <v>41704</v>
      </c>
      <c r="AC200" s="10">
        <v>41704</v>
      </c>
      <c r="AD200" s="10">
        <v>41701</v>
      </c>
      <c r="AE200" s="8">
        <v>1</v>
      </c>
      <c r="AG200" s="8">
        <v>1</v>
      </c>
      <c r="AH200" s="8">
        <v>1</v>
      </c>
      <c r="AI200" s="8">
        <v>1</v>
      </c>
    </row>
    <row r="201" spans="1:35">
      <c r="A201" s="7">
        <f t="shared" si="73"/>
        <v>0.5</v>
      </c>
      <c r="B201" s="7" t="str">
        <f t="shared" si="66"/>
        <v>14FW-JILLBY-KNIT-13-GY</v>
      </c>
      <c r="C201" s="7">
        <f t="shared" si="74"/>
        <v>1</v>
      </c>
      <c r="D201" s="7" t="str">
        <f t="shared" si="67"/>
        <v>NT SENHONG14FW-JILLBY-KNIT-13-GY</v>
      </c>
      <c r="E201" s="12" t="str">
        <f t="shared" si="68"/>
        <v>201402</v>
      </c>
      <c r="F201" s="347" t="str">
        <f>VLOOKUP($AA201,[3]주!$A:$F,6,FALSE)</f>
        <v>2월 1주</v>
      </c>
      <c r="G201" s="7">
        <f t="shared" si="75"/>
        <v>0.5</v>
      </c>
      <c r="H201" s="7" t="str">
        <f t="shared" si="69"/>
        <v>14FW-JILLBY-KNIT-13-GY</v>
      </c>
      <c r="I201" s="7">
        <f t="shared" si="76"/>
        <v>1</v>
      </c>
      <c r="J201" s="7" t="str">
        <f t="shared" si="70"/>
        <v>NT SENHONG14FW-JILLBY-KNIT-13-GY</v>
      </c>
      <c r="K201" s="17">
        <f t="shared" si="71"/>
        <v>41701</v>
      </c>
      <c r="L201" s="12" t="str">
        <f t="shared" si="72"/>
        <v>201403</v>
      </c>
      <c r="M201" s="347" t="str">
        <f>VLOOKUP($K201,[3]주!$A:$F,6,FALSE)</f>
        <v>3월 1주</v>
      </c>
      <c r="N201" s="273" t="str">
        <f>IF(VLOOKUP($Z201,생산업체!$A:$C,2,FALSE)=1,"해외","국내")</f>
        <v>해외</v>
      </c>
      <c r="O201" s="12" t="str">
        <f>IF(VLOOKUP($U201,CODE!$K:$P,CODE!P$1,FALSE)="모자",T201,T201&amp;"-"&amp;VLOOKUP($U201,CODE!$K:$P,CODE!P$1,FALSE))</f>
        <v>JIL</v>
      </c>
      <c r="P201" s="11" t="s">
        <v>32</v>
      </c>
      <c r="R201" s="11">
        <v>59</v>
      </c>
      <c r="T201" s="8" t="s">
        <v>32</v>
      </c>
      <c r="U201" s="8" t="s">
        <v>56</v>
      </c>
      <c r="V201" s="8" t="s">
        <v>43</v>
      </c>
      <c r="W201" s="8" t="s">
        <v>1435</v>
      </c>
      <c r="X201" s="8" t="s">
        <v>900</v>
      </c>
      <c r="Y201" s="9">
        <v>0.5</v>
      </c>
      <c r="Z201" s="8" t="s">
        <v>1434</v>
      </c>
      <c r="AA201" s="10">
        <v>41676</v>
      </c>
      <c r="AB201" s="10">
        <v>41704</v>
      </c>
      <c r="AC201" s="10">
        <v>41704</v>
      </c>
      <c r="AD201" s="10">
        <v>41701</v>
      </c>
      <c r="AE201" s="8">
        <v>1</v>
      </c>
      <c r="AH201" s="8">
        <v>1</v>
      </c>
      <c r="AI201" s="8">
        <v>1</v>
      </c>
    </row>
    <row r="202" spans="1:35">
      <c r="A202" s="7">
        <f t="shared" si="73"/>
        <v>0.5</v>
      </c>
      <c r="B202" s="7" t="str">
        <f t="shared" si="66"/>
        <v>14FW-JILLBY-KNIT-13-BG</v>
      </c>
      <c r="C202" s="7">
        <f t="shared" si="74"/>
        <v>1</v>
      </c>
      <c r="D202" s="7" t="str">
        <f t="shared" si="67"/>
        <v>Y&amp;Y14FW-JILLBY-KNIT-13-BG</v>
      </c>
      <c r="E202" s="12" t="str">
        <f t="shared" si="68"/>
        <v>201402</v>
      </c>
      <c r="F202" s="347" t="str">
        <f>VLOOKUP($AA202,[3]주!$A:$F,6,FALSE)</f>
        <v>2월 1주</v>
      </c>
      <c r="G202" s="7">
        <f t="shared" si="75"/>
        <v>0.5</v>
      </c>
      <c r="H202" s="7" t="str">
        <f t="shared" si="69"/>
        <v>14FW-JILLBY-KNIT-13-BG</v>
      </c>
      <c r="I202" s="7">
        <f t="shared" si="76"/>
        <v>1</v>
      </c>
      <c r="J202" s="7" t="str">
        <f t="shared" si="70"/>
        <v>Y&amp;Y14FW-JILLBY-KNIT-13-BG</v>
      </c>
      <c r="K202" s="17">
        <f t="shared" si="71"/>
        <v>41761</v>
      </c>
      <c r="L202" s="12" t="str">
        <f t="shared" si="72"/>
        <v>201405</v>
      </c>
      <c r="M202" s="347" t="str">
        <f>VLOOKUP($K202,[3]주!$A:$F,6,FALSE)</f>
        <v>3월 2주</v>
      </c>
      <c r="N202" s="273" t="str">
        <f>IF(VLOOKUP($Z202,생산업체!$A:$C,2,FALSE)=1,"해외","국내")</f>
        <v>해외</v>
      </c>
      <c r="O202" s="12" t="str">
        <f>IF(VLOOKUP($U202,CODE!$K:$P,CODE!P$1,FALSE)="모자",T202,T202&amp;"-"&amp;VLOOKUP($U202,CODE!$K:$P,CODE!P$1,FALSE))</f>
        <v>JIL</v>
      </c>
      <c r="P202" s="11" t="s">
        <v>32</v>
      </c>
      <c r="R202" s="11">
        <v>60</v>
      </c>
      <c r="T202" s="8" t="s">
        <v>32</v>
      </c>
      <c r="U202" s="8" t="s">
        <v>56</v>
      </c>
      <c r="V202" s="8" t="s">
        <v>43</v>
      </c>
      <c r="W202" s="8" t="s">
        <v>1433</v>
      </c>
      <c r="X202" s="8" t="s">
        <v>900</v>
      </c>
      <c r="Y202" s="9">
        <v>0.5</v>
      </c>
      <c r="Z202" s="8" t="s">
        <v>1415</v>
      </c>
      <c r="AA202" s="10">
        <v>41676</v>
      </c>
      <c r="AB202" s="10">
        <v>41704</v>
      </c>
      <c r="AC202" s="10">
        <v>41704</v>
      </c>
      <c r="AD202" s="10">
        <v>41761</v>
      </c>
      <c r="AH202" s="8">
        <v>1</v>
      </c>
      <c r="AI202" s="8">
        <v>1</v>
      </c>
    </row>
    <row r="203" spans="1:35">
      <c r="A203" s="7">
        <f t="shared" si="73"/>
        <v>0.5</v>
      </c>
      <c r="B203" s="7" t="str">
        <f t="shared" si="66"/>
        <v>14FW-JILLBY-KNIT-13-GY</v>
      </c>
      <c r="C203" s="7">
        <f t="shared" si="74"/>
        <v>1</v>
      </c>
      <c r="D203" s="7" t="str">
        <f t="shared" si="67"/>
        <v>Y&amp;Y14FW-JILLBY-KNIT-13-GY</v>
      </c>
      <c r="E203" s="12" t="str">
        <f t="shared" si="68"/>
        <v>201402</v>
      </c>
      <c r="F203" s="347" t="str">
        <f>VLOOKUP($AA203,[3]주!$A:$F,6,FALSE)</f>
        <v>2월 1주</v>
      </c>
      <c r="G203" s="7">
        <f t="shared" si="75"/>
        <v>0.5</v>
      </c>
      <c r="H203" s="7" t="str">
        <f t="shared" si="69"/>
        <v>14FW-JILLBY-KNIT-13-GY</v>
      </c>
      <c r="I203" s="7">
        <f t="shared" si="76"/>
        <v>1</v>
      </c>
      <c r="J203" s="7" t="str">
        <f t="shared" si="70"/>
        <v>Y&amp;Y14FW-JILLBY-KNIT-13-GY</v>
      </c>
      <c r="K203" s="17">
        <f t="shared" si="71"/>
        <v>41751</v>
      </c>
      <c r="L203" s="12" t="str">
        <f t="shared" si="72"/>
        <v>201404</v>
      </c>
      <c r="M203" s="347" t="str">
        <f>VLOOKUP($K203,[3]주!$A:$F,6,FALSE)</f>
        <v>3월 2주</v>
      </c>
      <c r="N203" s="273" t="str">
        <f>IF(VLOOKUP($Z203,생산업체!$A:$C,2,FALSE)=1,"해외","국내")</f>
        <v>해외</v>
      </c>
      <c r="O203" s="12" t="str">
        <f>IF(VLOOKUP($U203,CODE!$K:$P,CODE!P$1,FALSE)="모자",T203,T203&amp;"-"&amp;VLOOKUP($U203,CODE!$K:$P,CODE!P$1,FALSE))</f>
        <v>JIL</v>
      </c>
      <c r="P203" s="11" t="s">
        <v>32</v>
      </c>
      <c r="R203" s="11">
        <v>61</v>
      </c>
      <c r="T203" s="8" t="s">
        <v>32</v>
      </c>
      <c r="U203" s="8" t="s">
        <v>56</v>
      </c>
      <c r="V203" s="8" t="s">
        <v>43</v>
      </c>
      <c r="W203" s="8" t="s">
        <v>1435</v>
      </c>
      <c r="X203" s="8" t="s">
        <v>900</v>
      </c>
      <c r="Y203" s="9">
        <v>0.5</v>
      </c>
      <c r="Z203" s="8" t="s">
        <v>1415</v>
      </c>
      <c r="AA203" s="10">
        <v>41676</v>
      </c>
      <c r="AB203" s="10">
        <v>41704</v>
      </c>
      <c r="AC203" s="10">
        <v>41704</v>
      </c>
      <c r="AD203" s="10">
        <v>41751</v>
      </c>
      <c r="AE203" s="8">
        <v>2.76</v>
      </c>
      <c r="AH203" s="8">
        <v>1</v>
      </c>
      <c r="AI203" s="8">
        <v>1</v>
      </c>
    </row>
    <row r="204" spans="1:35">
      <c r="A204" s="7">
        <f t="shared" si="73"/>
        <v>1</v>
      </c>
      <c r="B204" s="7" t="str">
        <f t="shared" ref="B204:B225" si="77">IF(AA204="","",W204)</f>
        <v>14FW-JILLBY-KNIT-14-BK</v>
      </c>
      <c r="C204" s="7">
        <f t="shared" si="74"/>
        <v>1</v>
      </c>
      <c r="D204" s="7" t="str">
        <f t="shared" ref="D204:D225" si="78">IF(AA204="","",Z204&amp;W204)</f>
        <v>Y&amp;Y14FW-JILLBY-KNIT-14-BK</v>
      </c>
      <c r="E204" s="12" t="str">
        <f t="shared" ref="E204:E225" si="79">IF(YEAR(AA204)&lt;10,0&amp;YEAR(AA204),YEAR(AA204))&amp;IF(MONTH(AA204)&lt;10,0&amp;MONTH(AA204),MONTH(AA204))</f>
        <v>201402</v>
      </c>
      <c r="F204" s="347" t="str">
        <f>VLOOKUP($AA204,[3]주!$A:$F,6,FALSE)</f>
        <v>2월 1주</v>
      </c>
      <c r="G204" s="7">
        <f t="shared" si="75"/>
        <v>1</v>
      </c>
      <c r="H204" s="7" t="str">
        <f t="shared" ref="H204:H225" si="80">IF(AD204="","",W204)</f>
        <v>14FW-JILLBY-KNIT-14-BK</v>
      </c>
      <c r="I204" s="7">
        <f t="shared" si="76"/>
        <v>1</v>
      </c>
      <c r="J204" s="7" t="str">
        <f t="shared" ref="J204:J225" si="81">IF(AD204="","",Z204&amp;W204)</f>
        <v>Y&amp;Y14FW-JILLBY-KNIT-14-BK</v>
      </c>
      <c r="K204" s="17">
        <f t="shared" ref="K204:K225" si="82">IF(AD204="",AC204,AD204)</f>
        <v>41761</v>
      </c>
      <c r="L204" s="12" t="str">
        <f t="shared" ref="L204:L225" si="83">IF(YEAR(K204)&lt;10,0&amp;YEAR(K204),YEAR(K204))&amp;IF(MONTH(K204)&lt;10,0&amp;MONTH(K204),MONTH(K204))</f>
        <v>201405</v>
      </c>
      <c r="M204" s="347" t="str">
        <f>VLOOKUP($K204,[3]주!$A:$F,6,FALSE)</f>
        <v>3월 2주</v>
      </c>
      <c r="N204" s="273" t="str">
        <f>IF(VLOOKUP($Z204,생산업체!$A:$C,2,FALSE)=1,"해외","국내")</f>
        <v>해외</v>
      </c>
      <c r="O204" s="12" t="str">
        <f>IF(VLOOKUP($U204,CODE!$K:$P,CODE!P$1,FALSE)="모자",T204,T204&amp;"-"&amp;VLOOKUP($U204,CODE!$K:$P,CODE!P$1,FALSE))</f>
        <v>JIL</v>
      </c>
      <c r="P204" s="11" t="s">
        <v>32</v>
      </c>
      <c r="R204" s="11">
        <v>62</v>
      </c>
      <c r="T204" s="8" t="s">
        <v>32</v>
      </c>
      <c r="U204" s="8" t="s">
        <v>56</v>
      </c>
      <c r="V204" s="8" t="s">
        <v>43</v>
      </c>
      <c r="W204" s="8" t="s">
        <v>1436</v>
      </c>
      <c r="X204" s="8" t="s">
        <v>900</v>
      </c>
      <c r="Y204" s="9">
        <v>1</v>
      </c>
      <c r="Z204" s="8" t="s">
        <v>1415</v>
      </c>
      <c r="AA204" s="10">
        <v>41676</v>
      </c>
      <c r="AB204" s="10">
        <v>41704</v>
      </c>
      <c r="AC204" s="10">
        <v>41704</v>
      </c>
      <c r="AD204" s="10">
        <v>41761</v>
      </c>
      <c r="AG204" s="8">
        <v>1</v>
      </c>
      <c r="AH204" s="8">
        <v>1</v>
      </c>
      <c r="AI204" s="8">
        <v>1</v>
      </c>
    </row>
    <row r="205" spans="1:35">
      <c r="A205" s="7">
        <f t="shared" si="73"/>
        <v>1</v>
      </c>
      <c r="B205" s="7" t="str">
        <f t="shared" si="77"/>
        <v>14FW-JILLBY-KNIT-14-NV</v>
      </c>
      <c r="C205" s="7">
        <f t="shared" si="74"/>
        <v>1</v>
      </c>
      <c r="D205" s="7" t="str">
        <f t="shared" si="78"/>
        <v>Y&amp;Y14FW-JILLBY-KNIT-14-NV</v>
      </c>
      <c r="E205" s="12" t="str">
        <f t="shared" si="79"/>
        <v>201402</v>
      </c>
      <c r="F205" s="347" t="str">
        <f>VLOOKUP($AA205,[3]주!$A:$F,6,FALSE)</f>
        <v>2월 1주</v>
      </c>
      <c r="G205" s="7">
        <f t="shared" si="75"/>
        <v>1</v>
      </c>
      <c r="H205" s="7" t="str">
        <f t="shared" si="80"/>
        <v>14FW-JILLBY-KNIT-14-NV</v>
      </c>
      <c r="I205" s="7">
        <f t="shared" si="76"/>
        <v>1</v>
      </c>
      <c r="J205" s="7" t="str">
        <f t="shared" si="81"/>
        <v>Y&amp;Y14FW-JILLBY-KNIT-14-NV</v>
      </c>
      <c r="K205" s="17">
        <f t="shared" si="82"/>
        <v>41761</v>
      </c>
      <c r="L205" s="12" t="str">
        <f t="shared" si="83"/>
        <v>201405</v>
      </c>
      <c r="M205" s="347" t="str">
        <f>VLOOKUP($K205,[3]주!$A:$F,6,FALSE)</f>
        <v>3월 2주</v>
      </c>
      <c r="N205" s="273" t="str">
        <f>IF(VLOOKUP($Z205,생산업체!$A:$C,2,FALSE)=1,"해외","국내")</f>
        <v>해외</v>
      </c>
      <c r="O205" s="12" t="str">
        <f>IF(VLOOKUP($U205,CODE!$K:$P,CODE!P$1,FALSE)="모자",T205,T205&amp;"-"&amp;VLOOKUP($U205,CODE!$K:$P,CODE!P$1,FALSE))</f>
        <v>JIL</v>
      </c>
      <c r="P205" s="11" t="s">
        <v>32</v>
      </c>
      <c r="R205" s="11">
        <v>63</v>
      </c>
      <c r="T205" s="8" t="s">
        <v>32</v>
      </c>
      <c r="U205" s="8" t="s">
        <v>56</v>
      </c>
      <c r="V205" s="8" t="s">
        <v>43</v>
      </c>
      <c r="W205" s="8" t="s">
        <v>1437</v>
      </c>
      <c r="X205" s="8" t="s">
        <v>900</v>
      </c>
      <c r="Y205" s="9">
        <v>1</v>
      </c>
      <c r="Z205" s="8" t="s">
        <v>1415</v>
      </c>
      <c r="AA205" s="10">
        <v>41676</v>
      </c>
      <c r="AB205" s="10">
        <v>41704</v>
      </c>
      <c r="AC205" s="10">
        <v>41704</v>
      </c>
      <c r="AD205" s="10">
        <v>41761</v>
      </c>
      <c r="AH205" s="8">
        <v>1</v>
      </c>
      <c r="AI205" s="8">
        <v>1</v>
      </c>
    </row>
    <row r="206" spans="1:35">
      <c r="A206" s="7">
        <f t="shared" si="73"/>
        <v>1</v>
      </c>
      <c r="B206" s="7" t="str">
        <f t="shared" si="77"/>
        <v>14FW-JILLBY-KNIT-15-BK</v>
      </c>
      <c r="C206" s="7">
        <f t="shared" si="74"/>
        <v>1</v>
      </c>
      <c r="D206" s="7" t="str">
        <f t="shared" si="78"/>
        <v>FOREMOST14FW-JILLBY-KNIT-15-BK</v>
      </c>
      <c r="E206" s="12" t="str">
        <f t="shared" si="79"/>
        <v>201402</v>
      </c>
      <c r="F206" s="347" t="str">
        <f>VLOOKUP($AA206,[3]주!$A:$F,6,FALSE)</f>
        <v>2월 1주</v>
      </c>
      <c r="G206" s="7">
        <f t="shared" si="75"/>
        <v>1</v>
      </c>
      <c r="H206" s="7" t="str">
        <f t="shared" si="80"/>
        <v>14FW-JILLBY-KNIT-15-BK</v>
      </c>
      <c r="I206" s="7">
        <f t="shared" si="76"/>
        <v>1</v>
      </c>
      <c r="J206" s="7" t="str">
        <f t="shared" si="81"/>
        <v>FOREMOST14FW-JILLBY-KNIT-15-BK</v>
      </c>
      <c r="K206" s="17">
        <f t="shared" si="82"/>
        <v>41731</v>
      </c>
      <c r="L206" s="12" t="str">
        <f t="shared" si="83"/>
        <v>201404</v>
      </c>
      <c r="M206" s="347" t="str">
        <f>VLOOKUP($K206,[3]주!$A:$F,6,FALSE)</f>
        <v>3월 2주</v>
      </c>
      <c r="N206" s="273" t="str">
        <f>IF(VLOOKUP($Z206,생산업체!$A:$C,2,FALSE)=1,"해외","국내")</f>
        <v>해외</v>
      </c>
      <c r="O206" s="12" t="str">
        <f>IF(VLOOKUP($U206,CODE!$K:$P,CODE!P$1,FALSE)="모자",T206,T206&amp;"-"&amp;VLOOKUP($U206,CODE!$K:$P,CODE!P$1,FALSE))</f>
        <v>JIL</v>
      </c>
      <c r="P206" s="11" t="s">
        <v>32</v>
      </c>
      <c r="R206" s="11">
        <v>64</v>
      </c>
      <c r="T206" s="8" t="s">
        <v>32</v>
      </c>
      <c r="U206" s="8" t="s">
        <v>56</v>
      </c>
      <c r="V206" s="8" t="s">
        <v>43</v>
      </c>
      <c r="W206" s="8" t="s">
        <v>1438</v>
      </c>
      <c r="X206" s="8" t="s">
        <v>900</v>
      </c>
      <c r="Y206" s="9">
        <v>1</v>
      </c>
      <c r="Z206" s="8" t="s">
        <v>6</v>
      </c>
      <c r="AA206" s="10">
        <v>41676</v>
      </c>
      <c r="AB206" s="10">
        <v>41704</v>
      </c>
      <c r="AC206" s="10">
        <v>41704</v>
      </c>
      <c r="AD206" s="10">
        <v>41731</v>
      </c>
      <c r="AE206" s="8">
        <v>4.95</v>
      </c>
      <c r="AG206" s="8">
        <v>1</v>
      </c>
      <c r="AH206" s="8">
        <v>1</v>
      </c>
      <c r="AI206" s="8">
        <v>1</v>
      </c>
    </row>
    <row r="207" spans="1:35">
      <c r="A207" s="7">
        <f t="shared" si="73"/>
        <v>1</v>
      </c>
      <c r="B207" s="7" t="str">
        <f t="shared" si="77"/>
        <v>14FW-JILLBY-KNIT-15-GY</v>
      </c>
      <c r="C207" s="7">
        <f t="shared" si="74"/>
        <v>1</v>
      </c>
      <c r="D207" s="7" t="str">
        <f t="shared" si="78"/>
        <v>FOREMOST14FW-JILLBY-KNIT-15-GY</v>
      </c>
      <c r="E207" s="12" t="str">
        <f t="shared" si="79"/>
        <v>201402</v>
      </c>
      <c r="F207" s="347" t="str">
        <f>VLOOKUP($AA207,[3]주!$A:$F,6,FALSE)</f>
        <v>2월 1주</v>
      </c>
      <c r="G207" s="7">
        <f t="shared" si="75"/>
        <v>1</v>
      </c>
      <c r="H207" s="7" t="str">
        <f t="shared" si="80"/>
        <v>14FW-JILLBY-KNIT-15-GY</v>
      </c>
      <c r="I207" s="7">
        <f t="shared" si="76"/>
        <v>1</v>
      </c>
      <c r="J207" s="7" t="str">
        <f t="shared" si="81"/>
        <v>FOREMOST14FW-JILLBY-KNIT-15-GY</v>
      </c>
      <c r="K207" s="17">
        <f t="shared" si="82"/>
        <v>41731</v>
      </c>
      <c r="L207" s="12" t="str">
        <f t="shared" si="83"/>
        <v>201404</v>
      </c>
      <c r="M207" s="347" t="str">
        <f>VLOOKUP($K207,[3]주!$A:$F,6,FALSE)</f>
        <v>3월 2주</v>
      </c>
      <c r="N207" s="273" t="str">
        <f>IF(VLOOKUP($Z207,생산업체!$A:$C,2,FALSE)=1,"해외","국내")</f>
        <v>해외</v>
      </c>
      <c r="O207" s="12" t="str">
        <f>IF(VLOOKUP($U207,CODE!$K:$P,CODE!P$1,FALSE)="모자",T207,T207&amp;"-"&amp;VLOOKUP($U207,CODE!$K:$P,CODE!P$1,FALSE))</f>
        <v>JIL</v>
      </c>
      <c r="P207" s="11" t="s">
        <v>32</v>
      </c>
      <c r="R207" s="11">
        <v>65</v>
      </c>
      <c r="T207" s="8" t="s">
        <v>32</v>
      </c>
      <c r="U207" s="8" t="s">
        <v>56</v>
      </c>
      <c r="V207" s="8" t="s">
        <v>43</v>
      </c>
      <c r="W207" s="8" t="s">
        <v>1439</v>
      </c>
      <c r="X207" s="8" t="s">
        <v>900</v>
      </c>
      <c r="Y207" s="9">
        <v>1</v>
      </c>
      <c r="Z207" s="8" t="s">
        <v>6</v>
      </c>
      <c r="AA207" s="10">
        <v>41676</v>
      </c>
      <c r="AB207" s="10">
        <v>41704</v>
      </c>
      <c r="AC207" s="10">
        <v>41704</v>
      </c>
      <c r="AD207" s="10">
        <v>41731</v>
      </c>
      <c r="AE207" s="8">
        <v>4.95</v>
      </c>
      <c r="AH207" s="8">
        <v>1</v>
      </c>
      <c r="AI207" s="8">
        <v>1</v>
      </c>
    </row>
    <row r="208" spans="1:35">
      <c r="A208" s="7">
        <f t="shared" si="73"/>
        <v>0.5</v>
      </c>
      <c r="B208" s="7" t="str">
        <f t="shared" si="77"/>
        <v>14FW-JILLBY-KNIT-05-WH</v>
      </c>
      <c r="C208" s="7">
        <f t="shared" si="74"/>
        <v>1</v>
      </c>
      <c r="D208" s="7" t="str">
        <f t="shared" si="78"/>
        <v>FOREMOST14FW-JILLBY-KNIT-05-WH</v>
      </c>
      <c r="E208" s="12" t="str">
        <f t="shared" si="79"/>
        <v>201402</v>
      </c>
      <c r="F208" s="347" t="str">
        <f>VLOOKUP($AA208,[3]주!$A:$F,6,FALSE)</f>
        <v>2월 3주</v>
      </c>
      <c r="G208" s="7">
        <f t="shared" si="75"/>
        <v>0.5</v>
      </c>
      <c r="H208" s="7" t="str">
        <f t="shared" si="80"/>
        <v>14FW-JILLBY-KNIT-05-WH</v>
      </c>
      <c r="I208" s="7">
        <f t="shared" si="76"/>
        <v>1</v>
      </c>
      <c r="J208" s="7" t="str">
        <f t="shared" si="81"/>
        <v>FOREMOST14FW-JILLBY-KNIT-05-WH</v>
      </c>
      <c r="K208" s="17">
        <f t="shared" si="82"/>
        <v>41730</v>
      </c>
      <c r="L208" s="12" t="str">
        <f t="shared" si="83"/>
        <v>201404</v>
      </c>
      <c r="M208" s="347" t="str">
        <f>VLOOKUP($K208,[3]주!$A:$F,6,FALSE)</f>
        <v>3월 2주</v>
      </c>
      <c r="N208" s="273" t="str">
        <f>IF(VLOOKUP($Z208,생산업체!$A:$C,2,FALSE)=1,"해외","국내")</f>
        <v>해외</v>
      </c>
      <c r="O208" s="12" t="str">
        <f>IF(VLOOKUP($U208,CODE!$K:$P,CODE!P$1,FALSE)="모자",T208,T208&amp;"-"&amp;VLOOKUP($U208,CODE!$K:$P,CODE!P$1,FALSE))</f>
        <v>JIL</v>
      </c>
      <c r="P208" s="11" t="s">
        <v>32</v>
      </c>
      <c r="R208" s="11">
        <v>66</v>
      </c>
      <c r="T208" s="8" t="s">
        <v>32</v>
      </c>
      <c r="U208" s="8" t="s">
        <v>35</v>
      </c>
      <c r="V208" s="8" t="s">
        <v>43</v>
      </c>
      <c r="W208" s="8" t="s">
        <v>1483</v>
      </c>
      <c r="X208" s="8" t="s">
        <v>900</v>
      </c>
      <c r="Y208" s="9">
        <v>0.5</v>
      </c>
      <c r="Z208" s="8" t="s">
        <v>6</v>
      </c>
      <c r="AA208" s="10">
        <v>41689</v>
      </c>
      <c r="AB208" s="10">
        <v>41717</v>
      </c>
      <c r="AC208" s="10">
        <v>41717</v>
      </c>
      <c r="AD208" s="10">
        <v>41730</v>
      </c>
      <c r="AE208" s="8">
        <v>5.3</v>
      </c>
      <c r="AG208" s="8">
        <v>1</v>
      </c>
      <c r="AH208" s="8">
        <v>1</v>
      </c>
      <c r="AI208" s="8">
        <v>1</v>
      </c>
    </row>
    <row r="209" spans="1:36">
      <c r="A209" s="7">
        <f t="shared" si="73"/>
        <v>0.5</v>
      </c>
      <c r="B209" s="7" t="str">
        <f t="shared" si="77"/>
        <v>14FW-JILLBY-KNIT-05-WH</v>
      </c>
      <c r="C209" s="7">
        <f t="shared" si="74"/>
        <v>1</v>
      </c>
      <c r="D209" s="7" t="str">
        <f t="shared" si="78"/>
        <v>ORIENT14FW-JILLBY-KNIT-05-WH</v>
      </c>
      <c r="E209" s="12" t="str">
        <f t="shared" si="79"/>
        <v>201402</v>
      </c>
      <c r="F209" s="347" t="str">
        <f>VLOOKUP($AA209,[3]주!$A:$F,6,FALSE)</f>
        <v>2월 4주</v>
      </c>
      <c r="G209" s="7">
        <f t="shared" si="75"/>
        <v>0.5</v>
      </c>
      <c r="H209" s="7" t="str">
        <f t="shared" si="80"/>
        <v>14FW-JILLBY-KNIT-05-WH</v>
      </c>
      <c r="I209" s="7">
        <f t="shared" si="76"/>
        <v>1</v>
      </c>
      <c r="J209" s="7" t="str">
        <f t="shared" si="81"/>
        <v>ORIENT14FW-JILLBY-KNIT-05-WH</v>
      </c>
      <c r="K209" s="17">
        <f t="shared" si="82"/>
        <v>41752</v>
      </c>
      <c r="L209" s="12" t="str">
        <f t="shared" si="83"/>
        <v>201404</v>
      </c>
      <c r="M209" s="347" t="str">
        <f>VLOOKUP($K209,[3]주!$A:$F,6,FALSE)</f>
        <v>3월 2주</v>
      </c>
      <c r="N209" s="273" t="str">
        <f>IF(VLOOKUP($Z209,생산업체!$A:$C,2,FALSE)=1,"해외","국내")</f>
        <v>해외</v>
      </c>
      <c r="O209" s="12" t="str">
        <f>IF(VLOOKUP($U209,CODE!$K:$P,CODE!P$1,FALSE)="모자",T209,T209&amp;"-"&amp;VLOOKUP($U209,CODE!$K:$P,CODE!P$1,FALSE))</f>
        <v>JIL</v>
      </c>
      <c r="P209" s="11" t="s">
        <v>32</v>
      </c>
      <c r="R209" s="11">
        <v>67</v>
      </c>
      <c r="T209" s="8" t="s">
        <v>32</v>
      </c>
      <c r="U209" s="8" t="s">
        <v>35</v>
      </c>
      <c r="V209" s="8" t="s">
        <v>43</v>
      </c>
      <c r="W209" s="8" t="s">
        <v>1483</v>
      </c>
      <c r="X209" s="8" t="s">
        <v>900</v>
      </c>
      <c r="Y209" s="9">
        <v>0.5</v>
      </c>
      <c r="Z209" s="8" t="s">
        <v>1484</v>
      </c>
      <c r="AA209" s="10">
        <v>41694</v>
      </c>
      <c r="AB209" s="10">
        <v>41722</v>
      </c>
      <c r="AC209" s="10">
        <v>41722</v>
      </c>
      <c r="AD209" s="10">
        <v>41752</v>
      </c>
      <c r="AH209" s="8">
        <v>1</v>
      </c>
      <c r="AI209" s="8">
        <v>1</v>
      </c>
    </row>
    <row r="210" spans="1:36">
      <c r="A210" s="7">
        <f t="shared" si="73"/>
        <v>1</v>
      </c>
      <c r="B210" s="7" t="str">
        <f t="shared" si="77"/>
        <v>14FW-JILLBY-KNIT-06-GY</v>
      </c>
      <c r="C210" s="7">
        <f t="shared" si="74"/>
        <v>1</v>
      </c>
      <c r="D210" s="7" t="str">
        <f t="shared" si="78"/>
        <v>FOREMOST14FW-JILLBY-KNIT-06-GY</v>
      </c>
      <c r="E210" s="12" t="str">
        <f t="shared" si="79"/>
        <v>201402</v>
      </c>
      <c r="F210" s="347" t="str">
        <f>VLOOKUP($AA210,[3]주!$A:$F,6,FALSE)</f>
        <v>2월 3주</v>
      </c>
      <c r="G210" s="7">
        <f t="shared" si="75"/>
        <v>1</v>
      </c>
      <c r="H210" s="7" t="str">
        <f t="shared" si="80"/>
        <v>14FW-JILLBY-KNIT-06-GY</v>
      </c>
      <c r="I210" s="7">
        <f t="shared" si="76"/>
        <v>1</v>
      </c>
      <c r="J210" s="7" t="str">
        <f t="shared" si="81"/>
        <v>FOREMOST14FW-JILLBY-KNIT-06-GY</v>
      </c>
      <c r="K210" s="17">
        <f t="shared" si="82"/>
        <v>41730</v>
      </c>
      <c r="L210" s="12" t="str">
        <f t="shared" si="83"/>
        <v>201404</v>
      </c>
      <c r="M210" s="347" t="str">
        <f>VLOOKUP($K210,[3]주!$A:$F,6,FALSE)</f>
        <v>3월 2주</v>
      </c>
      <c r="N210" s="273" t="str">
        <f>IF(VLOOKUP($Z210,생산업체!$A:$C,2,FALSE)=1,"해외","국내")</f>
        <v>해외</v>
      </c>
      <c r="O210" s="12" t="str">
        <f>IF(VLOOKUP($U210,CODE!$K:$P,CODE!P$1,FALSE)="모자",T210,T210&amp;"-"&amp;VLOOKUP($U210,CODE!$K:$P,CODE!P$1,FALSE))</f>
        <v>JIL</v>
      </c>
      <c r="P210" s="13" t="s">
        <v>32</v>
      </c>
      <c r="Q210" s="13"/>
      <c r="R210" s="13">
        <v>68</v>
      </c>
      <c r="S210" s="13"/>
      <c r="T210" s="14" t="s">
        <v>32</v>
      </c>
      <c r="U210" s="14" t="s">
        <v>35</v>
      </c>
      <c r="V210" s="14" t="s">
        <v>43</v>
      </c>
      <c r="W210" s="14" t="s">
        <v>1485</v>
      </c>
      <c r="X210" s="14" t="s">
        <v>900</v>
      </c>
      <c r="Y210" s="15">
        <v>1</v>
      </c>
      <c r="Z210" s="14" t="s">
        <v>6</v>
      </c>
      <c r="AA210" s="16">
        <v>41689</v>
      </c>
      <c r="AB210" s="16">
        <v>41717</v>
      </c>
      <c r="AC210" s="16">
        <v>41717</v>
      </c>
      <c r="AD210" s="16">
        <v>41730</v>
      </c>
      <c r="AE210" s="14">
        <v>5.3</v>
      </c>
      <c r="AF210" s="14"/>
      <c r="AG210" s="14"/>
      <c r="AH210" s="14">
        <v>1</v>
      </c>
      <c r="AI210" s="14">
        <v>1</v>
      </c>
      <c r="AJ210" s="14"/>
    </row>
    <row r="211" spans="1:36">
      <c r="A211" s="7">
        <f t="shared" si="73"/>
        <v>1</v>
      </c>
      <c r="B211" s="7" t="str">
        <f t="shared" si="77"/>
        <v>14FW-JILLBY-KNIT-07-BG</v>
      </c>
      <c r="C211" s="7">
        <f t="shared" si="74"/>
        <v>1</v>
      </c>
      <c r="D211" s="7" t="str">
        <f t="shared" si="78"/>
        <v>FOREMOST14FW-JILLBY-KNIT-07-BG</v>
      </c>
      <c r="E211" s="12" t="str">
        <f t="shared" si="79"/>
        <v>201402</v>
      </c>
      <c r="F211" s="347" t="str">
        <f>VLOOKUP($AA211,[3]주!$A:$F,6,FALSE)</f>
        <v>2월 3주</v>
      </c>
      <c r="G211" s="7">
        <f t="shared" si="75"/>
        <v>1</v>
      </c>
      <c r="H211" s="7" t="str">
        <f t="shared" si="80"/>
        <v>14FW-JILLBY-KNIT-07-BG</v>
      </c>
      <c r="I211" s="7">
        <f t="shared" si="76"/>
        <v>1</v>
      </c>
      <c r="J211" s="7" t="str">
        <f t="shared" si="81"/>
        <v>FOREMOST14FW-JILLBY-KNIT-07-BG</v>
      </c>
      <c r="K211" s="17">
        <f t="shared" si="82"/>
        <v>41758</v>
      </c>
      <c r="L211" s="12" t="str">
        <f t="shared" si="83"/>
        <v>201404</v>
      </c>
      <c r="M211" s="347" t="str">
        <f>VLOOKUP($K211,[3]주!$A:$F,6,FALSE)</f>
        <v>3월 2주</v>
      </c>
      <c r="N211" s="273" t="str">
        <f>IF(VLOOKUP($Z211,생산업체!$A:$C,2,FALSE)=1,"해외","국내")</f>
        <v>해외</v>
      </c>
      <c r="O211" s="12" t="str">
        <f>IF(VLOOKUP($U211,CODE!$K:$P,CODE!P$1,FALSE)="모자",T211,T211&amp;"-"&amp;VLOOKUP($U211,CODE!$K:$P,CODE!P$1,FALSE))</f>
        <v>JIL</v>
      </c>
      <c r="P211" s="13" t="s">
        <v>32</v>
      </c>
      <c r="Q211" s="13"/>
      <c r="R211" s="13">
        <v>69</v>
      </c>
      <c r="S211" s="13"/>
      <c r="T211" s="14" t="s">
        <v>32</v>
      </c>
      <c r="U211" s="14" t="s">
        <v>56</v>
      </c>
      <c r="V211" s="14" t="s">
        <v>43</v>
      </c>
      <c r="W211" s="14" t="s">
        <v>1486</v>
      </c>
      <c r="X211" s="14" t="s">
        <v>900</v>
      </c>
      <c r="Y211" s="15">
        <v>1</v>
      </c>
      <c r="Z211" s="14" t="s">
        <v>6</v>
      </c>
      <c r="AA211" s="16">
        <v>41689</v>
      </c>
      <c r="AB211" s="16">
        <v>41717</v>
      </c>
      <c r="AC211" s="16">
        <v>41717</v>
      </c>
      <c r="AD211" s="16">
        <v>41758</v>
      </c>
      <c r="AE211" s="14">
        <v>4.5</v>
      </c>
      <c r="AF211" s="14"/>
      <c r="AG211" s="14">
        <v>1</v>
      </c>
      <c r="AH211" s="14">
        <v>1</v>
      </c>
      <c r="AI211" s="14">
        <v>1</v>
      </c>
      <c r="AJ211" s="14"/>
    </row>
    <row r="212" spans="1:36">
      <c r="A212" s="7">
        <f t="shared" si="73"/>
        <v>0.5</v>
      </c>
      <c r="B212" s="7" t="str">
        <f t="shared" si="77"/>
        <v>14FW-JILLBY-KNIT-08-BK</v>
      </c>
      <c r="C212" s="7">
        <f t="shared" si="74"/>
        <v>1</v>
      </c>
      <c r="D212" s="7" t="str">
        <f t="shared" si="78"/>
        <v>FOREMOST14FW-JILLBY-KNIT-08-BK</v>
      </c>
      <c r="E212" s="12" t="str">
        <f t="shared" si="79"/>
        <v>201402</v>
      </c>
      <c r="F212" s="347" t="str">
        <f>VLOOKUP($AA212,[3]주!$A:$F,6,FALSE)</f>
        <v>2월 3주</v>
      </c>
      <c r="G212" s="7">
        <f t="shared" si="75"/>
        <v>0.5</v>
      </c>
      <c r="H212" s="7" t="str">
        <f t="shared" si="80"/>
        <v>14FW-JILLBY-KNIT-08-BK</v>
      </c>
      <c r="I212" s="7">
        <f t="shared" si="76"/>
        <v>1</v>
      </c>
      <c r="J212" s="7" t="str">
        <f t="shared" si="81"/>
        <v>FOREMOST14FW-JILLBY-KNIT-08-BK</v>
      </c>
      <c r="K212" s="17">
        <f t="shared" si="82"/>
        <v>41758</v>
      </c>
      <c r="L212" s="12" t="str">
        <f t="shared" si="83"/>
        <v>201404</v>
      </c>
      <c r="M212" s="347" t="str">
        <f>VLOOKUP($K212,[3]주!$A:$F,6,FALSE)</f>
        <v>3월 2주</v>
      </c>
      <c r="N212" s="273" t="str">
        <f>IF(VLOOKUP($Z212,생산업체!$A:$C,2,FALSE)=1,"해외","국내")</f>
        <v>해외</v>
      </c>
      <c r="O212" s="12" t="str">
        <f>IF(VLOOKUP($U212,CODE!$K:$P,CODE!P$1,FALSE)="모자",T212,T212&amp;"-"&amp;VLOOKUP($U212,CODE!$K:$P,CODE!P$1,FALSE))</f>
        <v>JIL</v>
      </c>
      <c r="P212" s="13" t="s">
        <v>32</v>
      </c>
      <c r="Q212" s="13"/>
      <c r="R212" s="13">
        <v>70</v>
      </c>
      <c r="S212" s="13"/>
      <c r="T212" s="14" t="s">
        <v>32</v>
      </c>
      <c r="U212" s="14" t="s">
        <v>35</v>
      </c>
      <c r="V212" s="14" t="s">
        <v>43</v>
      </c>
      <c r="W212" s="14" t="s">
        <v>1487</v>
      </c>
      <c r="X212" s="14" t="s">
        <v>900</v>
      </c>
      <c r="Y212" s="15">
        <v>0.5</v>
      </c>
      <c r="Z212" s="14" t="s">
        <v>6</v>
      </c>
      <c r="AA212" s="16">
        <v>41689</v>
      </c>
      <c r="AB212" s="16">
        <v>41717</v>
      </c>
      <c r="AC212" s="16">
        <v>41717</v>
      </c>
      <c r="AD212" s="16">
        <v>41758</v>
      </c>
      <c r="AE212" s="14">
        <v>5.15</v>
      </c>
      <c r="AF212" s="14"/>
      <c r="AG212" s="14"/>
      <c r="AH212" s="14">
        <v>1</v>
      </c>
      <c r="AI212" s="14">
        <v>1</v>
      </c>
      <c r="AJ212" s="14"/>
    </row>
    <row r="213" spans="1:36">
      <c r="A213" s="7">
        <f t="shared" si="73"/>
        <v>0.5</v>
      </c>
      <c r="B213" s="7" t="str">
        <f t="shared" si="77"/>
        <v>14FW-JILLBY-KNIT-08-BK</v>
      </c>
      <c r="C213" s="7">
        <f t="shared" si="74"/>
        <v>1</v>
      </c>
      <c r="D213" s="7" t="str">
        <f t="shared" si="78"/>
        <v>ORIENT14FW-JILLBY-KNIT-08-BK</v>
      </c>
      <c r="E213" s="12" t="str">
        <f t="shared" si="79"/>
        <v>201402</v>
      </c>
      <c r="F213" s="347" t="str">
        <f>VLOOKUP($AA213,[3]주!$A:$F,6,FALSE)</f>
        <v>2월 4주</v>
      </c>
      <c r="G213" s="7">
        <f t="shared" si="75"/>
        <v>0.5</v>
      </c>
      <c r="H213" s="7" t="str">
        <f t="shared" si="80"/>
        <v>14FW-JILLBY-KNIT-08-BK</v>
      </c>
      <c r="I213" s="7">
        <f t="shared" si="76"/>
        <v>1</v>
      </c>
      <c r="J213" s="7" t="str">
        <f t="shared" si="81"/>
        <v>ORIENT14FW-JILLBY-KNIT-08-BK</v>
      </c>
      <c r="K213" s="17">
        <f t="shared" si="82"/>
        <v>41752</v>
      </c>
      <c r="L213" s="12" t="str">
        <f t="shared" si="83"/>
        <v>201404</v>
      </c>
      <c r="M213" s="347" t="str">
        <f>VLOOKUP($K213,[3]주!$A:$F,6,FALSE)</f>
        <v>3월 2주</v>
      </c>
      <c r="N213" s="273" t="str">
        <f>IF(VLOOKUP($Z213,생산업체!$A:$C,2,FALSE)=1,"해외","국내")</f>
        <v>해외</v>
      </c>
      <c r="O213" s="12" t="str">
        <f>IF(VLOOKUP($U213,CODE!$K:$P,CODE!P$1,FALSE)="모자",T213,T213&amp;"-"&amp;VLOOKUP($U213,CODE!$K:$P,CODE!P$1,FALSE))</f>
        <v>JIL</v>
      </c>
      <c r="P213" s="13" t="s">
        <v>32</v>
      </c>
      <c r="Q213" s="13"/>
      <c r="R213" s="13">
        <v>71</v>
      </c>
      <c r="S213" s="13"/>
      <c r="T213" s="14" t="s">
        <v>32</v>
      </c>
      <c r="U213" s="14" t="s">
        <v>35</v>
      </c>
      <c r="V213" s="14" t="s">
        <v>43</v>
      </c>
      <c r="W213" s="14" t="s">
        <v>1487</v>
      </c>
      <c r="X213" s="14" t="s">
        <v>900</v>
      </c>
      <c r="Y213" s="15">
        <v>0.5</v>
      </c>
      <c r="Z213" s="14" t="s">
        <v>1484</v>
      </c>
      <c r="AA213" s="16">
        <v>41694</v>
      </c>
      <c r="AB213" s="16">
        <v>41722</v>
      </c>
      <c r="AC213" s="16">
        <v>41722</v>
      </c>
      <c r="AD213" s="16">
        <v>41752</v>
      </c>
      <c r="AE213" s="14"/>
      <c r="AF213" s="14"/>
      <c r="AG213" s="14"/>
      <c r="AH213" s="14">
        <v>1</v>
      </c>
      <c r="AI213" s="14">
        <v>1</v>
      </c>
      <c r="AJ213" s="14"/>
    </row>
    <row r="214" spans="1:36">
      <c r="A214" s="7">
        <f t="shared" si="73"/>
        <v>1</v>
      </c>
      <c r="B214" s="7" t="str">
        <f t="shared" si="77"/>
        <v>14FW-JILLBY-KNIT-09-PP</v>
      </c>
      <c r="C214" s="7">
        <f t="shared" si="74"/>
        <v>1</v>
      </c>
      <c r="D214" s="7" t="str">
        <f t="shared" si="78"/>
        <v>FOREMOST14FW-JILLBY-KNIT-09-PP</v>
      </c>
      <c r="E214" s="12" t="str">
        <f t="shared" si="79"/>
        <v>201402</v>
      </c>
      <c r="F214" s="347" t="str">
        <f>VLOOKUP($AA214,[3]주!$A:$F,6,FALSE)</f>
        <v>2월 3주</v>
      </c>
      <c r="G214" s="7">
        <f t="shared" si="75"/>
        <v>1</v>
      </c>
      <c r="H214" s="7" t="str">
        <f t="shared" si="80"/>
        <v>14FW-JILLBY-KNIT-09-PP</v>
      </c>
      <c r="I214" s="7">
        <f t="shared" si="76"/>
        <v>1</v>
      </c>
      <c r="J214" s="7" t="str">
        <f t="shared" si="81"/>
        <v>FOREMOST14FW-JILLBY-KNIT-09-PP</v>
      </c>
      <c r="K214" s="17">
        <f t="shared" si="82"/>
        <v>41725</v>
      </c>
      <c r="L214" s="12" t="str">
        <f t="shared" si="83"/>
        <v>201403</v>
      </c>
      <c r="M214" s="347" t="str">
        <f>VLOOKUP($K214,[3]주!$A:$F,6,FALSE)</f>
        <v>3월 2주</v>
      </c>
      <c r="N214" s="273" t="str">
        <f>IF(VLOOKUP($Z214,생산업체!$A:$C,2,FALSE)=1,"해외","국내")</f>
        <v>해외</v>
      </c>
      <c r="O214" s="12" t="str">
        <f>IF(VLOOKUP($U214,CODE!$K:$P,CODE!P$1,FALSE)="모자",T214,T214&amp;"-"&amp;VLOOKUP($U214,CODE!$K:$P,CODE!P$1,FALSE))</f>
        <v>JIL</v>
      </c>
      <c r="P214" s="13" t="s">
        <v>32</v>
      </c>
      <c r="Q214" s="13"/>
      <c r="R214" s="13">
        <v>72</v>
      </c>
      <c r="S214" s="13"/>
      <c r="T214" s="14" t="s">
        <v>32</v>
      </c>
      <c r="U214" s="14" t="s">
        <v>56</v>
      </c>
      <c r="V214" s="14" t="s">
        <v>43</v>
      </c>
      <c r="W214" s="14" t="s">
        <v>1488</v>
      </c>
      <c r="X214" s="14" t="s">
        <v>900</v>
      </c>
      <c r="Y214" s="15">
        <v>1</v>
      </c>
      <c r="Z214" s="14" t="s">
        <v>6</v>
      </c>
      <c r="AA214" s="16">
        <v>41689</v>
      </c>
      <c r="AB214" s="16">
        <v>41717</v>
      </c>
      <c r="AC214" s="16">
        <v>41717</v>
      </c>
      <c r="AD214" s="16">
        <v>41725</v>
      </c>
      <c r="AE214" s="14">
        <v>3.95</v>
      </c>
      <c r="AF214" s="14"/>
      <c r="AG214" s="14">
        <v>1</v>
      </c>
      <c r="AH214" s="14">
        <v>1</v>
      </c>
      <c r="AI214" s="14">
        <v>1</v>
      </c>
      <c r="AJ214" s="14"/>
    </row>
    <row r="215" spans="1:36">
      <c r="A215" s="7">
        <f t="shared" si="73"/>
        <v>1</v>
      </c>
      <c r="B215" s="7" t="str">
        <f t="shared" si="77"/>
        <v>14FW-JILLBY-KNIT-10-RD</v>
      </c>
      <c r="C215" s="7">
        <f t="shared" si="74"/>
        <v>1</v>
      </c>
      <c r="D215" s="7" t="str">
        <f t="shared" si="78"/>
        <v>FOREMOST14FW-JILLBY-KNIT-10-RD</v>
      </c>
      <c r="E215" s="12" t="str">
        <f t="shared" si="79"/>
        <v>201402</v>
      </c>
      <c r="F215" s="347" t="str">
        <f>VLOOKUP($AA215,[3]주!$A:$F,6,FALSE)</f>
        <v>2월 3주</v>
      </c>
      <c r="G215" s="7">
        <f t="shared" si="75"/>
        <v>1</v>
      </c>
      <c r="H215" s="7" t="str">
        <f t="shared" si="80"/>
        <v>14FW-JILLBY-KNIT-10-RD</v>
      </c>
      <c r="I215" s="7">
        <f t="shared" si="76"/>
        <v>1</v>
      </c>
      <c r="J215" s="7" t="str">
        <f t="shared" si="81"/>
        <v>FOREMOST14FW-JILLBY-KNIT-10-RD</v>
      </c>
      <c r="K215" s="17">
        <f t="shared" si="82"/>
        <v>41725</v>
      </c>
      <c r="L215" s="12" t="str">
        <f t="shared" si="83"/>
        <v>201403</v>
      </c>
      <c r="M215" s="347" t="str">
        <f>VLOOKUP($K215,[3]주!$A:$F,6,FALSE)</f>
        <v>3월 2주</v>
      </c>
      <c r="N215" s="273" t="str">
        <f>IF(VLOOKUP($Z215,생산업체!$A:$C,2,FALSE)=1,"해외","국내")</f>
        <v>해외</v>
      </c>
      <c r="O215" s="12" t="str">
        <f>IF(VLOOKUP($U215,CODE!$K:$P,CODE!P$1,FALSE)="모자",T215,T215&amp;"-"&amp;VLOOKUP($U215,CODE!$K:$P,CODE!P$1,FALSE))</f>
        <v>JIL</v>
      </c>
      <c r="P215" s="13" t="s">
        <v>32</v>
      </c>
      <c r="Q215" s="13"/>
      <c r="R215" s="13">
        <v>73</v>
      </c>
      <c r="S215" s="13"/>
      <c r="T215" s="14" t="s">
        <v>32</v>
      </c>
      <c r="U215" s="14" t="s">
        <v>56</v>
      </c>
      <c r="V215" s="14" t="s">
        <v>43</v>
      </c>
      <c r="W215" s="14" t="s">
        <v>1489</v>
      </c>
      <c r="X215" s="14" t="s">
        <v>900</v>
      </c>
      <c r="Y215" s="15">
        <v>1</v>
      </c>
      <c r="Z215" s="14" t="s">
        <v>6</v>
      </c>
      <c r="AA215" s="16">
        <v>41689</v>
      </c>
      <c r="AB215" s="16">
        <v>41717</v>
      </c>
      <c r="AC215" s="16">
        <v>41717</v>
      </c>
      <c r="AD215" s="16">
        <v>41725</v>
      </c>
      <c r="AE215" s="14">
        <v>3.95</v>
      </c>
      <c r="AF215" s="14"/>
      <c r="AG215" s="14"/>
      <c r="AH215" s="14">
        <v>1</v>
      </c>
      <c r="AI215" s="14">
        <v>1</v>
      </c>
      <c r="AJ215" s="14"/>
    </row>
    <row r="216" spans="1:36">
      <c r="A216" s="7">
        <f t="shared" si="73"/>
        <v>1</v>
      </c>
      <c r="B216" s="7" t="str">
        <f t="shared" si="77"/>
        <v>14FW-JILLBY-KNIT-11-MT</v>
      </c>
      <c r="C216" s="7">
        <f t="shared" si="74"/>
        <v>1</v>
      </c>
      <c r="D216" s="7" t="str">
        <f t="shared" si="78"/>
        <v>FOREMOST14FW-JILLBY-KNIT-11-MT</v>
      </c>
      <c r="E216" s="12" t="str">
        <f t="shared" si="79"/>
        <v>201402</v>
      </c>
      <c r="F216" s="347" t="str">
        <f>VLOOKUP($AA216,[3]주!$A:$F,6,FALSE)</f>
        <v>2월 3주</v>
      </c>
      <c r="G216" s="7">
        <f t="shared" si="75"/>
        <v>1</v>
      </c>
      <c r="H216" s="7" t="str">
        <f t="shared" si="80"/>
        <v>14FW-JILLBY-KNIT-11-MT</v>
      </c>
      <c r="I216" s="7">
        <f t="shared" si="76"/>
        <v>1</v>
      </c>
      <c r="J216" s="7" t="str">
        <f t="shared" si="81"/>
        <v>FOREMOST14FW-JILLBY-KNIT-11-MT</v>
      </c>
      <c r="K216" s="17">
        <f t="shared" si="82"/>
        <v>41736</v>
      </c>
      <c r="L216" s="12" t="str">
        <f t="shared" si="83"/>
        <v>201404</v>
      </c>
      <c r="M216" s="347" t="str">
        <f>VLOOKUP($K216,[3]주!$A:$F,6,FALSE)</f>
        <v>3월 2주</v>
      </c>
      <c r="N216" s="273" t="str">
        <f>IF(VLOOKUP($Z216,생산업체!$A:$C,2,FALSE)=1,"해외","국내")</f>
        <v>해외</v>
      </c>
      <c r="O216" s="12" t="str">
        <f>IF(VLOOKUP($U216,CODE!$K:$P,CODE!P$1,FALSE)="모자",T216,T216&amp;"-"&amp;VLOOKUP($U216,CODE!$K:$P,CODE!P$1,FALSE))</f>
        <v>JIL</v>
      </c>
      <c r="P216" s="13" t="s">
        <v>32</v>
      </c>
      <c r="Q216" s="13"/>
      <c r="R216" s="13">
        <v>74</v>
      </c>
      <c r="S216" s="13"/>
      <c r="T216" s="14" t="s">
        <v>32</v>
      </c>
      <c r="U216" s="14" t="s">
        <v>35</v>
      </c>
      <c r="V216" s="14" t="s">
        <v>43</v>
      </c>
      <c r="W216" s="14" t="s">
        <v>1490</v>
      </c>
      <c r="X216" s="14" t="s">
        <v>900</v>
      </c>
      <c r="Y216" s="15">
        <v>1</v>
      </c>
      <c r="Z216" s="14" t="s">
        <v>6</v>
      </c>
      <c r="AA216" s="16">
        <v>41689</v>
      </c>
      <c r="AB216" s="16">
        <v>41717</v>
      </c>
      <c r="AC216" s="16">
        <v>41717</v>
      </c>
      <c r="AD216" s="16">
        <v>41736</v>
      </c>
      <c r="AE216" s="14">
        <v>4.6500000000000004</v>
      </c>
      <c r="AF216" s="14"/>
      <c r="AG216" s="14"/>
      <c r="AH216" s="14">
        <v>1</v>
      </c>
      <c r="AI216" s="14">
        <v>1</v>
      </c>
      <c r="AJ216" s="14"/>
    </row>
    <row r="217" spans="1:36">
      <c r="A217" s="7">
        <f t="shared" si="73"/>
        <v>1</v>
      </c>
      <c r="B217" s="7" t="str">
        <f t="shared" si="77"/>
        <v>14FW-JILLBY-KNIT-16-BL</v>
      </c>
      <c r="C217" s="7">
        <f t="shared" si="74"/>
        <v>1</v>
      </c>
      <c r="D217" s="7" t="str">
        <f t="shared" si="78"/>
        <v>FOREMOST14FW-JILLBY-KNIT-16-BL</v>
      </c>
      <c r="E217" s="12" t="str">
        <f t="shared" si="79"/>
        <v>201402</v>
      </c>
      <c r="F217" s="347" t="str">
        <f>VLOOKUP($AA217,[3]주!$A:$F,6,FALSE)</f>
        <v>2월 3주</v>
      </c>
      <c r="G217" s="7">
        <f t="shared" si="75"/>
        <v>1</v>
      </c>
      <c r="H217" s="7" t="str">
        <f t="shared" si="80"/>
        <v>14FW-JILLBY-KNIT-16-BL</v>
      </c>
      <c r="I217" s="7">
        <f t="shared" si="76"/>
        <v>1</v>
      </c>
      <c r="J217" s="7" t="str">
        <f t="shared" si="81"/>
        <v>FOREMOST14FW-JILLBY-KNIT-16-BL</v>
      </c>
      <c r="K217" s="17">
        <f t="shared" si="82"/>
        <v>41740</v>
      </c>
      <c r="L217" s="12" t="str">
        <f t="shared" si="83"/>
        <v>201404</v>
      </c>
      <c r="M217" s="347" t="str">
        <f>VLOOKUP($K217,[3]주!$A:$F,6,FALSE)</f>
        <v>3월 2주</v>
      </c>
      <c r="N217" s="273" t="str">
        <f>IF(VLOOKUP($Z217,생산업체!$A:$C,2,FALSE)=1,"해외","국내")</f>
        <v>해외</v>
      </c>
      <c r="O217" s="12" t="str">
        <f>IF(VLOOKUP($U217,CODE!$K:$P,CODE!P$1,FALSE)="모자",T217,T217&amp;"-"&amp;VLOOKUP($U217,CODE!$K:$P,CODE!P$1,FALSE))</f>
        <v>JIL</v>
      </c>
      <c r="P217" s="13" t="s">
        <v>32</v>
      </c>
      <c r="Q217" s="13"/>
      <c r="R217" s="13">
        <v>75</v>
      </c>
      <c r="S217" s="13"/>
      <c r="T217" s="14" t="s">
        <v>32</v>
      </c>
      <c r="U217" s="14" t="s">
        <v>56</v>
      </c>
      <c r="V217" s="14" t="s">
        <v>43</v>
      </c>
      <c r="W217" s="14" t="s">
        <v>1610</v>
      </c>
      <c r="X217" s="14" t="s">
        <v>900</v>
      </c>
      <c r="Y217" s="15">
        <v>1</v>
      </c>
      <c r="Z217" s="14" t="s">
        <v>6</v>
      </c>
      <c r="AA217" s="16">
        <v>41689</v>
      </c>
      <c r="AB217" s="16">
        <v>41717</v>
      </c>
      <c r="AC217" s="16">
        <v>41717</v>
      </c>
      <c r="AD217" s="16">
        <v>41740</v>
      </c>
      <c r="AE217" s="14">
        <v>5.95</v>
      </c>
      <c r="AF217" s="14"/>
      <c r="AG217" s="14"/>
      <c r="AH217" s="14">
        <v>1</v>
      </c>
      <c r="AI217" s="14">
        <v>1</v>
      </c>
      <c r="AJ217" s="14"/>
    </row>
    <row r="218" spans="1:36">
      <c r="A218" s="7">
        <f t="shared" si="73"/>
        <v>1</v>
      </c>
      <c r="B218" s="7" t="str">
        <f t="shared" si="77"/>
        <v>14FW-JILLBY-KNIT-16-D.GY</v>
      </c>
      <c r="C218" s="7">
        <f t="shared" si="74"/>
        <v>1</v>
      </c>
      <c r="D218" s="7" t="str">
        <f t="shared" si="78"/>
        <v>Y&amp;Y14FW-JILLBY-KNIT-16-D.GY</v>
      </c>
      <c r="E218" s="12" t="str">
        <f t="shared" si="79"/>
        <v>201402</v>
      </c>
      <c r="F218" s="347" t="str">
        <f>VLOOKUP($AA218,[3]주!$A:$F,6,FALSE)</f>
        <v>2월 3주</v>
      </c>
      <c r="G218" s="7">
        <f t="shared" si="75"/>
        <v>1</v>
      </c>
      <c r="H218" s="7" t="str">
        <f t="shared" si="80"/>
        <v>14FW-JILLBY-KNIT-16-D.GY</v>
      </c>
      <c r="I218" s="7">
        <f t="shared" si="76"/>
        <v>1</v>
      </c>
      <c r="J218" s="7" t="str">
        <f t="shared" si="81"/>
        <v>Y&amp;Y14FW-JILLBY-KNIT-16-D.GY</v>
      </c>
      <c r="K218" s="17">
        <f t="shared" si="82"/>
        <v>41761</v>
      </c>
      <c r="L218" s="12" t="str">
        <f t="shared" si="83"/>
        <v>201405</v>
      </c>
      <c r="M218" s="347" t="str">
        <f>VLOOKUP($K218,[3]주!$A:$F,6,FALSE)</f>
        <v>3월 2주</v>
      </c>
      <c r="N218" s="273" t="str">
        <f>IF(VLOOKUP($Z218,생산업체!$A:$C,2,FALSE)=1,"해외","국내")</f>
        <v>해외</v>
      </c>
      <c r="O218" s="12" t="str">
        <f>IF(VLOOKUP($U218,CODE!$K:$P,CODE!P$1,FALSE)="모자",T218,T218&amp;"-"&amp;VLOOKUP($U218,CODE!$K:$P,CODE!P$1,FALSE))</f>
        <v>JIL</v>
      </c>
      <c r="P218" s="13" t="s">
        <v>32</v>
      </c>
      <c r="Q218" s="13"/>
      <c r="R218" s="13">
        <v>76</v>
      </c>
      <c r="S218" s="13"/>
      <c r="T218" s="14" t="s">
        <v>32</v>
      </c>
      <c r="U218" s="14" t="s">
        <v>56</v>
      </c>
      <c r="V218" s="14" t="s">
        <v>43</v>
      </c>
      <c r="W218" s="14" t="s">
        <v>1611</v>
      </c>
      <c r="X218" s="14" t="s">
        <v>900</v>
      </c>
      <c r="Y218" s="15">
        <v>1</v>
      </c>
      <c r="Z218" s="14" t="s">
        <v>1415</v>
      </c>
      <c r="AA218" s="16">
        <v>41689</v>
      </c>
      <c r="AB218" s="16">
        <v>41717</v>
      </c>
      <c r="AC218" s="16">
        <v>41717</v>
      </c>
      <c r="AD218" s="16">
        <v>41761</v>
      </c>
      <c r="AE218" s="14"/>
      <c r="AF218" s="14"/>
      <c r="AG218" s="14"/>
      <c r="AH218" s="14">
        <v>1</v>
      </c>
      <c r="AI218" s="14">
        <v>1</v>
      </c>
      <c r="AJ218" s="14"/>
    </row>
    <row r="219" spans="1:36">
      <c r="A219" s="7">
        <f t="shared" si="73"/>
        <v>1</v>
      </c>
      <c r="B219" s="7" t="str">
        <f t="shared" si="77"/>
        <v>14FW-JILLBY-KNIT-17-NV</v>
      </c>
      <c r="C219" s="7">
        <f t="shared" si="74"/>
        <v>1</v>
      </c>
      <c r="D219" s="7" t="str">
        <f t="shared" si="78"/>
        <v>Y&amp;Y14FW-JILLBY-KNIT-17-NV</v>
      </c>
      <c r="E219" s="12" t="str">
        <f t="shared" si="79"/>
        <v>201402</v>
      </c>
      <c r="F219" s="347" t="str">
        <f>VLOOKUP($AA219,[3]주!$A:$F,6,FALSE)</f>
        <v>2월 4주</v>
      </c>
      <c r="G219" s="7">
        <f t="shared" si="75"/>
        <v>1</v>
      </c>
      <c r="H219" s="7" t="str">
        <f t="shared" si="80"/>
        <v>14FW-JILLBY-KNIT-17-NV</v>
      </c>
      <c r="I219" s="7">
        <f t="shared" si="76"/>
        <v>1</v>
      </c>
      <c r="J219" s="7" t="str">
        <f t="shared" si="81"/>
        <v>Y&amp;Y14FW-JILLBY-KNIT-17-NV</v>
      </c>
      <c r="K219" s="17">
        <f t="shared" si="82"/>
        <v>41724</v>
      </c>
      <c r="L219" s="12" t="str">
        <f t="shared" si="83"/>
        <v>201403</v>
      </c>
      <c r="M219" s="347" t="str">
        <f>VLOOKUP($K219,[3]주!$A:$F,6,FALSE)</f>
        <v>3월 2주</v>
      </c>
      <c r="N219" s="273" t="str">
        <f>IF(VLOOKUP($Z219,생산업체!$A:$C,2,FALSE)=1,"해외","국내")</f>
        <v>해외</v>
      </c>
      <c r="O219" s="12" t="str">
        <f>IF(VLOOKUP($U219,CODE!$K:$P,CODE!P$1,FALSE)="모자",T219,T219&amp;"-"&amp;VLOOKUP($U219,CODE!$K:$P,CODE!P$1,FALSE))</f>
        <v>JIL</v>
      </c>
      <c r="P219" s="13" t="s">
        <v>32</v>
      </c>
      <c r="Q219" s="13"/>
      <c r="R219" s="13">
        <v>77</v>
      </c>
      <c r="S219" s="13"/>
      <c r="T219" s="14" t="s">
        <v>32</v>
      </c>
      <c r="U219" s="14" t="s">
        <v>56</v>
      </c>
      <c r="V219" s="14" t="s">
        <v>43</v>
      </c>
      <c r="W219" s="14" t="s">
        <v>1612</v>
      </c>
      <c r="X219" s="14" t="s">
        <v>900</v>
      </c>
      <c r="Y219" s="15">
        <v>1</v>
      </c>
      <c r="Z219" s="14" t="s">
        <v>1415</v>
      </c>
      <c r="AA219" s="16">
        <v>41696</v>
      </c>
      <c r="AB219" s="16">
        <v>41724</v>
      </c>
      <c r="AC219" s="16">
        <v>41724</v>
      </c>
      <c r="AD219" s="16">
        <v>41724</v>
      </c>
      <c r="AE219" s="14">
        <v>2.87</v>
      </c>
      <c r="AF219" s="14"/>
      <c r="AG219" s="14"/>
      <c r="AH219" s="14">
        <v>1</v>
      </c>
      <c r="AI219" s="14">
        <v>1</v>
      </c>
      <c r="AJ219" s="14" t="s">
        <v>2003</v>
      </c>
    </row>
    <row r="220" spans="1:36">
      <c r="A220" s="7">
        <f t="shared" si="73"/>
        <v>1</v>
      </c>
      <c r="B220" s="7" t="str">
        <f t="shared" si="77"/>
        <v>14FW-JILLBY-KNIT-18-BK</v>
      </c>
      <c r="C220" s="7">
        <f t="shared" si="74"/>
        <v>1</v>
      </c>
      <c r="D220" s="7" t="str">
        <f t="shared" si="78"/>
        <v>Y&amp;Y14FW-JILLBY-KNIT-18-BK</v>
      </c>
      <c r="E220" s="12" t="str">
        <f t="shared" si="79"/>
        <v>201402</v>
      </c>
      <c r="F220" s="347" t="str">
        <f>VLOOKUP($AA220,[3]주!$A:$F,6,FALSE)</f>
        <v>2월 4주</v>
      </c>
      <c r="G220" s="7">
        <f t="shared" si="75"/>
        <v>1</v>
      </c>
      <c r="H220" s="7" t="str">
        <f t="shared" si="80"/>
        <v>14FW-JILLBY-KNIT-18-BK</v>
      </c>
      <c r="I220" s="7">
        <f t="shared" si="76"/>
        <v>1</v>
      </c>
      <c r="J220" s="7" t="str">
        <f t="shared" si="81"/>
        <v>Y&amp;Y14FW-JILLBY-KNIT-18-BK</v>
      </c>
      <c r="K220" s="17">
        <f t="shared" si="82"/>
        <v>41726</v>
      </c>
      <c r="L220" s="12" t="str">
        <f t="shared" si="83"/>
        <v>201403</v>
      </c>
      <c r="M220" s="347" t="str">
        <f>VLOOKUP($K220,[3]주!$A:$F,6,FALSE)</f>
        <v>3월 2주</v>
      </c>
      <c r="N220" s="273" t="str">
        <f>IF(VLOOKUP($Z220,생산업체!$A:$C,2,FALSE)=1,"해외","국내")</f>
        <v>해외</v>
      </c>
      <c r="O220" s="12" t="str">
        <f>IF(VLOOKUP($U220,CODE!$K:$P,CODE!P$1,FALSE)="모자",T220,T220&amp;"-"&amp;VLOOKUP($U220,CODE!$K:$P,CODE!P$1,FALSE))</f>
        <v>JIL</v>
      </c>
      <c r="P220" s="13" t="s">
        <v>32</v>
      </c>
      <c r="Q220" s="13"/>
      <c r="R220" s="13">
        <v>78</v>
      </c>
      <c r="S220" s="13"/>
      <c r="T220" s="14" t="s">
        <v>32</v>
      </c>
      <c r="U220" s="14" t="s">
        <v>56</v>
      </c>
      <c r="V220" s="14" t="s">
        <v>43</v>
      </c>
      <c r="W220" s="14" t="s">
        <v>1613</v>
      </c>
      <c r="X220" s="14" t="s">
        <v>900</v>
      </c>
      <c r="Y220" s="15">
        <v>1</v>
      </c>
      <c r="Z220" s="14" t="s">
        <v>1415</v>
      </c>
      <c r="AA220" s="16">
        <v>41696</v>
      </c>
      <c r="AB220" s="16">
        <v>41724</v>
      </c>
      <c r="AC220" s="16">
        <v>41724</v>
      </c>
      <c r="AD220" s="16">
        <v>41726</v>
      </c>
      <c r="AE220" s="14"/>
      <c r="AF220" s="14"/>
      <c r="AG220" s="14"/>
      <c r="AH220" s="14">
        <v>1</v>
      </c>
      <c r="AI220" s="14">
        <v>1</v>
      </c>
      <c r="AJ220" s="14"/>
    </row>
    <row r="221" spans="1:36">
      <c r="A221" s="7">
        <f t="shared" si="73"/>
        <v>1</v>
      </c>
      <c r="B221" s="7" t="str">
        <f t="shared" si="77"/>
        <v>14FW-JILLBY-KNIT-18-GR</v>
      </c>
      <c r="C221" s="7">
        <f t="shared" si="74"/>
        <v>1</v>
      </c>
      <c r="D221" s="7" t="str">
        <f t="shared" si="78"/>
        <v>Y&amp;Y14FW-JILLBY-KNIT-18-GR</v>
      </c>
      <c r="E221" s="12" t="str">
        <f t="shared" si="79"/>
        <v>201402</v>
      </c>
      <c r="F221" s="347" t="str">
        <f>VLOOKUP($AA221,[3]주!$A:$F,6,FALSE)</f>
        <v>2월 4주</v>
      </c>
      <c r="G221" s="7">
        <f t="shared" si="75"/>
        <v>1</v>
      </c>
      <c r="H221" s="7" t="str">
        <f t="shared" si="80"/>
        <v>14FW-JILLBY-KNIT-18-GR</v>
      </c>
      <c r="I221" s="7">
        <f t="shared" si="76"/>
        <v>1</v>
      </c>
      <c r="J221" s="7" t="str">
        <f t="shared" si="81"/>
        <v>Y&amp;Y14FW-JILLBY-KNIT-18-GR</v>
      </c>
      <c r="K221" s="17">
        <f t="shared" si="82"/>
        <v>41726</v>
      </c>
      <c r="L221" s="12" t="str">
        <f t="shared" si="83"/>
        <v>201403</v>
      </c>
      <c r="M221" s="347" t="str">
        <f>VLOOKUP($K221,[3]주!$A:$F,6,FALSE)</f>
        <v>3월 2주</v>
      </c>
      <c r="N221" s="273" t="str">
        <f>IF(VLOOKUP($Z221,생산업체!$A:$C,2,FALSE)=1,"해외","국내")</f>
        <v>해외</v>
      </c>
      <c r="O221" s="12" t="str">
        <f>IF(VLOOKUP($U221,CODE!$K:$P,CODE!P$1,FALSE)="모자",T221,T221&amp;"-"&amp;VLOOKUP($U221,CODE!$K:$P,CODE!P$1,FALSE))</f>
        <v>JIL</v>
      </c>
      <c r="P221" s="13" t="s">
        <v>32</v>
      </c>
      <c r="Q221" s="13"/>
      <c r="R221" s="13">
        <v>79</v>
      </c>
      <c r="S221" s="13"/>
      <c r="T221" s="14" t="s">
        <v>32</v>
      </c>
      <c r="U221" s="14" t="s">
        <v>56</v>
      </c>
      <c r="V221" s="14" t="s">
        <v>43</v>
      </c>
      <c r="W221" s="14" t="s">
        <v>1614</v>
      </c>
      <c r="X221" s="14" t="s">
        <v>900</v>
      </c>
      <c r="Y221" s="15">
        <v>1</v>
      </c>
      <c r="Z221" s="14" t="s">
        <v>1415</v>
      </c>
      <c r="AA221" s="16">
        <v>41696</v>
      </c>
      <c r="AB221" s="16">
        <v>41724</v>
      </c>
      <c r="AC221" s="16">
        <v>41724</v>
      </c>
      <c r="AD221" s="16">
        <v>41726</v>
      </c>
      <c r="AE221" s="14"/>
      <c r="AF221" s="14"/>
      <c r="AG221" s="14"/>
      <c r="AH221" s="14">
        <v>1</v>
      </c>
      <c r="AI221" s="14">
        <v>1</v>
      </c>
      <c r="AJ221" s="14"/>
    </row>
    <row r="222" spans="1:36">
      <c r="A222" s="7">
        <f t="shared" si="73"/>
        <v>1</v>
      </c>
      <c r="B222" s="7" t="str">
        <f t="shared" si="77"/>
        <v>14FW-JILLBY-KNIT-18-YL</v>
      </c>
      <c r="C222" s="7">
        <f t="shared" si="74"/>
        <v>1</v>
      </c>
      <c r="D222" s="7" t="str">
        <f t="shared" si="78"/>
        <v>Y&amp;Y14FW-JILLBY-KNIT-18-YL</v>
      </c>
      <c r="E222" s="12" t="str">
        <f t="shared" si="79"/>
        <v>201402</v>
      </c>
      <c r="F222" s="347" t="str">
        <f>VLOOKUP($AA222,[3]주!$A:$F,6,FALSE)</f>
        <v>2월 4주</v>
      </c>
      <c r="G222" s="7">
        <f t="shared" si="75"/>
        <v>1</v>
      </c>
      <c r="H222" s="7" t="str">
        <f t="shared" si="80"/>
        <v>14FW-JILLBY-KNIT-18-YL</v>
      </c>
      <c r="I222" s="7">
        <f t="shared" si="76"/>
        <v>1</v>
      </c>
      <c r="J222" s="7" t="str">
        <f t="shared" si="81"/>
        <v>Y&amp;Y14FW-JILLBY-KNIT-18-YL</v>
      </c>
      <c r="K222" s="17">
        <f t="shared" si="82"/>
        <v>41732</v>
      </c>
      <c r="L222" s="12" t="str">
        <f t="shared" si="83"/>
        <v>201404</v>
      </c>
      <c r="M222" s="347" t="str">
        <f>VLOOKUP($K222,[3]주!$A:$F,6,FALSE)</f>
        <v>3월 2주</v>
      </c>
      <c r="N222" s="273" t="str">
        <f>IF(VLOOKUP($Z222,생산업체!$A:$C,2,FALSE)=1,"해외","국내")</f>
        <v>해외</v>
      </c>
      <c r="O222" s="12" t="str">
        <f>IF(VLOOKUP($U222,CODE!$K:$P,CODE!P$1,FALSE)="모자",T222,T222&amp;"-"&amp;VLOOKUP($U222,CODE!$K:$P,CODE!P$1,FALSE))</f>
        <v>JIL</v>
      </c>
      <c r="P222" s="13" t="s">
        <v>32</v>
      </c>
      <c r="Q222" s="13"/>
      <c r="R222" s="13">
        <v>80</v>
      </c>
      <c r="S222" s="13"/>
      <c r="T222" s="14" t="s">
        <v>32</v>
      </c>
      <c r="U222" s="14" t="s">
        <v>56</v>
      </c>
      <c r="V222" s="14" t="s">
        <v>43</v>
      </c>
      <c r="W222" s="14" t="s">
        <v>1615</v>
      </c>
      <c r="X222" s="14" t="s">
        <v>900</v>
      </c>
      <c r="Y222" s="15">
        <v>1</v>
      </c>
      <c r="Z222" s="14" t="s">
        <v>1415</v>
      </c>
      <c r="AA222" s="16">
        <v>41696</v>
      </c>
      <c r="AB222" s="16">
        <v>41724</v>
      </c>
      <c r="AC222" s="16">
        <v>41724</v>
      </c>
      <c r="AD222" s="16">
        <v>41732</v>
      </c>
      <c r="AE222" s="14"/>
      <c r="AF222" s="14"/>
      <c r="AG222" s="14"/>
      <c r="AH222" s="14">
        <v>1</v>
      </c>
      <c r="AI222" s="14">
        <v>1</v>
      </c>
      <c r="AJ222" s="14"/>
    </row>
    <row r="223" spans="1:36">
      <c r="A223" s="7">
        <f t="shared" si="73"/>
        <v>1</v>
      </c>
      <c r="B223" s="7" t="str">
        <f t="shared" si="77"/>
        <v>14FW-JILLBY-KNIT-19-BW</v>
      </c>
      <c r="C223" s="7">
        <f t="shared" si="74"/>
        <v>1</v>
      </c>
      <c r="D223" s="7" t="str">
        <f t="shared" si="78"/>
        <v>FOREMOST14FW-JILLBY-KNIT-19-BW</v>
      </c>
      <c r="E223" s="12" t="str">
        <f t="shared" si="79"/>
        <v>201402</v>
      </c>
      <c r="F223" s="347" t="str">
        <f>VLOOKUP($AA223,[3]주!$A:$F,6,FALSE)</f>
        <v>2월 3주</v>
      </c>
      <c r="G223" s="7">
        <f t="shared" si="75"/>
        <v>1</v>
      </c>
      <c r="H223" s="7" t="str">
        <f t="shared" si="80"/>
        <v>14FW-JILLBY-KNIT-19-BW</v>
      </c>
      <c r="I223" s="7">
        <f t="shared" si="76"/>
        <v>1</v>
      </c>
      <c r="J223" s="7" t="str">
        <f t="shared" si="81"/>
        <v>FOREMOST14FW-JILLBY-KNIT-19-BW</v>
      </c>
      <c r="K223" s="17">
        <f t="shared" si="82"/>
        <v>41757</v>
      </c>
      <c r="L223" s="12" t="str">
        <f t="shared" si="83"/>
        <v>201404</v>
      </c>
      <c r="M223" s="347" t="str">
        <f>VLOOKUP($K223,[3]주!$A:$F,6,FALSE)</f>
        <v>3월 2주</v>
      </c>
      <c r="N223" s="273" t="str">
        <f>IF(VLOOKUP($Z223,생산업체!$A:$C,2,FALSE)=1,"해외","국내")</f>
        <v>해외</v>
      </c>
      <c r="O223" s="12" t="str">
        <f>IF(VLOOKUP($U223,CODE!$K:$P,CODE!P$1,FALSE)="모자",T223,T223&amp;"-"&amp;VLOOKUP($U223,CODE!$K:$P,CODE!P$1,FALSE))</f>
        <v>JIL</v>
      </c>
      <c r="P223" s="13" t="s">
        <v>32</v>
      </c>
      <c r="Q223" s="13"/>
      <c r="R223" s="13">
        <v>81</v>
      </c>
      <c r="S223" s="13"/>
      <c r="T223" s="14" t="s">
        <v>32</v>
      </c>
      <c r="U223" s="14" t="s">
        <v>56</v>
      </c>
      <c r="V223" s="14" t="s">
        <v>43</v>
      </c>
      <c r="W223" s="14" t="s">
        <v>1616</v>
      </c>
      <c r="X223" s="14" t="s">
        <v>900</v>
      </c>
      <c r="Y223" s="15">
        <v>1</v>
      </c>
      <c r="Z223" s="14" t="s">
        <v>6</v>
      </c>
      <c r="AA223" s="16">
        <v>41689</v>
      </c>
      <c r="AB223" s="16">
        <v>41717</v>
      </c>
      <c r="AC223" s="16">
        <v>41717</v>
      </c>
      <c r="AD223" s="16">
        <v>41757</v>
      </c>
      <c r="AE223" s="14">
        <v>5.45</v>
      </c>
      <c r="AF223" s="14"/>
      <c r="AG223" s="14"/>
      <c r="AH223" s="14">
        <v>1</v>
      </c>
      <c r="AI223" s="14">
        <v>1</v>
      </c>
      <c r="AJ223" s="14" t="s">
        <v>1617</v>
      </c>
    </row>
    <row r="224" spans="1:36">
      <c r="A224" s="7">
        <f t="shared" si="73"/>
        <v>1</v>
      </c>
      <c r="B224" s="7" t="str">
        <f t="shared" si="77"/>
        <v>14FW-JILLBY-KNIT-20-NV</v>
      </c>
      <c r="C224" s="7">
        <f t="shared" si="74"/>
        <v>1</v>
      </c>
      <c r="D224" s="7" t="str">
        <f t="shared" si="78"/>
        <v>FOREMOST14FW-JILLBY-KNIT-20-NV</v>
      </c>
      <c r="E224" s="12" t="str">
        <f t="shared" si="79"/>
        <v>201402</v>
      </c>
      <c r="F224" s="347" t="str">
        <f>VLOOKUP($AA224,[3]주!$A:$F,6,FALSE)</f>
        <v>2월 3주</v>
      </c>
      <c r="G224" s="7">
        <f t="shared" si="75"/>
        <v>1</v>
      </c>
      <c r="H224" s="7" t="str">
        <f t="shared" si="80"/>
        <v>14FW-JILLBY-KNIT-20-NV</v>
      </c>
      <c r="I224" s="7">
        <f t="shared" si="76"/>
        <v>1</v>
      </c>
      <c r="J224" s="7" t="str">
        <f t="shared" si="81"/>
        <v>FOREMOST14FW-JILLBY-KNIT-20-NV</v>
      </c>
      <c r="K224" s="17">
        <f t="shared" si="82"/>
        <v>41768</v>
      </c>
      <c r="L224" s="12" t="str">
        <f t="shared" si="83"/>
        <v>201405</v>
      </c>
      <c r="M224" s="347" t="str">
        <f>VLOOKUP($K224,[3]주!$A:$F,6,FALSE)</f>
        <v>3월 2주</v>
      </c>
      <c r="N224" s="273" t="str">
        <f>IF(VLOOKUP($Z224,생산업체!$A:$C,2,FALSE)=1,"해외","국내")</f>
        <v>해외</v>
      </c>
      <c r="O224" s="12" t="str">
        <f>IF(VLOOKUP($U224,CODE!$K:$P,CODE!P$1,FALSE)="모자",T224,T224&amp;"-"&amp;VLOOKUP($U224,CODE!$K:$P,CODE!P$1,FALSE))</f>
        <v>JIL</v>
      </c>
      <c r="P224" s="13" t="s">
        <v>32</v>
      </c>
      <c r="Q224" s="13"/>
      <c r="R224" s="13">
        <v>82</v>
      </c>
      <c r="S224" s="13"/>
      <c r="T224" s="14" t="s">
        <v>32</v>
      </c>
      <c r="U224" s="14" t="s">
        <v>35</v>
      </c>
      <c r="V224" s="14" t="s">
        <v>43</v>
      </c>
      <c r="W224" s="14" t="s">
        <v>1618</v>
      </c>
      <c r="X224" s="14" t="s">
        <v>900</v>
      </c>
      <c r="Y224" s="15">
        <v>1</v>
      </c>
      <c r="Z224" s="14" t="s">
        <v>6</v>
      </c>
      <c r="AA224" s="16">
        <v>41689</v>
      </c>
      <c r="AB224" s="16">
        <v>41717</v>
      </c>
      <c r="AC224" s="16">
        <v>41717</v>
      </c>
      <c r="AD224" s="16">
        <v>41768</v>
      </c>
      <c r="AE224" s="14">
        <v>4.9000000000000004</v>
      </c>
      <c r="AF224" s="14"/>
      <c r="AG224" s="14"/>
      <c r="AH224" s="14">
        <v>1</v>
      </c>
      <c r="AI224" s="14">
        <v>1</v>
      </c>
      <c r="AJ224" s="14" t="s">
        <v>2168</v>
      </c>
    </row>
    <row r="225" spans="1:36">
      <c r="A225" s="7">
        <f t="shared" si="73"/>
        <v>0.5</v>
      </c>
      <c r="B225" s="7" t="str">
        <f t="shared" si="77"/>
        <v>14FW-JILLBY-KNIT-21-IV</v>
      </c>
      <c r="C225" s="7">
        <f t="shared" si="74"/>
        <v>1</v>
      </c>
      <c r="D225" s="7" t="str">
        <f t="shared" si="78"/>
        <v>FOREMOST14FW-JILLBY-KNIT-21-IV</v>
      </c>
      <c r="E225" s="12" t="str">
        <f t="shared" si="79"/>
        <v>201402</v>
      </c>
      <c r="F225" s="347" t="str">
        <f>VLOOKUP($AA225,[3]주!$A:$F,6,FALSE)</f>
        <v>2월 3주</v>
      </c>
      <c r="G225" s="7">
        <f t="shared" si="75"/>
        <v>0.5</v>
      </c>
      <c r="H225" s="7" t="str">
        <f t="shared" si="80"/>
        <v>14FW-JILLBY-KNIT-21-IV</v>
      </c>
      <c r="I225" s="7">
        <f t="shared" si="76"/>
        <v>1</v>
      </c>
      <c r="J225" s="7" t="str">
        <f t="shared" si="81"/>
        <v>FOREMOST14FW-JILLBY-KNIT-21-IV</v>
      </c>
      <c r="K225" s="17">
        <f t="shared" si="82"/>
        <v>41753</v>
      </c>
      <c r="L225" s="12" t="str">
        <f t="shared" si="83"/>
        <v>201404</v>
      </c>
      <c r="M225" s="347" t="str">
        <f>VLOOKUP($K225,[3]주!$A:$F,6,FALSE)</f>
        <v>3월 2주</v>
      </c>
      <c r="N225" s="273" t="str">
        <f>IF(VLOOKUP($Z225,생산업체!$A:$C,2,FALSE)=1,"해외","국내")</f>
        <v>해외</v>
      </c>
      <c r="O225" s="12" t="str">
        <f>IF(VLOOKUP($U225,CODE!$K:$P,CODE!P$1,FALSE)="모자",T225,T225&amp;"-"&amp;VLOOKUP($U225,CODE!$K:$P,CODE!P$1,FALSE))</f>
        <v>JIL</v>
      </c>
      <c r="P225" s="13" t="s">
        <v>32</v>
      </c>
      <c r="Q225" s="13"/>
      <c r="R225" s="13">
        <v>83</v>
      </c>
      <c r="S225" s="13"/>
      <c r="T225" s="14" t="s">
        <v>32</v>
      </c>
      <c r="U225" s="14" t="s">
        <v>35</v>
      </c>
      <c r="V225" s="14" t="s">
        <v>43</v>
      </c>
      <c r="W225" s="14" t="s">
        <v>1619</v>
      </c>
      <c r="X225" s="14" t="s">
        <v>900</v>
      </c>
      <c r="Y225" s="15">
        <v>0.5</v>
      </c>
      <c r="Z225" s="14" t="s">
        <v>6</v>
      </c>
      <c r="AA225" s="16">
        <v>41689</v>
      </c>
      <c r="AB225" s="16">
        <v>41717</v>
      </c>
      <c r="AC225" s="16">
        <v>41717</v>
      </c>
      <c r="AD225" s="16">
        <v>41753</v>
      </c>
      <c r="AE225" s="14">
        <v>5.45</v>
      </c>
      <c r="AF225" s="14"/>
      <c r="AG225" s="14"/>
      <c r="AH225" s="14">
        <v>1</v>
      </c>
      <c r="AI225" s="14">
        <v>1</v>
      </c>
      <c r="AJ225" s="14"/>
    </row>
    <row r="226" spans="1:36">
      <c r="A226" s="7">
        <f t="shared" si="73"/>
        <v>0.5</v>
      </c>
      <c r="B226" s="7" t="str">
        <f>IF(AA226="","",W226)</f>
        <v>14FW-JILLBY-KNIT-21-IV</v>
      </c>
      <c r="C226" s="7">
        <f t="shared" si="74"/>
        <v>1</v>
      </c>
      <c r="D226" s="7" t="str">
        <f>IF(AA226="","",Z226&amp;W226)</f>
        <v>ORIENT14FW-JILLBY-KNIT-21-IV</v>
      </c>
      <c r="E226" s="12" t="str">
        <f>IF(YEAR(AA226)&lt;10,0&amp;YEAR(AA226),YEAR(AA226))&amp;IF(MONTH(AA226)&lt;10,0&amp;MONTH(AA226),MONTH(AA226))</f>
        <v>201402</v>
      </c>
      <c r="F226" s="347" t="str">
        <f>VLOOKUP($AA226,[3]주!$A:$F,6,FALSE)</f>
        <v>2월 4주</v>
      </c>
      <c r="G226" s="7">
        <f t="shared" si="75"/>
        <v>0.5</v>
      </c>
      <c r="H226" s="7" t="str">
        <f>IF(AD226="","",W226)</f>
        <v>14FW-JILLBY-KNIT-21-IV</v>
      </c>
      <c r="I226" s="7">
        <f t="shared" si="76"/>
        <v>1</v>
      </c>
      <c r="J226" s="7" t="str">
        <f>IF(AD226="","",Z226&amp;W226)</f>
        <v>ORIENT14FW-JILLBY-KNIT-21-IV</v>
      </c>
      <c r="K226" s="17">
        <f>IF(AD226="",AC226,AD226)</f>
        <v>41752</v>
      </c>
      <c r="L226" s="12" t="str">
        <f>IF(YEAR(K226)&lt;10,0&amp;YEAR(K226),YEAR(K226))&amp;IF(MONTH(K226)&lt;10,0&amp;MONTH(K226),MONTH(K226))</f>
        <v>201404</v>
      </c>
      <c r="M226" s="347" t="str">
        <f>VLOOKUP($K226,[3]주!$A:$F,6,FALSE)</f>
        <v>3월 2주</v>
      </c>
      <c r="N226" s="273" t="str">
        <f>IF(VLOOKUP($Z226,생산업체!$A:$C,2,FALSE)=1,"해외","국내")</f>
        <v>해외</v>
      </c>
      <c r="O226" s="12" t="str">
        <f>IF(VLOOKUP($U226,CODE!$K:$P,CODE!P$1,FALSE)="모자",T226,T226&amp;"-"&amp;VLOOKUP($U226,CODE!$K:$P,CODE!P$1,FALSE))</f>
        <v>JIL</v>
      </c>
      <c r="P226" s="11" t="s">
        <v>32</v>
      </c>
      <c r="R226" s="11">
        <v>84</v>
      </c>
      <c r="T226" s="8" t="s">
        <v>32</v>
      </c>
      <c r="U226" s="8" t="s">
        <v>35</v>
      </c>
      <c r="V226" s="8" t="s">
        <v>43</v>
      </c>
      <c r="W226" s="8" t="s">
        <v>1619</v>
      </c>
      <c r="X226" s="8" t="s">
        <v>900</v>
      </c>
      <c r="Y226" s="9">
        <v>0.5</v>
      </c>
      <c r="Z226" s="8" t="s">
        <v>1484</v>
      </c>
      <c r="AA226" s="10">
        <v>41694</v>
      </c>
      <c r="AB226" s="10">
        <v>41722</v>
      </c>
      <c r="AC226" s="10">
        <v>41722</v>
      </c>
      <c r="AD226" s="10">
        <v>41752</v>
      </c>
      <c r="AH226" s="8">
        <v>1</v>
      </c>
      <c r="AI226" s="8">
        <v>1</v>
      </c>
    </row>
    <row r="227" spans="1:36">
      <c r="A227" s="7">
        <f t="shared" si="73"/>
        <v>0.5</v>
      </c>
      <c r="B227" s="7" t="str">
        <f>IF(AA227="","",W227)</f>
        <v>14FW-JILLBY-KNIT-22-BG</v>
      </c>
      <c r="C227" s="7">
        <f t="shared" si="74"/>
        <v>1</v>
      </c>
      <c r="D227" s="7" t="str">
        <f>IF(AA227="","",Z227&amp;W227)</f>
        <v>FOREMOST14FW-JILLBY-KNIT-22-BG</v>
      </c>
      <c r="E227" s="12" t="str">
        <f>IF(YEAR(AA227)&lt;10,0&amp;YEAR(AA227),YEAR(AA227))&amp;IF(MONTH(AA227)&lt;10,0&amp;MONTH(AA227),MONTH(AA227))</f>
        <v>201402</v>
      </c>
      <c r="F227" s="347" t="str">
        <f>VLOOKUP($AA227,[3]주!$A:$F,6,FALSE)</f>
        <v>2월 3주</v>
      </c>
      <c r="G227" s="7">
        <f t="shared" si="75"/>
        <v>0.5</v>
      </c>
      <c r="H227" s="7" t="str">
        <f>IF(AD227="","",W227)</f>
        <v>14FW-JILLBY-KNIT-22-BG</v>
      </c>
      <c r="I227" s="7">
        <f t="shared" si="76"/>
        <v>1</v>
      </c>
      <c r="J227" s="7" t="str">
        <f>IF(AD227="","",Z227&amp;W227)</f>
        <v>FOREMOST14FW-JILLBY-KNIT-22-BG</v>
      </c>
      <c r="K227" s="17">
        <f>IF(AD227="",AC227,AD227)</f>
        <v>41771</v>
      </c>
      <c r="L227" s="12" t="str">
        <f>IF(YEAR(K227)&lt;10,0&amp;YEAR(K227),YEAR(K227))&amp;IF(MONTH(K227)&lt;10,0&amp;MONTH(K227),MONTH(K227))</f>
        <v>201405</v>
      </c>
      <c r="M227" s="347" t="str">
        <f>VLOOKUP($K227,[3]주!$A:$F,6,FALSE)</f>
        <v>3월 2주</v>
      </c>
      <c r="N227" s="273" t="str">
        <f>IF(VLOOKUP($Z227,생산업체!$A:$C,2,FALSE)=1,"해외","국내")</f>
        <v>해외</v>
      </c>
      <c r="O227" s="12" t="str">
        <f>IF(VLOOKUP($U227,CODE!$K:$P,CODE!P$1,FALSE)="모자",T227,T227&amp;"-"&amp;VLOOKUP($U227,CODE!$K:$P,CODE!P$1,FALSE))</f>
        <v>JIL</v>
      </c>
      <c r="P227" s="11" t="s">
        <v>32</v>
      </c>
      <c r="R227" s="11">
        <v>85</v>
      </c>
      <c r="T227" s="8" t="s">
        <v>32</v>
      </c>
      <c r="U227" s="8" t="s">
        <v>35</v>
      </c>
      <c r="V227" s="8" t="s">
        <v>43</v>
      </c>
      <c r="W227" s="8" t="s">
        <v>1620</v>
      </c>
      <c r="X227" s="8" t="s">
        <v>900</v>
      </c>
      <c r="Y227" s="9">
        <v>0.5</v>
      </c>
      <c r="Z227" s="8" t="s">
        <v>6</v>
      </c>
      <c r="AA227" s="10">
        <v>41689</v>
      </c>
      <c r="AB227" s="10">
        <v>41717</v>
      </c>
      <c r="AC227" s="10">
        <v>41717</v>
      </c>
      <c r="AD227" s="10">
        <v>41771</v>
      </c>
      <c r="AE227" s="8">
        <v>4.9000000000000004</v>
      </c>
      <c r="AH227" s="8">
        <v>1</v>
      </c>
      <c r="AI227" s="8">
        <v>1</v>
      </c>
    </row>
    <row r="228" spans="1:36">
      <c r="A228" s="7">
        <f t="shared" si="73"/>
        <v>0.5</v>
      </c>
      <c r="B228" s="7" t="str">
        <f>IF(AA228="","",W228)</f>
        <v>14FW-JILLBY-KNIT-22-BG</v>
      </c>
      <c r="C228" s="7">
        <f t="shared" si="74"/>
        <v>1</v>
      </c>
      <c r="D228" s="7" t="str">
        <f>IF(AA228="","",Z228&amp;W228)</f>
        <v>ORIENT14FW-JILLBY-KNIT-22-BG</v>
      </c>
      <c r="E228" s="12" t="str">
        <f>IF(YEAR(AA228)&lt;10,0&amp;YEAR(AA228),YEAR(AA228))&amp;IF(MONTH(AA228)&lt;10,0&amp;MONTH(AA228),MONTH(AA228))</f>
        <v>201402</v>
      </c>
      <c r="F228" s="347" t="str">
        <f>VLOOKUP($AA228,[3]주!$A:$F,6,FALSE)</f>
        <v>2월 4주</v>
      </c>
      <c r="G228" s="7">
        <f t="shared" si="75"/>
        <v>0.5</v>
      </c>
      <c r="H228" s="7" t="str">
        <f>IF(AD228="","",W228)</f>
        <v>14FW-JILLBY-KNIT-22-BG</v>
      </c>
      <c r="I228" s="7">
        <f t="shared" si="76"/>
        <v>1</v>
      </c>
      <c r="J228" s="7" t="str">
        <f>IF(AD228="","",Z228&amp;W228)</f>
        <v>ORIENT14FW-JILLBY-KNIT-22-BG</v>
      </c>
      <c r="K228" s="17">
        <f>IF(AD228="",AC228,AD228)</f>
        <v>41752</v>
      </c>
      <c r="L228" s="12" t="str">
        <f>IF(YEAR(K228)&lt;10,0&amp;YEAR(K228),YEAR(K228))&amp;IF(MONTH(K228)&lt;10,0&amp;MONTH(K228),MONTH(K228))</f>
        <v>201404</v>
      </c>
      <c r="M228" s="347" t="str">
        <f>VLOOKUP($K228,[3]주!$A:$F,6,FALSE)</f>
        <v>3월 2주</v>
      </c>
      <c r="N228" s="273" t="str">
        <f>IF(VLOOKUP($Z228,생산업체!$A:$C,2,FALSE)=1,"해외","국내")</f>
        <v>해외</v>
      </c>
      <c r="O228" s="12" t="str">
        <f>IF(VLOOKUP($U228,CODE!$K:$P,CODE!P$1,FALSE)="모자",T228,T228&amp;"-"&amp;VLOOKUP($U228,CODE!$K:$P,CODE!P$1,FALSE))</f>
        <v>JIL</v>
      </c>
      <c r="P228" s="11" t="s">
        <v>32</v>
      </c>
      <c r="R228" s="11">
        <v>86</v>
      </c>
      <c r="T228" s="8" t="s">
        <v>32</v>
      </c>
      <c r="U228" s="8" t="s">
        <v>35</v>
      </c>
      <c r="V228" s="8" t="s">
        <v>43</v>
      </c>
      <c r="W228" s="8" t="s">
        <v>1620</v>
      </c>
      <c r="X228" s="8" t="s">
        <v>900</v>
      </c>
      <c r="Y228" s="9">
        <v>0.5</v>
      </c>
      <c r="Z228" s="8" t="s">
        <v>1484</v>
      </c>
      <c r="AA228" s="10">
        <v>41694</v>
      </c>
      <c r="AB228" s="10">
        <v>41722</v>
      </c>
      <c r="AC228" s="10">
        <v>41722</v>
      </c>
      <c r="AD228" s="10">
        <v>41752</v>
      </c>
      <c r="AH228" s="8">
        <v>1</v>
      </c>
      <c r="AI228" s="8">
        <v>1</v>
      </c>
    </row>
    <row r="229" spans="1:36">
      <c r="A229" s="7">
        <f t="shared" si="73"/>
        <v>0.5</v>
      </c>
      <c r="B229" s="7" t="str">
        <f>IF(AA229="","",W229)</f>
        <v>14FW-JILLBY-KNIT-22-GY</v>
      </c>
      <c r="C229" s="7">
        <f t="shared" si="74"/>
        <v>1</v>
      </c>
      <c r="D229" s="7" t="str">
        <f>IF(AA229="","",Z229&amp;W229)</f>
        <v>FOREMOST14FW-JILLBY-KNIT-22-GY</v>
      </c>
      <c r="E229" s="12" t="str">
        <f>IF(YEAR(AA229)&lt;10,0&amp;YEAR(AA229),YEAR(AA229))&amp;IF(MONTH(AA229)&lt;10,0&amp;MONTH(AA229),MONTH(AA229))</f>
        <v>201402</v>
      </c>
      <c r="F229" s="347" t="str">
        <f>VLOOKUP($AA229,[3]주!$A:$F,6,FALSE)</f>
        <v>2월 3주</v>
      </c>
      <c r="G229" s="7">
        <f t="shared" si="75"/>
        <v>0.5</v>
      </c>
      <c r="H229" s="7" t="str">
        <f>IF(AD229="","",W229)</f>
        <v>14FW-JILLBY-KNIT-22-GY</v>
      </c>
      <c r="I229" s="7">
        <f t="shared" si="76"/>
        <v>1</v>
      </c>
      <c r="J229" s="7" t="str">
        <f>IF(AD229="","",Z229&amp;W229)</f>
        <v>FOREMOST14FW-JILLBY-KNIT-22-GY</v>
      </c>
      <c r="K229" s="17">
        <f>IF(AD229="",AC229,AD229)</f>
        <v>41771</v>
      </c>
      <c r="L229" s="12" t="str">
        <f>IF(YEAR(K229)&lt;10,0&amp;YEAR(K229),YEAR(K229))&amp;IF(MONTH(K229)&lt;10,0&amp;MONTH(K229),MONTH(K229))</f>
        <v>201405</v>
      </c>
      <c r="M229" s="347" t="str">
        <f>VLOOKUP($K229,[3]주!$A:$F,6,FALSE)</f>
        <v>3월 2주</v>
      </c>
      <c r="N229" s="273" t="str">
        <f>IF(VLOOKUP($Z229,생산업체!$A:$C,2,FALSE)=1,"해외","국내")</f>
        <v>해외</v>
      </c>
      <c r="O229" s="12" t="str">
        <f>IF(VLOOKUP($U229,CODE!$K:$P,CODE!P$1,FALSE)="모자",T229,T229&amp;"-"&amp;VLOOKUP($U229,CODE!$K:$P,CODE!P$1,FALSE))</f>
        <v>JIL</v>
      </c>
      <c r="P229" s="11" t="s">
        <v>32</v>
      </c>
      <c r="R229" s="11">
        <v>87</v>
      </c>
      <c r="T229" s="8" t="s">
        <v>32</v>
      </c>
      <c r="U229" s="8" t="s">
        <v>35</v>
      </c>
      <c r="V229" s="8" t="s">
        <v>43</v>
      </c>
      <c r="W229" s="8" t="s">
        <v>1621</v>
      </c>
      <c r="X229" s="8" t="s">
        <v>900</v>
      </c>
      <c r="Y229" s="9">
        <v>0.5</v>
      </c>
      <c r="Z229" s="8" t="s">
        <v>6</v>
      </c>
      <c r="AA229" s="10">
        <v>41689</v>
      </c>
      <c r="AB229" s="10">
        <v>41717</v>
      </c>
      <c r="AC229" s="10">
        <v>41717</v>
      </c>
      <c r="AD229" s="10">
        <v>41771</v>
      </c>
      <c r="AE229" s="8">
        <v>4.9000000000000004</v>
      </c>
      <c r="AH229" s="8">
        <v>1</v>
      </c>
      <c r="AI229" s="8">
        <v>1</v>
      </c>
    </row>
    <row r="230" spans="1:36">
      <c r="A230" s="7">
        <f t="shared" si="73"/>
        <v>0.5</v>
      </c>
      <c r="B230" s="7" t="str">
        <f>IF(AA230="","",W230)</f>
        <v>14FW-JILLBY-KNIT-22-GY</v>
      </c>
      <c r="C230" s="7">
        <f t="shared" si="74"/>
        <v>1</v>
      </c>
      <c r="D230" s="7" t="str">
        <f>IF(AA230="","",Z230&amp;W230)</f>
        <v>ORIENT14FW-JILLBY-KNIT-22-GY</v>
      </c>
      <c r="E230" s="12" t="str">
        <f>IF(YEAR(AA230)&lt;10,0&amp;YEAR(AA230),YEAR(AA230))&amp;IF(MONTH(AA230)&lt;10,0&amp;MONTH(AA230),MONTH(AA230))</f>
        <v>201402</v>
      </c>
      <c r="F230" s="347" t="str">
        <f>VLOOKUP($AA230,[3]주!$A:$F,6,FALSE)</f>
        <v>2월 4주</v>
      </c>
      <c r="G230" s="7">
        <f t="shared" si="75"/>
        <v>0.5</v>
      </c>
      <c r="H230" s="7" t="str">
        <f>IF(AD230="","",W230)</f>
        <v>14FW-JILLBY-KNIT-22-GY</v>
      </c>
      <c r="I230" s="7">
        <f t="shared" si="76"/>
        <v>1</v>
      </c>
      <c r="J230" s="7" t="str">
        <f>IF(AD230="","",Z230&amp;W230)</f>
        <v>ORIENT14FW-JILLBY-KNIT-22-GY</v>
      </c>
      <c r="K230" s="17">
        <f>IF(AD230="",AC230,AD230)</f>
        <v>41752</v>
      </c>
      <c r="L230" s="12" t="str">
        <f>IF(YEAR(K230)&lt;10,0&amp;YEAR(K230),YEAR(K230))&amp;IF(MONTH(K230)&lt;10,0&amp;MONTH(K230),MONTH(K230))</f>
        <v>201404</v>
      </c>
      <c r="M230" s="347" t="str">
        <f>VLOOKUP($K230,[3]주!$A:$F,6,FALSE)</f>
        <v>3월 2주</v>
      </c>
      <c r="N230" s="273" t="str">
        <f>IF(VLOOKUP($Z230,생산업체!$A:$C,2,FALSE)=1,"해외","국내")</f>
        <v>해외</v>
      </c>
      <c r="O230" s="12" t="str">
        <f>IF(VLOOKUP($U230,CODE!$K:$P,CODE!P$1,FALSE)="모자",T230,T230&amp;"-"&amp;VLOOKUP($U230,CODE!$K:$P,CODE!P$1,FALSE))</f>
        <v>JIL</v>
      </c>
      <c r="P230" s="11" t="s">
        <v>32</v>
      </c>
      <c r="R230" s="11">
        <v>88</v>
      </c>
      <c r="T230" s="8" t="s">
        <v>32</v>
      </c>
      <c r="U230" s="8" t="s">
        <v>35</v>
      </c>
      <c r="V230" s="8" t="s">
        <v>43</v>
      </c>
      <c r="W230" s="8" t="s">
        <v>1621</v>
      </c>
      <c r="X230" s="8" t="s">
        <v>900</v>
      </c>
      <c r="Y230" s="9">
        <v>0.5</v>
      </c>
      <c r="Z230" s="8" t="s">
        <v>1484</v>
      </c>
      <c r="AA230" s="10">
        <v>41694</v>
      </c>
      <c r="AB230" s="10">
        <v>41722</v>
      </c>
      <c r="AC230" s="10">
        <v>41722</v>
      </c>
      <c r="AD230" s="10">
        <v>41752</v>
      </c>
      <c r="AH230" s="8">
        <v>1</v>
      </c>
      <c r="AI230" s="8">
        <v>1</v>
      </c>
    </row>
    <row r="231" spans="1:36">
      <c r="A231" s="7">
        <f t="shared" si="73"/>
        <v>1</v>
      </c>
      <c r="B231" s="7" t="str">
        <f t="shared" ref="B231:B294" si="84">IF(AA231="","",W231)</f>
        <v>14FW-JILLBY-KNIT-23-BG</v>
      </c>
      <c r="C231" s="7">
        <f t="shared" si="74"/>
        <v>1</v>
      </c>
      <c r="D231" s="7" t="str">
        <f t="shared" ref="D231:D294" si="85">IF(AA231="","",Z231&amp;W231)</f>
        <v>FOREMOST14FW-JILLBY-KNIT-23-BG</v>
      </c>
      <c r="E231" s="12" t="str">
        <f t="shared" ref="E231:E294" si="86">IF(YEAR(AA231)&lt;10,0&amp;YEAR(AA231),YEAR(AA231))&amp;IF(MONTH(AA231)&lt;10,0&amp;MONTH(AA231),MONTH(AA231))</f>
        <v>201402</v>
      </c>
      <c r="F231" s="347" t="str">
        <f>VLOOKUP($AA231,[3]주!$A:$F,6,FALSE)</f>
        <v>2월 3주</v>
      </c>
      <c r="G231" s="7">
        <f t="shared" si="75"/>
        <v>1</v>
      </c>
      <c r="H231" s="7" t="str">
        <f t="shared" ref="H231:H294" si="87">IF(AD231="","",W231)</f>
        <v>14FW-JILLBY-KNIT-23-BG</v>
      </c>
      <c r="I231" s="7">
        <f t="shared" si="76"/>
        <v>1</v>
      </c>
      <c r="J231" s="7" t="str">
        <f t="shared" ref="J231:J294" si="88">IF(AD231="","",Z231&amp;W231)</f>
        <v>FOREMOST14FW-JILLBY-KNIT-23-BG</v>
      </c>
      <c r="K231" s="17">
        <f t="shared" ref="K231:K294" si="89">IF(AD231="",AC231,AD231)</f>
        <v>41740</v>
      </c>
      <c r="L231" s="12" t="str">
        <f t="shared" ref="L231:L294" si="90">IF(YEAR(K231)&lt;10,0&amp;YEAR(K231),YEAR(K231))&amp;IF(MONTH(K231)&lt;10,0&amp;MONTH(K231),MONTH(K231))</f>
        <v>201404</v>
      </c>
      <c r="M231" s="347" t="str">
        <f>VLOOKUP($K231,[3]주!$A:$F,6,FALSE)</f>
        <v>3월 2주</v>
      </c>
      <c r="N231" s="273" t="str">
        <f>IF(VLOOKUP($Z231,생산업체!$A:$C,2,FALSE)=1,"해외","국내")</f>
        <v>해외</v>
      </c>
      <c r="O231" s="12" t="str">
        <f>IF(VLOOKUP($U231,CODE!$K:$P,CODE!P$1,FALSE)="모자",T231,T231&amp;"-"&amp;VLOOKUP($U231,CODE!$K:$P,CODE!P$1,FALSE))</f>
        <v>JIL</v>
      </c>
      <c r="P231" s="11" t="s">
        <v>32</v>
      </c>
      <c r="R231" s="11">
        <v>89</v>
      </c>
      <c r="T231" s="8" t="s">
        <v>32</v>
      </c>
      <c r="U231" s="8" t="s">
        <v>35</v>
      </c>
      <c r="V231" s="8" t="s">
        <v>43</v>
      </c>
      <c r="W231" s="8" t="s">
        <v>1622</v>
      </c>
      <c r="X231" s="8" t="s">
        <v>900</v>
      </c>
      <c r="Y231" s="9">
        <v>1</v>
      </c>
      <c r="Z231" s="8" t="s">
        <v>6</v>
      </c>
      <c r="AA231" s="10">
        <v>41689</v>
      </c>
      <c r="AB231" s="10">
        <v>41717</v>
      </c>
      <c r="AC231" s="10">
        <v>41717</v>
      </c>
      <c r="AD231" s="10">
        <v>41740</v>
      </c>
      <c r="AE231" s="8">
        <v>10.9</v>
      </c>
      <c r="AH231" s="8">
        <v>1</v>
      </c>
      <c r="AI231" s="8">
        <v>1</v>
      </c>
    </row>
    <row r="232" spans="1:36">
      <c r="A232" s="7">
        <f t="shared" si="73"/>
        <v>1</v>
      </c>
      <c r="B232" s="7" t="str">
        <f t="shared" si="84"/>
        <v>14FW-JILLBY-KNIT-24-BG</v>
      </c>
      <c r="C232" s="7">
        <f t="shared" si="74"/>
        <v>1</v>
      </c>
      <c r="D232" s="7" t="str">
        <f t="shared" si="85"/>
        <v>FOREMOST14FW-JILLBY-KNIT-24-BG</v>
      </c>
      <c r="E232" s="12" t="str">
        <f t="shared" si="86"/>
        <v>201402</v>
      </c>
      <c r="F232" s="347" t="str">
        <f>VLOOKUP($AA232,[3]주!$A:$F,6,FALSE)</f>
        <v>2월 3주</v>
      </c>
      <c r="G232" s="7">
        <f t="shared" si="75"/>
        <v>1</v>
      </c>
      <c r="H232" s="7" t="str">
        <f t="shared" si="87"/>
        <v>14FW-JILLBY-KNIT-24-BG</v>
      </c>
      <c r="I232" s="7">
        <f t="shared" si="76"/>
        <v>1</v>
      </c>
      <c r="J232" s="7" t="str">
        <f t="shared" si="88"/>
        <v>FOREMOST14FW-JILLBY-KNIT-24-BG</v>
      </c>
      <c r="K232" s="17">
        <f t="shared" si="89"/>
        <v>41743</v>
      </c>
      <c r="L232" s="12" t="str">
        <f t="shared" si="90"/>
        <v>201404</v>
      </c>
      <c r="M232" s="347" t="str">
        <f>VLOOKUP($K232,[3]주!$A:$F,6,FALSE)</f>
        <v>3월 2주</v>
      </c>
      <c r="N232" s="273" t="str">
        <f>IF(VLOOKUP($Z232,생산업체!$A:$C,2,FALSE)=1,"해외","국내")</f>
        <v>해외</v>
      </c>
      <c r="O232" s="12" t="str">
        <f>IF(VLOOKUP($U232,CODE!$K:$P,CODE!P$1,FALSE)="모자",T232,T232&amp;"-"&amp;VLOOKUP($U232,CODE!$K:$P,CODE!P$1,FALSE))</f>
        <v>JIL</v>
      </c>
      <c r="P232" s="11" t="s">
        <v>32</v>
      </c>
      <c r="R232" s="11">
        <v>90</v>
      </c>
      <c r="T232" s="8" t="s">
        <v>32</v>
      </c>
      <c r="U232" s="8" t="s">
        <v>56</v>
      </c>
      <c r="V232" s="8" t="s">
        <v>43</v>
      </c>
      <c r="W232" s="8" t="s">
        <v>1623</v>
      </c>
      <c r="X232" s="8" t="s">
        <v>900</v>
      </c>
      <c r="Y232" s="9">
        <v>1</v>
      </c>
      <c r="Z232" s="8" t="s">
        <v>6</v>
      </c>
      <c r="AA232" s="10">
        <v>41689</v>
      </c>
      <c r="AB232" s="10">
        <v>41717</v>
      </c>
      <c r="AC232" s="10">
        <v>41717</v>
      </c>
      <c r="AD232" s="10">
        <v>41743</v>
      </c>
      <c r="AH232" s="8">
        <v>1</v>
      </c>
      <c r="AI232" s="8">
        <v>1</v>
      </c>
    </row>
    <row r="233" spans="1:36">
      <c r="A233" s="7">
        <f t="shared" si="73"/>
        <v>1</v>
      </c>
      <c r="B233" s="7" t="str">
        <f t="shared" si="84"/>
        <v>14FW-JILLBY-KNIT-24-GY</v>
      </c>
      <c r="C233" s="7">
        <f t="shared" si="74"/>
        <v>1</v>
      </c>
      <c r="D233" s="7" t="str">
        <f t="shared" si="85"/>
        <v>FOREMOST14FW-JILLBY-KNIT-24-GY</v>
      </c>
      <c r="E233" s="12" t="str">
        <f t="shared" si="86"/>
        <v>201402</v>
      </c>
      <c r="F233" s="347" t="str">
        <f>VLOOKUP($AA233,[3]주!$A:$F,6,FALSE)</f>
        <v>2월 3주</v>
      </c>
      <c r="G233" s="7">
        <f t="shared" si="75"/>
        <v>1</v>
      </c>
      <c r="H233" s="7" t="str">
        <f t="shared" si="87"/>
        <v>14FW-JILLBY-KNIT-24-GY</v>
      </c>
      <c r="I233" s="7">
        <f t="shared" si="76"/>
        <v>1</v>
      </c>
      <c r="J233" s="7" t="str">
        <f t="shared" si="88"/>
        <v>FOREMOST14FW-JILLBY-KNIT-24-GY</v>
      </c>
      <c r="K233" s="17">
        <f t="shared" si="89"/>
        <v>41743</v>
      </c>
      <c r="L233" s="12" t="str">
        <f t="shared" si="90"/>
        <v>201404</v>
      </c>
      <c r="M233" s="347" t="str">
        <f>VLOOKUP($K233,[3]주!$A:$F,6,FALSE)</f>
        <v>3월 2주</v>
      </c>
      <c r="N233" s="273" t="str">
        <f>IF(VLOOKUP($Z233,생산업체!$A:$C,2,FALSE)=1,"해외","국내")</f>
        <v>해외</v>
      </c>
      <c r="O233" s="12" t="str">
        <f>IF(VLOOKUP($U233,CODE!$K:$P,CODE!P$1,FALSE)="모자",T233,T233&amp;"-"&amp;VLOOKUP($U233,CODE!$K:$P,CODE!P$1,FALSE))</f>
        <v>JIL</v>
      </c>
      <c r="P233" s="11" t="s">
        <v>32</v>
      </c>
      <c r="R233" s="11">
        <v>91</v>
      </c>
      <c r="T233" s="8" t="s">
        <v>32</v>
      </c>
      <c r="U233" s="8" t="s">
        <v>56</v>
      </c>
      <c r="V233" s="8" t="s">
        <v>43</v>
      </c>
      <c r="W233" s="8" t="s">
        <v>1624</v>
      </c>
      <c r="X233" s="8" t="s">
        <v>900</v>
      </c>
      <c r="Y233" s="9">
        <v>1</v>
      </c>
      <c r="Z233" s="8" t="s">
        <v>6</v>
      </c>
      <c r="AA233" s="10">
        <v>41689</v>
      </c>
      <c r="AB233" s="10">
        <v>41717</v>
      </c>
      <c r="AC233" s="10">
        <v>41717</v>
      </c>
      <c r="AD233" s="10">
        <v>41743</v>
      </c>
      <c r="AH233" s="8">
        <v>1</v>
      </c>
      <c r="AI233" s="8">
        <v>1</v>
      </c>
    </row>
    <row r="234" spans="1:36">
      <c r="A234" s="7">
        <f t="shared" si="73"/>
        <v>1</v>
      </c>
      <c r="B234" s="7" t="str">
        <f t="shared" si="84"/>
        <v>14FW-JILLBY-KNIT-25-PP</v>
      </c>
      <c r="C234" s="7">
        <f t="shared" si="74"/>
        <v>1</v>
      </c>
      <c r="D234" s="7" t="str">
        <f t="shared" si="85"/>
        <v>NT SENHONG14FW-JILLBY-KNIT-25-PP</v>
      </c>
      <c r="E234" s="12" t="str">
        <f t="shared" si="86"/>
        <v>201402</v>
      </c>
      <c r="F234" s="347" t="str">
        <f>VLOOKUP($AA234,[3]주!$A:$F,6,FALSE)</f>
        <v>2월 3주</v>
      </c>
      <c r="G234" s="7">
        <f t="shared" si="75"/>
        <v>1</v>
      </c>
      <c r="H234" s="7" t="str">
        <f t="shared" si="87"/>
        <v>14FW-JILLBY-KNIT-25-PP</v>
      </c>
      <c r="I234" s="7">
        <f t="shared" si="76"/>
        <v>1</v>
      </c>
      <c r="J234" s="7" t="str">
        <f t="shared" si="88"/>
        <v>NT SENHONG14FW-JILLBY-KNIT-25-PP</v>
      </c>
      <c r="K234" s="17">
        <f t="shared" si="89"/>
        <v>41701</v>
      </c>
      <c r="L234" s="12" t="str">
        <f t="shared" si="90"/>
        <v>201403</v>
      </c>
      <c r="M234" s="347" t="str">
        <f>VLOOKUP($K234,[3]주!$A:$F,6,FALSE)</f>
        <v>3월 1주</v>
      </c>
      <c r="N234" s="273" t="str">
        <f>IF(VLOOKUP($Z234,생산업체!$A:$C,2,FALSE)=1,"해외","국내")</f>
        <v>해외</v>
      </c>
      <c r="O234" s="12" t="str">
        <f>IF(VLOOKUP($U234,CODE!$K:$P,CODE!P$1,FALSE)="모자",T234,T234&amp;"-"&amp;VLOOKUP($U234,CODE!$K:$P,CODE!P$1,FALSE))</f>
        <v>JIL</v>
      </c>
      <c r="P234" s="11" t="s">
        <v>32</v>
      </c>
      <c r="R234" s="11">
        <v>92</v>
      </c>
      <c r="T234" s="8" t="s">
        <v>32</v>
      </c>
      <c r="U234" s="8" t="s">
        <v>56</v>
      </c>
      <c r="V234" s="8" t="s">
        <v>43</v>
      </c>
      <c r="W234" s="8" t="s">
        <v>1625</v>
      </c>
      <c r="X234" s="8" t="s">
        <v>900</v>
      </c>
      <c r="Y234" s="9">
        <v>1</v>
      </c>
      <c r="Z234" s="8" t="s">
        <v>1434</v>
      </c>
      <c r="AA234" s="10">
        <v>41689</v>
      </c>
      <c r="AB234" s="10">
        <v>41717</v>
      </c>
      <c r="AC234" s="10">
        <v>41717</v>
      </c>
      <c r="AD234" s="10">
        <v>41701</v>
      </c>
      <c r="AE234" s="8">
        <v>2.5</v>
      </c>
      <c r="AH234" s="8">
        <v>1</v>
      </c>
      <c r="AI234" s="8">
        <v>1</v>
      </c>
    </row>
    <row r="235" spans="1:36">
      <c r="A235" s="7">
        <f t="shared" si="73"/>
        <v>1</v>
      </c>
      <c r="B235" s="7" t="str">
        <f t="shared" si="84"/>
        <v>14FW-JILLBY-KNIT-26-NV</v>
      </c>
      <c r="C235" s="7">
        <f t="shared" si="74"/>
        <v>1</v>
      </c>
      <c r="D235" s="7" t="str">
        <f t="shared" si="85"/>
        <v>Y&amp;Y14FW-JILLBY-KNIT-26-NV</v>
      </c>
      <c r="E235" s="12" t="str">
        <f t="shared" si="86"/>
        <v>201402</v>
      </c>
      <c r="F235" s="347" t="str">
        <f>VLOOKUP($AA235,[3]주!$A:$F,6,FALSE)</f>
        <v>2월 3주</v>
      </c>
      <c r="G235" s="7">
        <f t="shared" si="75"/>
        <v>1</v>
      </c>
      <c r="H235" s="7" t="str">
        <f t="shared" si="87"/>
        <v>14FW-JILLBY-KNIT-26-NV</v>
      </c>
      <c r="I235" s="7">
        <f t="shared" si="76"/>
        <v>1</v>
      </c>
      <c r="J235" s="7" t="str">
        <f t="shared" si="88"/>
        <v>Y&amp;Y14FW-JILLBY-KNIT-26-NV</v>
      </c>
      <c r="K235" s="17">
        <f t="shared" si="89"/>
        <v>41724</v>
      </c>
      <c r="L235" s="12" t="str">
        <f t="shared" si="90"/>
        <v>201403</v>
      </c>
      <c r="M235" s="347" t="str">
        <f>VLOOKUP($K235,[3]주!$A:$F,6,FALSE)</f>
        <v>3월 2주</v>
      </c>
      <c r="N235" s="273" t="str">
        <f>IF(VLOOKUP($Z235,생산업체!$A:$C,2,FALSE)=1,"해외","국내")</f>
        <v>해외</v>
      </c>
      <c r="O235" s="12" t="str">
        <f>IF(VLOOKUP($U235,CODE!$K:$P,CODE!P$1,FALSE)="모자",T235,T235&amp;"-"&amp;VLOOKUP($U235,CODE!$K:$P,CODE!P$1,FALSE))</f>
        <v>JIL</v>
      </c>
      <c r="P235" s="11" t="s">
        <v>32</v>
      </c>
      <c r="R235" s="11">
        <v>93</v>
      </c>
      <c r="T235" s="8" t="s">
        <v>32</v>
      </c>
      <c r="U235" s="8" t="s">
        <v>56</v>
      </c>
      <c r="V235" s="8" t="s">
        <v>43</v>
      </c>
      <c r="W235" s="8" t="s">
        <v>1626</v>
      </c>
      <c r="X235" s="8" t="s">
        <v>900</v>
      </c>
      <c r="Y235" s="9">
        <v>1</v>
      </c>
      <c r="Z235" s="8" t="s">
        <v>1415</v>
      </c>
      <c r="AA235" s="10">
        <v>41689</v>
      </c>
      <c r="AB235" s="10">
        <v>41717</v>
      </c>
      <c r="AC235" s="10">
        <v>41717</v>
      </c>
      <c r="AD235" s="10">
        <v>41724</v>
      </c>
      <c r="AE235" s="8">
        <v>2.98</v>
      </c>
      <c r="AH235" s="8">
        <v>1</v>
      </c>
      <c r="AI235" s="8">
        <v>1</v>
      </c>
      <c r="AJ235" s="8" t="s">
        <v>2002</v>
      </c>
    </row>
    <row r="236" spans="1:36">
      <c r="A236" s="7">
        <f t="shared" si="73"/>
        <v>1</v>
      </c>
      <c r="B236" s="7" t="str">
        <f t="shared" si="84"/>
        <v>14FW-JILLBY-KNIT-26-PP</v>
      </c>
      <c r="C236" s="7">
        <f t="shared" si="74"/>
        <v>1</v>
      </c>
      <c r="D236" s="7" t="str">
        <f t="shared" si="85"/>
        <v>FOREMOST14FW-JILLBY-KNIT-26-PP</v>
      </c>
      <c r="E236" s="12" t="str">
        <f t="shared" si="86"/>
        <v>201402</v>
      </c>
      <c r="F236" s="347" t="str">
        <f>VLOOKUP($AA236,[3]주!$A:$F,6,FALSE)</f>
        <v>2월 3주</v>
      </c>
      <c r="G236" s="7">
        <f t="shared" si="75"/>
        <v>0</v>
      </c>
      <c r="H236" s="7" t="str">
        <f t="shared" si="87"/>
        <v/>
      </c>
      <c r="I236" s="7">
        <f t="shared" si="76"/>
        <v>0</v>
      </c>
      <c r="J236" s="7" t="str">
        <f t="shared" si="88"/>
        <v/>
      </c>
      <c r="K236" s="17">
        <f t="shared" si="89"/>
        <v>41717</v>
      </c>
      <c r="L236" s="12" t="str">
        <f t="shared" si="90"/>
        <v>201403</v>
      </c>
      <c r="M236" s="347" t="str">
        <f>VLOOKUP($K236,[3]주!$A:$F,6,FALSE)</f>
        <v>3월 2주</v>
      </c>
      <c r="N236" s="273" t="str">
        <f>IF(VLOOKUP($Z236,생산업체!$A:$C,2,FALSE)=1,"해외","국내")</f>
        <v>해외</v>
      </c>
      <c r="O236" s="12" t="str">
        <f>IF(VLOOKUP($U236,CODE!$K:$P,CODE!P$1,FALSE)="모자",T236,T236&amp;"-"&amp;VLOOKUP($U236,CODE!$K:$P,CODE!P$1,FALSE))</f>
        <v>JIL</v>
      </c>
      <c r="P236" s="11" t="s">
        <v>32</v>
      </c>
      <c r="R236" s="11">
        <v>94</v>
      </c>
      <c r="T236" s="8" t="s">
        <v>32</v>
      </c>
      <c r="U236" s="8" t="s">
        <v>56</v>
      </c>
      <c r="V236" s="8" t="s">
        <v>43</v>
      </c>
      <c r="W236" s="8" t="s">
        <v>1627</v>
      </c>
      <c r="X236" s="8" t="s">
        <v>900</v>
      </c>
      <c r="Y236" s="9">
        <v>1</v>
      </c>
      <c r="Z236" s="8" t="s">
        <v>6</v>
      </c>
      <c r="AA236" s="10">
        <v>41689</v>
      </c>
      <c r="AB236" s="10">
        <v>41717</v>
      </c>
      <c r="AC236" s="10">
        <v>41717</v>
      </c>
      <c r="AE236" s="8">
        <v>3.3</v>
      </c>
      <c r="AH236" s="8">
        <v>1</v>
      </c>
      <c r="AI236" s="8">
        <v>1</v>
      </c>
    </row>
    <row r="237" spans="1:36">
      <c r="A237" s="7">
        <f t="shared" si="73"/>
        <v>0.5</v>
      </c>
      <c r="B237" s="7" t="str">
        <f t="shared" si="84"/>
        <v>14FW-JILLBY-KNIT-27-BK</v>
      </c>
      <c r="C237" s="7">
        <f t="shared" si="74"/>
        <v>1</v>
      </c>
      <c r="D237" s="7" t="str">
        <f t="shared" si="85"/>
        <v>FOREMOST14FW-JILLBY-KNIT-27-BK</v>
      </c>
      <c r="E237" s="12" t="str">
        <f t="shared" si="86"/>
        <v>201402</v>
      </c>
      <c r="F237" s="347" t="str">
        <f>VLOOKUP($AA237,[3]주!$A:$F,6,FALSE)</f>
        <v>2월 3주</v>
      </c>
      <c r="G237" s="7">
        <f t="shared" si="75"/>
        <v>0.5</v>
      </c>
      <c r="H237" s="7" t="str">
        <f t="shared" si="87"/>
        <v>14FW-JILLBY-KNIT-27-BK</v>
      </c>
      <c r="I237" s="7">
        <f t="shared" si="76"/>
        <v>1</v>
      </c>
      <c r="J237" s="7" t="str">
        <f t="shared" si="88"/>
        <v>FOREMOST14FW-JILLBY-KNIT-27-BK</v>
      </c>
      <c r="K237" s="17">
        <f t="shared" si="89"/>
        <v>41725</v>
      </c>
      <c r="L237" s="12" t="str">
        <f t="shared" si="90"/>
        <v>201403</v>
      </c>
      <c r="M237" s="347" t="str">
        <f>VLOOKUP($K237,[3]주!$A:$F,6,FALSE)</f>
        <v>3월 2주</v>
      </c>
      <c r="N237" s="273" t="str">
        <f>IF(VLOOKUP($Z237,생산업체!$A:$C,2,FALSE)=1,"해외","국내")</f>
        <v>해외</v>
      </c>
      <c r="O237" s="12" t="str">
        <f>IF(VLOOKUP($U237,CODE!$K:$P,CODE!P$1,FALSE)="모자",T237,T237&amp;"-"&amp;VLOOKUP($U237,CODE!$K:$P,CODE!P$1,FALSE))</f>
        <v>JIL</v>
      </c>
      <c r="P237" s="11" t="s">
        <v>32</v>
      </c>
      <c r="R237" s="11">
        <v>95</v>
      </c>
      <c r="T237" s="8" t="s">
        <v>32</v>
      </c>
      <c r="U237" s="8" t="s">
        <v>56</v>
      </c>
      <c r="V237" s="8" t="s">
        <v>43</v>
      </c>
      <c r="W237" s="8" t="s">
        <v>1628</v>
      </c>
      <c r="X237" s="8" t="s">
        <v>900</v>
      </c>
      <c r="Y237" s="9">
        <v>0.5</v>
      </c>
      <c r="Z237" s="8" t="s">
        <v>6</v>
      </c>
      <c r="AA237" s="10">
        <v>41689</v>
      </c>
      <c r="AB237" s="10">
        <v>41717</v>
      </c>
      <c r="AC237" s="10">
        <v>41717</v>
      </c>
      <c r="AD237" s="10">
        <v>41725</v>
      </c>
      <c r="AE237" s="8">
        <v>4.25</v>
      </c>
      <c r="AH237" s="8">
        <v>1</v>
      </c>
      <c r="AI237" s="8">
        <v>1</v>
      </c>
    </row>
    <row r="238" spans="1:36">
      <c r="A238" s="7">
        <f t="shared" si="73"/>
        <v>0.5</v>
      </c>
      <c r="B238" s="7" t="str">
        <f t="shared" si="84"/>
        <v>14FW-JILLBY-KNIT-27-BK</v>
      </c>
      <c r="C238" s="7">
        <f t="shared" si="74"/>
        <v>1</v>
      </c>
      <c r="D238" s="7" t="str">
        <f t="shared" si="85"/>
        <v>ORIENT14FW-JILLBY-KNIT-27-BK</v>
      </c>
      <c r="E238" s="12" t="str">
        <f t="shared" si="86"/>
        <v>201402</v>
      </c>
      <c r="F238" s="347" t="str">
        <f>VLOOKUP($AA238,[3]주!$A:$F,6,FALSE)</f>
        <v>2월 4주</v>
      </c>
      <c r="G238" s="7">
        <f t="shared" si="75"/>
        <v>0.5</v>
      </c>
      <c r="H238" s="7" t="str">
        <f t="shared" si="87"/>
        <v>14FW-JILLBY-KNIT-27-BK</v>
      </c>
      <c r="I238" s="7">
        <f t="shared" si="76"/>
        <v>1</v>
      </c>
      <c r="J238" s="7" t="str">
        <f t="shared" si="88"/>
        <v>ORIENT14FW-JILLBY-KNIT-27-BK</v>
      </c>
      <c r="K238" s="17">
        <f t="shared" si="89"/>
        <v>41752</v>
      </c>
      <c r="L238" s="12" t="str">
        <f t="shared" si="90"/>
        <v>201404</v>
      </c>
      <c r="M238" s="347" t="str">
        <f>VLOOKUP($K238,[3]주!$A:$F,6,FALSE)</f>
        <v>3월 2주</v>
      </c>
      <c r="N238" s="273" t="str">
        <f>IF(VLOOKUP($Z238,생산업체!$A:$C,2,FALSE)=1,"해외","국내")</f>
        <v>해외</v>
      </c>
      <c r="O238" s="12" t="str">
        <f>IF(VLOOKUP($U238,CODE!$K:$P,CODE!P$1,FALSE)="모자",T238,T238&amp;"-"&amp;VLOOKUP($U238,CODE!$K:$P,CODE!P$1,FALSE))</f>
        <v>JIL</v>
      </c>
      <c r="P238" s="11" t="s">
        <v>32</v>
      </c>
      <c r="R238" s="11">
        <v>96</v>
      </c>
      <c r="T238" s="8" t="s">
        <v>32</v>
      </c>
      <c r="U238" s="8" t="s">
        <v>56</v>
      </c>
      <c r="V238" s="8" t="s">
        <v>43</v>
      </c>
      <c r="W238" s="8" t="s">
        <v>1628</v>
      </c>
      <c r="X238" s="8" t="s">
        <v>900</v>
      </c>
      <c r="Y238" s="9">
        <v>0.5</v>
      </c>
      <c r="Z238" s="8" t="s">
        <v>1484</v>
      </c>
      <c r="AA238" s="10">
        <v>41694</v>
      </c>
      <c r="AB238" s="10">
        <v>41722</v>
      </c>
      <c r="AC238" s="10">
        <v>41722</v>
      </c>
      <c r="AD238" s="10">
        <v>41752</v>
      </c>
      <c r="AH238" s="8">
        <v>1</v>
      </c>
      <c r="AI238" s="8">
        <v>1</v>
      </c>
    </row>
    <row r="239" spans="1:36">
      <c r="A239" s="7">
        <f t="shared" si="73"/>
        <v>1</v>
      </c>
      <c r="B239" s="7" t="str">
        <f t="shared" si="84"/>
        <v>14FW-JILLBY-KNIT-28-BK</v>
      </c>
      <c r="C239" s="7">
        <f t="shared" si="74"/>
        <v>1</v>
      </c>
      <c r="D239" s="7" t="str">
        <f t="shared" si="85"/>
        <v>Y&amp;Y14FW-JILLBY-KNIT-28-BK</v>
      </c>
      <c r="E239" s="12" t="str">
        <f t="shared" si="86"/>
        <v>201402</v>
      </c>
      <c r="F239" s="347" t="str">
        <f>VLOOKUP($AA239,[3]주!$A:$F,6,FALSE)</f>
        <v>2월 3주</v>
      </c>
      <c r="G239" s="7">
        <f t="shared" si="75"/>
        <v>1</v>
      </c>
      <c r="H239" s="7" t="str">
        <f t="shared" si="87"/>
        <v>14FW-JILLBY-KNIT-28-BK</v>
      </c>
      <c r="I239" s="7">
        <f t="shared" si="76"/>
        <v>1</v>
      </c>
      <c r="J239" s="7" t="str">
        <f t="shared" si="88"/>
        <v>Y&amp;Y14FW-JILLBY-KNIT-28-BK</v>
      </c>
      <c r="K239" s="17">
        <f t="shared" si="89"/>
        <v>41751</v>
      </c>
      <c r="L239" s="12" t="str">
        <f t="shared" si="90"/>
        <v>201404</v>
      </c>
      <c r="M239" s="347" t="str">
        <f>VLOOKUP($K239,[3]주!$A:$F,6,FALSE)</f>
        <v>3월 2주</v>
      </c>
      <c r="N239" s="273" t="str">
        <f>IF(VLOOKUP($Z239,생산업체!$A:$C,2,FALSE)=1,"해외","국내")</f>
        <v>해외</v>
      </c>
      <c r="O239" s="12" t="str">
        <f>IF(VLOOKUP($U239,CODE!$K:$P,CODE!P$1,FALSE)="모자",T239,T239&amp;"-"&amp;VLOOKUP($U239,CODE!$K:$P,CODE!P$1,FALSE))</f>
        <v>JIL</v>
      </c>
      <c r="P239" s="11" t="s">
        <v>32</v>
      </c>
      <c r="R239" s="11">
        <v>97</v>
      </c>
      <c r="T239" s="8" t="s">
        <v>32</v>
      </c>
      <c r="U239" s="8" t="s">
        <v>35</v>
      </c>
      <c r="V239" s="8" t="s">
        <v>43</v>
      </c>
      <c r="W239" s="8" t="s">
        <v>1629</v>
      </c>
      <c r="X239" s="8" t="s">
        <v>900</v>
      </c>
      <c r="Y239" s="9">
        <v>1</v>
      </c>
      <c r="Z239" s="8" t="s">
        <v>1415</v>
      </c>
      <c r="AA239" s="10">
        <v>41689</v>
      </c>
      <c r="AB239" s="10">
        <v>41717</v>
      </c>
      <c r="AC239" s="10">
        <v>41717</v>
      </c>
      <c r="AD239" s="10">
        <v>41751</v>
      </c>
      <c r="AE239" s="8">
        <v>3.98</v>
      </c>
      <c r="AH239" s="8">
        <v>1</v>
      </c>
      <c r="AI239" s="8">
        <v>1</v>
      </c>
    </row>
    <row r="240" spans="1:36">
      <c r="A240" s="7">
        <f t="shared" si="73"/>
        <v>1</v>
      </c>
      <c r="B240" s="7" t="str">
        <f t="shared" si="84"/>
        <v>14FW-JILLBY-KNIT-28-RD</v>
      </c>
      <c r="C240" s="7">
        <f t="shared" si="74"/>
        <v>1</v>
      </c>
      <c r="D240" s="7" t="str">
        <f t="shared" si="85"/>
        <v>Y&amp;Y14FW-JILLBY-KNIT-28-RD</v>
      </c>
      <c r="E240" s="12" t="str">
        <f t="shared" si="86"/>
        <v>201402</v>
      </c>
      <c r="F240" s="347" t="str">
        <f>VLOOKUP($AA240,[3]주!$A:$F,6,FALSE)</f>
        <v>2월 3주</v>
      </c>
      <c r="G240" s="7">
        <f t="shared" si="75"/>
        <v>1</v>
      </c>
      <c r="H240" s="7" t="str">
        <f t="shared" si="87"/>
        <v>14FW-JILLBY-KNIT-28-RD</v>
      </c>
      <c r="I240" s="7">
        <f t="shared" si="76"/>
        <v>1</v>
      </c>
      <c r="J240" s="7" t="str">
        <f t="shared" si="88"/>
        <v>Y&amp;Y14FW-JILLBY-KNIT-28-RD</v>
      </c>
      <c r="K240" s="17">
        <f t="shared" si="89"/>
        <v>41751</v>
      </c>
      <c r="L240" s="12" t="str">
        <f t="shared" si="90"/>
        <v>201404</v>
      </c>
      <c r="M240" s="347" t="str">
        <f>VLOOKUP($K240,[3]주!$A:$F,6,FALSE)</f>
        <v>3월 2주</v>
      </c>
      <c r="N240" s="273" t="str">
        <f>IF(VLOOKUP($Z240,생산업체!$A:$C,2,FALSE)=1,"해외","국내")</f>
        <v>해외</v>
      </c>
      <c r="O240" s="12" t="str">
        <f>IF(VLOOKUP($U240,CODE!$K:$P,CODE!P$1,FALSE)="모자",T240,T240&amp;"-"&amp;VLOOKUP($U240,CODE!$K:$P,CODE!P$1,FALSE))</f>
        <v>JIL</v>
      </c>
      <c r="P240" s="11" t="s">
        <v>32</v>
      </c>
      <c r="R240" s="11">
        <v>98</v>
      </c>
      <c r="T240" s="8" t="s">
        <v>32</v>
      </c>
      <c r="U240" s="8" t="s">
        <v>35</v>
      </c>
      <c r="V240" s="8" t="s">
        <v>43</v>
      </c>
      <c r="W240" s="8" t="s">
        <v>1630</v>
      </c>
      <c r="X240" s="8" t="s">
        <v>900</v>
      </c>
      <c r="Y240" s="9">
        <v>1</v>
      </c>
      <c r="Z240" s="8" t="s">
        <v>1415</v>
      </c>
      <c r="AA240" s="10">
        <v>41689</v>
      </c>
      <c r="AB240" s="10">
        <v>41717</v>
      </c>
      <c r="AC240" s="10">
        <v>41717</v>
      </c>
      <c r="AD240" s="10">
        <v>41751</v>
      </c>
      <c r="AE240" s="8">
        <v>3.98</v>
      </c>
      <c r="AH240" s="8">
        <v>1</v>
      </c>
      <c r="AI240" s="8">
        <v>1</v>
      </c>
    </row>
    <row r="241" spans="1:35">
      <c r="A241" s="7">
        <f t="shared" si="73"/>
        <v>1</v>
      </c>
      <c r="B241" s="7" t="str">
        <f t="shared" si="84"/>
        <v>14FW-JILLBY-KNIT-28-WH</v>
      </c>
      <c r="C241" s="7">
        <f t="shared" si="74"/>
        <v>1</v>
      </c>
      <c r="D241" s="7" t="str">
        <f t="shared" si="85"/>
        <v>Y&amp;Y14FW-JILLBY-KNIT-28-WH</v>
      </c>
      <c r="E241" s="12" t="str">
        <f t="shared" si="86"/>
        <v>201402</v>
      </c>
      <c r="F241" s="347" t="str">
        <f>VLOOKUP($AA241,[3]주!$A:$F,6,FALSE)</f>
        <v>2월 3주</v>
      </c>
      <c r="G241" s="7">
        <f t="shared" si="75"/>
        <v>1</v>
      </c>
      <c r="H241" s="7" t="str">
        <f t="shared" si="87"/>
        <v>14FW-JILLBY-KNIT-28-WH</v>
      </c>
      <c r="I241" s="7">
        <f t="shared" si="76"/>
        <v>1</v>
      </c>
      <c r="J241" s="7" t="str">
        <f t="shared" si="88"/>
        <v>Y&amp;Y14FW-JILLBY-KNIT-28-WH</v>
      </c>
      <c r="K241" s="17">
        <f t="shared" si="89"/>
        <v>41751</v>
      </c>
      <c r="L241" s="12" t="str">
        <f t="shared" si="90"/>
        <v>201404</v>
      </c>
      <c r="M241" s="347" t="str">
        <f>VLOOKUP($K241,[3]주!$A:$F,6,FALSE)</f>
        <v>3월 2주</v>
      </c>
      <c r="N241" s="273" t="str">
        <f>IF(VLOOKUP($Z241,생산업체!$A:$C,2,FALSE)=1,"해외","국내")</f>
        <v>해외</v>
      </c>
      <c r="O241" s="12" t="str">
        <f>IF(VLOOKUP($U241,CODE!$K:$P,CODE!P$1,FALSE)="모자",T241,T241&amp;"-"&amp;VLOOKUP($U241,CODE!$K:$P,CODE!P$1,FALSE))</f>
        <v>JIL</v>
      </c>
      <c r="P241" s="11" t="s">
        <v>32</v>
      </c>
      <c r="R241" s="11">
        <v>99</v>
      </c>
      <c r="T241" s="8" t="s">
        <v>32</v>
      </c>
      <c r="U241" s="8" t="s">
        <v>35</v>
      </c>
      <c r="V241" s="8" t="s">
        <v>43</v>
      </c>
      <c r="W241" s="8" t="s">
        <v>1631</v>
      </c>
      <c r="X241" s="8" t="s">
        <v>900</v>
      </c>
      <c r="Y241" s="9">
        <v>1</v>
      </c>
      <c r="Z241" s="8" t="s">
        <v>1415</v>
      </c>
      <c r="AA241" s="10">
        <v>41689</v>
      </c>
      <c r="AB241" s="10">
        <v>41717</v>
      </c>
      <c r="AC241" s="10">
        <v>41717</v>
      </c>
      <c r="AD241" s="10">
        <v>41751</v>
      </c>
      <c r="AE241" s="8">
        <v>3.98</v>
      </c>
      <c r="AH241" s="8">
        <v>1</v>
      </c>
      <c r="AI241" s="8">
        <v>1</v>
      </c>
    </row>
    <row r="242" spans="1:35">
      <c r="A242" s="7">
        <f t="shared" si="73"/>
        <v>1</v>
      </c>
      <c r="B242" s="7" t="str">
        <f t="shared" si="84"/>
        <v>14FW-JILLBY-KNIT-29-GY</v>
      </c>
      <c r="C242" s="7">
        <f t="shared" si="74"/>
        <v>1</v>
      </c>
      <c r="D242" s="7" t="str">
        <f t="shared" si="85"/>
        <v>Y&amp;Y14FW-JILLBY-KNIT-29-GY</v>
      </c>
      <c r="E242" s="12" t="str">
        <f t="shared" si="86"/>
        <v>201402</v>
      </c>
      <c r="F242" s="347" t="str">
        <f>VLOOKUP($AA242,[3]주!$A:$F,6,FALSE)</f>
        <v>2월 3주</v>
      </c>
      <c r="G242" s="7">
        <f t="shared" si="75"/>
        <v>1</v>
      </c>
      <c r="H242" s="7" t="str">
        <f t="shared" si="87"/>
        <v>14FW-JILLBY-KNIT-29-GY</v>
      </c>
      <c r="I242" s="7">
        <f t="shared" si="76"/>
        <v>1</v>
      </c>
      <c r="J242" s="7" t="str">
        <f t="shared" si="88"/>
        <v>Y&amp;Y14FW-JILLBY-KNIT-29-GY</v>
      </c>
      <c r="K242" s="17">
        <f t="shared" si="89"/>
        <v>41758</v>
      </c>
      <c r="L242" s="12" t="str">
        <f t="shared" si="90"/>
        <v>201404</v>
      </c>
      <c r="M242" s="347" t="str">
        <f>VLOOKUP($K242,[3]주!$A:$F,6,FALSE)</f>
        <v>3월 2주</v>
      </c>
      <c r="N242" s="273" t="str">
        <f>IF(VLOOKUP($Z242,생산업체!$A:$C,2,FALSE)=1,"해외","국내")</f>
        <v>해외</v>
      </c>
      <c r="O242" s="12" t="str">
        <f>IF(VLOOKUP($U242,CODE!$K:$P,CODE!P$1,FALSE)="모자",T242,T242&amp;"-"&amp;VLOOKUP($U242,CODE!$K:$P,CODE!P$1,FALSE))</f>
        <v>JIL</v>
      </c>
      <c r="P242" s="11" t="s">
        <v>32</v>
      </c>
      <c r="R242" s="11">
        <v>100</v>
      </c>
      <c r="T242" s="8" t="s">
        <v>32</v>
      </c>
      <c r="U242" s="8" t="s">
        <v>35</v>
      </c>
      <c r="V242" s="8" t="s">
        <v>43</v>
      </c>
      <c r="W242" s="8" t="s">
        <v>1632</v>
      </c>
      <c r="X242" s="8" t="s">
        <v>900</v>
      </c>
      <c r="Y242" s="9">
        <v>1</v>
      </c>
      <c r="Z242" s="8" t="s">
        <v>1415</v>
      </c>
      <c r="AA242" s="10">
        <v>41689</v>
      </c>
      <c r="AB242" s="10">
        <v>41717</v>
      </c>
      <c r="AC242" s="10">
        <v>41717</v>
      </c>
      <c r="AD242" s="10">
        <v>41758</v>
      </c>
      <c r="AH242" s="8">
        <v>1</v>
      </c>
      <c r="AI242" s="8">
        <v>1</v>
      </c>
    </row>
    <row r="243" spans="1:35">
      <c r="A243" s="7">
        <f t="shared" si="73"/>
        <v>1</v>
      </c>
      <c r="B243" s="7" t="str">
        <f t="shared" si="84"/>
        <v>14FW-JILLBY-KNIT-29-WH</v>
      </c>
      <c r="C243" s="7">
        <f t="shared" si="74"/>
        <v>1</v>
      </c>
      <c r="D243" s="7" t="str">
        <f t="shared" si="85"/>
        <v>Y&amp;Y14FW-JILLBY-KNIT-29-WH</v>
      </c>
      <c r="E243" s="12" t="str">
        <f t="shared" si="86"/>
        <v>201402</v>
      </c>
      <c r="F243" s="347" t="str">
        <f>VLOOKUP($AA243,[3]주!$A:$F,6,FALSE)</f>
        <v>2월 3주</v>
      </c>
      <c r="G243" s="7">
        <f t="shared" si="75"/>
        <v>1</v>
      </c>
      <c r="H243" s="7" t="str">
        <f t="shared" si="87"/>
        <v>14FW-JILLBY-KNIT-29-WH</v>
      </c>
      <c r="I243" s="7">
        <f t="shared" si="76"/>
        <v>1</v>
      </c>
      <c r="J243" s="7" t="str">
        <f t="shared" si="88"/>
        <v>Y&amp;Y14FW-JILLBY-KNIT-29-WH</v>
      </c>
      <c r="K243" s="17">
        <f t="shared" si="89"/>
        <v>41761</v>
      </c>
      <c r="L243" s="12" t="str">
        <f t="shared" si="90"/>
        <v>201405</v>
      </c>
      <c r="M243" s="347" t="str">
        <f>VLOOKUP($K243,[3]주!$A:$F,6,FALSE)</f>
        <v>3월 2주</v>
      </c>
      <c r="N243" s="273" t="str">
        <f>IF(VLOOKUP($Z243,생산업체!$A:$C,2,FALSE)=1,"해외","국내")</f>
        <v>해외</v>
      </c>
      <c r="O243" s="12" t="str">
        <f>IF(VLOOKUP($U243,CODE!$K:$P,CODE!P$1,FALSE)="모자",T243,T243&amp;"-"&amp;VLOOKUP($U243,CODE!$K:$P,CODE!P$1,FALSE))</f>
        <v>JIL</v>
      </c>
      <c r="P243" s="11" t="s">
        <v>32</v>
      </c>
      <c r="R243" s="11">
        <v>101</v>
      </c>
      <c r="T243" s="8" t="s">
        <v>32</v>
      </c>
      <c r="U243" s="8" t="s">
        <v>35</v>
      </c>
      <c r="V243" s="8" t="s">
        <v>43</v>
      </c>
      <c r="W243" s="8" t="s">
        <v>1633</v>
      </c>
      <c r="X243" s="8" t="s">
        <v>900</v>
      </c>
      <c r="Y243" s="9">
        <v>1</v>
      </c>
      <c r="Z243" s="8" t="s">
        <v>1415</v>
      </c>
      <c r="AA243" s="10">
        <v>41689</v>
      </c>
      <c r="AB243" s="10">
        <v>41717</v>
      </c>
      <c r="AC243" s="10">
        <v>41717</v>
      </c>
      <c r="AD243" s="10">
        <v>41761</v>
      </c>
      <c r="AH243" s="8">
        <v>1</v>
      </c>
      <c r="AI243" s="8">
        <v>1</v>
      </c>
    </row>
    <row r="244" spans="1:35">
      <c r="A244" s="7">
        <f t="shared" si="73"/>
        <v>1</v>
      </c>
      <c r="B244" s="7" t="str">
        <f t="shared" si="84"/>
        <v>14FW-JILLBY-KNIT-30-BG</v>
      </c>
      <c r="C244" s="7">
        <f t="shared" si="74"/>
        <v>1</v>
      </c>
      <c r="D244" s="7" t="str">
        <f t="shared" si="85"/>
        <v>FOREMOST14FW-JILLBY-KNIT-30-BG</v>
      </c>
      <c r="E244" s="12" t="str">
        <f t="shared" si="86"/>
        <v>201402</v>
      </c>
      <c r="F244" s="347" t="str">
        <f>VLOOKUP($AA244,[3]주!$A:$F,6,FALSE)</f>
        <v>2월 3주</v>
      </c>
      <c r="G244" s="7">
        <f t="shared" si="75"/>
        <v>1</v>
      </c>
      <c r="H244" s="7" t="str">
        <f t="shared" si="87"/>
        <v>14FW-JILLBY-KNIT-30-BG</v>
      </c>
      <c r="I244" s="7">
        <f t="shared" si="76"/>
        <v>1</v>
      </c>
      <c r="J244" s="7" t="str">
        <f t="shared" si="88"/>
        <v>FOREMOST14FW-JILLBY-KNIT-30-BG</v>
      </c>
      <c r="K244" s="17">
        <f t="shared" si="89"/>
        <v>41740</v>
      </c>
      <c r="L244" s="12" t="str">
        <f t="shared" si="90"/>
        <v>201404</v>
      </c>
      <c r="M244" s="347" t="str">
        <f>VLOOKUP($K244,[3]주!$A:$F,6,FALSE)</f>
        <v>3월 2주</v>
      </c>
      <c r="N244" s="273" t="str">
        <f>IF(VLOOKUP($Z244,생산업체!$A:$C,2,FALSE)=1,"해외","국내")</f>
        <v>해외</v>
      </c>
      <c r="O244" s="12" t="str">
        <f>IF(VLOOKUP($U244,CODE!$K:$P,CODE!P$1,FALSE)="모자",T244,T244&amp;"-"&amp;VLOOKUP($U244,CODE!$K:$P,CODE!P$1,FALSE))</f>
        <v>JIL</v>
      </c>
      <c r="P244" s="11" t="s">
        <v>32</v>
      </c>
      <c r="R244" s="11">
        <v>102</v>
      </c>
      <c r="T244" s="8" t="s">
        <v>32</v>
      </c>
      <c r="U244" s="8" t="s">
        <v>35</v>
      </c>
      <c r="V244" s="8" t="s">
        <v>43</v>
      </c>
      <c r="W244" s="8" t="s">
        <v>1634</v>
      </c>
      <c r="X244" s="8" t="s">
        <v>900</v>
      </c>
      <c r="Y244" s="9">
        <v>1</v>
      </c>
      <c r="Z244" s="8" t="s">
        <v>6</v>
      </c>
      <c r="AA244" s="10">
        <v>41689</v>
      </c>
      <c r="AB244" s="10">
        <v>41717</v>
      </c>
      <c r="AC244" s="10">
        <v>41717</v>
      </c>
      <c r="AD244" s="10">
        <v>41740</v>
      </c>
      <c r="AE244" s="8">
        <v>6.35</v>
      </c>
      <c r="AH244" s="8">
        <v>1</v>
      </c>
      <c r="AI244" s="8">
        <v>1</v>
      </c>
    </row>
    <row r="245" spans="1:35">
      <c r="A245" s="7">
        <f t="shared" si="73"/>
        <v>1</v>
      </c>
      <c r="B245" s="7" t="str">
        <f t="shared" si="84"/>
        <v>14FW-JILLBY-KNIT-30-PK</v>
      </c>
      <c r="C245" s="7">
        <f t="shared" si="74"/>
        <v>1</v>
      </c>
      <c r="D245" s="7" t="str">
        <f t="shared" si="85"/>
        <v>FOREMOST14FW-JILLBY-KNIT-30-PK</v>
      </c>
      <c r="E245" s="12" t="str">
        <f t="shared" si="86"/>
        <v>201402</v>
      </c>
      <c r="F245" s="347" t="str">
        <f>VLOOKUP($AA245,[3]주!$A:$F,6,FALSE)</f>
        <v>2월 3주</v>
      </c>
      <c r="G245" s="7">
        <f t="shared" si="75"/>
        <v>1</v>
      </c>
      <c r="H245" s="7" t="str">
        <f t="shared" si="87"/>
        <v>14FW-JILLBY-KNIT-30-PK</v>
      </c>
      <c r="I245" s="7">
        <f t="shared" si="76"/>
        <v>1</v>
      </c>
      <c r="J245" s="7" t="str">
        <f t="shared" si="88"/>
        <v>FOREMOST14FW-JILLBY-KNIT-30-PK</v>
      </c>
      <c r="K245" s="17">
        <f t="shared" si="89"/>
        <v>41740</v>
      </c>
      <c r="L245" s="12" t="str">
        <f t="shared" si="90"/>
        <v>201404</v>
      </c>
      <c r="M245" s="347" t="str">
        <f>VLOOKUP($K245,[3]주!$A:$F,6,FALSE)</f>
        <v>3월 2주</v>
      </c>
      <c r="N245" s="273" t="str">
        <f>IF(VLOOKUP($Z245,생산업체!$A:$C,2,FALSE)=1,"해외","국내")</f>
        <v>해외</v>
      </c>
      <c r="O245" s="12" t="str">
        <f>IF(VLOOKUP($U245,CODE!$K:$P,CODE!P$1,FALSE)="모자",T245,T245&amp;"-"&amp;VLOOKUP($U245,CODE!$K:$P,CODE!P$1,FALSE))</f>
        <v>JIL</v>
      </c>
      <c r="P245" s="11" t="s">
        <v>32</v>
      </c>
      <c r="R245" s="11">
        <v>103</v>
      </c>
      <c r="T245" s="8" t="s">
        <v>32</v>
      </c>
      <c r="U245" s="8" t="s">
        <v>35</v>
      </c>
      <c r="V245" s="8" t="s">
        <v>43</v>
      </c>
      <c r="W245" s="8" t="s">
        <v>1635</v>
      </c>
      <c r="X245" s="8" t="s">
        <v>900</v>
      </c>
      <c r="Y245" s="9">
        <v>1</v>
      </c>
      <c r="Z245" s="8" t="s">
        <v>6</v>
      </c>
      <c r="AA245" s="10">
        <v>41689</v>
      </c>
      <c r="AB245" s="10">
        <v>41717</v>
      </c>
      <c r="AC245" s="10">
        <v>41717</v>
      </c>
      <c r="AD245" s="10">
        <v>41740</v>
      </c>
      <c r="AE245" s="8">
        <v>6.35</v>
      </c>
      <c r="AH245" s="8">
        <v>1</v>
      </c>
      <c r="AI245" s="8">
        <v>1</v>
      </c>
    </row>
    <row r="246" spans="1:35">
      <c r="A246" s="7">
        <f t="shared" si="73"/>
        <v>1</v>
      </c>
      <c r="B246" s="7" t="str">
        <f t="shared" si="84"/>
        <v>14FW-JILLBY-KNIT-31-GY</v>
      </c>
      <c r="C246" s="7">
        <f t="shared" si="74"/>
        <v>1</v>
      </c>
      <c r="D246" s="7" t="str">
        <f t="shared" si="85"/>
        <v>FOREMOST14FW-JILLBY-KNIT-31-GY</v>
      </c>
      <c r="E246" s="12" t="str">
        <f t="shared" si="86"/>
        <v>201402</v>
      </c>
      <c r="F246" s="347" t="str">
        <f>VLOOKUP($AA246,[3]주!$A:$F,6,FALSE)</f>
        <v>2월 3주</v>
      </c>
      <c r="G246" s="7">
        <f t="shared" si="75"/>
        <v>1</v>
      </c>
      <c r="H246" s="7" t="str">
        <f t="shared" si="87"/>
        <v>14FW-JILLBY-KNIT-31-GY</v>
      </c>
      <c r="I246" s="7">
        <f t="shared" si="76"/>
        <v>1</v>
      </c>
      <c r="J246" s="7" t="str">
        <f t="shared" si="88"/>
        <v>FOREMOST14FW-JILLBY-KNIT-31-GY</v>
      </c>
      <c r="K246" s="17">
        <f t="shared" si="89"/>
        <v>41757</v>
      </c>
      <c r="L246" s="12" t="str">
        <f t="shared" si="90"/>
        <v>201404</v>
      </c>
      <c r="M246" s="347" t="str">
        <f>VLOOKUP($K246,[3]주!$A:$F,6,FALSE)</f>
        <v>3월 2주</v>
      </c>
      <c r="N246" s="273" t="str">
        <f>IF(VLOOKUP($Z246,생산업체!$A:$C,2,FALSE)=1,"해외","국내")</f>
        <v>해외</v>
      </c>
      <c r="O246" s="12" t="str">
        <f>IF(VLOOKUP($U246,CODE!$K:$P,CODE!P$1,FALSE)="모자",T246,T246&amp;"-"&amp;VLOOKUP($U246,CODE!$K:$P,CODE!P$1,FALSE))</f>
        <v>JIL</v>
      </c>
      <c r="P246" s="11" t="s">
        <v>32</v>
      </c>
      <c r="R246" s="11">
        <v>104</v>
      </c>
      <c r="T246" s="8" t="s">
        <v>32</v>
      </c>
      <c r="U246" s="8" t="s">
        <v>35</v>
      </c>
      <c r="V246" s="8" t="s">
        <v>43</v>
      </c>
      <c r="W246" s="8" t="s">
        <v>1636</v>
      </c>
      <c r="X246" s="8" t="s">
        <v>900</v>
      </c>
      <c r="Y246" s="9">
        <v>1</v>
      </c>
      <c r="Z246" s="8" t="s">
        <v>6</v>
      </c>
      <c r="AA246" s="10">
        <v>41689</v>
      </c>
      <c r="AB246" s="10">
        <v>41717</v>
      </c>
      <c r="AC246" s="10">
        <v>41717</v>
      </c>
      <c r="AD246" s="10">
        <v>41757</v>
      </c>
      <c r="AE246" s="8">
        <v>5.85</v>
      </c>
      <c r="AH246" s="8">
        <v>1</v>
      </c>
      <c r="AI246" s="8">
        <v>1</v>
      </c>
    </row>
    <row r="247" spans="1:35">
      <c r="A247" s="7">
        <f t="shared" si="73"/>
        <v>1</v>
      </c>
      <c r="B247" s="7" t="str">
        <f t="shared" si="84"/>
        <v>14FW-JILLBY-KNIT_35</v>
      </c>
      <c r="C247" s="7">
        <f t="shared" si="74"/>
        <v>1</v>
      </c>
      <c r="D247" s="7" t="str">
        <f t="shared" si="85"/>
        <v>Y&amp;Y14FW-JILLBY-KNIT_35</v>
      </c>
      <c r="E247" s="12" t="str">
        <f t="shared" si="86"/>
        <v>201402</v>
      </c>
      <c r="F247" s="347" t="str">
        <f>VLOOKUP($AA247,[3]주!$A:$F,6,FALSE)</f>
        <v>2월 3주</v>
      </c>
      <c r="G247" s="7">
        <f t="shared" si="75"/>
        <v>1</v>
      </c>
      <c r="H247" s="7" t="str">
        <f t="shared" si="87"/>
        <v>14FW-JILLBY-KNIT_35</v>
      </c>
      <c r="I247" s="7">
        <f t="shared" si="76"/>
        <v>1</v>
      </c>
      <c r="J247" s="7" t="str">
        <f t="shared" si="88"/>
        <v>Y&amp;Y14FW-JILLBY-KNIT_35</v>
      </c>
      <c r="K247" s="17">
        <f t="shared" si="89"/>
        <v>41739</v>
      </c>
      <c r="L247" s="12" t="str">
        <f t="shared" si="90"/>
        <v>201404</v>
      </c>
      <c r="M247" s="347" t="str">
        <f>VLOOKUP($K247,[3]주!$A:$F,6,FALSE)</f>
        <v>3월 2주</v>
      </c>
      <c r="N247" s="273" t="str">
        <f>IF(VLOOKUP($Z247,생산업체!$A:$C,2,FALSE)=1,"해외","국내")</f>
        <v>해외</v>
      </c>
      <c r="O247" s="12" t="str">
        <f>IF(VLOOKUP($U247,CODE!$K:$P,CODE!P$1,FALSE)="모자",T247,T247&amp;"-"&amp;VLOOKUP($U247,CODE!$K:$P,CODE!P$1,FALSE))</f>
        <v>JIL</v>
      </c>
      <c r="P247" s="11" t="s">
        <v>32</v>
      </c>
      <c r="R247" s="11">
        <v>105</v>
      </c>
      <c r="T247" s="8" t="s">
        <v>32</v>
      </c>
      <c r="U247" s="8" t="s">
        <v>35</v>
      </c>
      <c r="V247" s="8" t="s">
        <v>43</v>
      </c>
      <c r="W247" s="8" t="s">
        <v>1637</v>
      </c>
      <c r="X247" s="8" t="s">
        <v>900</v>
      </c>
      <c r="Y247" s="9">
        <v>1</v>
      </c>
      <c r="Z247" s="8" t="s">
        <v>1415</v>
      </c>
      <c r="AA247" s="10">
        <v>41689</v>
      </c>
      <c r="AB247" s="10">
        <v>41717</v>
      </c>
      <c r="AC247" s="10">
        <v>41717</v>
      </c>
      <c r="AD247" s="10">
        <v>41739</v>
      </c>
      <c r="AG247" s="8">
        <v>1</v>
      </c>
      <c r="AH247" s="8">
        <v>1</v>
      </c>
      <c r="AI247" s="8">
        <v>1</v>
      </c>
    </row>
    <row r="248" spans="1:35">
      <c r="A248" s="7">
        <f t="shared" si="73"/>
        <v>1</v>
      </c>
      <c r="B248" s="7" t="str">
        <f t="shared" si="84"/>
        <v>14FW-JILLBY-KNIT_36_BK</v>
      </c>
      <c r="C248" s="7">
        <f t="shared" si="74"/>
        <v>1</v>
      </c>
      <c r="D248" s="7" t="str">
        <f t="shared" si="85"/>
        <v>FOREMOST14FW-JILLBY-KNIT_36_BK</v>
      </c>
      <c r="E248" s="12" t="str">
        <f t="shared" si="86"/>
        <v>201402</v>
      </c>
      <c r="F248" s="347" t="str">
        <f>VLOOKUP($AA248,[3]주!$A:$F,6,FALSE)</f>
        <v>2월 3주</v>
      </c>
      <c r="G248" s="7">
        <f t="shared" si="75"/>
        <v>1</v>
      </c>
      <c r="H248" s="7" t="str">
        <f t="shared" si="87"/>
        <v>14FW-JILLBY-KNIT_36_BK</v>
      </c>
      <c r="I248" s="7">
        <f t="shared" si="76"/>
        <v>1</v>
      </c>
      <c r="J248" s="7" t="str">
        <f t="shared" si="88"/>
        <v>FOREMOST14FW-JILLBY-KNIT_36_BK</v>
      </c>
      <c r="K248" s="17">
        <f t="shared" si="89"/>
        <v>41750</v>
      </c>
      <c r="L248" s="12" t="str">
        <f t="shared" si="90"/>
        <v>201404</v>
      </c>
      <c r="M248" s="347" t="str">
        <f>VLOOKUP($K248,[3]주!$A:$F,6,FALSE)</f>
        <v>3월 2주</v>
      </c>
      <c r="N248" s="273" t="str">
        <f>IF(VLOOKUP($Z248,생산업체!$A:$C,2,FALSE)=1,"해외","국내")</f>
        <v>해외</v>
      </c>
      <c r="O248" s="12" t="str">
        <f>IF(VLOOKUP($U248,CODE!$K:$P,CODE!P$1,FALSE)="모자",T248,T248&amp;"-"&amp;VLOOKUP($U248,CODE!$K:$P,CODE!P$1,FALSE))</f>
        <v>JIL</v>
      </c>
      <c r="P248" s="11" t="s">
        <v>32</v>
      </c>
      <c r="R248" s="11">
        <v>106</v>
      </c>
      <c r="T248" s="8" t="s">
        <v>32</v>
      </c>
      <c r="U248" s="8" t="s">
        <v>35</v>
      </c>
      <c r="V248" s="8" t="s">
        <v>43</v>
      </c>
      <c r="W248" s="8" t="s">
        <v>1638</v>
      </c>
      <c r="X248" s="8" t="s">
        <v>900</v>
      </c>
      <c r="Y248" s="9">
        <v>1</v>
      </c>
      <c r="Z248" s="8" t="s">
        <v>6</v>
      </c>
      <c r="AA248" s="10">
        <v>41689</v>
      </c>
      <c r="AB248" s="10">
        <v>41717</v>
      </c>
      <c r="AC248" s="10">
        <v>41717</v>
      </c>
      <c r="AD248" s="10">
        <v>41750</v>
      </c>
      <c r="AE248" s="8">
        <v>6.35</v>
      </c>
      <c r="AG248" s="8">
        <v>1</v>
      </c>
      <c r="AH248" s="8">
        <v>1</v>
      </c>
      <c r="AI248" s="8">
        <v>1</v>
      </c>
    </row>
    <row r="249" spans="1:35">
      <c r="A249" s="7">
        <f t="shared" si="73"/>
        <v>1</v>
      </c>
      <c r="B249" s="7" t="str">
        <f t="shared" si="84"/>
        <v>14FW-JILLBY-KNIT_36_RD</v>
      </c>
      <c r="C249" s="7">
        <f t="shared" si="74"/>
        <v>1</v>
      </c>
      <c r="D249" s="7" t="str">
        <f t="shared" si="85"/>
        <v>FOREMOST14FW-JILLBY-KNIT_36_RD</v>
      </c>
      <c r="E249" s="12" t="str">
        <f t="shared" si="86"/>
        <v>201402</v>
      </c>
      <c r="F249" s="347" t="str">
        <f>VLOOKUP($AA249,[3]주!$A:$F,6,FALSE)</f>
        <v>2월 3주</v>
      </c>
      <c r="G249" s="7">
        <f t="shared" si="75"/>
        <v>1</v>
      </c>
      <c r="H249" s="7" t="str">
        <f t="shared" si="87"/>
        <v>14FW-JILLBY-KNIT_36_RD</v>
      </c>
      <c r="I249" s="7">
        <f t="shared" si="76"/>
        <v>1</v>
      </c>
      <c r="J249" s="7" t="str">
        <f t="shared" si="88"/>
        <v>FOREMOST14FW-JILLBY-KNIT_36_RD</v>
      </c>
      <c r="K249" s="17">
        <f t="shared" si="89"/>
        <v>41750</v>
      </c>
      <c r="L249" s="12" t="str">
        <f t="shared" si="90"/>
        <v>201404</v>
      </c>
      <c r="M249" s="347" t="str">
        <f>VLOOKUP($K249,[3]주!$A:$F,6,FALSE)</f>
        <v>3월 2주</v>
      </c>
      <c r="N249" s="273" t="str">
        <f>IF(VLOOKUP($Z249,생산업체!$A:$C,2,FALSE)=1,"해외","국내")</f>
        <v>해외</v>
      </c>
      <c r="O249" s="12" t="str">
        <f>IF(VLOOKUP($U249,CODE!$K:$P,CODE!P$1,FALSE)="모자",T249,T249&amp;"-"&amp;VLOOKUP($U249,CODE!$K:$P,CODE!P$1,FALSE))</f>
        <v>JIL</v>
      </c>
      <c r="P249" s="11" t="s">
        <v>32</v>
      </c>
      <c r="R249" s="11">
        <v>107</v>
      </c>
      <c r="T249" s="8" t="s">
        <v>32</v>
      </c>
      <c r="U249" s="8" t="s">
        <v>35</v>
      </c>
      <c r="V249" s="8" t="s">
        <v>43</v>
      </c>
      <c r="W249" s="8" t="s">
        <v>1639</v>
      </c>
      <c r="X249" s="8" t="s">
        <v>900</v>
      </c>
      <c r="Y249" s="9">
        <v>1</v>
      </c>
      <c r="Z249" s="8" t="s">
        <v>6</v>
      </c>
      <c r="AA249" s="10">
        <v>41689</v>
      </c>
      <c r="AB249" s="10">
        <v>41717</v>
      </c>
      <c r="AC249" s="10">
        <v>41717</v>
      </c>
      <c r="AD249" s="10">
        <v>41750</v>
      </c>
      <c r="AE249" s="8">
        <v>6.35</v>
      </c>
      <c r="AH249" s="8">
        <v>1</v>
      </c>
      <c r="AI249" s="8">
        <v>1</v>
      </c>
    </row>
    <row r="250" spans="1:35">
      <c r="A250" s="7">
        <f t="shared" si="73"/>
        <v>1</v>
      </c>
      <c r="B250" s="7" t="str">
        <f t="shared" si="84"/>
        <v>14FW-JILLBY-KNIT_37</v>
      </c>
      <c r="C250" s="7">
        <f t="shared" si="74"/>
        <v>1</v>
      </c>
      <c r="D250" s="7" t="str">
        <f t="shared" si="85"/>
        <v>FOREMOST14FW-JILLBY-KNIT_37</v>
      </c>
      <c r="E250" s="12" t="str">
        <f t="shared" si="86"/>
        <v>201402</v>
      </c>
      <c r="F250" s="347" t="str">
        <f>VLOOKUP($AA250,[3]주!$A:$F,6,FALSE)</f>
        <v>2월 3주</v>
      </c>
      <c r="G250" s="7">
        <f t="shared" si="75"/>
        <v>1</v>
      </c>
      <c r="H250" s="7" t="str">
        <f t="shared" si="87"/>
        <v>14FW-JILLBY-KNIT_37</v>
      </c>
      <c r="I250" s="7">
        <f t="shared" si="76"/>
        <v>1</v>
      </c>
      <c r="J250" s="7" t="str">
        <f t="shared" si="88"/>
        <v>FOREMOST14FW-JILLBY-KNIT_37</v>
      </c>
      <c r="K250" s="17">
        <f t="shared" si="89"/>
        <v>41732</v>
      </c>
      <c r="L250" s="12" t="str">
        <f t="shared" si="90"/>
        <v>201404</v>
      </c>
      <c r="M250" s="347" t="str">
        <f>VLOOKUP($K250,[3]주!$A:$F,6,FALSE)</f>
        <v>3월 2주</v>
      </c>
      <c r="N250" s="273" t="str">
        <f>IF(VLOOKUP($Z250,생산업체!$A:$C,2,FALSE)=1,"해외","국내")</f>
        <v>해외</v>
      </c>
      <c r="O250" s="12" t="str">
        <f>IF(VLOOKUP($U250,CODE!$K:$P,CODE!P$1,FALSE)="모자",T250,T250&amp;"-"&amp;VLOOKUP($U250,CODE!$K:$P,CODE!P$1,FALSE))</f>
        <v>JIL</v>
      </c>
      <c r="P250" s="11" t="s">
        <v>32</v>
      </c>
      <c r="R250" s="11">
        <v>108</v>
      </c>
      <c r="T250" s="8" t="s">
        <v>32</v>
      </c>
      <c r="U250" s="8" t="s">
        <v>56</v>
      </c>
      <c r="V250" s="8" t="s">
        <v>43</v>
      </c>
      <c r="W250" s="8" t="s">
        <v>1640</v>
      </c>
      <c r="X250" s="8" t="s">
        <v>900</v>
      </c>
      <c r="Y250" s="9">
        <v>1</v>
      </c>
      <c r="Z250" s="8" t="s">
        <v>6</v>
      </c>
      <c r="AA250" s="10">
        <v>41689</v>
      </c>
      <c r="AB250" s="10">
        <v>41717</v>
      </c>
      <c r="AC250" s="10">
        <v>41717</v>
      </c>
      <c r="AD250" s="10">
        <v>41732</v>
      </c>
      <c r="AG250" s="8">
        <v>1</v>
      </c>
      <c r="AH250" s="8">
        <v>1</v>
      </c>
      <c r="AI250" s="8">
        <v>1</v>
      </c>
    </row>
    <row r="251" spans="1:35">
      <c r="A251" s="7">
        <f t="shared" si="73"/>
        <v>1</v>
      </c>
      <c r="B251" s="7" t="str">
        <f t="shared" si="84"/>
        <v>14FW-JILLBY-KNIT-38-BK</v>
      </c>
      <c r="C251" s="7">
        <f t="shared" si="74"/>
        <v>1</v>
      </c>
      <c r="D251" s="7" t="str">
        <f t="shared" si="85"/>
        <v>FOREMOST14FW-JILLBY-KNIT-38-BK</v>
      </c>
      <c r="E251" s="12" t="str">
        <f t="shared" si="86"/>
        <v>201402</v>
      </c>
      <c r="F251" s="347" t="str">
        <f>VLOOKUP($AA251,[3]주!$A:$F,6,FALSE)</f>
        <v>2월 4주</v>
      </c>
      <c r="G251" s="7">
        <f t="shared" si="75"/>
        <v>1</v>
      </c>
      <c r="H251" s="7" t="str">
        <f t="shared" si="87"/>
        <v>14FW-JILLBY-KNIT-38-BK</v>
      </c>
      <c r="I251" s="7">
        <f t="shared" si="76"/>
        <v>1</v>
      </c>
      <c r="J251" s="7" t="str">
        <f t="shared" si="88"/>
        <v>FOREMOST14FW-JILLBY-KNIT-38-BK</v>
      </c>
      <c r="K251" s="17">
        <f t="shared" si="89"/>
        <v>41716</v>
      </c>
      <c r="L251" s="12" t="str">
        <f t="shared" si="90"/>
        <v>201403</v>
      </c>
      <c r="M251" s="347" t="str">
        <f>VLOOKUP($K251,[3]주!$A:$F,6,FALSE)</f>
        <v>3월 2주</v>
      </c>
      <c r="N251" s="273" t="str">
        <f>IF(VLOOKUP($Z251,생산업체!$A:$C,2,FALSE)=1,"해외","국내")</f>
        <v>해외</v>
      </c>
      <c r="O251" s="12" t="str">
        <f>IF(VLOOKUP($U251,CODE!$K:$P,CODE!P$1,FALSE)="모자",T251,T251&amp;"-"&amp;VLOOKUP($U251,CODE!$K:$P,CODE!P$1,FALSE))</f>
        <v>JIL</v>
      </c>
      <c r="P251" s="11" t="s">
        <v>32</v>
      </c>
      <c r="R251" s="11">
        <v>109</v>
      </c>
      <c r="T251" s="8" t="s">
        <v>32</v>
      </c>
      <c r="U251" s="8" t="s">
        <v>56</v>
      </c>
      <c r="V251" s="8" t="s">
        <v>43</v>
      </c>
      <c r="W251" s="8" t="s">
        <v>1641</v>
      </c>
      <c r="X251" s="8" t="s">
        <v>900</v>
      </c>
      <c r="Y251" s="9">
        <v>1</v>
      </c>
      <c r="Z251" s="8" t="s">
        <v>6</v>
      </c>
      <c r="AA251" s="10">
        <v>41696</v>
      </c>
      <c r="AB251" s="10">
        <v>41724</v>
      </c>
      <c r="AC251" s="10">
        <v>41724</v>
      </c>
      <c r="AD251" s="10">
        <v>41716</v>
      </c>
      <c r="AE251" s="8">
        <v>4.4000000000000004</v>
      </c>
      <c r="AH251" s="8">
        <v>1</v>
      </c>
      <c r="AI251" s="8">
        <v>1</v>
      </c>
    </row>
    <row r="252" spans="1:35">
      <c r="A252" s="7">
        <f t="shared" si="73"/>
        <v>1</v>
      </c>
      <c r="B252" s="7" t="str">
        <f t="shared" si="84"/>
        <v>14FW-JILLBY-KNIT-39-BG</v>
      </c>
      <c r="C252" s="7">
        <f t="shared" si="74"/>
        <v>1</v>
      </c>
      <c r="D252" s="7" t="str">
        <f t="shared" si="85"/>
        <v>FOREMOST14FW-JILLBY-KNIT-39-BG</v>
      </c>
      <c r="E252" s="12" t="str">
        <f t="shared" si="86"/>
        <v>201402</v>
      </c>
      <c r="F252" s="347" t="str">
        <f>VLOOKUP($AA252,[3]주!$A:$F,6,FALSE)</f>
        <v>2월 4주</v>
      </c>
      <c r="G252" s="7">
        <f t="shared" si="75"/>
        <v>1</v>
      </c>
      <c r="H252" s="7" t="str">
        <f t="shared" si="87"/>
        <v>14FW-JILLBY-KNIT-39-BG</v>
      </c>
      <c r="I252" s="7">
        <f t="shared" si="76"/>
        <v>1</v>
      </c>
      <c r="J252" s="7" t="str">
        <f t="shared" si="88"/>
        <v>FOREMOST14FW-JILLBY-KNIT-39-BG</v>
      </c>
      <c r="K252" s="17">
        <f t="shared" si="89"/>
        <v>41743</v>
      </c>
      <c r="L252" s="12" t="str">
        <f t="shared" si="90"/>
        <v>201404</v>
      </c>
      <c r="M252" s="347" t="str">
        <f>VLOOKUP($K252,[3]주!$A:$F,6,FALSE)</f>
        <v>3월 2주</v>
      </c>
      <c r="N252" s="273" t="str">
        <f>IF(VLOOKUP($Z252,생산업체!$A:$C,2,FALSE)=1,"해외","국내")</f>
        <v>해외</v>
      </c>
      <c r="O252" s="12" t="str">
        <f>IF(VLOOKUP($U252,CODE!$K:$P,CODE!P$1,FALSE)="모자",T252,T252&amp;"-"&amp;VLOOKUP($U252,CODE!$K:$P,CODE!P$1,FALSE))</f>
        <v>JIL</v>
      </c>
      <c r="P252" s="11" t="s">
        <v>32</v>
      </c>
      <c r="R252" s="11">
        <v>110</v>
      </c>
      <c r="T252" s="8" t="s">
        <v>32</v>
      </c>
      <c r="U252" s="8" t="s">
        <v>56</v>
      </c>
      <c r="V252" s="8" t="s">
        <v>43</v>
      </c>
      <c r="W252" s="8" t="s">
        <v>1642</v>
      </c>
      <c r="X252" s="8" t="s">
        <v>900</v>
      </c>
      <c r="Y252" s="9">
        <v>1</v>
      </c>
      <c r="Z252" s="8" t="s">
        <v>6</v>
      </c>
      <c r="AA252" s="10">
        <v>41696</v>
      </c>
      <c r="AB252" s="10">
        <v>41724</v>
      </c>
      <c r="AC252" s="10">
        <v>41724</v>
      </c>
      <c r="AD252" s="10">
        <v>41743</v>
      </c>
      <c r="AE252" s="8">
        <v>5.65</v>
      </c>
      <c r="AH252" s="8">
        <v>1</v>
      </c>
      <c r="AI252" s="8">
        <v>1</v>
      </c>
    </row>
    <row r="253" spans="1:35">
      <c r="A253" s="7">
        <f t="shared" si="73"/>
        <v>1</v>
      </c>
      <c r="B253" s="7" t="str">
        <f t="shared" si="84"/>
        <v>14FW-JILLBY-KNIT-40-BG</v>
      </c>
      <c r="C253" s="7">
        <f t="shared" si="74"/>
        <v>1</v>
      </c>
      <c r="D253" s="7" t="str">
        <f t="shared" si="85"/>
        <v>Y&amp;Y14FW-JILLBY-KNIT-40-BG</v>
      </c>
      <c r="E253" s="12" t="str">
        <f t="shared" si="86"/>
        <v>201402</v>
      </c>
      <c r="F253" s="347" t="str">
        <f>VLOOKUP($AA253,[3]주!$A:$F,6,FALSE)</f>
        <v>2월 4주</v>
      </c>
      <c r="G253" s="7">
        <f t="shared" si="75"/>
        <v>1</v>
      </c>
      <c r="H253" s="7" t="str">
        <f t="shared" si="87"/>
        <v>14FW-JILLBY-KNIT-40-BG</v>
      </c>
      <c r="I253" s="7">
        <f t="shared" si="76"/>
        <v>1</v>
      </c>
      <c r="J253" s="7" t="str">
        <f t="shared" si="88"/>
        <v>Y&amp;Y14FW-JILLBY-KNIT-40-BG</v>
      </c>
      <c r="K253" s="17">
        <f t="shared" si="89"/>
        <v>41739</v>
      </c>
      <c r="L253" s="12" t="str">
        <f t="shared" si="90"/>
        <v>201404</v>
      </c>
      <c r="M253" s="347" t="str">
        <f>VLOOKUP($K253,[3]주!$A:$F,6,FALSE)</f>
        <v>3월 2주</v>
      </c>
      <c r="N253" s="273" t="str">
        <f>IF(VLOOKUP($Z253,생산업체!$A:$C,2,FALSE)=1,"해외","국내")</f>
        <v>해외</v>
      </c>
      <c r="O253" s="12" t="str">
        <f>IF(VLOOKUP($U253,CODE!$K:$P,CODE!P$1,FALSE)="모자",T253,T253&amp;"-"&amp;VLOOKUP($U253,CODE!$K:$P,CODE!P$1,FALSE))</f>
        <v>JIL</v>
      </c>
      <c r="P253" s="11" t="s">
        <v>32</v>
      </c>
      <c r="R253" s="11">
        <v>111</v>
      </c>
      <c r="T253" s="8" t="s">
        <v>32</v>
      </c>
      <c r="U253" s="8" t="s">
        <v>56</v>
      </c>
      <c r="V253" s="8" t="s">
        <v>43</v>
      </c>
      <c r="W253" s="8" t="s">
        <v>1643</v>
      </c>
      <c r="X253" s="8" t="s">
        <v>900</v>
      </c>
      <c r="Y253" s="9">
        <v>1</v>
      </c>
      <c r="Z253" s="8" t="s">
        <v>1415</v>
      </c>
      <c r="AA253" s="10">
        <v>41696</v>
      </c>
      <c r="AB253" s="10">
        <v>41724</v>
      </c>
      <c r="AC253" s="10">
        <v>41724</v>
      </c>
      <c r="AD253" s="10">
        <v>41739</v>
      </c>
      <c r="AG253" s="8">
        <v>1</v>
      </c>
      <c r="AH253" s="8">
        <v>1</v>
      </c>
      <c r="AI253" s="8">
        <v>1</v>
      </c>
    </row>
    <row r="254" spans="1:35">
      <c r="A254" s="7">
        <f t="shared" si="73"/>
        <v>1</v>
      </c>
      <c r="B254" s="7" t="str">
        <f t="shared" si="84"/>
        <v>14FW-JILLBY-KNIT-41-MT</v>
      </c>
      <c r="C254" s="7">
        <f t="shared" si="74"/>
        <v>1</v>
      </c>
      <c r="D254" s="7" t="str">
        <f t="shared" si="85"/>
        <v>Y&amp;Y14FW-JILLBY-KNIT-41-MT</v>
      </c>
      <c r="E254" s="12" t="str">
        <f t="shared" si="86"/>
        <v>201402</v>
      </c>
      <c r="F254" s="347" t="str">
        <f>VLOOKUP($AA254,[3]주!$A:$F,6,FALSE)</f>
        <v>2월 4주</v>
      </c>
      <c r="G254" s="7">
        <f t="shared" si="75"/>
        <v>1</v>
      </c>
      <c r="H254" s="7" t="str">
        <f t="shared" si="87"/>
        <v>14FW-JILLBY-KNIT-41-MT</v>
      </c>
      <c r="I254" s="7">
        <f t="shared" si="76"/>
        <v>1</v>
      </c>
      <c r="J254" s="7" t="str">
        <f t="shared" si="88"/>
        <v>Y&amp;Y14FW-JILLBY-KNIT-41-MT</v>
      </c>
      <c r="K254" s="17">
        <f t="shared" si="89"/>
        <v>41739</v>
      </c>
      <c r="L254" s="12" t="str">
        <f t="shared" si="90"/>
        <v>201404</v>
      </c>
      <c r="M254" s="347" t="str">
        <f>VLOOKUP($K254,[3]주!$A:$F,6,FALSE)</f>
        <v>3월 2주</v>
      </c>
      <c r="N254" s="273" t="str">
        <f>IF(VLOOKUP($Z254,생산업체!$A:$C,2,FALSE)=1,"해외","국내")</f>
        <v>해외</v>
      </c>
      <c r="O254" s="12" t="str">
        <f>IF(VLOOKUP($U254,CODE!$K:$P,CODE!P$1,FALSE)="모자",T254,T254&amp;"-"&amp;VLOOKUP($U254,CODE!$K:$P,CODE!P$1,FALSE))</f>
        <v>JIL</v>
      </c>
      <c r="P254" s="11" t="s">
        <v>32</v>
      </c>
      <c r="R254" s="11">
        <v>112</v>
      </c>
      <c r="T254" s="8" t="s">
        <v>32</v>
      </c>
      <c r="U254" s="8" t="s">
        <v>56</v>
      </c>
      <c r="V254" s="8" t="s">
        <v>43</v>
      </c>
      <c r="W254" s="8" t="s">
        <v>1644</v>
      </c>
      <c r="X254" s="8" t="s">
        <v>900</v>
      </c>
      <c r="Y254" s="9">
        <v>1</v>
      </c>
      <c r="Z254" s="8" t="s">
        <v>1415</v>
      </c>
      <c r="AA254" s="10">
        <v>41696</v>
      </c>
      <c r="AB254" s="10">
        <v>41724</v>
      </c>
      <c r="AC254" s="10">
        <v>41724</v>
      </c>
      <c r="AD254" s="10">
        <v>41739</v>
      </c>
      <c r="AH254" s="8">
        <v>1</v>
      </c>
      <c r="AI254" s="8">
        <v>1</v>
      </c>
    </row>
    <row r="255" spans="1:35">
      <c r="A255" s="7">
        <f t="shared" si="73"/>
        <v>1</v>
      </c>
      <c r="B255" s="7" t="str">
        <f t="shared" si="84"/>
        <v>14FW-JILLBY-KNIT-41-PK</v>
      </c>
      <c r="C255" s="7">
        <f t="shared" si="74"/>
        <v>1</v>
      </c>
      <c r="D255" s="7" t="str">
        <f t="shared" si="85"/>
        <v>Y&amp;Y14FW-JILLBY-KNIT-41-PK</v>
      </c>
      <c r="E255" s="12" t="str">
        <f t="shared" si="86"/>
        <v>201402</v>
      </c>
      <c r="F255" s="347" t="str">
        <f>VLOOKUP($AA255,[3]주!$A:$F,6,FALSE)</f>
        <v>2월 4주</v>
      </c>
      <c r="G255" s="7">
        <f t="shared" si="75"/>
        <v>1</v>
      </c>
      <c r="H255" s="7" t="str">
        <f t="shared" si="87"/>
        <v>14FW-JILLBY-KNIT-41-PK</v>
      </c>
      <c r="I255" s="7">
        <f t="shared" si="76"/>
        <v>1</v>
      </c>
      <c r="J255" s="7" t="str">
        <f t="shared" si="88"/>
        <v>Y&amp;Y14FW-JILLBY-KNIT-41-PK</v>
      </c>
      <c r="K255" s="17">
        <f t="shared" si="89"/>
        <v>41739</v>
      </c>
      <c r="L255" s="12" t="str">
        <f t="shared" si="90"/>
        <v>201404</v>
      </c>
      <c r="M255" s="347" t="str">
        <f>VLOOKUP($K255,[3]주!$A:$F,6,FALSE)</f>
        <v>3월 2주</v>
      </c>
      <c r="N255" s="273" t="str">
        <f>IF(VLOOKUP($Z255,생산업체!$A:$C,2,FALSE)=1,"해외","국내")</f>
        <v>해외</v>
      </c>
      <c r="O255" s="12" t="str">
        <f>IF(VLOOKUP($U255,CODE!$K:$P,CODE!P$1,FALSE)="모자",T255,T255&amp;"-"&amp;VLOOKUP($U255,CODE!$K:$P,CODE!P$1,FALSE))</f>
        <v>JIL</v>
      </c>
      <c r="P255" s="11" t="s">
        <v>32</v>
      </c>
      <c r="R255" s="11">
        <v>113</v>
      </c>
      <c r="T255" s="8" t="s">
        <v>32</v>
      </c>
      <c r="U255" s="8" t="s">
        <v>56</v>
      </c>
      <c r="V255" s="8" t="s">
        <v>43</v>
      </c>
      <c r="W255" s="8" t="s">
        <v>1645</v>
      </c>
      <c r="X255" s="8" t="s">
        <v>900</v>
      </c>
      <c r="Y255" s="9">
        <v>1</v>
      </c>
      <c r="Z255" s="8" t="s">
        <v>1415</v>
      </c>
      <c r="AA255" s="10">
        <v>41696</v>
      </c>
      <c r="AB255" s="10">
        <v>41724</v>
      </c>
      <c r="AC255" s="10">
        <v>41724</v>
      </c>
      <c r="AD255" s="10">
        <v>41739</v>
      </c>
      <c r="AG255" s="8">
        <v>1</v>
      </c>
      <c r="AH255" s="8">
        <v>1</v>
      </c>
      <c r="AI255" s="8">
        <v>1</v>
      </c>
    </row>
    <row r="256" spans="1:35">
      <c r="A256" s="7">
        <f t="shared" si="73"/>
        <v>1</v>
      </c>
      <c r="B256" s="7" t="str">
        <f t="shared" si="84"/>
        <v>14FW-JILLBY-KNIT-42-IV</v>
      </c>
      <c r="C256" s="7">
        <f t="shared" si="74"/>
        <v>1</v>
      </c>
      <c r="D256" s="7" t="str">
        <f t="shared" si="85"/>
        <v>Y&amp;Y14FW-JILLBY-KNIT-42-IV</v>
      </c>
      <c r="E256" s="12" t="str">
        <f t="shared" si="86"/>
        <v>201402</v>
      </c>
      <c r="F256" s="347" t="str">
        <f>VLOOKUP($AA256,[3]주!$A:$F,6,FALSE)</f>
        <v>2월 4주</v>
      </c>
      <c r="G256" s="7">
        <f t="shared" si="75"/>
        <v>1</v>
      </c>
      <c r="H256" s="7" t="str">
        <f t="shared" si="87"/>
        <v>14FW-JILLBY-KNIT-42-IV</v>
      </c>
      <c r="I256" s="7">
        <f t="shared" si="76"/>
        <v>1</v>
      </c>
      <c r="J256" s="7" t="str">
        <f t="shared" si="88"/>
        <v>Y&amp;Y14FW-JILLBY-KNIT-42-IV</v>
      </c>
      <c r="K256" s="17">
        <f t="shared" si="89"/>
        <v>41758</v>
      </c>
      <c r="L256" s="12" t="str">
        <f t="shared" si="90"/>
        <v>201404</v>
      </c>
      <c r="M256" s="347" t="str">
        <f>VLOOKUP($K256,[3]주!$A:$F,6,FALSE)</f>
        <v>3월 2주</v>
      </c>
      <c r="N256" s="273" t="str">
        <f>IF(VLOOKUP($Z256,생산업체!$A:$C,2,FALSE)=1,"해외","국내")</f>
        <v>해외</v>
      </c>
      <c r="O256" s="12" t="str">
        <f>IF(VLOOKUP($U256,CODE!$K:$P,CODE!P$1,FALSE)="모자",T256,T256&amp;"-"&amp;VLOOKUP($U256,CODE!$K:$P,CODE!P$1,FALSE))</f>
        <v>JIL</v>
      </c>
      <c r="P256" s="11" t="s">
        <v>32</v>
      </c>
      <c r="R256" s="11">
        <v>114</v>
      </c>
      <c r="T256" s="8" t="s">
        <v>32</v>
      </c>
      <c r="U256" s="8" t="s">
        <v>56</v>
      </c>
      <c r="V256" s="8" t="s">
        <v>43</v>
      </c>
      <c r="W256" s="8" t="s">
        <v>1646</v>
      </c>
      <c r="X256" s="8" t="s">
        <v>900</v>
      </c>
      <c r="Y256" s="9">
        <v>1</v>
      </c>
      <c r="Z256" s="8" t="s">
        <v>1415</v>
      </c>
      <c r="AA256" s="10">
        <v>41696</v>
      </c>
      <c r="AB256" s="10">
        <v>41724</v>
      </c>
      <c r="AC256" s="10">
        <v>41724</v>
      </c>
      <c r="AD256" s="10">
        <v>41758</v>
      </c>
      <c r="AH256" s="8">
        <v>1</v>
      </c>
      <c r="AI256" s="8">
        <v>1</v>
      </c>
    </row>
    <row r="257" spans="1:35">
      <c r="A257" s="7">
        <f t="shared" si="73"/>
        <v>1</v>
      </c>
      <c r="B257" s="7" t="str">
        <f t="shared" si="84"/>
        <v>14FW-JILLBY-KNIT-42-NV</v>
      </c>
      <c r="C257" s="7">
        <f t="shared" si="74"/>
        <v>1</v>
      </c>
      <c r="D257" s="7" t="str">
        <f t="shared" si="85"/>
        <v>Y&amp;Y14FW-JILLBY-KNIT-42-NV</v>
      </c>
      <c r="E257" s="12" t="str">
        <f t="shared" si="86"/>
        <v>201402</v>
      </c>
      <c r="F257" s="347" t="str">
        <f>VLOOKUP($AA257,[3]주!$A:$F,6,FALSE)</f>
        <v>2월 4주</v>
      </c>
      <c r="G257" s="7">
        <f t="shared" si="75"/>
        <v>1</v>
      </c>
      <c r="H257" s="7" t="str">
        <f t="shared" si="87"/>
        <v>14FW-JILLBY-KNIT-42-NV</v>
      </c>
      <c r="I257" s="7">
        <f t="shared" si="76"/>
        <v>1</v>
      </c>
      <c r="J257" s="7" t="str">
        <f t="shared" si="88"/>
        <v>Y&amp;Y14FW-JILLBY-KNIT-42-NV</v>
      </c>
      <c r="K257" s="17">
        <f t="shared" si="89"/>
        <v>41739</v>
      </c>
      <c r="L257" s="12" t="str">
        <f t="shared" si="90"/>
        <v>201404</v>
      </c>
      <c r="M257" s="347" t="str">
        <f>VLOOKUP($K257,[3]주!$A:$F,6,FALSE)</f>
        <v>3월 2주</v>
      </c>
      <c r="N257" s="273" t="str">
        <f>IF(VLOOKUP($Z257,생산업체!$A:$C,2,FALSE)=1,"해외","국내")</f>
        <v>해외</v>
      </c>
      <c r="O257" s="12" t="str">
        <f>IF(VLOOKUP($U257,CODE!$K:$P,CODE!P$1,FALSE)="모자",T257,T257&amp;"-"&amp;VLOOKUP($U257,CODE!$K:$P,CODE!P$1,FALSE))</f>
        <v>JIL</v>
      </c>
      <c r="P257" s="11" t="s">
        <v>32</v>
      </c>
      <c r="R257" s="11">
        <v>115</v>
      </c>
      <c r="T257" s="8" t="s">
        <v>32</v>
      </c>
      <c r="U257" s="8" t="s">
        <v>56</v>
      </c>
      <c r="V257" s="8" t="s">
        <v>43</v>
      </c>
      <c r="W257" s="8" t="s">
        <v>1647</v>
      </c>
      <c r="X257" s="8" t="s">
        <v>900</v>
      </c>
      <c r="Y257" s="9">
        <v>1</v>
      </c>
      <c r="Z257" s="8" t="s">
        <v>1415</v>
      </c>
      <c r="AA257" s="10">
        <v>41696</v>
      </c>
      <c r="AB257" s="10">
        <v>41724</v>
      </c>
      <c r="AC257" s="10">
        <v>41724</v>
      </c>
      <c r="AD257" s="10">
        <v>41739</v>
      </c>
      <c r="AH257" s="8">
        <v>1</v>
      </c>
      <c r="AI257" s="8">
        <v>1</v>
      </c>
    </row>
    <row r="258" spans="1:35">
      <c r="A258" s="7">
        <f t="shared" ref="A258:A321" si="91">IF(B258="",0,1/COUNTIF(B:B,B258))</f>
        <v>1</v>
      </c>
      <c r="B258" s="7" t="str">
        <f t="shared" si="84"/>
        <v>14FW-JILLBY-KNIT-43-BW</v>
      </c>
      <c r="C258" s="7">
        <f t="shared" ref="C258:C321" si="92">IF(D258="",0,1/COUNTIF(D:D,D258))</f>
        <v>1</v>
      </c>
      <c r="D258" s="7" t="str">
        <f t="shared" si="85"/>
        <v>Y&amp;Y14FW-JILLBY-KNIT-43-BW</v>
      </c>
      <c r="E258" s="12" t="str">
        <f t="shared" si="86"/>
        <v>201402</v>
      </c>
      <c r="F258" s="347" t="str">
        <f>VLOOKUP($AA258,[3]주!$A:$F,6,FALSE)</f>
        <v>2월 4주</v>
      </c>
      <c r="G258" s="7">
        <f t="shared" ref="G258:G321" si="93">IF(H258="",0,1/COUNTIF(H:H,H258))</f>
        <v>1</v>
      </c>
      <c r="H258" s="7" t="str">
        <f t="shared" si="87"/>
        <v>14FW-JILLBY-KNIT-43-BW</v>
      </c>
      <c r="I258" s="7">
        <f t="shared" ref="I258:I321" si="94">IF(J258="",0,1/COUNTIF(J:J,J258))</f>
        <v>1</v>
      </c>
      <c r="J258" s="7" t="str">
        <f t="shared" si="88"/>
        <v>Y&amp;Y14FW-JILLBY-KNIT-43-BW</v>
      </c>
      <c r="K258" s="17">
        <f t="shared" si="89"/>
        <v>41758</v>
      </c>
      <c r="L258" s="12" t="str">
        <f t="shared" si="90"/>
        <v>201404</v>
      </c>
      <c r="M258" s="347" t="str">
        <f>VLOOKUP($K258,[3]주!$A:$F,6,FALSE)</f>
        <v>3월 2주</v>
      </c>
      <c r="N258" s="273" t="str">
        <f>IF(VLOOKUP($Z258,생산업체!$A:$C,2,FALSE)=1,"해외","국내")</f>
        <v>해외</v>
      </c>
      <c r="O258" s="12" t="str">
        <f>IF(VLOOKUP($U258,CODE!$K:$P,CODE!P$1,FALSE)="모자",T258,T258&amp;"-"&amp;VLOOKUP($U258,CODE!$K:$P,CODE!P$1,FALSE))</f>
        <v>JIL</v>
      </c>
      <c r="P258" s="11" t="s">
        <v>32</v>
      </c>
      <c r="R258" s="11">
        <v>116</v>
      </c>
      <c r="T258" s="8" t="s">
        <v>32</v>
      </c>
      <c r="U258" s="8" t="s">
        <v>56</v>
      </c>
      <c r="V258" s="8" t="s">
        <v>43</v>
      </c>
      <c r="W258" s="8" t="s">
        <v>1648</v>
      </c>
      <c r="X258" s="8" t="s">
        <v>900</v>
      </c>
      <c r="Y258" s="9">
        <v>1</v>
      </c>
      <c r="Z258" s="8" t="s">
        <v>1415</v>
      </c>
      <c r="AA258" s="10">
        <v>41696</v>
      </c>
      <c r="AB258" s="10">
        <v>41724</v>
      </c>
      <c r="AC258" s="10">
        <v>41724</v>
      </c>
      <c r="AD258" s="10">
        <v>41758</v>
      </c>
      <c r="AH258" s="8">
        <v>1</v>
      </c>
      <c r="AI258" s="8">
        <v>1</v>
      </c>
    </row>
    <row r="259" spans="1:35">
      <c r="A259" s="7">
        <f t="shared" si="91"/>
        <v>1</v>
      </c>
      <c r="B259" s="7" t="str">
        <f t="shared" si="84"/>
        <v>14FW-JILLBY-KNIT-43-NV</v>
      </c>
      <c r="C259" s="7">
        <f t="shared" si="92"/>
        <v>1</v>
      </c>
      <c r="D259" s="7" t="str">
        <f t="shared" si="85"/>
        <v>Y&amp;Y14FW-JILLBY-KNIT-43-NV</v>
      </c>
      <c r="E259" s="12" t="str">
        <f t="shared" si="86"/>
        <v>201402</v>
      </c>
      <c r="F259" s="347" t="str">
        <f>VLOOKUP($AA259,[3]주!$A:$F,6,FALSE)</f>
        <v>2월 4주</v>
      </c>
      <c r="G259" s="7">
        <f t="shared" si="93"/>
        <v>1</v>
      </c>
      <c r="H259" s="7" t="str">
        <f t="shared" si="87"/>
        <v>14FW-JILLBY-KNIT-43-NV</v>
      </c>
      <c r="I259" s="7">
        <f t="shared" si="94"/>
        <v>1</v>
      </c>
      <c r="J259" s="7" t="str">
        <f t="shared" si="88"/>
        <v>Y&amp;Y14FW-JILLBY-KNIT-43-NV</v>
      </c>
      <c r="K259" s="17">
        <f t="shared" si="89"/>
        <v>41758</v>
      </c>
      <c r="L259" s="12" t="str">
        <f t="shared" si="90"/>
        <v>201404</v>
      </c>
      <c r="M259" s="347" t="str">
        <f>VLOOKUP($K259,[3]주!$A:$F,6,FALSE)</f>
        <v>3월 2주</v>
      </c>
      <c r="N259" s="273" t="str">
        <f>IF(VLOOKUP($Z259,생산업체!$A:$C,2,FALSE)=1,"해외","국내")</f>
        <v>해외</v>
      </c>
      <c r="O259" s="12" t="str">
        <f>IF(VLOOKUP($U259,CODE!$K:$P,CODE!P$1,FALSE)="모자",T259,T259&amp;"-"&amp;VLOOKUP($U259,CODE!$K:$P,CODE!P$1,FALSE))</f>
        <v>JIL</v>
      </c>
      <c r="P259" s="11" t="s">
        <v>32</v>
      </c>
      <c r="R259" s="11">
        <v>117</v>
      </c>
      <c r="T259" s="8" t="s">
        <v>32</v>
      </c>
      <c r="U259" s="8" t="s">
        <v>56</v>
      </c>
      <c r="V259" s="8" t="s">
        <v>43</v>
      </c>
      <c r="W259" s="8" t="s">
        <v>1649</v>
      </c>
      <c r="X259" s="8" t="s">
        <v>900</v>
      </c>
      <c r="Y259" s="9">
        <v>1</v>
      </c>
      <c r="Z259" s="8" t="s">
        <v>1415</v>
      </c>
      <c r="AA259" s="10">
        <v>41696</v>
      </c>
      <c r="AB259" s="10">
        <v>41724</v>
      </c>
      <c r="AC259" s="10">
        <v>41724</v>
      </c>
      <c r="AD259" s="10">
        <v>41758</v>
      </c>
      <c r="AG259" s="8">
        <v>1</v>
      </c>
      <c r="AH259" s="8">
        <v>1</v>
      </c>
      <c r="AI259" s="8">
        <v>1</v>
      </c>
    </row>
    <row r="260" spans="1:35">
      <c r="A260" s="7">
        <f t="shared" si="91"/>
        <v>1</v>
      </c>
      <c r="B260" s="7" t="str">
        <f t="shared" si="84"/>
        <v>14FW-JILLBY-KNIT-44-KH-KIDS</v>
      </c>
      <c r="C260" s="7">
        <f t="shared" si="92"/>
        <v>1</v>
      </c>
      <c r="D260" s="7" t="str">
        <f t="shared" si="85"/>
        <v>FOREMOST14FW-JILLBY-KNIT-44-KH-KIDS</v>
      </c>
      <c r="E260" s="12" t="str">
        <f t="shared" si="86"/>
        <v>201402</v>
      </c>
      <c r="F260" s="347" t="str">
        <f>VLOOKUP($AA260,[3]주!$A:$F,6,FALSE)</f>
        <v>2월 4주</v>
      </c>
      <c r="G260" s="7">
        <f t="shared" si="93"/>
        <v>1</v>
      </c>
      <c r="H260" s="7" t="str">
        <f t="shared" si="87"/>
        <v>14FW-JILLBY-KNIT-44-KH-KIDS</v>
      </c>
      <c r="I260" s="7">
        <f t="shared" si="94"/>
        <v>1</v>
      </c>
      <c r="J260" s="7" t="str">
        <f t="shared" si="88"/>
        <v>FOREMOST14FW-JILLBY-KNIT-44-KH-KIDS</v>
      </c>
      <c r="K260" s="17">
        <f t="shared" si="89"/>
        <v>41736</v>
      </c>
      <c r="L260" s="12" t="str">
        <f t="shared" si="90"/>
        <v>201404</v>
      </c>
      <c r="M260" s="347" t="str">
        <f>VLOOKUP($K260,[3]주!$A:$F,6,FALSE)</f>
        <v>3월 2주</v>
      </c>
      <c r="N260" s="273" t="str">
        <f>IF(VLOOKUP($Z260,생산업체!$A:$C,2,FALSE)=1,"해외","국내")</f>
        <v>해외</v>
      </c>
      <c r="O260" s="12" t="str">
        <f>IF(VLOOKUP($U260,CODE!$K:$P,CODE!P$1,FALSE)="모자",T260,T260&amp;"-"&amp;VLOOKUP($U260,CODE!$K:$P,CODE!P$1,FALSE))</f>
        <v>JIL</v>
      </c>
      <c r="P260" s="11" t="s">
        <v>32</v>
      </c>
      <c r="R260" s="11">
        <v>118</v>
      </c>
      <c r="T260" s="8" t="s">
        <v>32</v>
      </c>
      <c r="U260" s="8" t="s">
        <v>35</v>
      </c>
      <c r="V260" s="8" t="s">
        <v>43</v>
      </c>
      <c r="W260" s="8" t="s">
        <v>1650</v>
      </c>
      <c r="X260" s="8" t="s">
        <v>124</v>
      </c>
      <c r="Y260" s="9">
        <v>1</v>
      </c>
      <c r="Z260" s="8" t="s">
        <v>6</v>
      </c>
      <c r="AA260" s="10">
        <v>41696</v>
      </c>
      <c r="AB260" s="10">
        <v>41724</v>
      </c>
      <c r="AC260" s="10">
        <v>41724</v>
      </c>
      <c r="AD260" s="10">
        <v>41736</v>
      </c>
      <c r="AE260" s="8">
        <v>6.25</v>
      </c>
      <c r="AG260" s="8">
        <v>1</v>
      </c>
      <c r="AH260" s="8">
        <v>1</v>
      </c>
      <c r="AI260" s="8">
        <v>1</v>
      </c>
    </row>
    <row r="261" spans="1:35">
      <c r="A261" s="7">
        <f t="shared" si="91"/>
        <v>1</v>
      </c>
      <c r="B261" s="7" t="str">
        <f t="shared" si="84"/>
        <v>14FW-JILLBY-KNIT-45-NV</v>
      </c>
      <c r="C261" s="7">
        <f t="shared" si="92"/>
        <v>1</v>
      </c>
      <c r="D261" s="7" t="str">
        <f t="shared" si="85"/>
        <v>FOREMOST14FW-JILLBY-KNIT-45-NV</v>
      </c>
      <c r="E261" s="12" t="str">
        <f t="shared" si="86"/>
        <v>201402</v>
      </c>
      <c r="F261" s="347" t="str">
        <f>VLOOKUP($AA261,[3]주!$A:$F,6,FALSE)</f>
        <v>2월 4주</v>
      </c>
      <c r="G261" s="7">
        <f t="shared" si="93"/>
        <v>1</v>
      </c>
      <c r="H261" s="7" t="str">
        <f t="shared" si="87"/>
        <v>14FW-JILLBY-KNIT-45-NV</v>
      </c>
      <c r="I261" s="7">
        <f t="shared" si="94"/>
        <v>1</v>
      </c>
      <c r="J261" s="7" t="str">
        <f t="shared" si="88"/>
        <v>FOREMOST14FW-JILLBY-KNIT-45-NV</v>
      </c>
      <c r="K261" s="17">
        <f t="shared" si="89"/>
        <v>41725</v>
      </c>
      <c r="L261" s="12" t="str">
        <f t="shared" si="90"/>
        <v>201403</v>
      </c>
      <c r="M261" s="347" t="str">
        <f>VLOOKUP($K261,[3]주!$A:$F,6,FALSE)</f>
        <v>3월 2주</v>
      </c>
      <c r="N261" s="273" t="str">
        <f>IF(VLOOKUP($Z261,생산업체!$A:$C,2,FALSE)=1,"해외","국내")</f>
        <v>해외</v>
      </c>
      <c r="O261" s="12" t="str">
        <f>IF(VLOOKUP($U261,CODE!$K:$P,CODE!P$1,FALSE)="모자",T261,T261&amp;"-"&amp;VLOOKUP($U261,CODE!$K:$P,CODE!P$1,FALSE))</f>
        <v>JIL</v>
      </c>
      <c r="P261" s="11" t="s">
        <v>32</v>
      </c>
      <c r="R261" s="11">
        <v>119</v>
      </c>
      <c r="T261" s="8" t="s">
        <v>32</v>
      </c>
      <c r="U261" s="8" t="s">
        <v>35</v>
      </c>
      <c r="V261" s="8" t="s">
        <v>43</v>
      </c>
      <c r="W261" s="8" t="s">
        <v>1651</v>
      </c>
      <c r="X261" s="8" t="s">
        <v>900</v>
      </c>
      <c r="Y261" s="9">
        <v>1</v>
      </c>
      <c r="Z261" s="8" t="s">
        <v>6</v>
      </c>
      <c r="AA261" s="10">
        <v>41696</v>
      </c>
      <c r="AB261" s="10">
        <v>41724</v>
      </c>
      <c r="AC261" s="10">
        <v>41724</v>
      </c>
      <c r="AD261" s="10">
        <v>41725</v>
      </c>
      <c r="AE261" s="8">
        <v>4.05</v>
      </c>
      <c r="AG261" s="8">
        <v>1</v>
      </c>
      <c r="AH261" s="8">
        <v>1</v>
      </c>
      <c r="AI261" s="8">
        <v>1</v>
      </c>
    </row>
    <row r="262" spans="1:35">
      <c r="A262" s="7">
        <f t="shared" si="91"/>
        <v>1</v>
      </c>
      <c r="B262" s="7" t="str">
        <f t="shared" si="84"/>
        <v>14FW-JILLBY-KNIT-46-GY</v>
      </c>
      <c r="C262" s="7">
        <f t="shared" si="92"/>
        <v>1</v>
      </c>
      <c r="D262" s="7" t="str">
        <f t="shared" si="85"/>
        <v>FOREMOST14FW-JILLBY-KNIT-46-GY</v>
      </c>
      <c r="E262" s="12" t="str">
        <f t="shared" si="86"/>
        <v>201402</v>
      </c>
      <c r="F262" s="347" t="str">
        <f>VLOOKUP($AA262,[3]주!$A:$F,6,FALSE)</f>
        <v>2월 4주</v>
      </c>
      <c r="G262" s="7">
        <f t="shared" si="93"/>
        <v>1</v>
      </c>
      <c r="H262" s="7" t="str">
        <f t="shared" si="87"/>
        <v>14FW-JILLBY-KNIT-46-GY</v>
      </c>
      <c r="I262" s="7">
        <f t="shared" si="94"/>
        <v>1</v>
      </c>
      <c r="J262" s="7" t="str">
        <f t="shared" si="88"/>
        <v>FOREMOST14FW-JILLBY-KNIT-46-GY</v>
      </c>
      <c r="K262" s="17">
        <f t="shared" si="89"/>
        <v>41731</v>
      </c>
      <c r="L262" s="12" t="str">
        <f t="shared" si="90"/>
        <v>201404</v>
      </c>
      <c r="M262" s="347" t="str">
        <f>VLOOKUP($K262,[3]주!$A:$F,6,FALSE)</f>
        <v>3월 2주</v>
      </c>
      <c r="N262" s="273" t="str">
        <f>IF(VLOOKUP($Z262,생산업체!$A:$C,2,FALSE)=1,"해외","국내")</f>
        <v>해외</v>
      </c>
      <c r="O262" s="12" t="str">
        <f>IF(VLOOKUP($U262,CODE!$K:$P,CODE!P$1,FALSE)="모자",T262,T262&amp;"-"&amp;VLOOKUP($U262,CODE!$K:$P,CODE!P$1,FALSE))</f>
        <v>JIL</v>
      </c>
      <c r="P262" s="11" t="s">
        <v>32</v>
      </c>
      <c r="R262" s="11">
        <v>120</v>
      </c>
      <c r="T262" s="8" t="s">
        <v>32</v>
      </c>
      <c r="U262" s="8" t="s">
        <v>35</v>
      </c>
      <c r="V262" s="8" t="s">
        <v>43</v>
      </c>
      <c r="W262" s="8" t="s">
        <v>1652</v>
      </c>
      <c r="X262" s="8" t="s">
        <v>900</v>
      </c>
      <c r="Y262" s="9">
        <v>1</v>
      </c>
      <c r="Z262" s="8" t="s">
        <v>6</v>
      </c>
      <c r="AA262" s="10">
        <v>41696</v>
      </c>
      <c r="AB262" s="10">
        <v>41724</v>
      </c>
      <c r="AC262" s="10">
        <v>41724</v>
      </c>
      <c r="AD262" s="10">
        <v>41731</v>
      </c>
      <c r="AE262" s="8">
        <v>5.35</v>
      </c>
      <c r="AH262" s="8">
        <v>1</v>
      </c>
      <c r="AI262" s="8">
        <v>1</v>
      </c>
    </row>
    <row r="263" spans="1:35">
      <c r="A263" s="7">
        <f t="shared" si="91"/>
        <v>1</v>
      </c>
      <c r="B263" s="7" t="str">
        <f t="shared" si="84"/>
        <v>14FW-JILLBY-KNIT-46-IV</v>
      </c>
      <c r="C263" s="7">
        <f t="shared" si="92"/>
        <v>1</v>
      </c>
      <c r="D263" s="7" t="str">
        <f t="shared" si="85"/>
        <v>FOREMOST14FW-JILLBY-KNIT-46-IV</v>
      </c>
      <c r="E263" s="12" t="str">
        <f t="shared" si="86"/>
        <v>201402</v>
      </c>
      <c r="F263" s="347" t="str">
        <f>VLOOKUP($AA263,[3]주!$A:$F,6,FALSE)</f>
        <v>2월 4주</v>
      </c>
      <c r="G263" s="7">
        <f t="shared" si="93"/>
        <v>1</v>
      </c>
      <c r="H263" s="7" t="str">
        <f t="shared" si="87"/>
        <v>14FW-JILLBY-KNIT-46-IV</v>
      </c>
      <c r="I263" s="7">
        <f t="shared" si="94"/>
        <v>1</v>
      </c>
      <c r="J263" s="7" t="str">
        <f t="shared" si="88"/>
        <v>FOREMOST14FW-JILLBY-KNIT-46-IV</v>
      </c>
      <c r="K263" s="17">
        <f t="shared" si="89"/>
        <v>41731</v>
      </c>
      <c r="L263" s="12" t="str">
        <f t="shared" si="90"/>
        <v>201404</v>
      </c>
      <c r="M263" s="347" t="str">
        <f>VLOOKUP($K263,[3]주!$A:$F,6,FALSE)</f>
        <v>3월 2주</v>
      </c>
      <c r="N263" s="273" t="str">
        <f>IF(VLOOKUP($Z263,생산업체!$A:$C,2,FALSE)=1,"해외","국내")</f>
        <v>해외</v>
      </c>
      <c r="O263" s="12" t="str">
        <f>IF(VLOOKUP($U263,CODE!$K:$P,CODE!P$1,FALSE)="모자",T263,T263&amp;"-"&amp;VLOOKUP($U263,CODE!$K:$P,CODE!P$1,FALSE))</f>
        <v>JIL</v>
      </c>
      <c r="P263" s="11" t="s">
        <v>32</v>
      </c>
      <c r="R263" s="11">
        <v>121</v>
      </c>
      <c r="T263" s="8" t="s">
        <v>32</v>
      </c>
      <c r="U263" s="8" t="s">
        <v>35</v>
      </c>
      <c r="V263" s="8" t="s">
        <v>43</v>
      </c>
      <c r="W263" s="8" t="s">
        <v>1653</v>
      </c>
      <c r="X263" s="8" t="s">
        <v>900</v>
      </c>
      <c r="Y263" s="9">
        <v>1</v>
      </c>
      <c r="Z263" s="8" t="s">
        <v>6</v>
      </c>
      <c r="AA263" s="10">
        <v>41696</v>
      </c>
      <c r="AB263" s="10">
        <v>41724</v>
      </c>
      <c r="AC263" s="10">
        <v>41724</v>
      </c>
      <c r="AD263" s="10">
        <v>41731</v>
      </c>
      <c r="AE263" s="8">
        <v>5.35</v>
      </c>
      <c r="AH263" s="8">
        <v>1</v>
      </c>
      <c r="AI263" s="8">
        <v>1</v>
      </c>
    </row>
    <row r="264" spans="1:35">
      <c r="A264" s="7">
        <f t="shared" si="91"/>
        <v>1</v>
      </c>
      <c r="B264" s="7" t="str">
        <f t="shared" si="84"/>
        <v>14FW-JILLBY-KNIT-47-GR</v>
      </c>
      <c r="C264" s="7">
        <f t="shared" si="92"/>
        <v>1</v>
      </c>
      <c r="D264" s="7" t="str">
        <f t="shared" si="85"/>
        <v>FOREMOST14FW-JILLBY-KNIT-47-GR</v>
      </c>
      <c r="E264" s="12" t="str">
        <f t="shared" si="86"/>
        <v>201402</v>
      </c>
      <c r="F264" s="347" t="str">
        <f>VLOOKUP($AA264,[3]주!$A:$F,6,FALSE)</f>
        <v>2월 4주</v>
      </c>
      <c r="G264" s="7">
        <f t="shared" si="93"/>
        <v>1</v>
      </c>
      <c r="H264" s="7" t="str">
        <f t="shared" si="87"/>
        <v>14FW-JILLBY-KNIT-47-GR</v>
      </c>
      <c r="I264" s="7">
        <f t="shared" si="94"/>
        <v>1</v>
      </c>
      <c r="J264" s="7" t="str">
        <f t="shared" si="88"/>
        <v>FOREMOST14FW-JILLBY-KNIT-47-GR</v>
      </c>
      <c r="K264" s="17">
        <f t="shared" si="89"/>
        <v>41725</v>
      </c>
      <c r="L264" s="12" t="str">
        <f t="shared" si="90"/>
        <v>201403</v>
      </c>
      <c r="M264" s="347" t="str">
        <f>VLOOKUP($K264,[3]주!$A:$F,6,FALSE)</f>
        <v>3월 2주</v>
      </c>
      <c r="N264" s="273" t="str">
        <f>IF(VLOOKUP($Z264,생산업체!$A:$C,2,FALSE)=1,"해외","국내")</f>
        <v>해외</v>
      </c>
      <c r="O264" s="12" t="str">
        <f>IF(VLOOKUP($U264,CODE!$K:$P,CODE!P$1,FALSE)="모자",T264,T264&amp;"-"&amp;VLOOKUP($U264,CODE!$K:$P,CODE!P$1,FALSE))</f>
        <v>JIL</v>
      </c>
      <c r="P264" s="11" t="s">
        <v>32</v>
      </c>
      <c r="R264" s="11">
        <v>122</v>
      </c>
      <c r="T264" s="8" t="s">
        <v>32</v>
      </c>
      <c r="U264" s="8" t="s">
        <v>35</v>
      </c>
      <c r="V264" s="8" t="s">
        <v>43</v>
      </c>
      <c r="W264" s="8" t="s">
        <v>1654</v>
      </c>
      <c r="X264" s="8" t="s">
        <v>900</v>
      </c>
      <c r="Y264" s="9">
        <v>1</v>
      </c>
      <c r="Z264" s="8" t="s">
        <v>6</v>
      </c>
      <c r="AA264" s="10">
        <v>41696</v>
      </c>
      <c r="AB264" s="10">
        <v>41724</v>
      </c>
      <c r="AC264" s="10">
        <v>41724</v>
      </c>
      <c r="AD264" s="10">
        <v>41725</v>
      </c>
      <c r="AE264" s="8">
        <v>4.95</v>
      </c>
      <c r="AH264" s="8">
        <v>1</v>
      </c>
      <c r="AI264" s="8">
        <v>1</v>
      </c>
    </row>
    <row r="265" spans="1:35">
      <c r="A265" s="7">
        <f t="shared" si="91"/>
        <v>1</v>
      </c>
      <c r="B265" s="7" t="str">
        <f t="shared" si="84"/>
        <v>14FW-JILLBY-KNIT-48-BL</v>
      </c>
      <c r="C265" s="7">
        <f t="shared" si="92"/>
        <v>1</v>
      </c>
      <c r="D265" s="7" t="str">
        <f t="shared" si="85"/>
        <v>Y&amp;Y14FW-JILLBY-KNIT-48-BL</v>
      </c>
      <c r="E265" s="12" t="str">
        <f t="shared" si="86"/>
        <v>201402</v>
      </c>
      <c r="F265" s="347" t="str">
        <f>VLOOKUP($AA265,[3]주!$A:$F,6,FALSE)</f>
        <v>2월 4주</v>
      </c>
      <c r="G265" s="7">
        <f t="shared" si="93"/>
        <v>1</v>
      </c>
      <c r="H265" s="7" t="str">
        <f t="shared" si="87"/>
        <v>14FW-JILLBY-KNIT-48-BL</v>
      </c>
      <c r="I265" s="7">
        <f t="shared" si="94"/>
        <v>1</v>
      </c>
      <c r="J265" s="7" t="str">
        <f t="shared" si="88"/>
        <v>Y&amp;Y14FW-JILLBY-KNIT-48-BL</v>
      </c>
      <c r="K265" s="17">
        <f t="shared" si="89"/>
        <v>41726</v>
      </c>
      <c r="L265" s="12" t="str">
        <f t="shared" si="90"/>
        <v>201403</v>
      </c>
      <c r="M265" s="347" t="str">
        <f>VLOOKUP($K265,[3]주!$A:$F,6,FALSE)</f>
        <v>3월 2주</v>
      </c>
      <c r="N265" s="273" t="str">
        <f>IF(VLOOKUP($Z265,생산업체!$A:$C,2,FALSE)=1,"해외","국내")</f>
        <v>해외</v>
      </c>
      <c r="O265" s="12" t="str">
        <f>IF(VLOOKUP($U265,CODE!$K:$P,CODE!P$1,FALSE)="모자",T265,T265&amp;"-"&amp;VLOOKUP($U265,CODE!$K:$P,CODE!P$1,FALSE))</f>
        <v>JIL</v>
      </c>
      <c r="P265" s="11" t="s">
        <v>32</v>
      </c>
      <c r="R265" s="11">
        <v>123</v>
      </c>
      <c r="T265" s="8" t="s">
        <v>32</v>
      </c>
      <c r="U265" s="8" t="s">
        <v>35</v>
      </c>
      <c r="V265" s="8" t="s">
        <v>43</v>
      </c>
      <c r="W265" s="8" t="s">
        <v>1655</v>
      </c>
      <c r="X265" s="8" t="s">
        <v>900</v>
      </c>
      <c r="Y265" s="9">
        <v>1</v>
      </c>
      <c r="Z265" s="8" t="s">
        <v>1415</v>
      </c>
      <c r="AA265" s="10">
        <v>41696</v>
      </c>
      <c r="AB265" s="10">
        <v>41724</v>
      </c>
      <c r="AC265" s="10">
        <v>41724</v>
      </c>
      <c r="AD265" s="10">
        <v>41726</v>
      </c>
      <c r="AG265" s="8">
        <v>1</v>
      </c>
      <c r="AH265" s="8">
        <v>1</v>
      </c>
      <c r="AI265" s="8">
        <v>1</v>
      </c>
    </row>
    <row r="266" spans="1:35">
      <c r="A266" s="7">
        <f t="shared" si="91"/>
        <v>1</v>
      </c>
      <c r="B266" s="7" t="str">
        <f t="shared" si="84"/>
        <v>14FW-JILLBY-KNIT-49-GY</v>
      </c>
      <c r="C266" s="7">
        <f t="shared" si="92"/>
        <v>1</v>
      </c>
      <c r="D266" s="7" t="str">
        <f t="shared" si="85"/>
        <v>FOREMOST14FW-JILLBY-KNIT-49-GY</v>
      </c>
      <c r="E266" s="12" t="str">
        <f t="shared" si="86"/>
        <v>201402</v>
      </c>
      <c r="F266" s="347" t="str">
        <f>VLOOKUP($AA266,[3]주!$A:$F,6,FALSE)</f>
        <v>2월 4주</v>
      </c>
      <c r="G266" s="7">
        <f t="shared" si="93"/>
        <v>1</v>
      </c>
      <c r="H266" s="7" t="str">
        <f t="shared" si="87"/>
        <v>14FW-JILLBY-KNIT-49-GY</v>
      </c>
      <c r="I266" s="7">
        <f t="shared" si="94"/>
        <v>1</v>
      </c>
      <c r="J266" s="7" t="str">
        <f t="shared" si="88"/>
        <v>FOREMOST14FW-JILLBY-KNIT-49-GY</v>
      </c>
      <c r="K266" s="17">
        <f t="shared" si="89"/>
        <v>41757</v>
      </c>
      <c r="L266" s="12" t="str">
        <f t="shared" si="90"/>
        <v>201404</v>
      </c>
      <c r="M266" s="347" t="str">
        <f>VLOOKUP($K266,[3]주!$A:$F,6,FALSE)</f>
        <v>3월 2주</v>
      </c>
      <c r="N266" s="273" t="str">
        <f>IF(VLOOKUP($Z266,생산업체!$A:$C,2,FALSE)=1,"해외","국내")</f>
        <v>해외</v>
      </c>
      <c r="O266" s="12" t="str">
        <f>IF(VLOOKUP($U266,CODE!$K:$P,CODE!P$1,FALSE)="모자",T266,T266&amp;"-"&amp;VLOOKUP($U266,CODE!$K:$P,CODE!P$1,FALSE))</f>
        <v>JIL</v>
      </c>
      <c r="P266" s="11" t="s">
        <v>32</v>
      </c>
      <c r="R266" s="11">
        <v>124</v>
      </c>
      <c r="T266" s="8" t="s">
        <v>32</v>
      </c>
      <c r="U266" s="8" t="s">
        <v>35</v>
      </c>
      <c r="V266" s="8" t="s">
        <v>43</v>
      </c>
      <c r="W266" s="8" t="s">
        <v>1656</v>
      </c>
      <c r="X266" s="8" t="s">
        <v>900</v>
      </c>
      <c r="Y266" s="9">
        <v>1</v>
      </c>
      <c r="Z266" s="8" t="s">
        <v>6</v>
      </c>
      <c r="AA266" s="10">
        <v>41696</v>
      </c>
      <c r="AB266" s="10">
        <v>41724</v>
      </c>
      <c r="AC266" s="10">
        <v>41724</v>
      </c>
      <c r="AD266" s="10">
        <v>41757</v>
      </c>
      <c r="AE266" s="8">
        <v>6.05</v>
      </c>
      <c r="AH266" s="8">
        <v>1</v>
      </c>
      <c r="AI266" s="8">
        <v>1</v>
      </c>
    </row>
    <row r="267" spans="1:35">
      <c r="A267" s="7">
        <f t="shared" si="91"/>
        <v>1</v>
      </c>
      <c r="B267" s="7" t="str">
        <f t="shared" si="84"/>
        <v>14FW-JILLBY-KNIT-50-GY</v>
      </c>
      <c r="C267" s="7">
        <f t="shared" si="92"/>
        <v>1</v>
      </c>
      <c r="D267" s="7" t="str">
        <f t="shared" si="85"/>
        <v>FOREMOST14FW-JILLBY-KNIT-50-GY</v>
      </c>
      <c r="E267" s="12" t="str">
        <f t="shared" si="86"/>
        <v>201402</v>
      </c>
      <c r="F267" s="347" t="str">
        <f>VLOOKUP($AA267,[3]주!$A:$F,6,FALSE)</f>
        <v>2월 4주</v>
      </c>
      <c r="G267" s="7">
        <f t="shared" si="93"/>
        <v>1</v>
      </c>
      <c r="H267" s="7" t="str">
        <f t="shared" si="87"/>
        <v>14FW-JILLBY-KNIT-50-GY</v>
      </c>
      <c r="I267" s="7">
        <f t="shared" si="94"/>
        <v>1</v>
      </c>
      <c r="J267" s="7" t="str">
        <f t="shared" si="88"/>
        <v>FOREMOST14FW-JILLBY-KNIT-50-GY</v>
      </c>
      <c r="K267" s="17">
        <f t="shared" si="89"/>
        <v>41731</v>
      </c>
      <c r="L267" s="12" t="str">
        <f t="shared" si="90"/>
        <v>201404</v>
      </c>
      <c r="M267" s="347" t="str">
        <f>VLOOKUP($K267,[3]주!$A:$F,6,FALSE)</f>
        <v>3월 2주</v>
      </c>
      <c r="N267" s="273" t="str">
        <f>IF(VLOOKUP($Z267,생산업체!$A:$C,2,FALSE)=1,"해외","국내")</f>
        <v>해외</v>
      </c>
      <c r="O267" s="12" t="str">
        <f>IF(VLOOKUP($U267,CODE!$K:$P,CODE!P$1,FALSE)="모자",T267,T267&amp;"-"&amp;VLOOKUP($U267,CODE!$K:$P,CODE!P$1,FALSE))</f>
        <v>JIL</v>
      </c>
      <c r="P267" s="11" t="s">
        <v>32</v>
      </c>
      <c r="R267" s="11">
        <v>125</v>
      </c>
      <c r="T267" s="8" t="s">
        <v>32</v>
      </c>
      <c r="U267" s="8" t="s">
        <v>35</v>
      </c>
      <c r="V267" s="8" t="s">
        <v>43</v>
      </c>
      <c r="W267" s="8" t="s">
        <v>1657</v>
      </c>
      <c r="X267" s="8" t="s">
        <v>900</v>
      </c>
      <c r="Y267" s="9">
        <v>1</v>
      </c>
      <c r="Z267" s="8" t="s">
        <v>6</v>
      </c>
      <c r="AA267" s="10">
        <v>41696</v>
      </c>
      <c r="AB267" s="10">
        <v>41724</v>
      </c>
      <c r="AC267" s="10">
        <v>41724</v>
      </c>
      <c r="AD267" s="10">
        <v>41731</v>
      </c>
      <c r="AE267" s="8">
        <v>5.95</v>
      </c>
      <c r="AG267" s="8">
        <v>1</v>
      </c>
      <c r="AH267" s="8">
        <v>1</v>
      </c>
      <c r="AI267" s="8">
        <v>1</v>
      </c>
    </row>
    <row r="268" spans="1:35">
      <c r="A268" s="7">
        <f t="shared" si="91"/>
        <v>1</v>
      </c>
      <c r="B268" s="7" t="str">
        <f t="shared" si="84"/>
        <v>14FW-JILLBY-KNIT-51-OR</v>
      </c>
      <c r="C268" s="7">
        <f t="shared" si="92"/>
        <v>1</v>
      </c>
      <c r="D268" s="7" t="str">
        <f t="shared" si="85"/>
        <v>Y&amp;Y14FW-JILLBY-KNIT-51-OR</v>
      </c>
      <c r="E268" s="12" t="str">
        <f t="shared" si="86"/>
        <v>201402</v>
      </c>
      <c r="F268" s="347" t="str">
        <f>VLOOKUP($AA268,[3]주!$A:$F,6,FALSE)</f>
        <v>2월 4주</v>
      </c>
      <c r="G268" s="7">
        <f t="shared" si="93"/>
        <v>0</v>
      </c>
      <c r="H268" s="7" t="str">
        <f t="shared" si="87"/>
        <v/>
      </c>
      <c r="I268" s="7">
        <f t="shared" si="94"/>
        <v>0</v>
      </c>
      <c r="J268" s="7" t="str">
        <f t="shared" si="88"/>
        <v/>
      </c>
      <c r="K268" s="17">
        <f t="shared" si="89"/>
        <v>41724</v>
      </c>
      <c r="L268" s="12" t="str">
        <f t="shared" si="90"/>
        <v>201403</v>
      </c>
      <c r="M268" s="347" t="str">
        <f>VLOOKUP($K268,[3]주!$A:$F,6,FALSE)</f>
        <v>3월 2주</v>
      </c>
      <c r="N268" s="273" t="str">
        <f>IF(VLOOKUP($Z268,생산업체!$A:$C,2,FALSE)=1,"해외","국내")</f>
        <v>해외</v>
      </c>
      <c r="O268" s="12" t="str">
        <f>IF(VLOOKUP($U268,CODE!$K:$P,CODE!P$1,FALSE)="모자",T268,T268&amp;"-"&amp;VLOOKUP($U268,CODE!$K:$P,CODE!P$1,FALSE))</f>
        <v>JIL</v>
      </c>
      <c r="P268" s="11" t="s">
        <v>32</v>
      </c>
      <c r="R268" s="11">
        <v>126</v>
      </c>
      <c r="T268" s="8" t="s">
        <v>32</v>
      </c>
      <c r="U268" s="8" t="s">
        <v>35</v>
      </c>
      <c r="V268" s="8" t="s">
        <v>43</v>
      </c>
      <c r="W268" s="8" t="s">
        <v>1658</v>
      </c>
      <c r="X268" s="8" t="s">
        <v>900</v>
      </c>
      <c r="Y268" s="9">
        <v>1</v>
      </c>
      <c r="Z268" s="8" t="s">
        <v>1415</v>
      </c>
      <c r="AA268" s="10">
        <v>41696</v>
      </c>
      <c r="AB268" s="10">
        <v>41724</v>
      </c>
      <c r="AC268" s="10">
        <v>41724</v>
      </c>
      <c r="AG268" s="8">
        <v>1</v>
      </c>
      <c r="AH268" s="8">
        <v>1</v>
      </c>
      <c r="AI268" s="8">
        <v>1</v>
      </c>
    </row>
    <row r="269" spans="1:35">
      <c r="A269" s="7">
        <f t="shared" si="91"/>
        <v>1</v>
      </c>
      <c r="B269" s="7" t="str">
        <f t="shared" si="84"/>
        <v>14FW-JILLBY-KNIT-52-GR</v>
      </c>
      <c r="C269" s="7">
        <f t="shared" si="92"/>
        <v>1</v>
      </c>
      <c r="D269" s="7" t="str">
        <f t="shared" si="85"/>
        <v>Y&amp;Y14FW-JILLBY-KNIT-52-GR</v>
      </c>
      <c r="E269" s="12" t="str">
        <f t="shared" si="86"/>
        <v>201402</v>
      </c>
      <c r="F269" s="347" t="str">
        <f>VLOOKUP($AA269,[3]주!$A:$F,6,FALSE)</f>
        <v>2월 4주</v>
      </c>
      <c r="G269" s="7">
        <f t="shared" si="93"/>
        <v>1</v>
      </c>
      <c r="H269" s="7" t="str">
        <f t="shared" si="87"/>
        <v>14FW-JILLBY-KNIT-52-GR</v>
      </c>
      <c r="I269" s="7">
        <f t="shared" si="94"/>
        <v>1</v>
      </c>
      <c r="J269" s="7" t="str">
        <f t="shared" si="88"/>
        <v>Y&amp;Y14FW-JILLBY-KNIT-52-GR</v>
      </c>
      <c r="K269" s="17">
        <f t="shared" si="89"/>
        <v>41758</v>
      </c>
      <c r="L269" s="12" t="str">
        <f t="shared" si="90"/>
        <v>201404</v>
      </c>
      <c r="M269" s="347" t="str">
        <f>VLOOKUP($K269,[3]주!$A:$F,6,FALSE)</f>
        <v>3월 2주</v>
      </c>
      <c r="N269" s="273" t="str">
        <f>IF(VLOOKUP($Z269,생산업체!$A:$C,2,FALSE)=1,"해외","국내")</f>
        <v>해외</v>
      </c>
      <c r="O269" s="12" t="str">
        <f>IF(VLOOKUP($U269,CODE!$K:$P,CODE!P$1,FALSE)="모자",T269,T269&amp;"-"&amp;VLOOKUP($U269,CODE!$K:$P,CODE!P$1,FALSE))</f>
        <v>JIL</v>
      </c>
      <c r="P269" s="11" t="s">
        <v>32</v>
      </c>
      <c r="R269" s="11">
        <v>127</v>
      </c>
      <c r="T269" s="8" t="s">
        <v>32</v>
      </c>
      <c r="U269" s="8" t="s">
        <v>35</v>
      </c>
      <c r="V269" s="8" t="s">
        <v>43</v>
      </c>
      <c r="W269" s="8" t="s">
        <v>1659</v>
      </c>
      <c r="X269" s="8" t="s">
        <v>900</v>
      </c>
      <c r="Y269" s="9">
        <v>1</v>
      </c>
      <c r="Z269" s="8" t="s">
        <v>1415</v>
      </c>
      <c r="AA269" s="10">
        <v>41696</v>
      </c>
      <c r="AB269" s="10">
        <v>41724</v>
      </c>
      <c r="AC269" s="10">
        <v>41724</v>
      </c>
      <c r="AD269" s="10">
        <v>41758</v>
      </c>
      <c r="AG269" s="8">
        <v>1</v>
      </c>
      <c r="AH269" s="8">
        <v>1</v>
      </c>
      <c r="AI269" s="8">
        <v>1</v>
      </c>
    </row>
    <row r="270" spans="1:35">
      <c r="A270" s="7">
        <f t="shared" si="91"/>
        <v>1</v>
      </c>
      <c r="B270" s="7" t="str">
        <f t="shared" si="84"/>
        <v>14FW-JILLBY-KNIT-52-RD</v>
      </c>
      <c r="C270" s="7">
        <f t="shared" si="92"/>
        <v>1</v>
      </c>
      <c r="D270" s="7" t="str">
        <f t="shared" si="85"/>
        <v>Y&amp;Y14FW-JILLBY-KNIT-52-RD</v>
      </c>
      <c r="E270" s="12" t="str">
        <f t="shared" si="86"/>
        <v>201402</v>
      </c>
      <c r="F270" s="347" t="str">
        <f>VLOOKUP($AA270,[3]주!$A:$F,6,FALSE)</f>
        <v>2월 4주</v>
      </c>
      <c r="G270" s="7">
        <f t="shared" si="93"/>
        <v>1</v>
      </c>
      <c r="H270" s="7" t="str">
        <f t="shared" si="87"/>
        <v>14FW-JILLBY-KNIT-52-RD</v>
      </c>
      <c r="I270" s="7">
        <f t="shared" si="94"/>
        <v>1</v>
      </c>
      <c r="J270" s="7" t="str">
        <f t="shared" si="88"/>
        <v>Y&amp;Y14FW-JILLBY-KNIT-52-RD</v>
      </c>
      <c r="K270" s="17">
        <f t="shared" si="89"/>
        <v>41758</v>
      </c>
      <c r="L270" s="12" t="str">
        <f t="shared" si="90"/>
        <v>201404</v>
      </c>
      <c r="M270" s="347" t="str">
        <f>VLOOKUP($K270,[3]주!$A:$F,6,FALSE)</f>
        <v>3월 2주</v>
      </c>
      <c r="N270" s="273" t="str">
        <f>IF(VLOOKUP($Z270,생산업체!$A:$C,2,FALSE)=1,"해외","국내")</f>
        <v>해외</v>
      </c>
      <c r="O270" s="12" t="str">
        <f>IF(VLOOKUP($U270,CODE!$K:$P,CODE!P$1,FALSE)="모자",T270,T270&amp;"-"&amp;VLOOKUP($U270,CODE!$K:$P,CODE!P$1,FALSE))</f>
        <v>JIL</v>
      </c>
      <c r="P270" s="11" t="s">
        <v>32</v>
      </c>
      <c r="R270" s="11">
        <v>128</v>
      </c>
      <c r="T270" s="8" t="s">
        <v>32</v>
      </c>
      <c r="U270" s="8" t="s">
        <v>35</v>
      </c>
      <c r="V270" s="8" t="s">
        <v>43</v>
      </c>
      <c r="W270" s="8" t="s">
        <v>1660</v>
      </c>
      <c r="X270" s="8" t="s">
        <v>900</v>
      </c>
      <c r="Y270" s="9">
        <v>1</v>
      </c>
      <c r="Z270" s="8" t="s">
        <v>1415</v>
      </c>
      <c r="AA270" s="10">
        <v>41696</v>
      </c>
      <c r="AB270" s="10">
        <v>41724</v>
      </c>
      <c r="AC270" s="10">
        <v>41724</v>
      </c>
      <c r="AD270" s="10">
        <v>41758</v>
      </c>
      <c r="AH270" s="8">
        <v>1</v>
      </c>
      <c r="AI270" s="8">
        <v>1</v>
      </c>
    </row>
    <row r="271" spans="1:35">
      <c r="A271" s="7">
        <f t="shared" si="91"/>
        <v>1</v>
      </c>
      <c r="B271" s="7" t="str">
        <f t="shared" si="84"/>
        <v>14FW-JILLBY-KNIT-53-BK</v>
      </c>
      <c r="C271" s="7">
        <f t="shared" si="92"/>
        <v>1</v>
      </c>
      <c r="D271" s="7" t="str">
        <f t="shared" si="85"/>
        <v>FOREMOST14FW-JILLBY-KNIT-53-BK</v>
      </c>
      <c r="E271" s="12" t="str">
        <f t="shared" si="86"/>
        <v>201402</v>
      </c>
      <c r="F271" s="347" t="str">
        <f>VLOOKUP($AA271,[3]주!$A:$F,6,FALSE)</f>
        <v>2월 4주</v>
      </c>
      <c r="G271" s="7">
        <f t="shared" si="93"/>
        <v>1</v>
      </c>
      <c r="H271" s="7" t="str">
        <f t="shared" si="87"/>
        <v>14FW-JILLBY-KNIT-53-BK</v>
      </c>
      <c r="I271" s="7">
        <f t="shared" si="94"/>
        <v>1</v>
      </c>
      <c r="J271" s="7" t="str">
        <f t="shared" si="88"/>
        <v>FOREMOST14FW-JILLBY-KNIT-53-BK</v>
      </c>
      <c r="K271" s="17">
        <f t="shared" si="89"/>
        <v>41743</v>
      </c>
      <c r="L271" s="12" t="str">
        <f t="shared" si="90"/>
        <v>201404</v>
      </c>
      <c r="M271" s="347" t="str">
        <f>VLOOKUP($K271,[3]주!$A:$F,6,FALSE)</f>
        <v>3월 2주</v>
      </c>
      <c r="N271" s="273" t="str">
        <f>IF(VLOOKUP($Z271,생산업체!$A:$C,2,FALSE)=1,"해외","국내")</f>
        <v>해외</v>
      </c>
      <c r="O271" s="12" t="str">
        <f>IF(VLOOKUP($U271,CODE!$K:$P,CODE!P$1,FALSE)="모자",T271,T271&amp;"-"&amp;VLOOKUP($U271,CODE!$K:$P,CODE!P$1,FALSE))</f>
        <v>JIL</v>
      </c>
      <c r="P271" s="11" t="s">
        <v>32</v>
      </c>
      <c r="R271" s="11">
        <v>129</v>
      </c>
      <c r="T271" s="8" t="s">
        <v>32</v>
      </c>
      <c r="U271" s="8" t="s">
        <v>35</v>
      </c>
      <c r="V271" s="8" t="s">
        <v>43</v>
      </c>
      <c r="W271" s="8" t="s">
        <v>1661</v>
      </c>
      <c r="X271" s="8" t="s">
        <v>900</v>
      </c>
      <c r="Y271" s="9">
        <v>1</v>
      </c>
      <c r="Z271" s="8" t="s">
        <v>6</v>
      </c>
      <c r="AA271" s="10">
        <v>41696</v>
      </c>
      <c r="AB271" s="10">
        <v>41724</v>
      </c>
      <c r="AC271" s="10">
        <v>41724</v>
      </c>
      <c r="AD271" s="10">
        <v>41743</v>
      </c>
      <c r="AE271" s="8">
        <v>5.8</v>
      </c>
      <c r="AG271" s="8">
        <v>1</v>
      </c>
      <c r="AH271" s="8">
        <v>1</v>
      </c>
      <c r="AI271" s="8">
        <v>1</v>
      </c>
    </row>
    <row r="272" spans="1:35">
      <c r="A272" s="7">
        <f t="shared" si="91"/>
        <v>1</v>
      </c>
      <c r="B272" s="7" t="str">
        <f t="shared" si="84"/>
        <v>14FW-JILLBY-KNIT-53-GY</v>
      </c>
      <c r="C272" s="7">
        <f t="shared" si="92"/>
        <v>1</v>
      </c>
      <c r="D272" s="7" t="str">
        <f t="shared" si="85"/>
        <v>FOREMOST14FW-JILLBY-KNIT-53-GY</v>
      </c>
      <c r="E272" s="12" t="str">
        <f t="shared" si="86"/>
        <v>201402</v>
      </c>
      <c r="F272" s="347" t="str">
        <f>VLOOKUP($AA272,[3]주!$A:$F,6,FALSE)</f>
        <v>2월 4주</v>
      </c>
      <c r="G272" s="7">
        <f t="shared" si="93"/>
        <v>1</v>
      </c>
      <c r="H272" s="7" t="str">
        <f t="shared" si="87"/>
        <v>14FW-JILLBY-KNIT-53-GY</v>
      </c>
      <c r="I272" s="7">
        <f t="shared" si="94"/>
        <v>1</v>
      </c>
      <c r="J272" s="7" t="str">
        <f t="shared" si="88"/>
        <v>FOREMOST14FW-JILLBY-KNIT-53-GY</v>
      </c>
      <c r="K272" s="17">
        <f t="shared" si="89"/>
        <v>41743</v>
      </c>
      <c r="L272" s="12" t="str">
        <f t="shared" si="90"/>
        <v>201404</v>
      </c>
      <c r="M272" s="347" t="str">
        <f>VLOOKUP($K272,[3]주!$A:$F,6,FALSE)</f>
        <v>3월 2주</v>
      </c>
      <c r="N272" s="273" t="str">
        <f>IF(VLOOKUP($Z272,생산업체!$A:$C,2,FALSE)=1,"해외","국내")</f>
        <v>해외</v>
      </c>
      <c r="O272" s="12" t="str">
        <f>IF(VLOOKUP($U272,CODE!$K:$P,CODE!P$1,FALSE)="모자",T272,T272&amp;"-"&amp;VLOOKUP($U272,CODE!$K:$P,CODE!P$1,FALSE))</f>
        <v>JIL</v>
      </c>
      <c r="P272" s="11" t="s">
        <v>32</v>
      </c>
      <c r="R272" s="11">
        <v>130</v>
      </c>
      <c r="T272" s="8" t="s">
        <v>32</v>
      </c>
      <c r="U272" s="8" t="s">
        <v>35</v>
      </c>
      <c r="V272" s="8" t="s">
        <v>43</v>
      </c>
      <c r="W272" s="8" t="s">
        <v>1662</v>
      </c>
      <c r="X272" s="8" t="s">
        <v>900</v>
      </c>
      <c r="Y272" s="9">
        <v>1</v>
      </c>
      <c r="Z272" s="8" t="s">
        <v>6</v>
      </c>
      <c r="AA272" s="10">
        <v>41696</v>
      </c>
      <c r="AB272" s="10">
        <v>41724</v>
      </c>
      <c r="AC272" s="10">
        <v>41724</v>
      </c>
      <c r="AD272" s="10">
        <v>41743</v>
      </c>
      <c r="AE272" s="8">
        <v>10.5</v>
      </c>
      <c r="AH272" s="8">
        <v>1</v>
      </c>
      <c r="AI272" s="8">
        <v>1</v>
      </c>
    </row>
    <row r="273" spans="1:35">
      <c r="A273" s="7">
        <f t="shared" si="91"/>
        <v>1</v>
      </c>
      <c r="B273" s="7" t="str">
        <f t="shared" si="84"/>
        <v>14FW-JILLBY-KNIT-54-PP</v>
      </c>
      <c r="C273" s="7">
        <f t="shared" si="92"/>
        <v>1</v>
      </c>
      <c r="D273" s="7" t="str">
        <f t="shared" si="85"/>
        <v>FOREMOST14FW-JILLBY-KNIT-54-PP</v>
      </c>
      <c r="E273" s="12" t="str">
        <f t="shared" si="86"/>
        <v>201402</v>
      </c>
      <c r="F273" s="347" t="str">
        <f>VLOOKUP($AA273,[3]주!$A:$F,6,FALSE)</f>
        <v>2월 4주</v>
      </c>
      <c r="G273" s="7">
        <f t="shared" si="93"/>
        <v>1</v>
      </c>
      <c r="H273" s="7" t="str">
        <f t="shared" si="87"/>
        <v>14FW-JILLBY-KNIT-54-PP</v>
      </c>
      <c r="I273" s="7">
        <f t="shared" si="94"/>
        <v>1</v>
      </c>
      <c r="J273" s="7" t="str">
        <f t="shared" si="88"/>
        <v>FOREMOST14FW-JILLBY-KNIT-54-PP</v>
      </c>
      <c r="K273" s="17">
        <f t="shared" si="89"/>
        <v>41736</v>
      </c>
      <c r="L273" s="12" t="str">
        <f t="shared" si="90"/>
        <v>201404</v>
      </c>
      <c r="M273" s="347" t="str">
        <f>VLOOKUP($K273,[3]주!$A:$F,6,FALSE)</f>
        <v>3월 2주</v>
      </c>
      <c r="N273" s="273" t="str">
        <f>IF(VLOOKUP($Z273,생산업체!$A:$C,2,FALSE)=1,"해외","국내")</f>
        <v>해외</v>
      </c>
      <c r="O273" s="12" t="str">
        <f>IF(VLOOKUP($U273,CODE!$K:$P,CODE!P$1,FALSE)="모자",T273,T273&amp;"-"&amp;VLOOKUP($U273,CODE!$K:$P,CODE!P$1,FALSE))</f>
        <v>JIL</v>
      </c>
      <c r="P273" s="11" t="s">
        <v>32</v>
      </c>
      <c r="R273" s="11">
        <v>131</v>
      </c>
      <c r="T273" s="8" t="s">
        <v>32</v>
      </c>
      <c r="U273" s="8" t="s">
        <v>35</v>
      </c>
      <c r="V273" s="8" t="s">
        <v>43</v>
      </c>
      <c r="W273" s="8" t="s">
        <v>1663</v>
      </c>
      <c r="X273" s="8" t="s">
        <v>900</v>
      </c>
      <c r="Y273" s="9">
        <v>1</v>
      </c>
      <c r="Z273" s="8" t="s">
        <v>6</v>
      </c>
      <c r="AA273" s="10">
        <v>41696</v>
      </c>
      <c r="AB273" s="10">
        <v>41724</v>
      </c>
      <c r="AC273" s="10">
        <v>41724</v>
      </c>
      <c r="AD273" s="10">
        <v>41736</v>
      </c>
      <c r="AE273" s="8">
        <v>5.65</v>
      </c>
      <c r="AH273" s="8">
        <v>1</v>
      </c>
      <c r="AI273" s="8">
        <v>1</v>
      </c>
    </row>
    <row r="274" spans="1:35">
      <c r="A274" s="7">
        <f t="shared" si="91"/>
        <v>1</v>
      </c>
      <c r="B274" s="7" t="str">
        <f t="shared" si="84"/>
        <v>14FW-JILLBY-KNIT-55-BG</v>
      </c>
      <c r="C274" s="7">
        <f t="shared" si="92"/>
        <v>1</v>
      </c>
      <c r="D274" s="7" t="str">
        <f t="shared" si="85"/>
        <v>Y&amp;Y14FW-JILLBY-KNIT-55-BG</v>
      </c>
      <c r="E274" s="12" t="str">
        <f t="shared" si="86"/>
        <v>201402</v>
      </c>
      <c r="F274" s="347" t="str">
        <f>VLOOKUP($AA274,[3]주!$A:$F,6,FALSE)</f>
        <v>2월 4주</v>
      </c>
      <c r="G274" s="7">
        <f t="shared" si="93"/>
        <v>1</v>
      </c>
      <c r="H274" s="7" t="str">
        <f t="shared" si="87"/>
        <v>14FW-JILLBY-KNIT-55-BG</v>
      </c>
      <c r="I274" s="7">
        <f t="shared" si="94"/>
        <v>1</v>
      </c>
      <c r="J274" s="7" t="str">
        <f t="shared" si="88"/>
        <v>Y&amp;Y14FW-JILLBY-KNIT-55-BG</v>
      </c>
      <c r="K274" s="17">
        <f t="shared" si="89"/>
        <v>41739</v>
      </c>
      <c r="L274" s="12" t="str">
        <f t="shared" si="90"/>
        <v>201404</v>
      </c>
      <c r="M274" s="347" t="str">
        <f>VLOOKUP($K274,[3]주!$A:$F,6,FALSE)</f>
        <v>3월 2주</v>
      </c>
      <c r="N274" s="273" t="str">
        <f>IF(VLOOKUP($Z274,생산업체!$A:$C,2,FALSE)=1,"해외","국내")</f>
        <v>해외</v>
      </c>
      <c r="O274" s="12" t="str">
        <f>IF(VLOOKUP($U274,CODE!$K:$P,CODE!P$1,FALSE)="모자",T274,T274&amp;"-"&amp;VLOOKUP($U274,CODE!$K:$P,CODE!P$1,FALSE))</f>
        <v>JIL</v>
      </c>
      <c r="P274" s="11" t="s">
        <v>32</v>
      </c>
      <c r="R274" s="11">
        <v>132</v>
      </c>
      <c r="T274" s="8" t="s">
        <v>32</v>
      </c>
      <c r="U274" s="8" t="s">
        <v>35</v>
      </c>
      <c r="V274" s="8" t="s">
        <v>43</v>
      </c>
      <c r="W274" s="8" t="s">
        <v>1664</v>
      </c>
      <c r="X274" s="8" t="s">
        <v>900</v>
      </c>
      <c r="Y274" s="9">
        <v>1</v>
      </c>
      <c r="Z274" s="8" t="s">
        <v>1415</v>
      </c>
      <c r="AA274" s="10">
        <v>41696</v>
      </c>
      <c r="AB274" s="10">
        <v>41724</v>
      </c>
      <c r="AC274" s="10">
        <v>41724</v>
      </c>
      <c r="AD274" s="10">
        <v>41739</v>
      </c>
      <c r="AH274" s="8">
        <v>1</v>
      </c>
      <c r="AI274" s="8">
        <v>1</v>
      </c>
    </row>
    <row r="275" spans="1:35">
      <c r="A275" s="7">
        <f t="shared" si="91"/>
        <v>1</v>
      </c>
      <c r="B275" s="7" t="str">
        <f t="shared" si="84"/>
        <v>14FW-JILLBY-KNIT-55-BK</v>
      </c>
      <c r="C275" s="7">
        <f t="shared" si="92"/>
        <v>1</v>
      </c>
      <c r="D275" s="7" t="str">
        <f t="shared" si="85"/>
        <v>Y&amp;Y14FW-JILLBY-KNIT-55-BK</v>
      </c>
      <c r="E275" s="12" t="str">
        <f t="shared" si="86"/>
        <v>201402</v>
      </c>
      <c r="F275" s="347" t="str">
        <f>VLOOKUP($AA275,[3]주!$A:$F,6,FALSE)</f>
        <v>2월 4주</v>
      </c>
      <c r="G275" s="7">
        <f t="shared" si="93"/>
        <v>1</v>
      </c>
      <c r="H275" s="7" t="str">
        <f t="shared" si="87"/>
        <v>14FW-JILLBY-KNIT-55-BK</v>
      </c>
      <c r="I275" s="7">
        <f t="shared" si="94"/>
        <v>1</v>
      </c>
      <c r="J275" s="7" t="str">
        <f t="shared" si="88"/>
        <v>Y&amp;Y14FW-JILLBY-KNIT-55-BK</v>
      </c>
      <c r="K275" s="17">
        <f t="shared" si="89"/>
        <v>41739</v>
      </c>
      <c r="L275" s="12" t="str">
        <f t="shared" si="90"/>
        <v>201404</v>
      </c>
      <c r="M275" s="347" t="str">
        <f>VLOOKUP($K275,[3]주!$A:$F,6,FALSE)</f>
        <v>3월 2주</v>
      </c>
      <c r="N275" s="273" t="str">
        <f>IF(VLOOKUP($Z275,생산업체!$A:$C,2,FALSE)=1,"해외","국내")</f>
        <v>해외</v>
      </c>
      <c r="O275" s="12" t="str">
        <f>IF(VLOOKUP($U275,CODE!$K:$P,CODE!P$1,FALSE)="모자",T275,T275&amp;"-"&amp;VLOOKUP($U275,CODE!$K:$P,CODE!P$1,FALSE))</f>
        <v>JIL</v>
      </c>
      <c r="P275" s="11" t="s">
        <v>32</v>
      </c>
      <c r="R275" s="11">
        <v>133</v>
      </c>
      <c r="T275" s="8" t="s">
        <v>32</v>
      </c>
      <c r="U275" s="8" t="s">
        <v>35</v>
      </c>
      <c r="V275" s="8" t="s">
        <v>43</v>
      </c>
      <c r="W275" s="8" t="s">
        <v>1665</v>
      </c>
      <c r="X275" s="8" t="s">
        <v>900</v>
      </c>
      <c r="Y275" s="9">
        <v>1</v>
      </c>
      <c r="Z275" s="8" t="s">
        <v>1415</v>
      </c>
      <c r="AA275" s="10">
        <v>41696</v>
      </c>
      <c r="AB275" s="10">
        <v>41724</v>
      </c>
      <c r="AC275" s="10">
        <v>41724</v>
      </c>
      <c r="AD275" s="10">
        <v>41739</v>
      </c>
      <c r="AH275" s="8">
        <v>1</v>
      </c>
      <c r="AI275" s="8">
        <v>1</v>
      </c>
    </row>
    <row r="276" spans="1:35">
      <c r="A276" s="7">
        <f t="shared" si="91"/>
        <v>1</v>
      </c>
      <c r="B276" s="7" t="str">
        <f t="shared" si="84"/>
        <v>14FW-JILLBY-KNIT-55-PP</v>
      </c>
      <c r="C276" s="7">
        <f t="shared" si="92"/>
        <v>1</v>
      </c>
      <c r="D276" s="7" t="str">
        <f t="shared" si="85"/>
        <v>Y&amp;Y14FW-JILLBY-KNIT-55-PP</v>
      </c>
      <c r="E276" s="12" t="str">
        <f t="shared" si="86"/>
        <v>201402</v>
      </c>
      <c r="F276" s="347" t="str">
        <f>VLOOKUP($AA276,[3]주!$A:$F,6,FALSE)</f>
        <v>2월 4주</v>
      </c>
      <c r="G276" s="7">
        <f t="shared" si="93"/>
        <v>1</v>
      </c>
      <c r="H276" s="7" t="str">
        <f t="shared" si="87"/>
        <v>14FW-JILLBY-KNIT-55-PP</v>
      </c>
      <c r="I276" s="7">
        <f t="shared" si="94"/>
        <v>1</v>
      </c>
      <c r="J276" s="7" t="str">
        <f t="shared" si="88"/>
        <v>Y&amp;Y14FW-JILLBY-KNIT-55-PP</v>
      </c>
      <c r="K276" s="17">
        <f t="shared" si="89"/>
        <v>41739</v>
      </c>
      <c r="L276" s="12" t="str">
        <f t="shared" si="90"/>
        <v>201404</v>
      </c>
      <c r="M276" s="347" t="str">
        <f>VLOOKUP($K276,[3]주!$A:$F,6,FALSE)</f>
        <v>3월 2주</v>
      </c>
      <c r="N276" s="273" t="str">
        <f>IF(VLOOKUP($Z276,생산업체!$A:$C,2,FALSE)=1,"해외","국내")</f>
        <v>해외</v>
      </c>
      <c r="O276" s="12" t="str">
        <f>IF(VLOOKUP($U276,CODE!$K:$P,CODE!P$1,FALSE)="모자",T276,T276&amp;"-"&amp;VLOOKUP($U276,CODE!$K:$P,CODE!P$1,FALSE))</f>
        <v>JIL</v>
      </c>
      <c r="P276" s="11" t="s">
        <v>32</v>
      </c>
      <c r="R276" s="11">
        <v>134</v>
      </c>
      <c r="T276" s="8" t="s">
        <v>32</v>
      </c>
      <c r="U276" s="8" t="s">
        <v>35</v>
      </c>
      <c r="V276" s="8" t="s">
        <v>43</v>
      </c>
      <c r="W276" s="8" t="s">
        <v>1666</v>
      </c>
      <c r="X276" s="8" t="s">
        <v>900</v>
      </c>
      <c r="Y276" s="9">
        <v>1</v>
      </c>
      <c r="Z276" s="8" t="s">
        <v>1415</v>
      </c>
      <c r="AA276" s="10">
        <v>41696</v>
      </c>
      <c r="AB276" s="10">
        <v>41724</v>
      </c>
      <c r="AC276" s="10">
        <v>41724</v>
      </c>
      <c r="AD276" s="10">
        <v>41739</v>
      </c>
      <c r="AH276" s="8">
        <v>1</v>
      </c>
      <c r="AI276" s="8">
        <v>1</v>
      </c>
    </row>
    <row r="277" spans="1:35">
      <c r="A277" s="7">
        <f t="shared" si="91"/>
        <v>1</v>
      </c>
      <c r="B277" s="7" t="str">
        <f t="shared" si="84"/>
        <v>14FW-JILLBY-KNIT-56-BG</v>
      </c>
      <c r="C277" s="7">
        <f t="shared" si="92"/>
        <v>1</v>
      </c>
      <c r="D277" s="7" t="str">
        <f t="shared" si="85"/>
        <v>FOREMOST14FW-JILLBY-KNIT-56-BG</v>
      </c>
      <c r="E277" s="12" t="str">
        <f t="shared" si="86"/>
        <v>201402</v>
      </c>
      <c r="F277" s="347" t="str">
        <f>VLOOKUP($AA277,[3]주!$A:$F,6,FALSE)</f>
        <v>2월 4주</v>
      </c>
      <c r="G277" s="7">
        <f t="shared" si="93"/>
        <v>1</v>
      </c>
      <c r="H277" s="7" t="str">
        <f t="shared" si="87"/>
        <v>14FW-JILLBY-KNIT-56-BG</v>
      </c>
      <c r="I277" s="7">
        <f t="shared" si="94"/>
        <v>1</v>
      </c>
      <c r="J277" s="7" t="str">
        <f t="shared" si="88"/>
        <v>FOREMOST14FW-JILLBY-KNIT-56-BG</v>
      </c>
      <c r="K277" s="17">
        <f t="shared" si="89"/>
        <v>41732</v>
      </c>
      <c r="L277" s="12" t="str">
        <f t="shared" si="90"/>
        <v>201404</v>
      </c>
      <c r="M277" s="347" t="str">
        <f>VLOOKUP($K277,[3]주!$A:$F,6,FALSE)</f>
        <v>3월 2주</v>
      </c>
      <c r="N277" s="273" t="str">
        <f>IF(VLOOKUP($Z277,생산업체!$A:$C,2,FALSE)=1,"해외","국내")</f>
        <v>해외</v>
      </c>
      <c r="O277" s="12" t="str">
        <f>IF(VLOOKUP($U277,CODE!$K:$P,CODE!P$1,FALSE)="모자",T277,T277&amp;"-"&amp;VLOOKUP($U277,CODE!$K:$P,CODE!P$1,FALSE))</f>
        <v>JIL</v>
      </c>
      <c r="P277" s="11" t="s">
        <v>32</v>
      </c>
      <c r="R277" s="11">
        <v>135</v>
      </c>
      <c r="T277" s="8" t="s">
        <v>32</v>
      </c>
      <c r="U277" s="8" t="s">
        <v>35</v>
      </c>
      <c r="V277" s="8" t="s">
        <v>43</v>
      </c>
      <c r="W277" s="8" t="s">
        <v>1667</v>
      </c>
      <c r="X277" s="8" t="s">
        <v>900</v>
      </c>
      <c r="Y277" s="9">
        <v>1</v>
      </c>
      <c r="Z277" s="8" t="s">
        <v>6</v>
      </c>
      <c r="AA277" s="10">
        <v>41696</v>
      </c>
      <c r="AB277" s="10">
        <v>41724</v>
      </c>
      <c r="AC277" s="10">
        <v>41724</v>
      </c>
      <c r="AD277" s="10">
        <v>41732</v>
      </c>
      <c r="AE277" s="8">
        <v>5.5</v>
      </c>
      <c r="AH277" s="8">
        <v>1</v>
      </c>
      <c r="AI277" s="8">
        <v>1</v>
      </c>
    </row>
    <row r="278" spans="1:35">
      <c r="A278" s="7">
        <f t="shared" si="91"/>
        <v>1</v>
      </c>
      <c r="B278" s="7" t="str">
        <f t="shared" si="84"/>
        <v>14FW-JILLBY-KNIT-56-BK</v>
      </c>
      <c r="C278" s="7">
        <f t="shared" si="92"/>
        <v>1</v>
      </c>
      <c r="D278" s="7" t="str">
        <f t="shared" si="85"/>
        <v>FOREMOST14FW-JILLBY-KNIT-56-BK</v>
      </c>
      <c r="E278" s="12" t="str">
        <f t="shared" si="86"/>
        <v>201402</v>
      </c>
      <c r="F278" s="347" t="str">
        <f>VLOOKUP($AA278,[3]주!$A:$F,6,FALSE)</f>
        <v>2월 4주</v>
      </c>
      <c r="G278" s="7">
        <f t="shared" si="93"/>
        <v>1</v>
      </c>
      <c r="H278" s="7" t="str">
        <f t="shared" si="87"/>
        <v>14FW-JILLBY-KNIT-56-BK</v>
      </c>
      <c r="I278" s="7">
        <f t="shared" si="94"/>
        <v>1</v>
      </c>
      <c r="J278" s="7" t="str">
        <f t="shared" si="88"/>
        <v>FOREMOST14FW-JILLBY-KNIT-56-BK</v>
      </c>
      <c r="K278" s="17">
        <f t="shared" si="89"/>
        <v>41732</v>
      </c>
      <c r="L278" s="12" t="str">
        <f t="shared" si="90"/>
        <v>201404</v>
      </c>
      <c r="M278" s="347" t="str">
        <f>VLOOKUP($K278,[3]주!$A:$F,6,FALSE)</f>
        <v>3월 2주</v>
      </c>
      <c r="N278" s="273" t="str">
        <f>IF(VLOOKUP($Z278,생산업체!$A:$C,2,FALSE)=1,"해외","국내")</f>
        <v>해외</v>
      </c>
      <c r="O278" s="12" t="str">
        <f>IF(VLOOKUP($U278,CODE!$K:$P,CODE!P$1,FALSE)="모자",T278,T278&amp;"-"&amp;VLOOKUP($U278,CODE!$K:$P,CODE!P$1,FALSE))</f>
        <v>JIL</v>
      </c>
      <c r="P278" s="11" t="s">
        <v>32</v>
      </c>
      <c r="R278" s="11">
        <v>136</v>
      </c>
      <c r="T278" s="8" t="s">
        <v>32</v>
      </c>
      <c r="U278" s="8" t="s">
        <v>35</v>
      </c>
      <c r="V278" s="8" t="s">
        <v>43</v>
      </c>
      <c r="W278" s="8" t="s">
        <v>1668</v>
      </c>
      <c r="X278" s="8" t="s">
        <v>900</v>
      </c>
      <c r="Y278" s="9">
        <v>1</v>
      </c>
      <c r="Z278" s="8" t="s">
        <v>6</v>
      </c>
      <c r="AA278" s="10">
        <v>41696</v>
      </c>
      <c r="AB278" s="10">
        <v>41724</v>
      </c>
      <c r="AC278" s="10">
        <v>41724</v>
      </c>
      <c r="AD278" s="10">
        <v>41732</v>
      </c>
      <c r="AE278" s="8">
        <v>5.5</v>
      </c>
      <c r="AH278" s="8">
        <v>1</v>
      </c>
      <c r="AI278" s="8">
        <v>1</v>
      </c>
    </row>
    <row r="279" spans="1:35">
      <c r="A279" s="7">
        <f t="shared" si="91"/>
        <v>1</v>
      </c>
      <c r="B279" s="7" t="str">
        <f t="shared" si="84"/>
        <v>14FW-JILLBY-KNIT-57-BK</v>
      </c>
      <c r="C279" s="7">
        <f t="shared" si="92"/>
        <v>1</v>
      </c>
      <c r="D279" s="7" t="str">
        <f t="shared" si="85"/>
        <v>FOREMOST14FW-JILLBY-KNIT-57-BK</v>
      </c>
      <c r="E279" s="12" t="str">
        <f t="shared" si="86"/>
        <v>201402</v>
      </c>
      <c r="F279" s="347" t="str">
        <f>VLOOKUP($AA279,[3]주!$A:$F,6,FALSE)</f>
        <v>2월 4주</v>
      </c>
      <c r="G279" s="7">
        <f t="shared" si="93"/>
        <v>1</v>
      </c>
      <c r="H279" s="7" t="str">
        <f t="shared" si="87"/>
        <v>14FW-JILLBY-KNIT-57-BK</v>
      </c>
      <c r="I279" s="7">
        <f t="shared" si="94"/>
        <v>1</v>
      </c>
      <c r="J279" s="7" t="str">
        <f t="shared" si="88"/>
        <v>FOREMOST14FW-JILLBY-KNIT-57-BK</v>
      </c>
      <c r="K279" s="17">
        <f t="shared" si="89"/>
        <v>41730</v>
      </c>
      <c r="L279" s="12" t="str">
        <f t="shared" si="90"/>
        <v>201404</v>
      </c>
      <c r="M279" s="347" t="str">
        <f>VLOOKUP($K279,[3]주!$A:$F,6,FALSE)</f>
        <v>3월 2주</v>
      </c>
      <c r="N279" s="273" t="str">
        <f>IF(VLOOKUP($Z279,생산업체!$A:$C,2,FALSE)=1,"해외","국내")</f>
        <v>해외</v>
      </c>
      <c r="O279" s="12" t="str">
        <f>IF(VLOOKUP($U279,CODE!$K:$P,CODE!P$1,FALSE)="모자",T279,T279&amp;"-"&amp;VLOOKUP($U279,CODE!$K:$P,CODE!P$1,FALSE))</f>
        <v>JIL</v>
      </c>
      <c r="P279" s="11" t="s">
        <v>32</v>
      </c>
      <c r="R279" s="11">
        <v>137</v>
      </c>
      <c r="T279" s="8" t="s">
        <v>32</v>
      </c>
      <c r="U279" s="8" t="s">
        <v>35</v>
      </c>
      <c r="V279" s="8" t="s">
        <v>43</v>
      </c>
      <c r="W279" s="8" t="s">
        <v>1669</v>
      </c>
      <c r="X279" s="8" t="s">
        <v>900</v>
      </c>
      <c r="Y279" s="9">
        <v>1</v>
      </c>
      <c r="Z279" s="8" t="s">
        <v>6</v>
      </c>
      <c r="AA279" s="10">
        <v>41696</v>
      </c>
      <c r="AB279" s="10">
        <v>41724</v>
      </c>
      <c r="AC279" s="10">
        <v>41724</v>
      </c>
      <c r="AD279" s="10">
        <v>41730</v>
      </c>
      <c r="AE279" s="8">
        <v>4.6500000000000004</v>
      </c>
      <c r="AH279" s="8">
        <v>1</v>
      </c>
      <c r="AI279" s="8">
        <v>1</v>
      </c>
    </row>
    <row r="280" spans="1:35">
      <c r="A280" s="7">
        <f t="shared" si="91"/>
        <v>1</v>
      </c>
      <c r="B280" s="7" t="str">
        <f t="shared" si="84"/>
        <v>14FW-JILLBY-KNIT-57-KH</v>
      </c>
      <c r="C280" s="7">
        <f t="shared" si="92"/>
        <v>1</v>
      </c>
      <c r="D280" s="7" t="str">
        <f t="shared" si="85"/>
        <v>FOREMOST14FW-JILLBY-KNIT-57-KH</v>
      </c>
      <c r="E280" s="12" t="str">
        <f t="shared" si="86"/>
        <v>201402</v>
      </c>
      <c r="F280" s="347" t="str">
        <f>VLOOKUP($AA280,[3]주!$A:$F,6,FALSE)</f>
        <v>2월 4주</v>
      </c>
      <c r="G280" s="7">
        <f t="shared" si="93"/>
        <v>1</v>
      </c>
      <c r="H280" s="7" t="str">
        <f t="shared" si="87"/>
        <v>14FW-JILLBY-KNIT-57-KH</v>
      </c>
      <c r="I280" s="7">
        <f t="shared" si="94"/>
        <v>1</v>
      </c>
      <c r="J280" s="7" t="str">
        <f t="shared" si="88"/>
        <v>FOREMOST14FW-JILLBY-KNIT-57-KH</v>
      </c>
      <c r="K280" s="17">
        <f t="shared" si="89"/>
        <v>41730</v>
      </c>
      <c r="L280" s="12" t="str">
        <f t="shared" si="90"/>
        <v>201404</v>
      </c>
      <c r="M280" s="347" t="str">
        <f>VLOOKUP($K280,[3]주!$A:$F,6,FALSE)</f>
        <v>3월 2주</v>
      </c>
      <c r="N280" s="273" t="str">
        <f>IF(VLOOKUP($Z280,생산업체!$A:$C,2,FALSE)=1,"해외","국내")</f>
        <v>해외</v>
      </c>
      <c r="O280" s="12" t="str">
        <f>IF(VLOOKUP($U280,CODE!$K:$P,CODE!P$1,FALSE)="모자",T280,T280&amp;"-"&amp;VLOOKUP($U280,CODE!$K:$P,CODE!P$1,FALSE))</f>
        <v>JIL</v>
      </c>
      <c r="P280" s="11" t="s">
        <v>32</v>
      </c>
      <c r="R280" s="11">
        <v>138</v>
      </c>
      <c r="T280" s="8" t="s">
        <v>32</v>
      </c>
      <c r="U280" s="8" t="s">
        <v>35</v>
      </c>
      <c r="V280" s="8" t="s">
        <v>43</v>
      </c>
      <c r="W280" s="8" t="s">
        <v>1670</v>
      </c>
      <c r="X280" s="8" t="s">
        <v>900</v>
      </c>
      <c r="Y280" s="9">
        <v>1</v>
      </c>
      <c r="Z280" s="8" t="s">
        <v>6</v>
      </c>
      <c r="AA280" s="10">
        <v>41696</v>
      </c>
      <c r="AB280" s="10">
        <v>41724</v>
      </c>
      <c r="AC280" s="10">
        <v>41724</v>
      </c>
      <c r="AD280" s="10">
        <v>41730</v>
      </c>
      <c r="AE280" s="8">
        <v>4.6500000000000004</v>
      </c>
      <c r="AH280" s="8">
        <v>1</v>
      </c>
      <c r="AI280" s="8">
        <v>1</v>
      </c>
    </row>
    <row r="281" spans="1:35">
      <c r="A281" s="7">
        <f t="shared" si="91"/>
        <v>1</v>
      </c>
      <c r="B281" s="7" t="str">
        <f t="shared" si="84"/>
        <v>14FW-JILLBY-KNIT-58-BG</v>
      </c>
      <c r="C281" s="7">
        <f t="shared" si="92"/>
        <v>1</v>
      </c>
      <c r="D281" s="7" t="str">
        <f t="shared" si="85"/>
        <v>FOREMOST14FW-JILLBY-KNIT-58-BG</v>
      </c>
      <c r="E281" s="12" t="str">
        <f t="shared" si="86"/>
        <v>201402</v>
      </c>
      <c r="F281" s="347" t="str">
        <f>VLOOKUP($AA281,[3]주!$A:$F,6,FALSE)</f>
        <v>2월 4주</v>
      </c>
      <c r="G281" s="7">
        <f t="shared" si="93"/>
        <v>1</v>
      </c>
      <c r="H281" s="7" t="str">
        <f t="shared" si="87"/>
        <v>14FW-JILLBY-KNIT-58-BG</v>
      </c>
      <c r="I281" s="7">
        <f t="shared" si="94"/>
        <v>1</v>
      </c>
      <c r="J281" s="7" t="str">
        <f t="shared" si="88"/>
        <v>FOREMOST14FW-JILLBY-KNIT-58-BG</v>
      </c>
      <c r="K281" s="17">
        <f t="shared" si="89"/>
        <v>41753</v>
      </c>
      <c r="L281" s="12" t="str">
        <f t="shared" si="90"/>
        <v>201404</v>
      </c>
      <c r="M281" s="347" t="str">
        <f>VLOOKUP($K281,[3]주!$A:$F,6,FALSE)</f>
        <v>3월 2주</v>
      </c>
      <c r="N281" s="273" t="str">
        <f>IF(VLOOKUP($Z281,생산업체!$A:$C,2,FALSE)=1,"해외","국내")</f>
        <v>해외</v>
      </c>
      <c r="O281" s="12" t="str">
        <f>IF(VLOOKUP($U281,CODE!$K:$P,CODE!P$1,FALSE)="모자",T281,T281&amp;"-"&amp;VLOOKUP($U281,CODE!$K:$P,CODE!P$1,FALSE))</f>
        <v>JIL</v>
      </c>
      <c r="P281" s="11" t="s">
        <v>32</v>
      </c>
      <c r="R281" s="11">
        <v>139</v>
      </c>
      <c r="T281" s="8" t="s">
        <v>32</v>
      </c>
      <c r="U281" s="8" t="s">
        <v>35</v>
      </c>
      <c r="V281" s="8" t="s">
        <v>43</v>
      </c>
      <c r="W281" s="8" t="s">
        <v>1671</v>
      </c>
      <c r="X281" s="8" t="s">
        <v>900</v>
      </c>
      <c r="Y281" s="9">
        <v>1</v>
      </c>
      <c r="Z281" s="8" t="s">
        <v>6</v>
      </c>
      <c r="AA281" s="10">
        <v>41696</v>
      </c>
      <c r="AB281" s="10">
        <v>41724</v>
      </c>
      <c r="AC281" s="10">
        <v>41724</v>
      </c>
      <c r="AD281" s="10">
        <v>41753</v>
      </c>
      <c r="AE281" s="8">
        <v>6.65</v>
      </c>
      <c r="AH281" s="8">
        <v>1</v>
      </c>
      <c r="AI281" s="8">
        <v>1</v>
      </c>
    </row>
    <row r="282" spans="1:35">
      <c r="A282" s="7">
        <f t="shared" si="91"/>
        <v>1</v>
      </c>
      <c r="B282" s="7" t="str">
        <f t="shared" si="84"/>
        <v>14FW-JILLBY-KNIT-58-GY</v>
      </c>
      <c r="C282" s="7">
        <f t="shared" si="92"/>
        <v>1</v>
      </c>
      <c r="D282" s="7" t="str">
        <f t="shared" si="85"/>
        <v>FOREMOST14FW-JILLBY-KNIT-58-GY</v>
      </c>
      <c r="E282" s="12" t="str">
        <f t="shared" si="86"/>
        <v>201402</v>
      </c>
      <c r="F282" s="347" t="str">
        <f>VLOOKUP($AA282,[3]주!$A:$F,6,FALSE)</f>
        <v>2월 4주</v>
      </c>
      <c r="G282" s="7">
        <f t="shared" si="93"/>
        <v>1</v>
      </c>
      <c r="H282" s="7" t="str">
        <f t="shared" si="87"/>
        <v>14FW-JILLBY-KNIT-58-GY</v>
      </c>
      <c r="I282" s="7">
        <f t="shared" si="94"/>
        <v>1</v>
      </c>
      <c r="J282" s="7" t="str">
        <f t="shared" si="88"/>
        <v>FOREMOST14FW-JILLBY-KNIT-58-GY</v>
      </c>
      <c r="K282" s="17">
        <f t="shared" si="89"/>
        <v>41753</v>
      </c>
      <c r="L282" s="12" t="str">
        <f t="shared" si="90"/>
        <v>201404</v>
      </c>
      <c r="M282" s="347" t="str">
        <f>VLOOKUP($K282,[3]주!$A:$F,6,FALSE)</f>
        <v>3월 2주</v>
      </c>
      <c r="N282" s="273" t="str">
        <f>IF(VLOOKUP($Z282,생산업체!$A:$C,2,FALSE)=1,"해외","국내")</f>
        <v>해외</v>
      </c>
      <c r="O282" s="12" t="str">
        <f>IF(VLOOKUP($U282,CODE!$K:$P,CODE!P$1,FALSE)="모자",T282,T282&amp;"-"&amp;VLOOKUP($U282,CODE!$K:$P,CODE!P$1,FALSE))</f>
        <v>JIL</v>
      </c>
      <c r="P282" s="11" t="s">
        <v>32</v>
      </c>
      <c r="R282" s="11">
        <v>140</v>
      </c>
      <c r="T282" s="8" t="s">
        <v>32</v>
      </c>
      <c r="U282" s="8" t="s">
        <v>35</v>
      </c>
      <c r="V282" s="8" t="s">
        <v>43</v>
      </c>
      <c r="W282" s="8" t="s">
        <v>1672</v>
      </c>
      <c r="X282" s="8" t="s">
        <v>900</v>
      </c>
      <c r="Y282" s="9">
        <v>1</v>
      </c>
      <c r="Z282" s="8" t="s">
        <v>6</v>
      </c>
      <c r="AA282" s="10">
        <v>41696</v>
      </c>
      <c r="AB282" s="10">
        <v>41724</v>
      </c>
      <c r="AC282" s="10">
        <v>41724</v>
      </c>
      <c r="AD282" s="10">
        <v>41753</v>
      </c>
      <c r="AE282" s="8">
        <v>6.65</v>
      </c>
      <c r="AH282" s="8">
        <v>1</v>
      </c>
      <c r="AI282" s="8">
        <v>1</v>
      </c>
    </row>
    <row r="283" spans="1:35">
      <c r="A283" s="7">
        <f t="shared" si="91"/>
        <v>1</v>
      </c>
      <c r="B283" s="7" t="str">
        <f t="shared" si="84"/>
        <v>14FW-JILLBY-KNIT-59-MT</v>
      </c>
      <c r="C283" s="7">
        <f t="shared" si="92"/>
        <v>1</v>
      </c>
      <c r="D283" s="7" t="str">
        <f t="shared" si="85"/>
        <v>FOREMOST14FW-JILLBY-KNIT-59-MT</v>
      </c>
      <c r="E283" s="12" t="str">
        <f t="shared" si="86"/>
        <v>201402</v>
      </c>
      <c r="F283" s="347" t="str">
        <f>VLOOKUP($AA283,[3]주!$A:$F,6,FALSE)</f>
        <v>2월 4주</v>
      </c>
      <c r="G283" s="7">
        <f t="shared" si="93"/>
        <v>1</v>
      </c>
      <c r="H283" s="7" t="str">
        <f t="shared" si="87"/>
        <v>14FW-JILLBY-KNIT-59-MT</v>
      </c>
      <c r="I283" s="7">
        <f t="shared" si="94"/>
        <v>1</v>
      </c>
      <c r="J283" s="7" t="str">
        <f t="shared" si="88"/>
        <v>FOREMOST14FW-JILLBY-KNIT-59-MT</v>
      </c>
      <c r="K283" s="17">
        <f t="shared" si="89"/>
        <v>41743</v>
      </c>
      <c r="L283" s="12" t="str">
        <f t="shared" si="90"/>
        <v>201404</v>
      </c>
      <c r="M283" s="347" t="str">
        <f>VLOOKUP($K283,[3]주!$A:$F,6,FALSE)</f>
        <v>3월 2주</v>
      </c>
      <c r="N283" s="273" t="str">
        <f>IF(VLOOKUP($Z283,생산업체!$A:$C,2,FALSE)=1,"해외","국내")</f>
        <v>해외</v>
      </c>
      <c r="O283" s="12" t="str">
        <f>IF(VLOOKUP($U283,CODE!$K:$P,CODE!P$1,FALSE)="모자",T283,T283&amp;"-"&amp;VLOOKUP($U283,CODE!$K:$P,CODE!P$1,FALSE))</f>
        <v>JIL</v>
      </c>
      <c r="P283" s="11" t="s">
        <v>32</v>
      </c>
      <c r="R283" s="11">
        <v>141</v>
      </c>
      <c r="T283" s="8" t="s">
        <v>32</v>
      </c>
      <c r="U283" s="8" t="s">
        <v>35</v>
      </c>
      <c r="V283" s="8" t="s">
        <v>43</v>
      </c>
      <c r="W283" s="8" t="s">
        <v>1673</v>
      </c>
      <c r="X283" s="8" t="s">
        <v>900</v>
      </c>
      <c r="Y283" s="9">
        <v>1</v>
      </c>
      <c r="Z283" s="8" t="s">
        <v>6</v>
      </c>
      <c r="AA283" s="10">
        <v>41696</v>
      </c>
      <c r="AB283" s="10">
        <v>41724</v>
      </c>
      <c r="AC283" s="10">
        <v>41724</v>
      </c>
      <c r="AD283" s="10">
        <v>41743</v>
      </c>
      <c r="AE283" s="8">
        <v>7.9</v>
      </c>
      <c r="AH283" s="8">
        <v>1</v>
      </c>
      <c r="AI283" s="8">
        <v>1</v>
      </c>
    </row>
    <row r="284" spans="1:35">
      <c r="A284" s="7">
        <f t="shared" si="91"/>
        <v>1</v>
      </c>
      <c r="B284" s="7" t="str">
        <f t="shared" si="84"/>
        <v>14FW-JILLBY-KNIT-59-PK</v>
      </c>
      <c r="C284" s="7">
        <f t="shared" si="92"/>
        <v>1</v>
      </c>
      <c r="D284" s="7" t="str">
        <f t="shared" si="85"/>
        <v>FOREMOST14FW-JILLBY-KNIT-59-PK</v>
      </c>
      <c r="E284" s="12" t="str">
        <f t="shared" si="86"/>
        <v>201402</v>
      </c>
      <c r="F284" s="347" t="str">
        <f>VLOOKUP($AA284,[3]주!$A:$F,6,FALSE)</f>
        <v>2월 4주</v>
      </c>
      <c r="G284" s="7">
        <f t="shared" si="93"/>
        <v>1</v>
      </c>
      <c r="H284" s="7" t="str">
        <f t="shared" si="87"/>
        <v>14FW-JILLBY-KNIT-59-PK</v>
      </c>
      <c r="I284" s="7">
        <f t="shared" si="94"/>
        <v>1</v>
      </c>
      <c r="J284" s="7" t="str">
        <f t="shared" si="88"/>
        <v>FOREMOST14FW-JILLBY-KNIT-59-PK</v>
      </c>
      <c r="K284" s="17">
        <f t="shared" si="89"/>
        <v>41743</v>
      </c>
      <c r="L284" s="12" t="str">
        <f t="shared" si="90"/>
        <v>201404</v>
      </c>
      <c r="M284" s="347" t="str">
        <f>VLOOKUP($K284,[3]주!$A:$F,6,FALSE)</f>
        <v>3월 2주</v>
      </c>
      <c r="N284" s="273" t="str">
        <f>IF(VLOOKUP($Z284,생산업체!$A:$C,2,FALSE)=1,"해외","국내")</f>
        <v>해외</v>
      </c>
      <c r="O284" s="12" t="str">
        <f>IF(VLOOKUP($U284,CODE!$K:$P,CODE!P$1,FALSE)="모자",T284,T284&amp;"-"&amp;VLOOKUP($U284,CODE!$K:$P,CODE!P$1,FALSE))</f>
        <v>JIL</v>
      </c>
      <c r="P284" s="11" t="s">
        <v>32</v>
      </c>
      <c r="R284" s="11">
        <v>142</v>
      </c>
      <c r="T284" s="8" t="s">
        <v>32</v>
      </c>
      <c r="U284" s="8" t="s">
        <v>35</v>
      </c>
      <c r="V284" s="8" t="s">
        <v>43</v>
      </c>
      <c r="W284" s="8" t="s">
        <v>1674</v>
      </c>
      <c r="X284" s="8" t="s">
        <v>900</v>
      </c>
      <c r="Y284" s="9">
        <v>1</v>
      </c>
      <c r="Z284" s="8" t="s">
        <v>6</v>
      </c>
      <c r="AA284" s="10">
        <v>41696</v>
      </c>
      <c r="AB284" s="10">
        <v>41724</v>
      </c>
      <c r="AC284" s="10">
        <v>41724</v>
      </c>
      <c r="AD284" s="10">
        <v>41743</v>
      </c>
      <c r="AE284" s="8">
        <v>7.9</v>
      </c>
      <c r="AH284" s="8">
        <v>1</v>
      </c>
      <c r="AI284" s="8">
        <v>1</v>
      </c>
    </row>
    <row r="285" spans="1:35">
      <c r="A285" s="7">
        <f t="shared" si="91"/>
        <v>1</v>
      </c>
      <c r="B285" s="7" t="str">
        <f t="shared" si="84"/>
        <v>14FW-JILLBY-KNIT-60-GY</v>
      </c>
      <c r="C285" s="7">
        <f t="shared" si="92"/>
        <v>1</v>
      </c>
      <c r="D285" s="7" t="str">
        <f t="shared" si="85"/>
        <v>FOREMOST14FW-JILLBY-KNIT-60-GY</v>
      </c>
      <c r="E285" s="12" t="str">
        <f t="shared" si="86"/>
        <v>201402</v>
      </c>
      <c r="F285" s="347" t="str">
        <f>VLOOKUP($AA285,[3]주!$A:$F,6,FALSE)</f>
        <v>2월 4주</v>
      </c>
      <c r="G285" s="7">
        <f t="shared" si="93"/>
        <v>1</v>
      </c>
      <c r="H285" s="7" t="str">
        <f t="shared" si="87"/>
        <v>14FW-JILLBY-KNIT-60-GY</v>
      </c>
      <c r="I285" s="7">
        <f t="shared" si="94"/>
        <v>1</v>
      </c>
      <c r="J285" s="7" t="str">
        <f t="shared" si="88"/>
        <v>FOREMOST14FW-JILLBY-KNIT-60-GY</v>
      </c>
      <c r="K285" s="17">
        <f t="shared" si="89"/>
        <v>41740</v>
      </c>
      <c r="L285" s="12" t="str">
        <f t="shared" si="90"/>
        <v>201404</v>
      </c>
      <c r="M285" s="347" t="str">
        <f>VLOOKUP($K285,[3]주!$A:$F,6,FALSE)</f>
        <v>3월 2주</v>
      </c>
      <c r="N285" s="273" t="str">
        <f>IF(VLOOKUP($Z285,생산업체!$A:$C,2,FALSE)=1,"해외","국내")</f>
        <v>해외</v>
      </c>
      <c r="O285" s="12" t="str">
        <f>IF(VLOOKUP($U285,CODE!$K:$P,CODE!P$1,FALSE)="모자",T285,T285&amp;"-"&amp;VLOOKUP($U285,CODE!$K:$P,CODE!P$1,FALSE))</f>
        <v>JIL</v>
      </c>
      <c r="P285" s="11" t="s">
        <v>32</v>
      </c>
      <c r="R285" s="11">
        <v>143</v>
      </c>
      <c r="T285" s="8" t="s">
        <v>32</v>
      </c>
      <c r="U285" s="8" t="s">
        <v>35</v>
      </c>
      <c r="V285" s="8" t="s">
        <v>43</v>
      </c>
      <c r="W285" s="8" t="s">
        <v>1675</v>
      </c>
      <c r="X285" s="8" t="s">
        <v>124</v>
      </c>
      <c r="Y285" s="9">
        <v>1</v>
      </c>
      <c r="Z285" s="8" t="s">
        <v>6</v>
      </c>
      <c r="AA285" s="10">
        <v>41696</v>
      </c>
      <c r="AB285" s="10">
        <v>41724</v>
      </c>
      <c r="AC285" s="10">
        <v>41724</v>
      </c>
      <c r="AD285" s="10">
        <v>41740</v>
      </c>
      <c r="AH285" s="8">
        <v>1</v>
      </c>
      <c r="AI285" s="8">
        <v>1</v>
      </c>
    </row>
    <row r="286" spans="1:35">
      <c r="A286" s="7">
        <f t="shared" si="91"/>
        <v>1</v>
      </c>
      <c r="B286" s="7" t="str">
        <f t="shared" si="84"/>
        <v>14FW-JILLBY-KNIT-60-PK-KIDS</v>
      </c>
      <c r="C286" s="7">
        <f t="shared" si="92"/>
        <v>1</v>
      </c>
      <c r="D286" s="7" t="str">
        <f t="shared" si="85"/>
        <v>FOREMOST14FW-JILLBY-KNIT-60-PK-KIDS</v>
      </c>
      <c r="E286" s="12" t="str">
        <f t="shared" si="86"/>
        <v>201402</v>
      </c>
      <c r="F286" s="347" t="str">
        <f>VLOOKUP($AA286,[3]주!$A:$F,6,FALSE)</f>
        <v>2월 4주</v>
      </c>
      <c r="G286" s="7">
        <f t="shared" si="93"/>
        <v>1</v>
      </c>
      <c r="H286" s="7" t="str">
        <f t="shared" si="87"/>
        <v>14FW-JILLBY-KNIT-60-PK-KIDS</v>
      </c>
      <c r="I286" s="7">
        <f t="shared" si="94"/>
        <v>1</v>
      </c>
      <c r="J286" s="7" t="str">
        <f t="shared" si="88"/>
        <v>FOREMOST14FW-JILLBY-KNIT-60-PK-KIDS</v>
      </c>
      <c r="K286" s="17">
        <f t="shared" si="89"/>
        <v>41740</v>
      </c>
      <c r="L286" s="12" t="str">
        <f t="shared" si="90"/>
        <v>201404</v>
      </c>
      <c r="M286" s="347" t="str">
        <f>VLOOKUP($K286,[3]주!$A:$F,6,FALSE)</f>
        <v>3월 2주</v>
      </c>
      <c r="N286" s="273" t="str">
        <f>IF(VLOOKUP($Z286,생산업체!$A:$C,2,FALSE)=1,"해외","국내")</f>
        <v>해외</v>
      </c>
      <c r="O286" s="12" t="str">
        <f>IF(VLOOKUP($U286,CODE!$K:$P,CODE!P$1,FALSE)="모자",T286,T286&amp;"-"&amp;VLOOKUP($U286,CODE!$K:$P,CODE!P$1,FALSE))</f>
        <v>JIL</v>
      </c>
      <c r="P286" s="11" t="s">
        <v>32</v>
      </c>
      <c r="R286" s="11">
        <v>144</v>
      </c>
      <c r="T286" s="8" t="s">
        <v>32</v>
      </c>
      <c r="U286" s="8" t="s">
        <v>35</v>
      </c>
      <c r="V286" s="8" t="s">
        <v>43</v>
      </c>
      <c r="W286" s="8" t="s">
        <v>1676</v>
      </c>
      <c r="X286" s="8" t="s">
        <v>124</v>
      </c>
      <c r="Y286" s="9">
        <v>1</v>
      </c>
      <c r="Z286" s="8" t="s">
        <v>6</v>
      </c>
      <c r="AA286" s="10">
        <v>41696</v>
      </c>
      <c r="AB286" s="10">
        <v>41724</v>
      </c>
      <c r="AC286" s="10">
        <v>41724</v>
      </c>
      <c r="AD286" s="10">
        <v>41740</v>
      </c>
      <c r="AH286" s="8">
        <v>1</v>
      </c>
      <c r="AI286" s="8">
        <v>1</v>
      </c>
    </row>
    <row r="287" spans="1:35">
      <c r="A287" s="7">
        <f t="shared" si="91"/>
        <v>1</v>
      </c>
      <c r="B287" s="7" t="str">
        <f t="shared" si="84"/>
        <v>14FW-JILLBY-KNIT-33-RD</v>
      </c>
      <c r="C287" s="7">
        <f t="shared" si="92"/>
        <v>1</v>
      </c>
      <c r="D287" s="7" t="str">
        <f t="shared" si="85"/>
        <v>FOREMOST14FW-JILLBY-KNIT-33-RD</v>
      </c>
      <c r="E287" s="12" t="str">
        <f t="shared" si="86"/>
        <v>201403</v>
      </c>
      <c r="F287" s="347" t="str">
        <f>VLOOKUP($AA287,[3]주!$A:$F,6,FALSE)</f>
        <v>3월 1주</v>
      </c>
      <c r="G287" s="7">
        <f t="shared" si="93"/>
        <v>1</v>
      </c>
      <c r="H287" s="7" t="str">
        <f t="shared" si="87"/>
        <v>14FW-JILLBY-KNIT-33-RD</v>
      </c>
      <c r="I287" s="7">
        <f t="shared" si="94"/>
        <v>1</v>
      </c>
      <c r="J287" s="7" t="str">
        <f t="shared" si="88"/>
        <v>FOREMOST14FW-JILLBY-KNIT-33-RD</v>
      </c>
      <c r="K287" s="17">
        <f t="shared" si="89"/>
        <v>41757</v>
      </c>
      <c r="L287" s="12" t="str">
        <f t="shared" si="90"/>
        <v>201404</v>
      </c>
      <c r="M287" s="347" t="str">
        <f>VLOOKUP($K287,[3]주!$A:$F,6,FALSE)</f>
        <v>3월 2주</v>
      </c>
      <c r="N287" s="273" t="str">
        <f>IF(VLOOKUP($Z287,생산업체!$A:$C,2,FALSE)=1,"해외","국내")</f>
        <v>해외</v>
      </c>
      <c r="O287" s="12" t="str">
        <f>IF(VLOOKUP($U287,CODE!$K:$P,CODE!P$1,FALSE)="모자",T287,T287&amp;"-"&amp;VLOOKUP($U287,CODE!$K:$P,CODE!P$1,FALSE))</f>
        <v>JIL-ACC</v>
      </c>
      <c r="P287" s="11" t="s">
        <v>787</v>
      </c>
      <c r="R287" s="11">
        <v>145</v>
      </c>
      <c r="T287" s="8" t="s">
        <v>32</v>
      </c>
      <c r="U287" s="8" t="s">
        <v>55</v>
      </c>
      <c r="V287" s="8" t="s">
        <v>43</v>
      </c>
      <c r="W287" s="8" t="s">
        <v>1746</v>
      </c>
      <c r="X287" s="8" t="s">
        <v>900</v>
      </c>
      <c r="Y287" s="9">
        <v>1</v>
      </c>
      <c r="Z287" s="8" t="s">
        <v>6</v>
      </c>
      <c r="AA287" s="10">
        <v>41701</v>
      </c>
      <c r="AB287" s="10">
        <v>41729</v>
      </c>
      <c r="AC287" s="10">
        <v>41729</v>
      </c>
      <c r="AD287" s="10">
        <v>41757</v>
      </c>
      <c r="AE287" s="8">
        <v>5.4</v>
      </c>
      <c r="AH287" s="8">
        <v>1</v>
      </c>
      <c r="AI287" s="8">
        <v>1</v>
      </c>
    </row>
    <row r="288" spans="1:35">
      <c r="A288" s="7">
        <f t="shared" si="91"/>
        <v>1</v>
      </c>
      <c r="B288" s="7" t="str">
        <f t="shared" si="84"/>
        <v>14FW-JILLBY-KNIT-43-IV</v>
      </c>
      <c r="C288" s="7">
        <f t="shared" si="92"/>
        <v>1</v>
      </c>
      <c r="D288" s="7" t="str">
        <f t="shared" si="85"/>
        <v>FOREMOST14FW-JILLBY-KNIT-43-IV</v>
      </c>
      <c r="E288" s="12" t="str">
        <f t="shared" si="86"/>
        <v>201403</v>
      </c>
      <c r="F288" s="347" t="str">
        <f>VLOOKUP($AA288,[3]주!$A:$F,6,FALSE)</f>
        <v>3월 1주</v>
      </c>
      <c r="G288" s="7">
        <f t="shared" si="93"/>
        <v>0</v>
      </c>
      <c r="H288" s="7" t="str">
        <f t="shared" si="87"/>
        <v/>
      </c>
      <c r="I288" s="7">
        <f t="shared" si="94"/>
        <v>0</v>
      </c>
      <c r="J288" s="7" t="str">
        <f t="shared" si="88"/>
        <v/>
      </c>
      <c r="K288" s="17">
        <f t="shared" si="89"/>
        <v>41729</v>
      </c>
      <c r="L288" s="12" t="str">
        <f t="shared" si="90"/>
        <v>201403</v>
      </c>
      <c r="M288" s="347" t="str">
        <f>VLOOKUP($K288,[3]주!$A:$F,6,FALSE)</f>
        <v>3월 2주</v>
      </c>
      <c r="N288" s="273" t="str">
        <f>IF(VLOOKUP($Z288,생산업체!$A:$C,2,FALSE)=1,"해외","국내")</f>
        <v>해외</v>
      </c>
      <c r="O288" s="12" t="str">
        <f>IF(VLOOKUP($U288,CODE!$K:$P,CODE!P$1,FALSE)="모자",T288,T288&amp;"-"&amp;VLOOKUP($U288,CODE!$K:$P,CODE!P$1,FALSE))</f>
        <v>JIL</v>
      </c>
      <c r="P288" s="11" t="s">
        <v>32</v>
      </c>
      <c r="R288" s="11">
        <v>146</v>
      </c>
      <c r="T288" s="8" t="s">
        <v>32</v>
      </c>
      <c r="U288" s="8" t="s">
        <v>35</v>
      </c>
      <c r="V288" s="8" t="s">
        <v>43</v>
      </c>
      <c r="W288" s="8" t="s">
        <v>1747</v>
      </c>
      <c r="X288" s="8" t="s">
        <v>900</v>
      </c>
      <c r="Y288" s="9">
        <v>1</v>
      </c>
      <c r="Z288" s="8" t="s">
        <v>6</v>
      </c>
      <c r="AA288" s="10">
        <v>41701</v>
      </c>
      <c r="AB288" s="10">
        <v>41729</v>
      </c>
      <c r="AC288" s="10">
        <v>41729</v>
      </c>
      <c r="AH288" s="8">
        <v>1</v>
      </c>
      <c r="AI288" s="8">
        <v>1</v>
      </c>
    </row>
    <row r="289" spans="1:37">
      <c r="A289" s="7">
        <f t="shared" si="91"/>
        <v>1</v>
      </c>
      <c r="B289" s="7" t="str">
        <f t="shared" si="84"/>
        <v>14FW-JILLBY-KNIT-61-BK</v>
      </c>
      <c r="C289" s="7">
        <f t="shared" si="92"/>
        <v>1</v>
      </c>
      <c r="D289" s="7" t="str">
        <f t="shared" si="85"/>
        <v>FOREMOST14FW-JILLBY-KNIT-61-BK</v>
      </c>
      <c r="E289" s="12" t="str">
        <f t="shared" si="86"/>
        <v>201403</v>
      </c>
      <c r="F289" s="347" t="str">
        <f>VLOOKUP($AA289,[3]주!$A:$F,6,FALSE)</f>
        <v>3월 1주</v>
      </c>
      <c r="G289" s="7">
        <f t="shared" si="93"/>
        <v>1</v>
      </c>
      <c r="H289" s="7" t="str">
        <f t="shared" si="87"/>
        <v>14FW-JILLBY-KNIT-61-BK</v>
      </c>
      <c r="I289" s="7">
        <f t="shared" si="94"/>
        <v>1</v>
      </c>
      <c r="J289" s="7" t="str">
        <f t="shared" si="88"/>
        <v>FOREMOST14FW-JILLBY-KNIT-61-BK</v>
      </c>
      <c r="K289" s="17">
        <f t="shared" si="89"/>
        <v>41730</v>
      </c>
      <c r="L289" s="12" t="str">
        <f t="shared" si="90"/>
        <v>201404</v>
      </c>
      <c r="M289" s="347" t="str">
        <f>VLOOKUP($K289,[3]주!$A:$F,6,FALSE)</f>
        <v>3월 2주</v>
      </c>
      <c r="N289" s="273" t="str">
        <f>IF(VLOOKUP($Z289,생산업체!$A:$C,2,FALSE)=1,"해외","국내")</f>
        <v>해외</v>
      </c>
      <c r="O289" s="12" t="str">
        <f>IF(VLOOKUP($U289,CODE!$K:$P,CODE!P$1,FALSE)="모자",T289,T289&amp;"-"&amp;VLOOKUP($U289,CODE!$K:$P,CODE!P$1,FALSE))</f>
        <v>JIL</v>
      </c>
      <c r="P289" s="11" t="s">
        <v>32</v>
      </c>
      <c r="R289" s="11">
        <v>147</v>
      </c>
      <c r="T289" s="8" t="s">
        <v>32</v>
      </c>
      <c r="U289" s="8" t="s">
        <v>35</v>
      </c>
      <c r="V289" s="8" t="s">
        <v>43</v>
      </c>
      <c r="W289" s="8" t="s">
        <v>1748</v>
      </c>
      <c r="X289" s="8" t="s">
        <v>900</v>
      </c>
      <c r="Y289" s="9">
        <v>1</v>
      </c>
      <c r="Z289" s="8" t="s">
        <v>6</v>
      </c>
      <c r="AA289" s="10">
        <v>41701</v>
      </c>
      <c r="AB289" s="10">
        <v>41729</v>
      </c>
      <c r="AC289" s="10">
        <v>41729</v>
      </c>
      <c r="AD289" s="10">
        <v>41730</v>
      </c>
      <c r="AG289" s="8">
        <v>1</v>
      </c>
      <c r="AH289" s="8">
        <v>1</v>
      </c>
      <c r="AI289" s="8">
        <v>1</v>
      </c>
    </row>
    <row r="290" spans="1:37">
      <c r="A290" s="7">
        <f t="shared" si="91"/>
        <v>1</v>
      </c>
      <c r="B290" s="7" t="str">
        <f t="shared" si="84"/>
        <v>14FW-JILLBY-KNIT-62-BG</v>
      </c>
      <c r="C290" s="7">
        <f t="shared" si="92"/>
        <v>1</v>
      </c>
      <c r="D290" s="7" t="str">
        <f t="shared" si="85"/>
        <v>FOREMOST14FW-JILLBY-KNIT-62-BG</v>
      </c>
      <c r="E290" s="12" t="str">
        <f t="shared" si="86"/>
        <v>201403</v>
      </c>
      <c r="F290" s="347" t="str">
        <f>VLOOKUP($AA290,[3]주!$A:$F,6,FALSE)</f>
        <v>3월 1주</v>
      </c>
      <c r="G290" s="7">
        <f t="shared" si="93"/>
        <v>1</v>
      </c>
      <c r="H290" s="7" t="str">
        <f t="shared" si="87"/>
        <v>14FW-JILLBY-KNIT-62-BG</v>
      </c>
      <c r="I290" s="7">
        <f t="shared" si="94"/>
        <v>1</v>
      </c>
      <c r="J290" s="7" t="str">
        <f t="shared" si="88"/>
        <v>FOREMOST14FW-JILLBY-KNIT-62-BG</v>
      </c>
      <c r="K290" s="17">
        <f t="shared" si="89"/>
        <v>41736</v>
      </c>
      <c r="L290" s="12" t="str">
        <f t="shared" si="90"/>
        <v>201404</v>
      </c>
      <c r="M290" s="347" t="str">
        <f>VLOOKUP($K290,[3]주!$A:$F,6,FALSE)</f>
        <v>3월 2주</v>
      </c>
      <c r="N290" s="273" t="str">
        <f>IF(VLOOKUP($Z290,생산업체!$A:$C,2,FALSE)=1,"해외","국내")</f>
        <v>해외</v>
      </c>
      <c r="O290" s="12" t="str">
        <f>IF(VLOOKUP($U290,CODE!$K:$P,CODE!P$1,FALSE)="모자",T290,T290&amp;"-"&amp;VLOOKUP($U290,CODE!$K:$P,CODE!P$1,FALSE))</f>
        <v>JIL</v>
      </c>
      <c r="P290" s="11" t="s">
        <v>32</v>
      </c>
      <c r="R290" s="11">
        <v>148</v>
      </c>
      <c r="T290" s="8" t="s">
        <v>32</v>
      </c>
      <c r="U290" s="8" t="s">
        <v>35</v>
      </c>
      <c r="V290" s="8" t="s">
        <v>43</v>
      </c>
      <c r="W290" s="8" t="s">
        <v>1749</v>
      </c>
      <c r="X290" s="8" t="s">
        <v>900</v>
      </c>
      <c r="Y290" s="9">
        <v>1</v>
      </c>
      <c r="Z290" s="8" t="s">
        <v>6</v>
      </c>
      <c r="AA290" s="10">
        <v>41701</v>
      </c>
      <c r="AB290" s="10">
        <v>41729</v>
      </c>
      <c r="AC290" s="10">
        <v>41729</v>
      </c>
      <c r="AD290" s="10">
        <v>41736</v>
      </c>
      <c r="AE290" s="8">
        <v>5.2</v>
      </c>
      <c r="AH290" s="8">
        <v>1</v>
      </c>
      <c r="AI290" s="8">
        <v>1</v>
      </c>
    </row>
    <row r="291" spans="1:37">
      <c r="A291" s="7">
        <f t="shared" si="91"/>
        <v>1</v>
      </c>
      <c r="B291" s="7" t="str">
        <f t="shared" si="84"/>
        <v>14FW-JILLBY-KNIT-62-BL</v>
      </c>
      <c r="C291" s="7">
        <f t="shared" si="92"/>
        <v>1</v>
      </c>
      <c r="D291" s="7" t="str">
        <f t="shared" si="85"/>
        <v>FOREMOST14FW-JILLBY-KNIT-62-BL</v>
      </c>
      <c r="E291" s="12" t="str">
        <f t="shared" si="86"/>
        <v>201403</v>
      </c>
      <c r="F291" s="347" t="str">
        <f>VLOOKUP($AA291,[3]주!$A:$F,6,FALSE)</f>
        <v>3월 1주</v>
      </c>
      <c r="G291" s="7">
        <f t="shared" si="93"/>
        <v>1</v>
      </c>
      <c r="H291" s="7" t="str">
        <f t="shared" si="87"/>
        <v>14FW-JILLBY-KNIT-62-BL</v>
      </c>
      <c r="I291" s="7">
        <f t="shared" si="94"/>
        <v>1</v>
      </c>
      <c r="J291" s="7" t="str">
        <f t="shared" si="88"/>
        <v>FOREMOST14FW-JILLBY-KNIT-62-BL</v>
      </c>
      <c r="K291" s="17">
        <f t="shared" si="89"/>
        <v>41736</v>
      </c>
      <c r="L291" s="12" t="str">
        <f t="shared" si="90"/>
        <v>201404</v>
      </c>
      <c r="M291" s="347" t="str">
        <f>VLOOKUP($K291,[3]주!$A:$F,6,FALSE)</f>
        <v>3월 2주</v>
      </c>
      <c r="N291" s="273" t="str">
        <f>IF(VLOOKUP($Z291,생산업체!$A:$C,2,FALSE)=1,"해외","국내")</f>
        <v>해외</v>
      </c>
      <c r="O291" s="12" t="str">
        <f>IF(VLOOKUP($U291,CODE!$K:$P,CODE!P$1,FALSE)="모자",T291,T291&amp;"-"&amp;VLOOKUP($U291,CODE!$K:$P,CODE!P$1,FALSE))</f>
        <v>JIL</v>
      </c>
      <c r="P291" s="11" t="s">
        <v>32</v>
      </c>
      <c r="R291" s="11">
        <v>149</v>
      </c>
      <c r="T291" s="8" t="s">
        <v>32</v>
      </c>
      <c r="U291" s="8" t="s">
        <v>35</v>
      </c>
      <c r="V291" s="8" t="s">
        <v>43</v>
      </c>
      <c r="W291" s="8" t="s">
        <v>1750</v>
      </c>
      <c r="X291" s="8" t="s">
        <v>900</v>
      </c>
      <c r="Y291" s="9">
        <v>1</v>
      </c>
      <c r="Z291" s="8" t="s">
        <v>6</v>
      </c>
      <c r="AA291" s="10">
        <v>41701</v>
      </c>
      <c r="AB291" s="10">
        <v>41729</v>
      </c>
      <c r="AC291" s="10">
        <v>41729</v>
      </c>
      <c r="AD291" s="10">
        <v>41736</v>
      </c>
      <c r="AE291" s="8">
        <v>5.2</v>
      </c>
      <c r="AH291" s="8">
        <v>1</v>
      </c>
      <c r="AI291" s="8">
        <v>1</v>
      </c>
    </row>
    <row r="292" spans="1:37">
      <c r="A292" s="7">
        <f t="shared" si="91"/>
        <v>1</v>
      </c>
      <c r="B292" s="7" t="str">
        <f t="shared" si="84"/>
        <v>14FW-JILLBY-KNIT-62-GY</v>
      </c>
      <c r="C292" s="7">
        <f t="shared" si="92"/>
        <v>1</v>
      </c>
      <c r="D292" s="7" t="str">
        <f t="shared" si="85"/>
        <v>FOREMOST14FW-JILLBY-KNIT-62-GY</v>
      </c>
      <c r="E292" s="12" t="str">
        <f t="shared" si="86"/>
        <v>201403</v>
      </c>
      <c r="F292" s="347" t="str">
        <f>VLOOKUP($AA292,[3]주!$A:$F,6,FALSE)</f>
        <v>3월 1주</v>
      </c>
      <c r="G292" s="7">
        <f t="shared" si="93"/>
        <v>1</v>
      </c>
      <c r="H292" s="7" t="str">
        <f t="shared" si="87"/>
        <v>14FW-JILLBY-KNIT-62-GY</v>
      </c>
      <c r="I292" s="7">
        <f t="shared" si="94"/>
        <v>1</v>
      </c>
      <c r="J292" s="7" t="str">
        <f t="shared" si="88"/>
        <v>FOREMOST14FW-JILLBY-KNIT-62-GY</v>
      </c>
      <c r="K292" s="17">
        <f t="shared" si="89"/>
        <v>41736</v>
      </c>
      <c r="L292" s="12" t="str">
        <f t="shared" si="90"/>
        <v>201404</v>
      </c>
      <c r="M292" s="347" t="str">
        <f>VLOOKUP($K292,[3]주!$A:$F,6,FALSE)</f>
        <v>3월 2주</v>
      </c>
      <c r="N292" s="273" t="str">
        <f>IF(VLOOKUP($Z292,생산업체!$A:$C,2,FALSE)=1,"해외","국내")</f>
        <v>해외</v>
      </c>
      <c r="O292" s="12" t="str">
        <f>IF(VLOOKUP($U292,CODE!$K:$P,CODE!P$1,FALSE)="모자",T292,T292&amp;"-"&amp;VLOOKUP($U292,CODE!$K:$P,CODE!P$1,FALSE))</f>
        <v>JIL</v>
      </c>
      <c r="P292" s="11" t="s">
        <v>32</v>
      </c>
      <c r="R292" s="11">
        <v>150</v>
      </c>
      <c r="T292" s="8" t="s">
        <v>32</v>
      </c>
      <c r="U292" s="8" t="s">
        <v>35</v>
      </c>
      <c r="V292" s="8" t="s">
        <v>43</v>
      </c>
      <c r="W292" s="8" t="s">
        <v>1751</v>
      </c>
      <c r="X292" s="8" t="s">
        <v>900</v>
      </c>
      <c r="Y292" s="9">
        <v>1</v>
      </c>
      <c r="Z292" s="8" t="s">
        <v>6</v>
      </c>
      <c r="AA292" s="10">
        <v>41701</v>
      </c>
      <c r="AB292" s="10">
        <v>41729</v>
      </c>
      <c r="AC292" s="10">
        <v>41729</v>
      </c>
      <c r="AD292" s="10">
        <v>41736</v>
      </c>
      <c r="AE292" s="8">
        <v>5.2</v>
      </c>
      <c r="AH292" s="8">
        <v>1</v>
      </c>
      <c r="AI292" s="8">
        <v>1</v>
      </c>
    </row>
    <row r="293" spans="1:37">
      <c r="A293" s="7">
        <f t="shared" si="91"/>
        <v>1</v>
      </c>
      <c r="B293" s="7" t="str">
        <f t="shared" si="84"/>
        <v>14FW-JILLBY-KNIT-63-PK-KIDS</v>
      </c>
      <c r="C293" s="7">
        <f t="shared" si="92"/>
        <v>1</v>
      </c>
      <c r="D293" s="7" t="str">
        <f t="shared" si="85"/>
        <v>FOREMOST14FW-JILLBY-KNIT-63-PK-KIDS</v>
      </c>
      <c r="E293" s="12" t="str">
        <f t="shared" si="86"/>
        <v>201403</v>
      </c>
      <c r="F293" s="347" t="str">
        <f>VLOOKUP($AA293,[3]주!$A:$F,6,FALSE)</f>
        <v>3월 1주</v>
      </c>
      <c r="G293" s="7">
        <f t="shared" si="93"/>
        <v>1</v>
      </c>
      <c r="H293" s="7" t="str">
        <f t="shared" si="87"/>
        <v>14FW-JILLBY-KNIT-63-PK-KIDS</v>
      </c>
      <c r="I293" s="7">
        <f t="shared" si="94"/>
        <v>1</v>
      </c>
      <c r="J293" s="7" t="str">
        <f t="shared" si="88"/>
        <v>FOREMOST14FW-JILLBY-KNIT-63-PK-KIDS</v>
      </c>
      <c r="K293" s="17">
        <f t="shared" si="89"/>
        <v>41730</v>
      </c>
      <c r="L293" s="12" t="str">
        <f t="shared" si="90"/>
        <v>201404</v>
      </c>
      <c r="M293" s="347" t="str">
        <f>VLOOKUP($K293,[3]주!$A:$F,6,FALSE)</f>
        <v>3월 2주</v>
      </c>
      <c r="N293" s="273" t="str">
        <f>IF(VLOOKUP($Z293,생산업체!$A:$C,2,FALSE)=1,"해외","국내")</f>
        <v>해외</v>
      </c>
      <c r="O293" s="12" t="str">
        <f>IF(VLOOKUP($U293,CODE!$K:$P,CODE!P$1,FALSE)="모자",T293,T293&amp;"-"&amp;VLOOKUP($U293,CODE!$K:$P,CODE!P$1,FALSE))</f>
        <v>JIL</v>
      </c>
      <c r="P293" s="11" t="s">
        <v>32</v>
      </c>
      <c r="R293" s="11">
        <v>151</v>
      </c>
      <c r="T293" s="8" t="s">
        <v>32</v>
      </c>
      <c r="U293" s="8" t="s">
        <v>35</v>
      </c>
      <c r="V293" s="8" t="s">
        <v>43</v>
      </c>
      <c r="W293" s="8" t="s">
        <v>1752</v>
      </c>
      <c r="X293" s="8" t="s">
        <v>124</v>
      </c>
      <c r="Y293" s="9">
        <v>1</v>
      </c>
      <c r="Z293" s="8" t="s">
        <v>6</v>
      </c>
      <c r="AA293" s="10">
        <v>41701</v>
      </c>
      <c r="AB293" s="10">
        <v>41729</v>
      </c>
      <c r="AC293" s="10">
        <v>41729</v>
      </c>
      <c r="AD293" s="10">
        <v>41730</v>
      </c>
      <c r="AE293" s="8">
        <v>6.4</v>
      </c>
      <c r="AH293" s="8">
        <v>1</v>
      </c>
      <c r="AI293" s="8">
        <v>1</v>
      </c>
    </row>
    <row r="294" spans="1:37">
      <c r="A294" s="7">
        <f t="shared" si="91"/>
        <v>1</v>
      </c>
      <c r="B294" s="7" t="str">
        <f t="shared" si="84"/>
        <v>14FW-JILLBY-KNIT-63-YL-KIDS</v>
      </c>
      <c r="C294" s="7">
        <f t="shared" si="92"/>
        <v>1</v>
      </c>
      <c r="D294" s="7" t="str">
        <f t="shared" si="85"/>
        <v>KIDS FIRST TOYS14FW-JILLBY-KNIT-63-YL-KIDS</v>
      </c>
      <c r="E294" s="12" t="str">
        <f t="shared" si="86"/>
        <v>201403</v>
      </c>
      <c r="F294" s="347" t="str">
        <f>VLOOKUP($AA294,[3]주!$A:$F,6,FALSE)</f>
        <v>3월 1주</v>
      </c>
      <c r="G294" s="7">
        <f t="shared" si="93"/>
        <v>1</v>
      </c>
      <c r="H294" s="7" t="str">
        <f t="shared" si="87"/>
        <v>14FW-JILLBY-KNIT-63-YL-KIDS</v>
      </c>
      <c r="I294" s="7">
        <f t="shared" si="94"/>
        <v>1</v>
      </c>
      <c r="J294" s="7" t="str">
        <f t="shared" si="88"/>
        <v>KIDS FIRST TOYS14FW-JILLBY-KNIT-63-YL-KIDS</v>
      </c>
      <c r="K294" s="17">
        <f t="shared" si="89"/>
        <v>41731</v>
      </c>
      <c r="L294" s="12" t="str">
        <f t="shared" si="90"/>
        <v>201404</v>
      </c>
      <c r="M294" s="347" t="str">
        <f>VLOOKUP($K294,[3]주!$A:$F,6,FALSE)</f>
        <v>3월 2주</v>
      </c>
      <c r="N294" s="273" t="str">
        <f>IF(VLOOKUP($Z294,생산업체!$A:$C,2,FALSE)=1,"해외","국내")</f>
        <v>해외</v>
      </c>
      <c r="O294" s="12" t="str">
        <f>IF(VLOOKUP($U294,CODE!$K:$P,CODE!P$1,FALSE)="모자",T294,T294&amp;"-"&amp;VLOOKUP($U294,CODE!$K:$P,CODE!P$1,FALSE))</f>
        <v>JIL</v>
      </c>
      <c r="P294" s="11" t="s">
        <v>32</v>
      </c>
      <c r="R294" s="11">
        <v>152</v>
      </c>
      <c r="T294" s="8" t="s">
        <v>32</v>
      </c>
      <c r="U294" s="8" t="s">
        <v>35</v>
      </c>
      <c r="V294" s="8" t="s">
        <v>43</v>
      </c>
      <c r="W294" s="8" t="s">
        <v>1753</v>
      </c>
      <c r="X294" s="8" t="s">
        <v>124</v>
      </c>
      <c r="Y294" s="9">
        <v>1</v>
      </c>
      <c r="Z294" s="8" t="s">
        <v>1120</v>
      </c>
      <c r="AA294" s="10">
        <v>41701</v>
      </c>
      <c r="AB294" s="10">
        <v>41729</v>
      </c>
      <c r="AC294" s="10">
        <v>41729</v>
      </c>
      <c r="AD294" s="10">
        <v>41731</v>
      </c>
      <c r="AH294" s="8">
        <v>1</v>
      </c>
      <c r="AI294" s="8">
        <v>1</v>
      </c>
    </row>
    <row r="295" spans="1:37">
      <c r="A295" s="7">
        <f t="shared" si="91"/>
        <v>1</v>
      </c>
      <c r="B295" s="7" t="str">
        <f t="shared" ref="B295:B309" si="95">IF(AA295="","",W295)</f>
        <v>14FW-JILLBY-KNIT-64-BK-GY</v>
      </c>
      <c r="C295" s="7">
        <f t="shared" si="92"/>
        <v>1</v>
      </c>
      <c r="D295" s="7" t="str">
        <f t="shared" ref="D295:D309" si="96">IF(AA295="","",Z295&amp;W295)</f>
        <v>Y&amp;Y14FW-JILLBY-KNIT-64-BK-GY</v>
      </c>
      <c r="E295" s="12" t="str">
        <f t="shared" ref="E295:E309" si="97">IF(YEAR(AA295)&lt;10,0&amp;YEAR(AA295),YEAR(AA295))&amp;IF(MONTH(AA295)&lt;10,0&amp;MONTH(AA295),MONTH(AA295))</f>
        <v>201403</v>
      </c>
      <c r="F295" s="347" t="str">
        <f>VLOOKUP($AA295,[3]주!$A:$F,6,FALSE)</f>
        <v>3월 1주</v>
      </c>
      <c r="G295" s="7">
        <f t="shared" si="93"/>
        <v>1</v>
      </c>
      <c r="H295" s="7" t="str">
        <f t="shared" ref="H295:H309" si="98">IF(AD295="","",W295)</f>
        <v>14FW-JILLBY-KNIT-64-BK-GY</v>
      </c>
      <c r="I295" s="7">
        <f t="shared" si="94"/>
        <v>1</v>
      </c>
      <c r="J295" s="7" t="str">
        <f t="shared" ref="J295:J309" si="99">IF(AD295="","",Z295&amp;W295)</f>
        <v>Y&amp;Y14FW-JILLBY-KNIT-64-BK-GY</v>
      </c>
      <c r="K295" s="17">
        <f t="shared" ref="K295:K309" si="100">IF(AD295="",AC295,AD295)</f>
        <v>41758</v>
      </c>
      <c r="L295" s="12" t="str">
        <f t="shared" ref="L295:L309" si="101">IF(YEAR(K295)&lt;10,0&amp;YEAR(K295),YEAR(K295))&amp;IF(MONTH(K295)&lt;10,0&amp;MONTH(K295),MONTH(K295))</f>
        <v>201404</v>
      </c>
      <c r="M295" s="347" t="str">
        <f>VLOOKUP($K295,[3]주!$A:$F,6,FALSE)</f>
        <v>3월 2주</v>
      </c>
      <c r="N295" s="273" t="str">
        <f>IF(VLOOKUP($Z295,생산업체!$A:$C,2,FALSE)=1,"해외","국내")</f>
        <v>해외</v>
      </c>
      <c r="O295" s="12" t="str">
        <f>IF(VLOOKUP($U295,CODE!$K:$P,CODE!P$1,FALSE)="모자",T295,T295&amp;"-"&amp;VLOOKUP($U295,CODE!$K:$P,CODE!P$1,FALSE))</f>
        <v>JIL</v>
      </c>
      <c r="P295" s="11" t="s">
        <v>32</v>
      </c>
      <c r="R295" s="11">
        <v>153</v>
      </c>
      <c r="T295" s="8" t="s">
        <v>32</v>
      </c>
      <c r="U295" s="8" t="s">
        <v>35</v>
      </c>
      <c r="V295" s="8" t="s">
        <v>43</v>
      </c>
      <c r="W295" s="8" t="s">
        <v>1754</v>
      </c>
      <c r="X295" s="8" t="s">
        <v>900</v>
      </c>
      <c r="Y295" s="9">
        <v>1</v>
      </c>
      <c r="Z295" s="8" t="s">
        <v>1415</v>
      </c>
      <c r="AA295" s="10">
        <v>41701</v>
      </c>
      <c r="AB295" s="10">
        <v>41729</v>
      </c>
      <c r="AC295" s="10">
        <v>41729</v>
      </c>
      <c r="AD295" s="10">
        <v>41758</v>
      </c>
      <c r="AG295" s="8">
        <v>1</v>
      </c>
      <c r="AH295" s="8">
        <v>1</v>
      </c>
      <c r="AI295" s="8">
        <v>1</v>
      </c>
    </row>
    <row r="296" spans="1:37">
      <c r="A296" s="7">
        <f t="shared" si="91"/>
        <v>1</v>
      </c>
      <c r="B296" s="7" t="str">
        <f t="shared" si="95"/>
        <v>14FW-JILLBY-KNIT-65-BK-GY</v>
      </c>
      <c r="C296" s="7">
        <f t="shared" si="92"/>
        <v>1</v>
      </c>
      <c r="D296" s="7" t="str">
        <f t="shared" si="96"/>
        <v>Y&amp;Y14FW-JILLBY-KNIT-65-BK-GY</v>
      </c>
      <c r="E296" s="12" t="str">
        <f t="shared" si="97"/>
        <v>201403</v>
      </c>
      <c r="F296" s="347" t="str">
        <f>VLOOKUP($AA296,[3]주!$A:$F,6,FALSE)</f>
        <v>3월 1주</v>
      </c>
      <c r="G296" s="7">
        <f t="shared" si="93"/>
        <v>1</v>
      </c>
      <c r="H296" s="7" t="str">
        <f t="shared" si="98"/>
        <v>14FW-JILLBY-KNIT-65-BK-GY</v>
      </c>
      <c r="I296" s="7">
        <f t="shared" si="94"/>
        <v>1</v>
      </c>
      <c r="J296" s="7" t="str">
        <f t="shared" si="99"/>
        <v>Y&amp;Y14FW-JILLBY-KNIT-65-BK-GY</v>
      </c>
      <c r="K296" s="17">
        <f t="shared" si="100"/>
        <v>41758</v>
      </c>
      <c r="L296" s="12" t="str">
        <f t="shared" si="101"/>
        <v>201404</v>
      </c>
      <c r="M296" s="347" t="str">
        <f>VLOOKUP($K296,[3]주!$A:$F,6,FALSE)</f>
        <v>3월 2주</v>
      </c>
      <c r="N296" s="273" t="str">
        <f>IF(VLOOKUP($Z296,생산업체!$A:$C,2,FALSE)=1,"해외","국내")</f>
        <v>해외</v>
      </c>
      <c r="O296" s="12" t="str">
        <f>IF(VLOOKUP($U296,CODE!$K:$P,CODE!P$1,FALSE)="모자",T296,T296&amp;"-"&amp;VLOOKUP($U296,CODE!$K:$P,CODE!P$1,FALSE))</f>
        <v>JIL</v>
      </c>
      <c r="P296" s="11" t="s">
        <v>32</v>
      </c>
      <c r="R296" s="11">
        <v>154</v>
      </c>
      <c r="T296" s="8" t="s">
        <v>32</v>
      </c>
      <c r="U296" s="8" t="s">
        <v>35</v>
      </c>
      <c r="V296" s="8" t="s">
        <v>43</v>
      </c>
      <c r="W296" s="8" t="s">
        <v>1755</v>
      </c>
      <c r="X296" s="8" t="s">
        <v>900</v>
      </c>
      <c r="Y296" s="9">
        <v>1</v>
      </c>
      <c r="Z296" s="8" t="s">
        <v>1415</v>
      </c>
      <c r="AA296" s="10">
        <v>41701</v>
      </c>
      <c r="AB296" s="10">
        <v>41729</v>
      </c>
      <c r="AC296" s="10">
        <v>41729</v>
      </c>
      <c r="AD296" s="10">
        <v>41758</v>
      </c>
      <c r="AH296" s="8">
        <v>1</v>
      </c>
      <c r="AI296" s="8">
        <v>1</v>
      </c>
    </row>
    <row r="297" spans="1:37">
      <c r="A297" s="7">
        <f t="shared" si="91"/>
        <v>1</v>
      </c>
      <c r="B297" s="7" t="str">
        <f t="shared" si="95"/>
        <v>14FW-JILLBY-KNIT-66</v>
      </c>
      <c r="C297" s="7">
        <f t="shared" si="92"/>
        <v>1</v>
      </c>
      <c r="D297" s="7" t="str">
        <f t="shared" si="96"/>
        <v>FOREMOST14FW-JILLBY-KNIT-66</v>
      </c>
      <c r="E297" s="12" t="str">
        <f t="shared" si="97"/>
        <v>201403</v>
      </c>
      <c r="F297" s="347" t="str">
        <f>VLOOKUP($AA297,[3]주!$A:$F,6,FALSE)</f>
        <v>3월 1주</v>
      </c>
      <c r="G297" s="7">
        <f t="shared" si="93"/>
        <v>1</v>
      </c>
      <c r="H297" s="7" t="str">
        <f t="shared" si="98"/>
        <v>14FW-JILLBY-KNIT-66</v>
      </c>
      <c r="I297" s="7">
        <f t="shared" si="94"/>
        <v>1</v>
      </c>
      <c r="J297" s="7" t="str">
        <f t="shared" si="99"/>
        <v>FOREMOST14FW-JILLBY-KNIT-66</v>
      </c>
      <c r="K297" s="17">
        <f t="shared" si="100"/>
        <v>41736</v>
      </c>
      <c r="L297" s="12" t="str">
        <f t="shared" si="101"/>
        <v>201404</v>
      </c>
      <c r="M297" s="347" t="str">
        <f>VLOOKUP($K297,[3]주!$A:$F,6,FALSE)</f>
        <v>3월 2주</v>
      </c>
      <c r="N297" s="273" t="str">
        <f>IF(VLOOKUP($Z297,생산업체!$A:$C,2,FALSE)=1,"해외","국내")</f>
        <v>해외</v>
      </c>
      <c r="O297" s="12" t="str">
        <f>IF(VLOOKUP($U297,CODE!$K:$P,CODE!P$1,FALSE)="모자",T297,T297&amp;"-"&amp;VLOOKUP($U297,CODE!$K:$P,CODE!P$1,FALSE))</f>
        <v>JIL</v>
      </c>
      <c r="P297" s="11" t="s">
        <v>32</v>
      </c>
      <c r="R297" s="11">
        <v>155</v>
      </c>
      <c r="T297" s="8" t="s">
        <v>32</v>
      </c>
      <c r="U297" s="8" t="s">
        <v>35</v>
      </c>
      <c r="V297" s="8" t="s">
        <v>43</v>
      </c>
      <c r="W297" s="8" t="s">
        <v>1756</v>
      </c>
      <c r="X297" s="8" t="s">
        <v>900</v>
      </c>
      <c r="Y297" s="9">
        <v>1</v>
      </c>
      <c r="Z297" s="8" t="s">
        <v>6</v>
      </c>
      <c r="AA297" s="10">
        <v>41701</v>
      </c>
      <c r="AB297" s="10">
        <v>41729</v>
      </c>
      <c r="AC297" s="10">
        <v>41729</v>
      </c>
      <c r="AD297" s="10">
        <v>41736</v>
      </c>
      <c r="AE297" s="8">
        <v>8.35</v>
      </c>
      <c r="AH297" s="8">
        <v>1</v>
      </c>
      <c r="AI297" s="8">
        <v>1</v>
      </c>
    </row>
    <row r="298" spans="1:37">
      <c r="A298" s="7">
        <f t="shared" si="91"/>
        <v>0.5</v>
      </c>
      <c r="B298" s="7" t="str">
        <f t="shared" si="95"/>
        <v>14FW-JILLBY-KNIT-67-BK</v>
      </c>
      <c r="C298" s="7">
        <f t="shared" si="92"/>
        <v>1</v>
      </c>
      <c r="D298" s="7" t="str">
        <f t="shared" si="96"/>
        <v>FOREMOST14FW-JILLBY-KNIT-67-BK</v>
      </c>
      <c r="E298" s="12" t="str">
        <f t="shared" si="97"/>
        <v>201403</v>
      </c>
      <c r="F298" s="347" t="str">
        <f>VLOOKUP($AA298,[3]주!$A:$F,6,FALSE)</f>
        <v>3월 1주</v>
      </c>
      <c r="G298" s="7">
        <f t="shared" si="93"/>
        <v>0.5</v>
      </c>
      <c r="H298" s="7" t="str">
        <f t="shared" si="98"/>
        <v>14FW-JILLBY-KNIT-67-BK</v>
      </c>
      <c r="I298" s="7">
        <f t="shared" si="94"/>
        <v>1</v>
      </c>
      <c r="J298" s="7" t="str">
        <f t="shared" si="99"/>
        <v>FOREMOST14FW-JILLBY-KNIT-67-BK</v>
      </c>
      <c r="K298" s="17">
        <f t="shared" si="100"/>
        <v>41730</v>
      </c>
      <c r="L298" s="12" t="str">
        <f t="shared" si="101"/>
        <v>201404</v>
      </c>
      <c r="M298" s="347" t="str">
        <f>VLOOKUP($K298,[3]주!$A:$F,6,FALSE)</f>
        <v>3월 2주</v>
      </c>
      <c r="N298" s="273" t="str">
        <f>IF(VLOOKUP($Z298,생산업체!$A:$C,2,FALSE)=1,"해외","국내")</f>
        <v>해외</v>
      </c>
      <c r="O298" s="12" t="str">
        <f>IF(VLOOKUP($U298,CODE!$K:$P,CODE!P$1,FALSE)="모자",T298,T298&amp;"-"&amp;VLOOKUP($U298,CODE!$K:$P,CODE!P$1,FALSE))</f>
        <v>JIL</v>
      </c>
      <c r="P298" s="11" t="s">
        <v>32</v>
      </c>
      <c r="R298" s="11">
        <v>156</v>
      </c>
      <c r="T298" s="8" t="s">
        <v>32</v>
      </c>
      <c r="U298" s="8" t="s">
        <v>56</v>
      </c>
      <c r="V298" s="8" t="s">
        <v>43</v>
      </c>
      <c r="W298" s="8" t="s">
        <v>1757</v>
      </c>
      <c r="X298" s="8" t="s">
        <v>900</v>
      </c>
      <c r="Y298" s="9">
        <v>0.5</v>
      </c>
      <c r="Z298" s="8" t="s">
        <v>6</v>
      </c>
      <c r="AA298" s="10">
        <v>41703</v>
      </c>
      <c r="AB298" s="10">
        <v>41731</v>
      </c>
      <c r="AC298" s="10">
        <v>41731</v>
      </c>
      <c r="AD298" s="10">
        <v>41730</v>
      </c>
      <c r="AE298" s="8">
        <v>4.55</v>
      </c>
      <c r="AH298" s="8">
        <v>1</v>
      </c>
      <c r="AI298" s="8">
        <v>1</v>
      </c>
    </row>
    <row r="299" spans="1:37">
      <c r="A299" s="7">
        <f t="shared" si="91"/>
        <v>0.5</v>
      </c>
      <c r="B299" s="7" t="str">
        <f t="shared" si="95"/>
        <v>14FW-JILLBY-KNIT-67-BK</v>
      </c>
      <c r="C299" s="7">
        <f t="shared" si="92"/>
        <v>1</v>
      </c>
      <c r="D299" s="7" t="str">
        <f t="shared" si="96"/>
        <v>Y&amp;Y14FW-JILLBY-KNIT-67-BK</v>
      </c>
      <c r="E299" s="12" t="str">
        <f t="shared" si="97"/>
        <v>201403</v>
      </c>
      <c r="F299" s="347" t="str">
        <f>VLOOKUP($AA299,[3]주!$A:$F,6,FALSE)</f>
        <v>3월 1주</v>
      </c>
      <c r="G299" s="7">
        <f t="shared" si="93"/>
        <v>0.5</v>
      </c>
      <c r="H299" s="7" t="str">
        <f t="shared" si="98"/>
        <v>14FW-JILLBY-KNIT-67-BK</v>
      </c>
      <c r="I299" s="7">
        <f t="shared" si="94"/>
        <v>1</v>
      </c>
      <c r="J299" s="7" t="str">
        <f t="shared" si="99"/>
        <v>Y&amp;Y14FW-JILLBY-KNIT-67-BK</v>
      </c>
      <c r="K299" s="17">
        <f t="shared" si="100"/>
        <v>41739</v>
      </c>
      <c r="L299" s="12" t="str">
        <f t="shared" si="101"/>
        <v>201404</v>
      </c>
      <c r="M299" s="347" t="str">
        <f>VLOOKUP($K299,[3]주!$A:$F,6,FALSE)</f>
        <v>3월 2주</v>
      </c>
      <c r="N299" s="273" t="str">
        <f>IF(VLOOKUP($Z299,생산업체!$A:$C,2,FALSE)=1,"해외","국내")</f>
        <v>해외</v>
      </c>
      <c r="O299" s="12" t="str">
        <f>IF(VLOOKUP($U299,CODE!$K:$P,CODE!P$1,FALSE)="모자",T299,T299&amp;"-"&amp;VLOOKUP($U299,CODE!$K:$P,CODE!P$1,FALSE))</f>
        <v>JIL</v>
      </c>
      <c r="P299" s="11" t="s">
        <v>32</v>
      </c>
      <c r="R299" s="11">
        <v>157</v>
      </c>
      <c r="T299" s="8" t="s">
        <v>32</v>
      </c>
      <c r="U299" s="8" t="s">
        <v>56</v>
      </c>
      <c r="V299" s="8" t="s">
        <v>43</v>
      </c>
      <c r="W299" s="8" t="s">
        <v>1757</v>
      </c>
      <c r="X299" s="8" t="s">
        <v>900</v>
      </c>
      <c r="Y299" s="9">
        <v>0.5</v>
      </c>
      <c r="Z299" s="8" t="s">
        <v>1415</v>
      </c>
      <c r="AA299" s="10">
        <v>41703</v>
      </c>
      <c r="AB299" s="10">
        <v>41731</v>
      </c>
      <c r="AC299" s="10">
        <v>41731</v>
      </c>
      <c r="AD299" s="10">
        <v>41739</v>
      </c>
      <c r="AH299" s="8">
        <v>1</v>
      </c>
      <c r="AI299" s="8">
        <v>1</v>
      </c>
    </row>
    <row r="300" spans="1:37">
      <c r="A300" s="7">
        <f t="shared" si="91"/>
        <v>0.5</v>
      </c>
      <c r="B300" s="7" t="str">
        <f t="shared" si="95"/>
        <v>14FW-JILLBY-KNIT-67-GY</v>
      </c>
      <c r="C300" s="7">
        <f t="shared" si="92"/>
        <v>1</v>
      </c>
      <c r="D300" s="7" t="str">
        <f t="shared" si="96"/>
        <v>FOREMOST14FW-JILLBY-KNIT-67-GY</v>
      </c>
      <c r="E300" s="12" t="str">
        <f t="shared" si="97"/>
        <v>201403</v>
      </c>
      <c r="F300" s="347" t="str">
        <f>VLOOKUP($AA300,[3]주!$A:$F,6,FALSE)</f>
        <v>3월 1주</v>
      </c>
      <c r="G300" s="7">
        <f t="shared" si="93"/>
        <v>0.5</v>
      </c>
      <c r="H300" s="7" t="str">
        <f t="shared" si="98"/>
        <v>14FW-JILLBY-KNIT-67-GY</v>
      </c>
      <c r="I300" s="7">
        <f t="shared" si="94"/>
        <v>1</v>
      </c>
      <c r="J300" s="7" t="str">
        <f t="shared" si="99"/>
        <v>FOREMOST14FW-JILLBY-KNIT-67-GY</v>
      </c>
      <c r="K300" s="17">
        <f t="shared" si="100"/>
        <v>41730</v>
      </c>
      <c r="L300" s="12" t="str">
        <f t="shared" si="101"/>
        <v>201404</v>
      </c>
      <c r="M300" s="347" t="str">
        <f>VLOOKUP($K300,[3]주!$A:$F,6,FALSE)</f>
        <v>3월 2주</v>
      </c>
      <c r="N300" s="273" t="str">
        <f>IF(VLOOKUP($Z300,생산업체!$A:$C,2,FALSE)=1,"해외","국내")</f>
        <v>해외</v>
      </c>
      <c r="O300" s="12" t="str">
        <f>IF(VLOOKUP($U300,CODE!$K:$P,CODE!P$1,FALSE)="모자",T300,T300&amp;"-"&amp;VLOOKUP($U300,CODE!$K:$P,CODE!P$1,FALSE))</f>
        <v>JIL</v>
      </c>
      <c r="P300" s="11" t="s">
        <v>32</v>
      </c>
      <c r="R300" s="11">
        <v>158</v>
      </c>
      <c r="T300" s="8" t="s">
        <v>32</v>
      </c>
      <c r="U300" s="8" t="s">
        <v>56</v>
      </c>
      <c r="V300" s="8" t="s">
        <v>43</v>
      </c>
      <c r="W300" s="8" t="s">
        <v>1758</v>
      </c>
      <c r="X300" s="8" t="s">
        <v>900</v>
      </c>
      <c r="Y300" s="9">
        <v>0.5</v>
      </c>
      <c r="Z300" s="8" t="s">
        <v>6</v>
      </c>
      <c r="AA300" s="10">
        <v>41703</v>
      </c>
      <c r="AB300" s="10">
        <v>41731</v>
      </c>
      <c r="AC300" s="10">
        <v>41731</v>
      </c>
      <c r="AD300" s="10">
        <v>41730</v>
      </c>
      <c r="AE300" s="8">
        <v>4.55</v>
      </c>
      <c r="AH300" s="8">
        <v>1</v>
      </c>
      <c r="AI300" s="8">
        <v>1</v>
      </c>
    </row>
    <row r="301" spans="1:37">
      <c r="A301" s="7">
        <f t="shared" si="91"/>
        <v>0.5</v>
      </c>
      <c r="B301" s="7" t="str">
        <f t="shared" si="95"/>
        <v>14FW-JILLBY-KNIT-67-GY</v>
      </c>
      <c r="C301" s="7">
        <f t="shared" si="92"/>
        <v>1</v>
      </c>
      <c r="D301" s="7" t="str">
        <f t="shared" si="96"/>
        <v>Y&amp;Y14FW-JILLBY-KNIT-67-GY</v>
      </c>
      <c r="E301" s="12" t="str">
        <f t="shared" si="97"/>
        <v>201403</v>
      </c>
      <c r="F301" s="347" t="str">
        <f>VLOOKUP($AA301,[3]주!$A:$F,6,FALSE)</f>
        <v>3월 1주</v>
      </c>
      <c r="G301" s="7">
        <f t="shared" si="93"/>
        <v>0.5</v>
      </c>
      <c r="H301" s="7" t="str">
        <f t="shared" si="98"/>
        <v>14FW-JILLBY-KNIT-67-GY</v>
      </c>
      <c r="I301" s="7">
        <f t="shared" si="94"/>
        <v>1</v>
      </c>
      <c r="J301" s="7" t="str">
        <f t="shared" si="99"/>
        <v>Y&amp;Y14FW-JILLBY-KNIT-67-GY</v>
      </c>
      <c r="K301" s="17">
        <f t="shared" si="100"/>
        <v>41739</v>
      </c>
      <c r="L301" s="12" t="str">
        <f t="shared" si="101"/>
        <v>201404</v>
      </c>
      <c r="M301" s="347" t="str">
        <f>VLOOKUP($K301,[3]주!$A:$F,6,FALSE)</f>
        <v>3월 2주</v>
      </c>
      <c r="N301" s="273" t="str">
        <f>IF(VLOOKUP($Z301,생산업체!$A:$C,2,FALSE)=1,"해외","국내")</f>
        <v>해외</v>
      </c>
      <c r="O301" s="12" t="str">
        <f>IF(VLOOKUP($U301,CODE!$K:$P,CODE!P$1,FALSE)="모자",T301,T301&amp;"-"&amp;VLOOKUP($U301,CODE!$K:$P,CODE!P$1,FALSE))</f>
        <v>JIL</v>
      </c>
      <c r="P301" s="11" t="s">
        <v>32</v>
      </c>
      <c r="R301" s="11">
        <v>159</v>
      </c>
      <c r="T301" s="8" t="s">
        <v>32</v>
      </c>
      <c r="U301" s="8" t="s">
        <v>56</v>
      </c>
      <c r="V301" s="8" t="s">
        <v>43</v>
      </c>
      <c r="W301" s="8" t="s">
        <v>1758</v>
      </c>
      <c r="X301" s="8" t="s">
        <v>900</v>
      </c>
      <c r="Y301" s="9">
        <v>0.5</v>
      </c>
      <c r="Z301" s="8" t="s">
        <v>1415</v>
      </c>
      <c r="AA301" s="10">
        <v>41703</v>
      </c>
      <c r="AB301" s="10">
        <v>41731</v>
      </c>
      <c r="AC301" s="10">
        <v>41731</v>
      </c>
      <c r="AD301" s="10">
        <v>41739</v>
      </c>
      <c r="AH301" s="8">
        <v>1</v>
      </c>
      <c r="AI301" s="8">
        <v>1</v>
      </c>
      <c r="AK301" s="8" t="s">
        <v>1394</v>
      </c>
    </row>
    <row r="302" spans="1:37">
      <c r="A302" s="7">
        <f t="shared" si="91"/>
        <v>1</v>
      </c>
      <c r="B302" s="7" t="str">
        <f t="shared" si="95"/>
        <v>14FW-JILL-BY_36_GY</v>
      </c>
      <c r="C302" s="7">
        <f t="shared" si="92"/>
        <v>1</v>
      </c>
      <c r="D302" s="7" t="str">
        <f t="shared" si="96"/>
        <v>FOREMOST14FW-JILL-BY_36_GY</v>
      </c>
      <c r="E302" s="12" t="str">
        <f t="shared" si="97"/>
        <v>201403</v>
      </c>
      <c r="F302" s="347" t="str">
        <f>VLOOKUP($AA302,[3]주!$A:$F,6,FALSE)</f>
        <v>3월 2주</v>
      </c>
      <c r="G302" s="7">
        <f t="shared" si="93"/>
        <v>1</v>
      </c>
      <c r="H302" s="7" t="str">
        <f t="shared" si="98"/>
        <v>14FW-JILL-BY_36_GY</v>
      </c>
      <c r="I302" s="7">
        <f t="shared" si="94"/>
        <v>1</v>
      </c>
      <c r="J302" s="7" t="str">
        <f t="shared" si="99"/>
        <v>FOREMOST14FW-JILL-BY_36_GY</v>
      </c>
      <c r="K302" s="17">
        <f t="shared" si="100"/>
        <v>41732</v>
      </c>
      <c r="L302" s="12" t="str">
        <f t="shared" si="101"/>
        <v>201404</v>
      </c>
      <c r="M302" s="347" t="str">
        <f>VLOOKUP($K302,[3]주!$A:$F,6,FALSE)</f>
        <v>3월 2주</v>
      </c>
      <c r="N302" s="273" t="str">
        <f>IF(VLOOKUP($Z302,생산업체!$A:$C,2,FALSE)=1,"해외","국내")</f>
        <v>해외</v>
      </c>
      <c r="O302" s="12" t="str">
        <f>IF(VLOOKUP($U302,CODE!$K:$P,CODE!P$1,FALSE)="모자",T302,T302&amp;"-"&amp;VLOOKUP($U302,CODE!$K:$P,CODE!P$1,FALSE))</f>
        <v>JIL</v>
      </c>
      <c r="P302" s="11" t="s">
        <v>32</v>
      </c>
      <c r="R302" s="11">
        <v>160</v>
      </c>
      <c r="T302" s="8" t="s">
        <v>32</v>
      </c>
      <c r="U302" s="8" t="s">
        <v>33</v>
      </c>
      <c r="V302" s="8" t="s">
        <v>43</v>
      </c>
      <c r="W302" s="8" t="s">
        <v>1759</v>
      </c>
      <c r="X302" s="8" t="s">
        <v>900</v>
      </c>
      <c r="Y302" s="9">
        <v>1</v>
      </c>
      <c r="Z302" s="8" t="s">
        <v>6</v>
      </c>
      <c r="AA302" s="10">
        <v>41708</v>
      </c>
      <c r="AB302" s="10">
        <v>41736</v>
      </c>
      <c r="AC302" s="10">
        <v>41736</v>
      </c>
      <c r="AD302" s="10">
        <v>41732</v>
      </c>
      <c r="AE302" s="8">
        <v>6.35</v>
      </c>
      <c r="AH302" s="8">
        <v>1</v>
      </c>
      <c r="AI302" s="8">
        <v>0</v>
      </c>
      <c r="AK302" s="8" t="s">
        <v>1394</v>
      </c>
    </row>
    <row r="303" spans="1:37">
      <c r="A303" s="7">
        <f t="shared" si="91"/>
        <v>1</v>
      </c>
      <c r="B303" s="7" t="str">
        <f t="shared" si="95"/>
        <v>14FW-JILL-BY_36_BK</v>
      </c>
      <c r="C303" s="7">
        <f t="shared" si="92"/>
        <v>1</v>
      </c>
      <c r="D303" s="7" t="str">
        <f t="shared" si="96"/>
        <v>FOREMOST14FW-JILL-BY_36_BK</v>
      </c>
      <c r="E303" s="12" t="str">
        <f t="shared" si="97"/>
        <v>201403</v>
      </c>
      <c r="F303" s="347" t="str">
        <f>VLOOKUP($AA303,[3]주!$A:$F,6,FALSE)</f>
        <v>3월 2주</v>
      </c>
      <c r="G303" s="7">
        <f t="shared" si="93"/>
        <v>1</v>
      </c>
      <c r="H303" s="7" t="str">
        <f t="shared" si="98"/>
        <v>14FW-JILL-BY_36_BK</v>
      </c>
      <c r="I303" s="7">
        <f t="shared" si="94"/>
        <v>1</v>
      </c>
      <c r="J303" s="7" t="str">
        <f t="shared" si="99"/>
        <v>FOREMOST14FW-JILL-BY_36_BK</v>
      </c>
      <c r="K303" s="17">
        <f t="shared" si="100"/>
        <v>41732</v>
      </c>
      <c r="L303" s="12" t="str">
        <f t="shared" si="101"/>
        <v>201404</v>
      </c>
      <c r="M303" s="347" t="str">
        <f>VLOOKUP($K303,[3]주!$A:$F,6,FALSE)</f>
        <v>3월 2주</v>
      </c>
      <c r="N303" s="273" t="str">
        <f>IF(VLOOKUP($Z303,생산업체!$A:$C,2,FALSE)=1,"해외","국내")</f>
        <v>해외</v>
      </c>
      <c r="O303" s="12" t="str">
        <f>IF(VLOOKUP($U303,CODE!$K:$P,CODE!P$1,FALSE)="모자",T303,T303&amp;"-"&amp;VLOOKUP($U303,CODE!$K:$P,CODE!P$1,FALSE))</f>
        <v>JIL</v>
      </c>
      <c r="P303" s="11" t="s">
        <v>32</v>
      </c>
      <c r="R303" s="11">
        <v>161</v>
      </c>
      <c r="T303" s="8" t="s">
        <v>32</v>
      </c>
      <c r="U303" s="8" t="s">
        <v>33</v>
      </c>
      <c r="V303" s="8" t="s">
        <v>43</v>
      </c>
      <c r="W303" s="8" t="s">
        <v>1760</v>
      </c>
      <c r="X303" s="8" t="s">
        <v>900</v>
      </c>
      <c r="Y303" s="9">
        <v>1</v>
      </c>
      <c r="Z303" s="8" t="s">
        <v>6</v>
      </c>
      <c r="AA303" s="10">
        <v>41708</v>
      </c>
      <c r="AB303" s="10">
        <v>41736</v>
      </c>
      <c r="AC303" s="10">
        <v>41736</v>
      </c>
      <c r="AD303" s="10">
        <v>41732</v>
      </c>
      <c r="AE303" s="8">
        <v>6.35</v>
      </c>
      <c r="AH303" s="8">
        <v>1</v>
      </c>
      <c r="AI303" s="8">
        <v>0</v>
      </c>
      <c r="AK303" s="8" t="s">
        <v>1394</v>
      </c>
    </row>
    <row r="304" spans="1:37">
      <c r="A304" s="7">
        <f t="shared" si="91"/>
        <v>1</v>
      </c>
      <c r="B304" s="7" t="str">
        <f t="shared" si="95"/>
        <v>14FW-JILLBY-42-BK</v>
      </c>
      <c r="C304" s="7">
        <f t="shared" si="92"/>
        <v>1</v>
      </c>
      <c r="D304" s="7" t="str">
        <f t="shared" si="96"/>
        <v>FOREMOST14FW-JILLBY-42-BK</v>
      </c>
      <c r="E304" s="12" t="str">
        <f t="shared" si="97"/>
        <v>201403</v>
      </c>
      <c r="F304" s="347" t="str">
        <f>VLOOKUP($AA304,[3]주!$A:$F,6,FALSE)</f>
        <v>3월 2주</v>
      </c>
      <c r="G304" s="7">
        <f t="shared" si="93"/>
        <v>1</v>
      </c>
      <c r="H304" s="7" t="str">
        <f t="shared" si="98"/>
        <v>14FW-JILLBY-42-BK</v>
      </c>
      <c r="I304" s="7">
        <f t="shared" si="94"/>
        <v>1</v>
      </c>
      <c r="J304" s="7" t="str">
        <f t="shared" si="99"/>
        <v>FOREMOST14FW-JILLBY-42-BK</v>
      </c>
      <c r="K304" s="17">
        <f t="shared" si="100"/>
        <v>41753</v>
      </c>
      <c r="L304" s="12" t="str">
        <f t="shared" si="101"/>
        <v>201404</v>
      </c>
      <c r="M304" s="347" t="str">
        <f>VLOOKUP($K304,[3]주!$A:$F,6,FALSE)</f>
        <v>3월 2주</v>
      </c>
      <c r="N304" s="273" t="str">
        <f>IF(VLOOKUP($Z304,생산업체!$A:$C,2,FALSE)=1,"해외","국내")</f>
        <v>해외</v>
      </c>
      <c r="O304" s="12" t="str">
        <f>IF(VLOOKUP($U304,CODE!$K:$P,CODE!P$1,FALSE)="모자",T304,T304&amp;"-"&amp;VLOOKUP($U304,CODE!$K:$P,CODE!P$1,FALSE))</f>
        <v>JIL</v>
      </c>
      <c r="P304" s="11" t="s">
        <v>32</v>
      </c>
      <c r="R304" s="11">
        <v>162</v>
      </c>
      <c r="T304" s="8" t="s">
        <v>32</v>
      </c>
      <c r="U304" s="8" t="s">
        <v>37</v>
      </c>
      <c r="V304" s="8" t="s">
        <v>43</v>
      </c>
      <c r="W304" s="8" t="s">
        <v>1761</v>
      </c>
      <c r="X304" s="8" t="s">
        <v>900</v>
      </c>
      <c r="Y304" s="9">
        <v>1</v>
      </c>
      <c r="Z304" s="8" t="s">
        <v>6</v>
      </c>
      <c r="AA304" s="10">
        <v>41708</v>
      </c>
      <c r="AB304" s="10">
        <v>41736</v>
      </c>
      <c r="AC304" s="10">
        <v>41736</v>
      </c>
      <c r="AD304" s="10">
        <v>41753</v>
      </c>
      <c r="AH304" s="8">
        <v>2</v>
      </c>
      <c r="AI304" s="8">
        <v>2</v>
      </c>
      <c r="AK304" s="8" t="s">
        <v>1394</v>
      </c>
    </row>
    <row r="305" spans="1:39">
      <c r="A305" s="7">
        <f t="shared" si="91"/>
        <v>1</v>
      </c>
      <c r="B305" s="7" t="str">
        <f t="shared" si="95"/>
        <v>14FW-JILLBY-37-BK</v>
      </c>
      <c r="C305" s="7">
        <f t="shared" si="92"/>
        <v>1</v>
      </c>
      <c r="D305" s="7" t="str">
        <f t="shared" si="96"/>
        <v>FOREMOST14FW-JILLBY-37-BK</v>
      </c>
      <c r="E305" s="12" t="str">
        <f t="shared" si="97"/>
        <v>201403</v>
      </c>
      <c r="F305" s="347" t="str">
        <f>VLOOKUP($AA305,[3]주!$A:$F,6,FALSE)</f>
        <v>3월 1주</v>
      </c>
      <c r="G305" s="7">
        <f t="shared" si="93"/>
        <v>1</v>
      </c>
      <c r="H305" s="7" t="str">
        <f t="shared" si="98"/>
        <v>14FW-JILLBY-37-BK</v>
      </c>
      <c r="I305" s="7">
        <f t="shared" si="94"/>
        <v>1</v>
      </c>
      <c r="J305" s="7" t="str">
        <f t="shared" si="99"/>
        <v>FOREMOST14FW-JILLBY-37-BK</v>
      </c>
      <c r="K305" s="17">
        <f t="shared" si="100"/>
        <v>41730</v>
      </c>
      <c r="L305" s="12" t="str">
        <f t="shared" si="101"/>
        <v>201404</v>
      </c>
      <c r="M305" s="347" t="str">
        <f>VLOOKUP($K305,[3]주!$A:$F,6,FALSE)</f>
        <v>3월 2주</v>
      </c>
      <c r="N305" s="273" t="str">
        <f>IF(VLOOKUP($Z305,생산업체!$A:$C,2,FALSE)=1,"해외","국내")</f>
        <v>해외</v>
      </c>
      <c r="O305" s="12" t="str">
        <f>IF(VLOOKUP($U305,CODE!$K:$P,CODE!P$1,FALSE)="모자",T305,T305&amp;"-"&amp;VLOOKUP($U305,CODE!$K:$P,CODE!P$1,FALSE))</f>
        <v>JIL</v>
      </c>
      <c r="P305" s="11" t="s">
        <v>32</v>
      </c>
      <c r="R305" s="11">
        <v>163</v>
      </c>
      <c r="T305" s="8" t="s">
        <v>32</v>
      </c>
      <c r="U305" s="8" t="s">
        <v>28</v>
      </c>
      <c r="V305" s="8" t="s">
        <v>43</v>
      </c>
      <c r="W305" s="8" t="s">
        <v>1762</v>
      </c>
      <c r="X305" s="8" t="s">
        <v>900</v>
      </c>
      <c r="Y305" s="9">
        <v>1</v>
      </c>
      <c r="Z305" s="8" t="s">
        <v>6</v>
      </c>
      <c r="AA305" s="10">
        <v>41705</v>
      </c>
      <c r="AB305" s="10">
        <v>41733</v>
      </c>
      <c r="AC305" s="10">
        <v>41733</v>
      </c>
      <c r="AD305" s="10">
        <v>41730</v>
      </c>
      <c r="AH305" s="8">
        <v>3</v>
      </c>
      <c r="AI305" s="8">
        <v>2</v>
      </c>
      <c r="AK305" s="8" t="s">
        <v>1394</v>
      </c>
    </row>
    <row r="306" spans="1:39">
      <c r="A306" s="7">
        <f t="shared" si="91"/>
        <v>1</v>
      </c>
      <c r="B306" s="7" t="str">
        <f t="shared" si="95"/>
        <v>14FW-JILLBY-38-BK</v>
      </c>
      <c r="C306" s="7">
        <f t="shared" si="92"/>
        <v>1</v>
      </c>
      <c r="D306" s="7" t="str">
        <f t="shared" si="96"/>
        <v>FOREMOST14FW-JILLBY-38-BK</v>
      </c>
      <c r="E306" s="12" t="str">
        <f t="shared" si="97"/>
        <v>201403</v>
      </c>
      <c r="F306" s="347" t="str">
        <f>VLOOKUP($AA306,[3]주!$A:$F,6,FALSE)</f>
        <v>3월 1주</v>
      </c>
      <c r="G306" s="7">
        <f t="shared" si="93"/>
        <v>1</v>
      </c>
      <c r="H306" s="7" t="str">
        <f t="shared" si="98"/>
        <v>14FW-JILLBY-38-BK</v>
      </c>
      <c r="I306" s="7">
        <f t="shared" si="94"/>
        <v>1</v>
      </c>
      <c r="J306" s="7" t="str">
        <f t="shared" si="99"/>
        <v>FOREMOST14FW-JILLBY-38-BK</v>
      </c>
      <c r="K306" s="17">
        <f t="shared" si="100"/>
        <v>41730</v>
      </c>
      <c r="L306" s="12" t="str">
        <f t="shared" si="101"/>
        <v>201404</v>
      </c>
      <c r="M306" s="347" t="str">
        <f>VLOOKUP($K306,[3]주!$A:$F,6,FALSE)</f>
        <v>3월 2주</v>
      </c>
      <c r="N306" s="273" t="str">
        <f>IF(VLOOKUP($Z306,생산업체!$A:$C,2,FALSE)=1,"해외","국내")</f>
        <v>해외</v>
      </c>
      <c r="O306" s="12" t="str">
        <f>IF(VLOOKUP($U306,CODE!$K:$P,CODE!P$1,FALSE)="모자",T306,T306&amp;"-"&amp;VLOOKUP($U306,CODE!$K:$P,CODE!P$1,FALSE))</f>
        <v>JIL</v>
      </c>
      <c r="P306" s="11" t="s">
        <v>32</v>
      </c>
      <c r="R306" s="11">
        <v>164</v>
      </c>
      <c r="T306" s="8" t="s">
        <v>32</v>
      </c>
      <c r="U306" s="8" t="s">
        <v>28</v>
      </c>
      <c r="V306" s="8" t="s">
        <v>43</v>
      </c>
      <c r="W306" s="8" t="s">
        <v>1763</v>
      </c>
      <c r="X306" s="8" t="s">
        <v>900</v>
      </c>
      <c r="Y306" s="9">
        <v>1</v>
      </c>
      <c r="Z306" s="8" t="s">
        <v>6</v>
      </c>
      <c r="AA306" s="10">
        <v>41705</v>
      </c>
      <c r="AB306" s="10">
        <v>41733</v>
      </c>
      <c r="AC306" s="10">
        <v>41733</v>
      </c>
      <c r="AD306" s="10">
        <v>41730</v>
      </c>
      <c r="AH306" s="8">
        <v>2</v>
      </c>
      <c r="AI306" s="8">
        <v>2</v>
      </c>
      <c r="AK306" s="8" t="s">
        <v>1394</v>
      </c>
    </row>
    <row r="307" spans="1:39">
      <c r="A307" s="7">
        <f t="shared" si="91"/>
        <v>1</v>
      </c>
      <c r="B307" s="7" t="str">
        <f t="shared" si="95"/>
        <v>14FW-JILLBY-39-GY</v>
      </c>
      <c r="C307" s="7">
        <f t="shared" si="92"/>
        <v>1</v>
      </c>
      <c r="D307" s="7" t="str">
        <f t="shared" si="96"/>
        <v>FOREMOST14FW-JILLBY-39-GY</v>
      </c>
      <c r="E307" s="12" t="str">
        <f t="shared" si="97"/>
        <v>201403</v>
      </c>
      <c r="F307" s="347" t="str">
        <f>VLOOKUP($AA307,[3]주!$A:$F,6,FALSE)</f>
        <v>3월 1주</v>
      </c>
      <c r="G307" s="7">
        <f t="shared" si="93"/>
        <v>1</v>
      </c>
      <c r="H307" s="7" t="str">
        <f t="shared" si="98"/>
        <v>14FW-JILLBY-39-GY</v>
      </c>
      <c r="I307" s="7">
        <f t="shared" si="94"/>
        <v>1</v>
      </c>
      <c r="J307" s="7" t="str">
        <f t="shared" si="99"/>
        <v>FOREMOST14FW-JILLBY-39-GY</v>
      </c>
      <c r="K307" s="17">
        <f t="shared" si="100"/>
        <v>41737</v>
      </c>
      <c r="L307" s="12" t="str">
        <f t="shared" si="101"/>
        <v>201404</v>
      </c>
      <c r="M307" s="347" t="str">
        <f>VLOOKUP($K307,[3]주!$A:$F,6,FALSE)</f>
        <v>3월 2주</v>
      </c>
      <c r="N307" s="273" t="str">
        <f>IF(VLOOKUP($Z307,생산업체!$A:$C,2,FALSE)=1,"해외","국내")</f>
        <v>해외</v>
      </c>
      <c r="O307" s="12" t="str">
        <f>IF(VLOOKUP($U307,CODE!$K:$P,CODE!P$1,FALSE)="모자",T307,T307&amp;"-"&amp;VLOOKUP($U307,CODE!$K:$P,CODE!P$1,FALSE))</f>
        <v>JIL</v>
      </c>
      <c r="P307" s="11" t="s">
        <v>32</v>
      </c>
      <c r="R307" s="11">
        <v>165</v>
      </c>
      <c r="T307" s="8" t="s">
        <v>32</v>
      </c>
      <c r="U307" s="8" t="s">
        <v>28</v>
      </c>
      <c r="V307" s="8" t="s">
        <v>43</v>
      </c>
      <c r="W307" s="8" t="s">
        <v>1764</v>
      </c>
      <c r="X307" s="8" t="s">
        <v>900</v>
      </c>
      <c r="Y307" s="9">
        <v>1</v>
      </c>
      <c r="Z307" s="8" t="s">
        <v>6</v>
      </c>
      <c r="AA307" s="10">
        <v>41705</v>
      </c>
      <c r="AB307" s="10">
        <v>41733</v>
      </c>
      <c r="AC307" s="10">
        <v>41733</v>
      </c>
      <c r="AD307" s="10">
        <v>41737</v>
      </c>
      <c r="AE307" s="8">
        <v>6.25</v>
      </c>
      <c r="AH307" s="8">
        <v>3</v>
      </c>
      <c r="AI307" s="8">
        <v>1</v>
      </c>
      <c r="AK307" s="8" t="s">
        <v>1394</v>
      </c>
    </row>
    <row r="308" spans="1:39">
      <c r="A308" s="7">
        <f t="shared" si="91"/>
        <v>1</v>
      </c>
      <c r="B308" s="7" t="str">
        <f t="shared" si="95"/>
        <v>14FW-JILLBY-40-BK</v>
      </c>
      <c r="C308" s="7">
        <f t="shared" si="92"/>
        <v>1</v>
      </c>
      <c r="D308" s="7" t="str">
        <f t="shared" si="96"/>
        <v>FOREMOST14FW-JILLBY-40-BK</v>
      </c>
      <c r="E308" s="12" t="str">
        <f t="shared" si="97"/>
        <v>201403</v>
      </c>
      <c r="F308" s="347" t="str">
        <f>VLOOKUP($AA308,[3]주!$A:$F,6,FALSE)</f>
        <v>3월 1주</v>
      </c>
      <c r="G308" s="7">
        <f t="shared" si="93"/>
        <v>0</v>
      </c>
      <c r="H308" s="7" t="str">
        <f t="shared" si="98"/>
        <v/>
      </c>
      <c r="I308" s="7">
        <f t="shared" si="94"/>
        <v>0</v>
      </c>
      <c r="J308" s="7" t="str">
        <f t="shared" si="99"/>
        <v/>
      </c>
      <c r="K308" s="17">
        <f t="shared" si="100"/>
        <v>41733</v>
      </c>
      <c r="L308" s="12" t="str">
        <f t="shared" si="101"/>
        <v>201404</v>
      </c>
      <c r="M308" s="347" t="str">
        <f>VLOOKUP($K308,[3]주!$A:$F,6,FALSE)</f>
        <v>3월 2주</v>
      </c>
      <c r="N308" s="273" t="str">
        <f>IF(VLOOKUP($Z308,생산업체!$A:$C,2,FALSE)=1,"해외","국내")</f>
        <v>해외</v>
      </c>
      <c r="O308" s="12" t="str">
        <f>IF(VLOOKUP($U308,CODE!$K:$P,CODE!P$1,FALSE)="모자",T308,T308&amp;"-"&amp;VLOOKUP($U308,CODE!$K:$P,CODE!P$1,FALSE))</f>
        <v>JIL</v>
      </c>
      <c r="P308" s="11" t="s">
        <v>32</v>
      </c>
      <c r="R308" s="11">
        <v>166</v>
      </c>
      <c r="T308" s="8" t="s">
        <v>32</v>
      </c>
      <c r="U308" s="8" t="s">
        <v>28</v>
      </c>
      <c r="V308" s="8" t="s">
        <v>43</v>
      </c>
      <c r="W308" s="8" t="s">
        <v>1765</v>
      </c>
      <c r="X308" s="8" t="s">
        <v>900</v>
      </c>
      <c r="Y308" s="9">
        <v>1</v>
      </c>
      <c r="Z308" s="8" t="s">
        <v>6</v>
      </c>
      <c r="AA308" s="10">
        <v>41705</v>
      </c>
      <c r="AB308" s="10">
        <v>41733</v>
      </c>
      <c r="AC308" s="10">
        <v>41733</v>
      </c>
      <c r="AH308" s="8">
        <v>4</v>
      </c>
      <c r="AI308" s="8">
        <v>4</v>
      </c>
      <c r="AK308" s="8" t="s">
        <v>1394</v>
      </c>
    </row>
    <row r="309" spans="1:39">
      <c r="A309" s="7">
        <f t="shared" si="91"/>
        <v>1</v>
      </c>
      <c r="B309" s="7" t="str">
        <f t="shared" si="95"/>
        <v>14FW-JILLBY-41-BK</v>
      </c>
      <c r="C309" s="7">
        <f t="shared" si="92"/>
        <v>1</v>
      </c>
      <c r="D309" s="7" t="str">
        <f t="shared" si="96"/>
        <v>FOREMOST14FW-JILLBY-41-BK</v>
      </c>
      <c r="E309" s="12" t="str">
        <f t="shared" si="97"/>
        <v>201403</v>
      </c>
      <c r="F309" s="347" t="str">
        <f>VLOOKUP($AA309,[3]주!$A:$F,6,FALSE)</f>
        <v>3월 1주</v>
      </c>
      <c r="G309" s="7">
        <f t="shared" si="93"/>
        <v>1</v>
      </c>
      <c r="H309" s="7" t="str">
        <f t="shared" si="98"/>
        <v>14FW-JILLBY-41-BK</v>
      </c>
      <c r="I309" s="7">
        <f t="shared" si="94"/>
        <v>1</v>
      </c>
      <c r="J309" s="7" t="str">
        <f t="shared" si="99"/>
        <v>FOREMOST14FW-JILLBY-41-BK</v>
      </c>
      <c r="K309" s="17">
        <f t="shared" si="100"/>
        <v>41725</v>
      </c>
      <c r="L309" s="12" t="str">
        <f t="shared" si="101"/>
        <v>201403</v>
      </c>
      <c r="M309" s="347" t="str">
        <f>VLOOKUP($K309,[3]주!$A:$F,6,FALSE)</f>
        <v>3월 2주</v>
      </c>
      <c r="N309" s="273" t="str">
        <f>IF(VLOOKUP($Z309,생산업체!$A:$C,2,FALSE)=1,"해외","국내")</f>
        <v>해외</v>
      </c>
      <c r="O309" s="12" t="str">
        <f>IF(VLOOKUP($U309,CODE!$K:$P,CODE!P$1,FALSE)="모자",T309,T309&amp;"-"&amp;VLOOKUP($U309,CODE!$K:$P,CODE!P$1,FALSE))</f>
        <v>JIL</v>
      </c>
      <c r="P309" s="11" t="s">
        <v>32</v>
      </c>
      <c r="R309" s="11">
        <v>167</v>
      </c>
      <c r="T309" s="8" t="s">
        <v>32</v>
      </c>
      <c r="U309" s="8" t="s">
        <v>38</v>
      </c>
      <c r="V309" s="8" t="s">
        <v>43</v>
      </c>
      <c r="W309" s="8" t="s">
        <v>1766</v>
      </c>
      <c r="X309" s="8" t="s">
        <v>900</v>
      </c>
      <c r="Y309" s="9">
        <v>1</v>
      </c>
      <c r="Z309" s="8" t="s">
        <v>6</v>
      </c>
      <c r="AA309" s="10">
        <v>41705</v>
      </c>
      <c r="AB309" s="10">
        <v>41733</v>
      </c>
      <c r="AC309" s="10">
        <v>41733</v>
      </c>
      <c r="AD309" s="10">
        <v>41725</v>
      </c>
      <c r="AH309" s="8">
        <v>2</v>
      </c>
      <c r="AI309" s="8">
        <v>2</v>
      </c>
      <c r="AK309" s="8" t="s">
        <v>1395</v>
      </c>
      <c r="AL309" s="8" t="s">
        <v>1396</v>
      </c>
    </row>
    <row r="310" spans="1:39">
      <c r="A310" s="7">
        <f t="shared" si="91"/>
        <v>1</v>
      </c>
      <c r="B310" s="7" t="str">
        <f t="shared" ref="B310:B321" si="102">IF(AA310="","",W310)</f>
        <v>14FW-JILLBY-INFANT-01-BL</v>
      </c>
      <c r="C310" s="7">
        <f t="shared" si="92"/>
        <v>1</v>
      </c>
      <c r="D310" s="7" t="str">
        <f t="shared" ref="D310:D321" si="103">IF(AA310="","",Z310&amp;W310)</f>
        <v>FOREMOST14FW-JILLBY-INFANT-01-BL</v>
      </c>
      <c r="E310" s="12" t="str">
        <f t="shared" ref="E310:E321" si="104">IF(YEAR(AA310)&lt;10,0&amp;YEAR(AA310),YEAR(AA310))&amp;IF(MONTH(AA310)&lt;10,0&amp;MONTH(AA310),MONTH(AA310))</f>
        <v>201403</v>
      </c>
      <c r="F310" s="347" t="str">
        <f>VLOOKUP($AA310,[3]주!$A:$F,6,FALSE)</f>
        <v>3월 2주</v>
      </c>
      <c r="G310" s="7">
        <f t="shared" si="93"/>
        <v>1</v>
      </c>
      <c r="H310" s="7" t="str">
        <f t="shared" ref="H310:H321" si="105">IF(AD310="","",W310)</f>
        <v>14FW-JILLBY-INFANT-01-BL</v>
      </c>
      <c r="I310" s="7">
        <f t="shared" si="94"/>
        <v>1</v>
      </c>
      <c r="J310" s="7" t="str">
        <f t="shared" ref="J310:J321" si="106">IF(AD310="","",Z310&amp;W310)</f>
        <v>FOREMOST14FW-JILLBY-INFANT-01-BL</v>
      </c>
      <c r="K310" s="17">
        <f t="shared" ref="K310:K321" si="107">IF(AD310="",AC310,AD310)</f>
        <v>41731</v>
      </c>
      <c r="L310" s="12" t="str">
        <f t="shared" ref="L310:L321" si="108">IF(YEAR(K310)&lt;10,0&amp;YEAR(K310),YEAR(K310))&amp;IF(MONTH(K310)&lt;10,0&amp;MONTH(K310),MONTH(K310))</f>
        <v>201404</v>
      </c>
      <c r="M310" s="347" t="str">
        <f>VLOOKUP($K310,[3]주!$A:$F,6,FALSE)</f>
        <v>3월 2주</v>
      </c>
      <c r="N310" s="273" t="str">
        <f>IF(VLOOKUP($Z310,생산업체!$A:$C,2,FALSE)=1,"해외","국내")</f>
        <v>해외</v>
      </c>
      <c r="O310" s="12" t="str">
        <f>IF(VLOOKUP($U310,CODE!$K:$P,CODE!P$1,FALSE)="모자",T310,T310&amp;"-"&amp;VLOOKUP($U310,CODE!$K:$P,CODE!P$1,FALSE))</f>
        <v>JIL</v>
      </c>
      <c r="P310" s="11" t="s">
        <v>32</v>
      </c>
      <c r="R310" s="11">
        <v>168</v>
      </c>
      <c r="T310" s="8" t="s">
        <v>32</v>
      </c>
      <c r="U310" s="8" t="s">
        <v>60</v>
      </c>
      <c r="V310" s="8" t="s">
        <v>43</v>
      </c>
      <c r="W310" s="8" t="s">
        <v>1767</v>
      </c>
      <c r="X310" s="8" t="s">
        <v>124</v>
      </c>
      <c r="Y310" s="9">
        <v>1</v>
      </c>
      <c r="Z310" s="8" t="s">
        <v>6</v>
      </c>
      <c r="AA310" s="10">
        <v>41710</v>
      </c>
      <c r="AB310" s="10">
        <v>41738</v>
      </c>
      <c r="AC310" s="10">
        <v>41738</v>
      </c>
      <c r="AD310" s="10">
        <v>41731</v>
      </c>
      <c r="AH310" s="8">
        <v>2</v>
      </c>
      <c r="AI310" s="8">
        <v>1</v>
      </c>
      <c r="AK310" s="8" t="s">
        <v>1395</v>
      </c>
      <c r="AL310" s="8" t="s">
        <v>1396</v>
      </c>
    </row>
    <row r="311" spans="1:39">
      <c r="A311" s="7">
        <f t="shared" si="91"/>
        <v>1</v>
      </c>
      <c r="B311" s="7" t="str">
        <f t="shared" si="102"/>
        <v>14FW-JILLBY-INFANT-01-PK</v>
      </c>
      <c r="C311" s="7">
        <f t="shared" si="92"/>
        <v>1</v>
      </c>
      <c r="D311" s="7" t="str">
        <f t="shared" si="103"/>
        <v>FOREMOST14FW-JILLBY-INFANT-01-PK</v>
      </c>
      <c r="E311" s="12" t="str">
        <f t="shared" si="104"/>
        <v>201403</v>
      </c>
      <c r="F311" s="347" t="str">
        <f>VLOOKUP($AA311,[3]주!$A:$F,6,FALSE)</f>
        <v>3월 2주</v>
      </c>
      <c r="G311" s="7">
        <f t="shared" si="93"/>
        <v>1</v>
      </c>
      <c r="H311" s="7" t="str">
        <f t="shared" si="105"/>
        <v>14FW-JILLBY-INFANT-01-PK</v>
      </c>
      <c r="I311" s="7">
        <f t="shared" si="94"/>
        <v>1</v>
      </c>
      <c r="J311" s="7" t="str">
        <f t="shared" si="106"/>
        <v>FOREMOST14FW-JILLBY-INFANT-01-PK</v>
      </c>
      <c r="K311" s="17">
        <f t="shared" si="107"/>
        <v>41731</v>
      </c>
      <c r="L311" s="12" t="str">
        <f t="shared" si="108"/>
        <v>201404</v>
      </c>
      <c r="M311" s="347" t="str">
        <f>VLOOKUP($K311,[3]주!$A:$F,6,FALSE)</f>
        <v>3월 2주</v>
      </c>
      <c r="N311" s="273" t="str">
        <f>IF(VLOOKUP($Z311,생산업체!$A:$C,2,FALSE)=1,"해외","국내")</f>
        <v>해외</v>
      </c>
      <c r="O311" s="12" t="str">
        <f>IF(VLOOKUP($U311,CODE!$K:$P,CODE!P$1,FALSE)="모자",T311,T311&amp;"-"&amp;VLOOKUP($U311,CODE!$K:$P,CODE!P$1,FALSE))</f>
        <v>JIL</v>
      </c>
      <c r="P311" s="11" t="s">
        <v>32</v>
      </c>
      <c r="R311" s="11">
        <v>169</v>
      </c>
      <c r="T311" s="8" t="s">
        <v>32</v>
      </c>
      <c r="U311" s="8" t="s">
        <v>60</v>
      </c>
      <c r="V311" s="8" t="s">
        <v>43</v>
      </c>
      <c r="W311" s="8" t="s">
        <v>1768</v>
      </c>
      <c r="X311" s="8" t="s">
        <v>124</v>
      </c>
      <c r="Y311" s="9">
        <v>1</v>
      </c>
      <c r="Z311" s="8" t="s">
        <v>6</v>
      </c>
      <c r="AA311" s="10">
        <v>41710</v>
      </c>
      <c r="AB311" s="10">
        <v>41738</v>
      </c>
      <c r="AC311" s="10">
        <v>41738</v>
      </c>
      <c r="AD311" s="10">
        <v>41731</v>
      </c>
      <c r="AH311" s="8">
        <v>2</v>
      </c>
      <c r="AI311" s="8">
        <v>1</v>
      </c>
      <c r="AK311" s="8" t="s">
        <v>1395</v>
      </c>
      <c r="AL311" s="8" t="s">
        <v>1396</v>
      </c>
    </row>
    <row r="312" spans="1:39">
      <c r="A312" s="7">
        <f t="shared" si="91"/>
        <v>1</v>
      </c>
      <c r="B312" s="7" t="str">
        <f t="shared" si="102"/>
        <v>14FW-JILLBY-INFANT-02-BG</v>
      </c>
      <c r="C312" s="7">
        <f t="shared" si="92"/>
        <v>1</v>
      </c>
      <c r="D312" s="7" t="str">
        <f t="shared" si="103"/>
        <v>FOREMOST14FW-JILLBY-INFANT-02-BG</v>
      </c>
      <c r="E312" s="12" t="str">
        <f t="shared" si="104"/>
        <v>201403</v>
      </c>
      <c r="F312" s="347" t="str">
        <f>VLOOKUP($AA312,[3]주!$A:$F,6,FALSE)</f>
        <v>3월 2주</v>
      </c>
      <c r="G312" s="7">
        <f t="shared" si="93"/>
        <v>1</v>
      </c>
      <c r="H312" s="7" t="str">
        <f t="shared" si="105"/>
        <v>14FW-JILLBY-INFANT-02-BG</v>
      </c>
      <c r="I312" s="7">
        <f t="shared" si="94"/>
        <v>1</v>
      </c>
      <c r="J312" s="7" t="str">
        <f t="shared" si="106"/>
        <v>FOREMOST14FW-JILLBY-INFANT-02-BG</v>
      </c>
      <c r="K312" s="17">
        <f t="shared" si="107"/>
        <v>41731</v>
      </c>
      <c r="L312" s="12" t="str">
        <f t="shared" si="108"/>
        <v>201404</v>
      </c>
      <c r="M312" s="347" t="str">
        <f>VLOOKUP($K312,[3]주!$A:$F,6,FALSE)</f>
        <v>3월 2주</v>
      </c>
      <c r="N312" s="273" t="str">
        <f>IF(VLOOKUP($Z312,생산업체!$A:$C,2,FALSE)=1,"해외","국내")</f>
        <v>해외</v>
      </c>
      <c r="O312" s="12" t="str">
        <f>IF(VLOOKUP($U312,CODE!$K:$P,CODE!P$1,FALSE)="모자",T312,T312&amp;"-"&amp;VLOOKUP($U312,CODE!$K:$P,CODE!P$1,FALSE))</f>
        <v>JIL</v>
      </c>
      <c r="P312" s="11" t="s">
        <v>32</v>
      </c>
      <c r="R312" s="11">
        <v>170</v>
      </c>
      <c r="T312" s="8" t="s">
        <v>32</v>
      </c>
      <c r="U312" s="8" t="s">
        <v>60</v>
      </c>
      <c r="V312" s="8" t="s">
        <v>43</v>
      </c>
      <c r="W312" s="8" t="s">
        <v>1769</v>
      </c>
      <c r="X312" s="8" t="s">
        <v>124</v>
      </c>
      <c r="Y312" s="9">
        <v>1</v>
      </c>
      <c r="Z312" s="8" t="s">
        <v>6</v>
      </c>
      <c r="AA312" s="10">
        <v>41710</v>
      </c>
      <c r="AB312" s="10">
        <v>41738</v>
      </c>
      <c r="AC312" s="10">
        <v>41738</v>
      </c>
      <c r="AD312" s="10">
        <v>41731</v>
      </c>
      <c r="AH312" s="8">
        <v>2</v>
      </c>
      <c r="AI312" s="8">
        <v>1</v>
      </c>
      <c r="AK312" s="8" t="s">
        <v>1395</v>
      </c>
      <c r="AL312" s="8" t="s">
        <v>1396</v>
      </c>
    </row>
    <row r="313" spans="1:39">
      <c r="A313" s="7">
        <f t="shared" si="91"/>
        <v>1</v>
      </c>
      <c r="B313" s="7" t="str">
        <f t="shared" si="102"/>
        <v>14FW-JILLBY-INFANT-03-PK</v>
      </c>
      <c r="C313" s="7">
        <f t="shared" si="92"/>
        <v>1</v>
      </c>
      <c r="D313" s="7" t="str">
        <f t="shared" si="103"/>
        <v>FOREMOST14FW-JILLBY-INFANT-03-PK</v>
      </c>
      <c r="E313" s="12" t="str">
        <f t="shared" si="104"/>
        <v>201403</v>
      </c>
      <c r="F313" s="347" t="str">
        <f>VLOOKUP($AA313,[3]주!$A:$F,6,FALSE)</f>
        <v>3월 2주</v>
      </c>
      <c r="G313" s="7">
        <f t="shared" si="93"/>
        <v>1</v>
      </c>
      <c r="H313" s="7" t="str">
        <f t="shared" si="105"/>
        <v>14FW-JILLBY-INFANT-03-PK</v>
      </c>
      <c r="I313" s="7">
        <f t="shared" si="94"/>
        <v>1</v>
      </c>
      <c r="J313" s="7" t="str">
        <f t="shared" si="106"/>
        <v>FOREMOST14FW-JILLBY-INFANT-03-PK</v>
      </c>
      <c r="K313" s="17">
        <f t="shared" si="107"/>
        <v>41730</v>
      </c>
      <c r="L313" s="12" t="str">
        <f t="shared" si="108"/>
        <v>201404</v>
      </c>
      <c r="M313" s="347" t="str">
        <f>VLOOKUP($K313,[3]주!$A:$F,6,FALSE)</f>
        <v>3월 2주</v>
      </c>
      <c r="N313" s="273" t="str">
        <f>IF(VLOOKUP($Z313,생산업체!$A:$C,2,FALSE)=1,"해외","국내")</f>
        <v>해외</v>
      </c>
      <c r="O313" s="12" t="str">
        <f>IF(VLOOKUP($U313,CODE!$K:$P,CODE!P$1,FALSE)="모자",T313,T313&amp;"-"&amp;VLOOKUP($U313,CODE!$K:$P,CODE!P$1,FALSE))</f>
        <v>JIL</v>
      </c>
      <c r="P313" s="11" t="s">
        <v>32</v>
      </c>
      <c r="R313" s="11">
        <v>171</v>
      </c>
      <c r="T313" s="8" t="s">
        <v>32</v>
      </c>
      <c r="U313" s="8" t="s">
        <v>60</v>
      </c>
      <c r="V313" s="8" t="s">
        <v>43</v>
      </c>
      <c r="W313" s="8" t="s">
        <v>1770</v>
      </c>
      <c r="X313" s="8" t="s">
        <v>124</v>
      </c>
      <c r="Y313" s="9">
        <v>1</v>
      </c>
      <c r="Z313" s="8" t="s">
        <v>6</v>
      </c>
      <c r="AA313" s="10">
        <v>41710</v>
      </c>
      <c r="AB313" s="10">
        <v>41738</v>
      </c>
      <c r="AC313" s="10">
        <v>41738</v>
      </c>
      <c r="AD313" s="10">
        <v>41730</v>
      </c>
      <c r="AE313" s="8">
        <v>3.3</v>
      </c>
      <c r="AH313" s="8">
        <v>3</v>
      </c>
      <c r="AI313" s="8">
        <v>3</v>
      </c>
      <c r="AK313" s="8" t="s">
        <v>1395</v>
      </c>
      <c r="AL313" s="8" t="s">
        <v>1396</v>
      </c>
    </row>
    <row r="314" spans="1:39">
      <c r="A314" s="7">
        <f t="shared" si="91"/>
        <v>1</v>
      </c>
      <c r="B314" s="7" t="str">
        <f t="shared" si="102"/>
        <v>14FW-JILLBY-INFANT-03-WH</v>
      </c>
      <c r="C314" s="7">
        <f t="shared" si="92"/>
        <v>1</v>
      </c>
      <c r="D314" s="7" t="str">
        <f t="shared" si="103"/>
        <v>FOREMOST14FW-JILLBY-INFANT-03-WH</v>
      </c>
      <c r="E314" s="12" t="str">
        <f t="shared" si="104"/>
        <v>201403</v>
      </c>
      <c r="F314" s="347" t="str">
        <f>VLOOKUP($AA314,[3]주!$A:$F,6,FALSE)</f>
        <v>3월 2주</v>
      </c>
      <c r="G314" s="7">
        <f t="shared" si="93"/>
        <v>1</v>
      </c>
      <c r="H314" s="7" t="str">
        <f t="shared" si="105"/>
        <v>14FW-JILLBY-INFANT-03-WH</v>
      </c>
      <c r="I314" s="7">
        <f t="shared" si="94"/>
        <v>1</v>
      </c>
      <c r="J314" s="7" t="str">
        <f t="shared" si="106"/>
        <v>FOREMOST14FW-JILLBY-INFANT-03-WH</v>
      </c>
      <c r="K314" s="17">
        <f t="shared" si="107"/>
        <v>41750</v>
      </c>
      <c r="L314" s="12" t="str">
        <f t="shared" si="108"/>
        <v>201404</v>
      </c>
      <c r="M314" s="347" t="str">
        <f>VLOOKUP($K314,[3]주!$A:$F,6,FALSE)</f>
        <v>3월 2주</v>
      </c>
      <c r="N314" s="273" t="str">
        <f>IF(VLOOKUP($Z314,생산업체!$A:$C,2,FALSE)=1,"해외","국내")</f>
        <v>해외</v>
      </c>
      <c r="O314" s="12" t="str">
        <f>IF(VLOOKUP($U314,CODE!$K:$P,CODE!P$1,FALSE)="모자",T314,T314&amp;"-"&amp;VLOOKUP($U314,CODE!$K:$P,CODE!P$1,FALSE))</f>
        <v>JIL</v>
      </c>
      <c r="P314" s="11" t="s">
        <v>32</v>
      </c>
      <c r="R314" s="11">
        <v>172</v>
      </c>
      <c r="T314" s="8" t="s">
        <v>32</v>
      </c>
      <c r="U314" s="8" t="s">
        <v>60</v>
      </c>
      <c r="V314" s="8" t="s">
        <v>43</v>
      </c>
      <c r="W314" s="8" t="s">
        <v>1771</v>
      </c>
      <c r="X314" s="8" t="s">
        <v>124</v>
      </c>
      <c r="Y314" s="9">
        <v>1</v>
      </c>
      <c r="Z314" s="8" t="s">
        <v>6</v>
      </c>
      <c r="AA314" s="10">
        <v>41712</v>
      </c>
      <c r="AB314" s="10">
        <v>41740</v>
      </c>
      <c r="AC314" s="10">
        <v>41740</v>
      </c>
      <c r="AD314" s="10">
        <v>41750</v>
      </c>
      <c r="AH314" s="8">
        <v>3</v>
      </c>
      <c r="AI314" s="8">
        <v>1</v>
      </c>
      <c r="AK314" s="8" t="s">
        <v>1395</v>
      </c>
      <c r="AL314" s="8" t="s">
        <v>1396</v>
      </c>
    </row>
    <row r="315" spans="1:39">
      <c r="A315" s="7">
        <f t="shared" si="91"/>
        <v>1</v>
      </c>
      <c r="B315" s="7" t="str">
        <f t="shared" si="102"/>
        <v>14FW DISNEY 01_SNAP_BK</v>
      </c>
      <c r="C315" s="7">
        <f t="shared" si="92"/>
        <v>1</v>
      </c>
      <c r="D315" s="7" t="str">
        <f t="shared" si="103"/>
        <v>QF14FW DISNEY 01_SNAP_BK</v>
      </c>
      <c r="E315" s="12" t="str">
        <f t="shared" si="104"/>
        <v>201403</v>
      </c>
      <c r="F315" s="347" t="str">
        <f>VLOOKUP($AA315,[3]주!$A:$F,6,FALSE)</f>
        <v>3월 2주</v>
      </c>
      <c r="G315" s="7">
        <f t="shared" si="93"/>
        <v>1</v>
      </c>
      <c r="H315" s="7" t="str">
        <f t="shared" si="105"/>
        <v>14FW DISNEY 01_SNAP_BK</v>
      </c>
      <c r="I315" s="7">
        <f t="shared" si="94"/>
        <v>1</v>
      </c>
      <c r="J315" s="7" t="str">
        <f t="shared" si="106"/>
        <v>QF14FW DISNEY 01_SNAP_BK</v>
      </c>
      <c r="K315" s="17">
        <f t="shared" si="107"/>
        <v>41753</v>
      </c>
      <c r="L315" s="12" t="str">
        <f t="shared" si="108"/>
        <v>201404</v>
      </c>
      <c r="M315" s="347" t="str">
        <f>VLOOKUP($K315,[3]주!$A:$F,6,FALSE)</f>
        <v>3월 2주</v>
      </c>
      <c r="N315" s="273" t="str">
        <f>IF(VLOOKUP($Z315,생산업체!$A:$C,2,FALSE)=1,"해외","국내")</f>
        <v>해외</v>
      </c>
      <c r="O315" s="12" t="str">
        <f>IF(VLOOKUP($U315,CODE!$K:$P,CODE!P$1,FALSE)="모자",T315,T315&amp;"-"&amp;VLOOKUP($U315,CODE!$K:$P,CODE!P$1,FALSE))</f>
        <v>DPS</v>
      </c>
      <c r="P315" s="11" t="s">
        <v>1772</v>
      </c>
      <c r="R315" s="11">
        <v>173</v>
      </c>
      <c r="T315" s="8" t="s">
        <v>1772</v>
      </c>
      <c r="U315" s="8" t="s">
        <v>35</v>
      </c>
      <c r="V315" s="8" t="s">
        <v>43</v>
      </c>
      <c r="W315" s="8" t="s">
        <v>1773</v>
      </c>
      <c r="X315" s="8" t="s">
        <v>900</v>
      </c>
      <c r="Y315" s="9">
        <v>1</v>
      </c>
      <c r="Z315" s="8" t="s">
        <v>792</v>
      </c>
      <c r="AA315" s="10">
        <v>41711</v>
      </c>
      <c r="AB315" s="10">
        <v>41739</v>
      </c>
      <c r="AC315" s="10">
        <v>41739</v>
      </c>
      <c r="AD315" s="10">
        <v>41753</v>
      </c>
      <c r="AE315" s="8">
        <v>4.7</v>
      </c>
      <c r="AK315" s="8" t="s">
        <v>1395</v>
      </c>
      <c r="AL315" s="8" t="s">
        <v>1396</v>
      </c>
    </row>
    <row r="316" spans="1:39">
      <c r="A316" s="7">
        <f t="shared" si="91"/>
        <v>1</v>
      </c>
      <c r="B316" s="7" t="str">
        <f t="shared" si="102"/>
        <v>14FW DISNEY 01_SNAP_PK_KIDS</v>
      </c>
      <c r="C316" s="7">
        <f t="shared" si="92"/>
        <v>1</v>
      </c>
      <c r="D316" s="7" t="str">
        <f t="shared" si="103"/>
        <v>QF14FW DISNEY 01_SNAP_PK_KIDS</v>
      </c>
      <c r="E316" s="12" t="str">
        <f t="shared" si="104"/>
        <v>201403</v>
      </c>
      <c r="F316" s="347" t="str">
        <f>VLOOKUP($AA316,[3]주!$A:$F,6,FALSE)</f>
        <v>3월 2주</v>
      </c>
      <c r="G316" s="7">
        <f t="shared" si="93"/>
        <v>0</v>
      </c>
      <c r="H316" s="7" t="str">
        <f t="shared" si="105"/>
        <v/>
      </c>
      <c r="I316" s="7">
        <f t="shared" si="94"/>
        <v>0</v>
      </c>
      <c r="J316" s="7" t="str">
        <f t="shared" si="106"/>
        <v/>
      </c>
      <c r="K316" s="17">
        <f t="shared" si="107"/>
        <v>41739</v>
      </c>
      <c r="L316" s="12" t="str">
        <f t="shared" si="108"/>
        <v>201404</v>
      </c>
      <c r="M316" s="347" t="str">
        <f>VLOOKUP($K316,[3]주!$A:$F,6,FALSE)</f>
        <v>3월 2주</v>
      </c>
      <c r="N316" s="273" t="str">
        <f>IF(VLOOKUP($Z316,생산업체!$A:$C,2,FALSE)=1,"해외","국내")</f>
        <v>해외</v>
      </c>
      <c r="O316" s="12" t="str">
        <f>IF(VLOOKUP($U316,CODE!$K:$P,CODE!P$1,FALSE)="모자",T316,T316&amp;"-"&amp;VLOOKUP($U316,CODE!$K:$P,CODE!P$1,FALSE))</f>
        <v>DPS</v>
      </c>
      <c r="P316" s="11" t="s">
        <v>1772</v>
      </c>
      <c r="R316" s="11">
        <v>174</v>
      </c>
      <c r="T316" s="8" t="s">
        <v>1772</v>
      </c>
      <c r="U316" s="8" t="s">
        <v>35</v>
      </c>
      <c r="V316" s="8" t="s">
        <v>43</v>
      </c>
      <c r="W316" s="8" t="s">
        <v>1774</v>
      </c>
      <c r="X316" s="8" t="s">
        <v>124</v>
      </c>
      <c r="Y316" s="9">
        <v>1</v>
      </c>
      <c r="Z316" s="8" t="s">
        <v>792</v>
      </c>
      <c r="AA316" s="10">
        <v>41711</v>
      </c>
      <c r="AB316" s="10">
        <v>41739</v>
      </c>
      <c r="AC316" s="10">
        <v>41739</v>
      </c>
      <c r="AK316" s="8" t="s">
        <v>1397</v>
      </c>
      <c r="AL316" s="8" t="s">
        <v>1396</v>
      </c>
      <c r="AM316" s="8" t="s">
        <v>1398</v>
      </c>
    </row>
    <row r="317" spans="1:39">
      <c r="A317" s="7">
        <f t="shared" si="91"/>
        <v>1</v>
      </c>
      <c r="B317" s="7" t="str">
        <f t="shared" si="102"/>
        <v>14FW DISNEY 02_SNAP_BL</v>
      </c>
      <c r="C317" s="7">
        <f t="shared" si="92"/>
        <v>1</v>
      </c>
      <c r="D317" s="7" t="str">
        <f t="shared" si="103"/>
        <v>QF14FW DISNEY 02_SNAP_BL</v>
      </c>
      <c r="E317" s="12" t="str">
        <f t="shared" si="104"/>
        <v>201403</v>
      </c>
      <c r="F317" s="347" t="str">
        <f>VLOOKUP($AA317,[3]주!$A:$F,6,FALSE)</f>
        <v>3월 2주</v>
      </c>
      <c r="G317" s="7">
        <f t="shared" si="93"/>
        <v>1</v>
      </c>
      <c r="H317" s="7" t="str">
        <f t="shared" si="105"/>
        <v>14FW DISNEY 02_SNAP_BL</v>
      </c>
      <c r="I317" s="7">
        <f t="shared" si="94"/>
        <v>1</v>
      </c>
      <c r="J317" s="7" t="str">
        <f t="shared" si="106"/>
        <v>QF14FW DISNEY 02_SNAP_BL</v>
      </c>
      <c r="K317" s="17">
        <f t="shared" si="107"/>
        <v>41753</v>
      </c>
      <c r="L317" s="12" t="str">
        <f t="shared" si="108"/>
        <v>201404</v>
      </c>
      <c r="M317" s="347" t="str">
        <f>VLOOKUP($K317,[3]주!$A:$F,6,FALSE)</f>
        <v>3월 2주</v>
      </c>
      <c r="N317" s="273" t="str">
        <f>IF(VLOOKUP($Z317,생산업체!$A:$C,2,FALSE)=1,"해외","국내")</f>
        <v>해외</v>
      </c>
      <c r="O317" s="12" t="str">
        <f>IF(VLOOKUP($U317,CODE!$K:$P,CODE!P$1,FALSE)="모자",T317,T317&amp;"-"&amp;VLOOKUP($U317,CODE!$K:$P,CODE!P$1,FALSE))</f>
        <v>DPS</v>
      </c>
      <c r="P317" s="11" t="s">
        <v>1772</v>
      </c>
      <c r="R317" s="11">
        <v>175</v>
      </c>
      <c r="T317" s="8" t="s">
        <v>1772</v>
      </c>
      <c r="U317" s="8" t="s">
        <v>35</v>
      </c>
      <c r="V317" s="8" t="s">
        <v>43</v>
      </c>
      <c r="W317" s="8" t="s">
        <v>1775</v>
      </c>
      <c r="X317" s="8" t="s">
        <v>900</v>
      </c>
      <c r="Y317" s="9">
        <v>1</v>
      </c>
      <c r="Z317" s="8" t="s">
        <v>792</v>
      </c>
      <c r="AA317" s="10">
        <v>41711</v>
      </c>
      <c r="AB317" s="10">
        <v>41739</v>
      </c>
      <c r="AC317" s="10">
        <v>41739</v>
      </c>
      <c r="AD317" s="10">
        <v>41753</v>
      </c>
      <c r="AE317" s="8">
        <v>4.3</v>
      </c>
      <c r="AK317" s="8" t="s">
        <v>1397</v>
      </c>
      <c r="AL317" s="8" t="s">
        <v>1396</v>
      </c>
      <c r="AM317" s="8" t="s">
        <v>1398</v>
      </c>
    </row>
    <row r="318" spans="1:39">
      <c r="A318" s="7">
        <f t="shared" si="91"/>
        <v>1</v>
      </c>
      <c r="B318" s="7" t="str">
        <f t="shared" si="102"/>
        <v>14FW DISNEY 02_SNAP_BL_KIDS</v>
      </c>
      <c r="C318" s="7">
        <f t="shared" si="92"/>
        <v>1</v>
      </c>
      <c r="D318" s="7" t="str">
        <f t="shared" si="103"/>
        <v>캡보이14FW DISNEY 02_SNAP_BL_KIDS</v>
      </c>
      <c r="E318" s="12" t="str">
        <f t="shared" si="104"/>
        <v>201403</v>
      </c>
      <c r="F318" s="347" t="str">
        <f>VLOOKUP($AA318,[3]주!$A:$F,6,FALSE)</f>
        <v>3월 2주</v>
      </c>
      <c r="G318" s="7">
        <f t="shared" si="93"/>
        <v>0</v>
      </c>
      <c r="H318" s="7" t="str">
        <f t="shared" si="105"/>
        <v/>
      </c>
      <c r="I318" s="7">
        <f t="shared" si="94"/>
        <v>0</v>
      </c>
      <c r="J318" s="7" t="str">
        <f t="shared" si="106"/>
        <v/>
      </c>
      <c r="K318" s="17">
        <f t="shared" si="107"/>
        <v>41737</v>
      </c>
      <c r="L318" s="12" t="str">
        <f t="shared" si="108"/>
        <v>201404</v>
      </c>
      <c r="M318" s="347" t="str">
        <f>VLOOKUP($K318,[3]주!$A:$F,6,FALSE)</f>
        <v>3월 2주</v>
      </c>
      <c r="N318" s="273" t="str">
        <f>IF(VLOOKUP($Z318,생산업체!$A:$C,2,FALSE)=1,"해외","국내")</f>
        <v>국내</v>
      </c>
      <c r="O318" s="12" t="str">
        <f>IF(VLOOKUP($U318,CODE!$K:$P,CODE!P$1,FALSE)="모자",T318,T318&amp;"-"&amp;VLOOKUP($U318,CODE!$K:$P,CODE!P$1,FALSE))</f>
        <v>DPS</v>
      </c>
      <c r="P318" s="11" t="s">
        <v>1772</v>
      </c>
      <c r="R318" s="11">
        <v>176</v>
      </c>
      <c r="T318" s="8" t="s">
        <v>1772</v>
      </c>
      <c r="U318" s="8" t="s">
        <v>35</v>
      </c>
      <c r="V318" s="8" t="s">
        <v>43</v>
      </c>
      <c r="W318" s="8" t="s">
        <v>1933</v>
      </c>
      <c r="X318" s="8" t="s">
        <v>124</v>
      </c>
      <c r="Y318" s="9">
        <v>1</v>
      </c>
      <c r="Z318" s="8" t="s">
        <v>49</v>
      </c>
      <c r="AA318" s="10">
        <v>41716</v>
      </c>
      <c r="AB318" s="10">
        <v>41737</v>
      </c>
      <c r="AC318" s="10">
        <v>41737</v>
      </c>
      <c r="AK318" s="8" t="s">
        <v>1685</v>
      </c>
      <c r="AL318" s="8" t="s">
        <v>1396</v>
      </c>
      <c r="AM318" s="8" t="s">
        <v>1399</v>
      </c>
    </row>
    <row r="319" spans="1:39">
      <c r="A319" s="7">
        <f t="shared" si="91"/>
        <v>1</v>
      </c>
      <c r="B319" s="7" t="str">
        <f t="shared" si="102"/>
        <v>14FW DISNEY 03_SNAP_BL_KIDS</v>
      </c>
      <c r="C319" s="7">
        <f t="shared" si="92"/>
        <v>1</v>
      </c>
      <c r="D319" s="7" t="str">
        <f t="shared" si="103"/>
        <v>캡보이14FW DISNEY 03_SNAP_BL_KIDS</v>
      </c>
      <c r="E319" s="12" t="str">
        <f t="shared" si="104"/>
        <v>201403</v>
      </c>
      <c r="F319" s="347" t="str">
        <f>VLOOKUP($AA319,[3]주!$A:$F,6,FALSE)</f>
        <v>3월 2주</v>
      </c>
      <c r="G319" s="7">
        <f t="shared" si="93"/>
        <v>0</v>
      </c>
      <c r="H319" s="7" t="str">
        <f t="shared" si="105"/>
        <v/>
      </c>
      <c r="I319" s="7">
        <f t="shared" si="94"/>
        <v>0</v>
      </c>
      <c r="J319" s="7" t="str">
        <f t="shared" si="106"/>
        <v/>
      </c>
      <c r="K319" s="17">
        <f t="shared" si="107"/>
        <v>41737</v>
      </c>
      <c r="L319" s="12" t="str">
        <f t="shared" si="108"/>
        <v>201404</v>
      </c>
      <c r="M319" s="347" t="str">
        <f>VLOOKUP($K319,[3]주!$A:$F,6,FALSE)</f>
        <v>3월 2주</v>
      </c>
      <c r="N319" s="273" t="str">
        <f>IF(VLOOKUP($Z319,생산업체!$A:$C,2,FALSE)=1,"해외","국내")</f>
        <v>국내</v>
      </c>
      <c r="O319" s="12" t="str">
        <f>IF(VLOOKUP($U319,CODE!$K:$P,CODE!P$1,FALSE)="모자",T319,T319&amp;"-"&amp;VLOOKUP($U319,CODE!$K:$P,CODE!P$1,FALSE))</f>
        <v>DPS</v>
      </c>
      <c r="P319" s="11" t="s">
        <v>1772</v>
      </c>
      <c r="R319" s="11">
        <v>177</v>
      </c>
      <c r="T319" s="8" t="s">
        <v>1772</v>
      </c>
      <c r="U319" s="8" t="s">
        <v>35</v>
      </c>
      <c r="V319" s="8" t="s">
        <v>43</v>
      </c>
      <c r="W319" s="8" t="s">
        <v>1934</v>
      </c>
      <c r="X319" s="8" t="s">
        <v>124</v>
      </c>
      <c r="Y319" s="9">
        <v>1</v>
      </c>
      <c r="Z319" s="8" t="s">
        <v>49</v>
      </c>
      <c r="AA319" s="10">
        <v>41716</v>
      </c>
      <c r="AB319" s="10">
        <v>41737</v>
      </c>
      <c r="AC319" s="10">
        <v>41737</v>
      </c>
      <c r="AK319" s="8" t="s">
        <v>1686</v>
      </c>
      <c r="AL319" s="8" t="s">
        <v>1396</v>
      </c>
      <c r="AM319" s="8" t="s">
        <v>1687</v>
      </c>
    </row>
    <row r="320" spans="1:39">
      <c r="A320" s="7">
        <f t="shared" si="91"/>
        <v>1</v>
      </c>
      <c r="B320" s="7" t="str">
        <f t="shared" si="102"/>
        <v>14FW DISNEY 03_SNAP_PP</v>
      </c>
      <c r="C320" s="7">
        <f t="shared" si="92"/>
        <v>1</v>
      </c>
      <c r="D320" s="7" t="str">
        <f t="shared" si="103"/>
        <v>QF14FW DISNEY 03_SNAP_PP</v>
      </c>
      <c r="E320" s="12" t="str">
        <f t="shared" si="104"/>
        <v>201403</v>
      </c>
      <c r="F320" s="347" t="str">
        <f>VLOOKUP($AA320,[3]주!$A:$F,6,FALSE)</f>
        <v>3월 2주</v>
      </c>
      <c r="G320" s="7">
        <f t="shared" si="93"/>
        <v>1</v>
      </c>
      <c r="H320" s="7" t="str">
        <f t="shared" si="105"/>
        <v>14FW DISNEY 03_SNAP_PP</v>
      </c>
      <c r="I320" s="7">
        <f t="shared" si="94"/>
        <v>1</v>
      </c>
      <c r="J320" s="7" t="str">
        <f t="shared" si="106"/>
        <v>QF14FW DISNEY 03_SNAP_PP</v>
      </c>
      <c r="K320" s="17">
        <f t="shared" si="107"/>
        <v>41753</v>
      </c>
      <c r="L320" s="12" t="str">
        <f t="shared" si="108"/>
        <v>201404</v>
      </c>
      <c r="M320" s="347" t="str">
        <f>VLOOKUP($K320,[3]주!$A:$F,6,FALSE)</f>
        <v>3월 2주</v>
      </c>
      <c r="N320" s="273" t="str">
        <f>IF(VLOOKUP($Z320,생산업체!$A:$C,2,FALSE)=1,"해외","국내")</f>
        <v>해외</v>
      </c>
      <c r="O320" s="12" t="str">
        <f>IF(VLOOKUP($U320,CODE!$K:$P,CODE!P$1,FALSE)="모자",T320,T320&amp;"-"&amp;VLOOKUP($U320,CODE!$K:$P,CODE!P$1,FALSE))</f>
        <v>DPS</v>
      </c>
      <c r="P320" s="11" t="s">
        <v>1772</v>
      </c>
      <c r="R320" s="11">
        <v>178</v>
      </c>
      <c r="T320" s="8" t="s">
        <v>1772</v>
      </c>
      <c r="U320" s="8" t="s">
        <v>35</v>
      </c>
      <c r="V320" s="8" t="s">
        <v>43</v>
      </c>
      <c r="W320" s="8" t="s">
        <v>1935</v>
      </c>
      <c r="X320" s="8" t="s">
        <v>900</v>
      </c>
      <c r="Y320" s="9">
        <v>1</v>
      </c>
      <c r="Z320" s="8" t="s">
        <v>792</v>
      </c>
      <c r="AA320" s="10">
        <v>41711</v>
      </c>
      <c r="AB320" s="10">
        <v>41739</v>
      </c>
      <c r="AC320" s="10">
        <v>41739</v>
      </c>
      <c r="AD320" s="10">
        <v>41753</v>
      </c>
      <c r="AL320" s="8" t="s">
        <v>1396</v>
      </c>
      <c r="AM320" s="8" t="s">
        <v>1687</v>
      </c>
    </row>
    <row r="321" spans="1:39">
      <c r="A321" s="7">
        <f t="shared" si="91"/>
        <v>1</v>
      </c>
      <c r="B321" s="7" t="str">
        <f t="shared" si="102"/>
        <v>14FW DISNEY 04_SNAP_PK_KIDS</v>
      </c>
      <c r="C321" s="7">
        <f t="shared" si="92"/>
        <v>1</v>
      </c>
      <c r="D321" s="7" t="str">
        <f t="shared" si="103"/>
        <v>FOREMOST14FW DISNEY 04_SNAP_PK_KIDS</v>
      </c>
      <c r="E321" s="12" t="str">
        <f t="shared" si="104"/>
        <v>201403</v>
      </c>
      <c r="F321" s="347" t="str">
        <f>VLOOKUP($AA321,[3]주!$A:$F,6,FALSE)</f>
        <v>3월 2주</v>
      </c>
      <c r="G321" s="7">
        <f t="shared" si="93"/>
        <v>1</v>
      </c>
      <c r="H321" s="7" t="str">
        <f t="shared" si="105"/>
        <v>14FW DISNEY 04_SNAP_PK_KIDS</v>
      </c>
      <c r="I321" s="7">
        <f t="shared" si="94"/>
        <v>1</v>
      </c>
      <c r="J321" s="7" t="str">
        <f t="shared" si="106"/>
        <v>FOREMOST14FW DISNEY 04_SNAP_PK_KIDS</v>
      </c>
      <c r="K321" s="17">
        <f t="shared" si="107"/>
        <v>41768</v>
      </c>
      <c r="L321" s="12" t="str">
        <f t="shared" si="108"/>
        <v>201405</v>
      </c>
      <c r="M321" s="347" t="str">
        <f>VLOOKUP($K321,[3]주!$A:$F,6,FALSE)</f>
        <v>3월 2주</v>
      </c>
      <c r="N321" s="273" t="str">
        <f>IF(VLOOKUP($Z321,생산업체!$A:$C,2,FALSE)=1,"해외","국내")</f>
        <v>해외</v>
      </c>
      <c r="O321" s="12" t="str">
        <f>IF(VLOOKUP($U321,CODE!$K:$P,CODE!P$1,FALSE)="모자",T321,T321&amp;"-"&amp;VLOOKUP($U321,CODE!$K:$P,CODE!P$1,FALSE))</f>
        <v>DPS</v>
      </c>
      <c r="P321" s="11" t="s">
        <v>1772</v>
      </c>
      <c r="R321" s="11">
        <v>179</v>
      </c>
      <c r="T321" s="8" t="s">
        <v>1772</v>
      </c>
      <c r="U321" s="8" t="s">
        <v>28</v>
      </c>
      <c r="V321" s="8" t="s">
        <v>43</v>
      </c>
      <c r="W321" s="8" t="s">
        <v>1936</v>
      </c>
      <c r="X321" s="8" t="s">
        <v>124</v>
      </c>
      <c r="Y321" s="9">
        <v>1</v>
      </c>
      <c r="Z321" s="8" t="s">
        <v>6</v>
      </c>
      <c r="AA321" s="10">
        <v>41710</v>
      </c>
      <c r="AB321" s="10">
        <v>41738</v>
      </c>
      <c r="AC321" s="10">
        <v>41738</v>
      </c>
      <c r="AD321" s="10">
        <v>41768</v>
      </c>
      <c r="AE321" s="8">
        <v>6.2</v>
      </c>
      <c r="AL321" s="8" t="s">
        <v>1396</v>
      </c>
      <c r="AM321" s="8" t="s">
        <v>1687</v>
      </c>
    </row>
    <row r="322" spans="1:39">
      <c r="A322" s="7">
        <f t="shared" ref="A322:A385" si="109">IF(B322="",0,1/COUNTIF(B:B,B322))</f>
        <v>1</v>
      </c>
      <c r="B322" s="7" t="str">
        <f t="shared" ref="B322:B385" si="110">IF(AA322="","",W322)</f>
        <v>14FW DISNEY 05_SNAP_RD_KIDS(수정)</v>
      </c>
      <c r="C322" s="7">
        <f t="shared" ref="C322:C385" si="111">IF(D322="",0,1/COUNTIF(D:D,D322))</f>
        <v>1</v>
      </c>
      <c r="D322" s="7" t="str">
        <f t="shared" ref="D322:D385" si="112">IF(AA322="","",Z322&amp;W322)</f>
        <v>FOREMOST14FW DISNEY 05_SNAP_RD_KIDS(수정)</v>
      </c>
      <c r="E322" s="12" t="str">
        <f t="shared" ref="E322:E385" si="113">IF(YEAR(AA322)&lt;10,0&amp;YEAR(AA322),YEAR(AA322))&amp;IF(MONTH(AA322)&lt;10,0&amp;MONTH(AA322),MONTH(AA322))</f>
        <v>201403</v>
      </c>
      <c r="F322" s="347" t="str">
        <f>VLOOKUP($AA322,[3]주!$A:$F,6,FALSE)</f>
        <v>3월 2주</v>
      </c>
      <c r="G322" s="7">
        <f t="shared" ref="G322:G385" si="114">IF(H322="",0,1/COUNTIF(H:H,H322))</f>
        <v>1</v>
      </c>
      <c r="H322" s="7" t="str">
        <f t="shared" ref="H322:H385" si="115">IF(AD322="","",W322)</f>
        <v>14FW DISNEY 05_SNAP_RD_KIDS(수정)</v>
      </c>
      <c r="I322" s="7">
        <f t="shared" ref="I322:I385" si="116">IF(J322="",0,1/COUNTIF(J:J,J322))</f>
        <v>1</v>
      </c>
      <c r="J322" s="7" t="str">
        <f t="shared" ref="J322:J385" si="117">IF(AD322="","",Z322&amp;W322)</f>
        <v>FOREMOST14FW DISNEY 05_SNAP_RD_KIDS(수정)</v>
      </c>
      <c r="K322" s="17">
        <f t="shared" ref="K322:K385" si="118">IF(AD322="",AC322,AD322)</f>
        <v>41761</v>
      </c>
      <c r="L322" s="12" t="str">
        <f t="shared" ref="L322:L385" si="119">IF(YEAR(K322)&lt;10,0&amp;YEAR(K322),YEAR(K322))&amp;IF(MONTH(K322)&lt;10,0&amp;MONTH(K322),MONTH(K322))</f>
        <v>201405</v>
      </c>
      <c r="M322" s="347" t="str">
        <f>VLOOKUP($K322,[3]주!$A:$F,6,FALSE)</f>
        <v>3월 2주</v>
      </c>
      <c r="N322" s="273" t="str">
        <f>IF(VLOOKUP($Z322,생산업체!$A:$C,2,FALSE)=1,"해외","국내")</f>
        <v>해외</v>
      </c>
      <c r="O322" s="12" t="str">
        <f>IF(VLOOKUP($U322,CODE!$K:$P,CODE!P$1,FALSE)="모자",T322,T322&amp;"-"&amp;VLOOKUP($U322,CODE!$K:$P,CODE!P$1,FALSE))</f>
        <v>DPS</v>
      </c>
      <c r="P322" s="11" t="s">
        <v>1772</v>
      </c>
      <c r="R322" s="11">
        <v>180</v>
      </c>
      <c r="T322" s="8" t="s">
        <v>1772</v>
      </c>
      <c r="U322" s="8" t="s">
        <v>28</v>
      </c>
      <c r="V322" s="8" t="s">
        <v>43</v>
      </c>
      <c r="W322" s="8" t="s">
        <v>1937</v>
      </c>
      <c r="X322" s="8" t="s">
        <v>124</v>
      </c>
      <c r="Y322" s="9">
        <v>1</v>
      </c>
      <c r="Z322" s="8" t="s">
        <v>6</v>
      </c>
      <c r="AA322" s="10">
        <v>41710</v>
      </c>
      <c r="AB322" s="10">
        <v>41738</v>
      </c>
      <c r="AC322" s="10">
        <v>41738</v>
      </c>
      <c r="AD322" s="10">
        <v>41761</v>
      </c>
      <c r="AE322" s="8">
        <v>8.1999999999999993</v>
      </c>
      <c r="AK322" s="8" t="s">
        <v>1688</v>
      </c>
      <c r="AL322" s="8" t="s">
        <v>1396</v>
      </c>
      <c r="AM322" s="8" t="s">
        <v>1687</v>
      </c>
    </row>
    <row r="323" spans="1:39">
      <c r="A323" s="7">
        <f t="shared" si="109"/>
        <v>1</v>
      </c>
      <c r="B323" s="7" t="str">
        <f t="shared" si="110"/>
        <v>14FW DISNEY 06_SNAP_PP_KIDS</v>
      </c>
      <c r="C323" s="7">
        <f t="shared" si="111"/>
        <v>1</v>
      </c>
      <c r="D323" s="7" t="str">
        <f t="shared" si="112"/>
        <v>FOREMOST14FW DISNEY 06_SNAP_PP_KIDS</v>
      </c>
      <c r="E323" s="12" t="str">
        <f t="shared" si="113"/>
        <v>201403</v>
      </c>
      <c r="F323" s="347" t="str">
        <f>VLOOKUP($AA323,[3]주!$A:$F,6,FALSE)</f>
        <v>3월 2주</v>
      </c>
      <c r="G323" s="7">
        <f t="shared" si="114"/>
        <v>1</v>
      </c>
      <c r="H323" s="7" t="str">
        <f t="shared" si="115"/>
        <v>14FW DISNEY 06_SNAP_PP_KIDS</v>
      </c>
      <c r="I323" s="7">
        <f t="shared" si="116"/>
        <v>1</v>
      </c>
      <c r="J323" s="7" t="str">
        <f t="shared" si="117"/>
        <v>FOREMOST14FW DISNEY 06_SNAP_PP_KIDS</v>
      </c>
      <c r="K323" s="17">
        <f t="shared" si="118"/>
        <v>41771</v>
      </c>
      <c r="L323" s="12" t="str">
        <f t="shared" si="119"/>
        <v>201405</v>
      </c>
      <c r="M323" s="347" t="str">
        <f>VLOOKUP($K323,[3]주!$A:$F,6,FALSE)</f>
        <v>3월 2주</v>
      </c>
      <c r="N323" s="273" t="str">
        <f>IF(VLOOKUP($Z323,생산업체!$A:$C,2,FALSE)=1,"해외","국내")</f>
        <v>해외</v>
      </c>
      <c r="O323" s="12" t="str">
        <f>IF(VLOOKUP($U323,CODE!$K:$P,CODE!P$1,FALSE)="모자",T323,T323&amp;"-"&amp;VLOOKUP($U323,CODE!$K:$P,CODE!P$1,FALSE))</f>
        <v>DPS</v>
      </c>
      <c r="P323" s="11" t="s">
        <v>1772</v>
      </c>
      <c r="R323" s="11">
        <v>181</v>
      </c>
      <c r="T323" s="8" t="s">
        <v>1772</v>
      </c>
      <c r="U323" s="8" t="s">
        <v>28</v>
      </c>
      <c r="V323" s="8" t="s">
        <v>43</v>
      </c>
      <c r="W323" s="8" t="s">
        <v>1938</v>
      </c>
      <c r="X323" s="8" t="s">
        <v>124</v>
      </c>
      <c r="Y323" s="9">
        <v>1</v>
      </c>
      <c r="Z323" s="8" t="s">
        <v>6</v>
      </c>
      <c r="AA323" s="10">
        <v>41710</v>
      </c>
      <c r="AB323" s="10">
        <v>41738</v>
      </c>
      <c r="AC323" s="10">
        <v>41738</v>
      </c>
      <c r="AD323" s="10">
        <v>41771</v>
      </c>
      <c r="AE323" s="8">
        <v>5.7</v>
      </c>
      <c r="AK323" s="8" t="s">
        <v>1394</v>
      </c>
    </row>
    <row r="324" spans="1:39">
      <c r="A324" s="7">
        <f t="shared" si="109"/>
        <v>1</v>
      </c>
      <c r="B324" s="7" t="str">
        <f t="shared" si="110"/>
        <v>14FW DISNEY 07_SNAP_PK_KIDS</v>
      </c>
      <c r="C324" s="7">
        <f t="shared" si="111"/>
        <v>1</v>
      </c>
      <c r="D324" s="7" t="str">
        <f t="shared" si="112"/>
        <v>FOREMOST14FW DISNEY 07_SNAP_PK_KIDS</v>
      </c>
      <c r="E324" s="12" t="str">
        <f t="shared" si="113"/>
        <v>201403</v>
      </c>
      <c r="F324" s="347" t="str">
        <f>VLOOKUP($AA324,[3]주!$A:$F,6,FALSE)</f>
        <v>3월 2주</v>
      </c>
      <c r="G324" s="7">
        <f t="shared" si="114"/>
        <v>1</v>
      </c>
      <c r="H324" s="7" t="str">
        <f t="shared" si="115"/>
        <v>14FW DISNEY 07_SNAP_PK_KIDS</v>
      </c>
      <c r="I324" s="7">
        <f t="shared" si="116"/>
        <v>1</v>
      </c>
      <c r="J324" s="7" t="str">
        <f t="shared" si="117"/>
        <v>FOREMOST14FW DISNEY 07_SNAP_PK_KIDS</v>
      </c>
      <c r="K324" s="17">
        <f t="shared" si="118"/>
        <v>41745</v>
      </c>
      <c r="L324" s="12" t="str">
        <f t="shared" si="119"/>
        <v>201404</v>
      </c>
      <c r="M324" s="347" t="str">
        <f>VLOOKUP($K324,[3]주!$A:$F,6,FALSE)</f>
        <v>3월 2주</v>
      </c>
      <c r="N324" s="273" t="str">
        <f>IF(VLOOKUP($Z324,생산업체!$A:$C,2,FALSE)=1,"해외","국내")</f>
        <v>해외</v>
      </c>
      <c r="O324" s="12" t="str">
        <f>IF(VLOOKUP($U324,CODE!$K:$P,CODE!P$1,FALSE)="모자",T324,T324&amp;"-"&amp;VLOOKUP($U324,CODE!$K:$P,CODE!P$1,FALSE))</f>
        <v>DPS</v>
      </c>
      <c r="P324" s="11" t="s">
        <v>1772</v>
      </c>
      <c r="R324" s="11">
        <v>182</v>
      </c>
      <c r="T324" s="8" t="s">
        <v>1772</v>
      </c>
      <c r="U324" s="8" t="s">
        <v>28</v>
      </c>
      <c r="V324" s="8" t="s">
        <v>43</v>
      </c>
      <c r="W324" s="8" t="s">
        <v>1939</v>
      </c>
      <c r="X324" s="8" t="s">
        <v>124</v>
      </c>
      <c r="Y324" s="9">
        <v>1</v>
      </c>
      <c r="Z324" s="8" t="s">
        <v>6</v>
      </c>
      <c r="AA324" s="10">
        <v>41710</v>
      </c>
      <c r="AB324" s="10">
        <v>41738</v>
      </c>
      <c r="AC324" s="10">
        <v>41738</v>
      </c>
      <c r="AD324" s="10">
        <v>41745</v>
      </c>
      <c r="AE324" s="8">
        <v>8.3000000000000007</v>
      </c>
      <c r="AK324" s="8" t="s">
        <v>1394</v>
      </c>
    </row>
    <row r="325" spans="1:39">
      <c r="A325" s="7">
        <f t="shared" si="109"/>
        <v>1</v>
      </c>
      <c r="B325" s="7" t="str">
        <f t="shared" si="110"/>
        <v>14FW DISNEY 05_SNAP_BK</v>
      </c>
      <c r="C325" s="7">
        <f t="shared" si="111"/>
        <v>1</v>
      </c>
      <c r="D325" s="7" t="str">
        <f t="shared" si="112"/>
        <v>QF14FW DISNEY 05_SNAP_BK</v>
      </c>
      <c r="E325" s="12" t="str">
        <f t="shared" si="113"/>
        <v>201403</v>
      </c>
      <c r="F325" s="347" t="str">
        <f>VLOOKUP($AA325,[3]주!$A:$F,6,FALSE)</f>
        <v>3월 2주</v>
      </c>
      <c r="G325" s="7">
        <f t="shared" si="114"/>
        <v>0</v>
      </c>
      <c r="H325" s="7" t="str">
        <f t="shared" si="115"/>
        <v/>
      </c>
      <c r="I325" s="7">
        <f t="shared" si="116"/>
        <v>0</v>
      </c>
      <c r="J325" s="7" t="str">
        <f t="shared" si="117"/>
        <v/>
      </c>
      <c r="K325" s="17">
        <f t="shared" si="118"/>
        <v>41739</v>
      </c>
      <c r="L325" s="12" t="str">
        <f t="shared" si="119"/>
        <v>201404</v>
      </c>
      <c r="M325" s="347" t="str">
        <f>VLOOKUP($K325,[3]주!$A:$F,6,FALSE)</f>
        <v>3월 2주</v>
      </c>
      <c r="N325" s="273" t="str">
        <f>IF(VLOOKUP($Z325,생산업체!$A:$C,2,FALSE)=1,"해외","국내")</f>
        <v>해외</v>
      </c>
      <c r="O325" s="12" t="str">
        <f>IF(VLOOKUP($U325,CODE!$K:$P,CODE!P$1,FALSE)="모자",T325,T325&amp;"-"&amp;VLOOKUP($U325,CODE!$K:$P,CODE!P$1,FALSE))</f>
        <v>DPS</v>
      </c>
      <c r="P325" s="11" t="s">
        <v>1772</v>
      </c>
      <c r="R325" s="11">
        <v>183</v>
      </c>
      <c r="T325" s="8" t="s">
        <v>1772</v>
      </c>
      <c r="U325" s="8" t="s">
        <v>50</v>
      </c>
      <c r="V325" s="8" t="s">
        <v>43</v>
      </c>
      <c r="W325" s="8" t="s">
        <v>1940</v>
      </c>
      <c r="X325" s="8" t="s">
        <v>900</v>
      </c>
      <c r="Y325" s="9">
        <v>1</v>
      </c>
      <c r="Z325" s="8" t="s">
        <v>792</v>
      </c>
      <c r="AA325" s="10">
        <v>41711</v>
      </c>
      <c r="AB325" s="10">
        <v>41739</v>
      </c>
      <c r="AC325" s="10">
        <v>41739</v>
      </c>
      <c r="AK325" s="8" t="s">
        <v>1394</v>
      </c>
    </row>
    <row r="326" spans="1:39">
      <c r="A326" s="7">
        <f t="shared" si="109"/>
        <v>1</v>
      </c>
      <c r="B326" s="7" t="str">
        <f t="shared" si="110"/>
        <v>14FW DISNEY 04_SNAP_RD</v>
      </c>
      <c r="C326" s="7">
        <f t="shared" si="111"/>
        <v>1</v>
      </c>
      <c r="D326" s="7" t="str">
        <f t="shared" si="112"/>
        <v>QF14FW DISNEY 04_SNAP_RD</v>
      </c>
      <c r="E326" s="12" t="str">
        <f t="shared" si="113"/>
        <v>201403</v>
      </c>
      <c r="F326" s="347" t="str">
        <f>VLOOKUP($AA326,[3]주!$A:$F,6,FALSE)</f>
        <v>3월 2주</v>
      </c>
      <c r="G326" s="7">
        <f t="shared" si="114"/>
        <v>1</v>
      </c>
      <c r="H326" s="7" t="str">
        <f t="shared" si="115"/>
        <v>14FW DISNEY 04_SNAP_RD</v>
      </c>
      <c r="I326" s="7">
        <f t="shared" si="116"/>
        <v>1</v>
      </c>
      <c r="J326" s="7" t="str">
        <f t="shared" si="117"/>
        <v>QF14FW DISNEY 04_SNAP_RD</v>
      </c>
      <c r="K326" s="17">
        <f t="shared" si="118"/>
        <v>41753</v>
      </c>
      <c r="L326" s="12" t="str">
        <f t="shared" si="119"/>
        <v>201404</v>
      </c>
      <c r="M326" s="347" t="str">
        <f>VLOOKUP($K326,[3]주!$A:$F,6,FALSE)</f>
        <v>3월 2주</v>
      </c>
      <c r="N326" s="273" t="str">
        <f>IF(VLOOKUP($Z326,생산업체!$A:$C,2,FALSE)=1,"해외","국내")</f>
        <v>해외</v>
      </c>
      <c r="O326" s="12" t="str">
        <f>IF(VLOOKUP($U326,CODE!$K:$P,CODE!P$1,FALSE)="모자",T326,T326&amp;"-"&amp;VLOOKUP($U326,CODE!$K:$P,CODE!P$1,FALSE))</f>
        <v>DPS</v>
      </c>
      <c r="P326" s="11" t="s">
        <v>1772</v>
      </c>
      <c r="R326" s="11">
        <v>184</v>
      </c>
      <c r="T326" s="8" t="s">
        <v>1772</v>
      </c>
      <c r="U326" s="8" t="s">
        <v>35</v>
      </c>
      <c r="V326" s="8" t="s">
        <v>43</v>
      </c>
      <c r="W326" s="8" t="s">
        <v>1941</v>
      </c>
      <c r="X326" s="8" t="s">
        <v>900</v>
      </c>
      <c r="Y326" s="9">
        <v>1</v>
      </c>
      <c r="Z326" s="8" t="s">
        <v>792</v>
      </c>
      <c r="AA326" s="10">
        <v>41716</v>
      </c>
      <c r="AB326" s="10">
        <v>41744</v>
      </c>
      <c r="AC326" s="10">
        <v>41744</v>
      </c>
      <c r="AD326" s="10">
        <v>41753</v>
      </c>
    </row>
    <row r="327" spans="1:39">
      <c r="A327" s="7">
        <f t="shared" si="109"/>
        <v>0.5</v>
      </c>
      <c r="B327" s="7" t="str">
        <f t="shared" si="110"/>
        <v>14FW-JILLBY-KNIT_04_WN</v>
      </c>
      <c r="C327" s="7">
        <f t="shared" si="111"/>
        <v>1</v>
      </c>
      <c r="D327" s="7" t="str">
        <f t="shared" si="112"/>
        <v>Y&amp;Y14FW-JILLBY-KNIT_04_WN</v>
      </c>
      <c r="E327" s="12" t="str">
        <f t="shared" si="113"/>
        <v>201404</v>
      </c>
      <c r="F327" s="347" t="str">
        <f>VLOOKUP($AA327,[3]주!$A:$F,6,FALSE)</f>
        <v>3월 2주</v>
      </c>
      <c r="G327" s="7">
        <f t="shared" si="114"/>
        <v>0</v>
      </c>
      <c r="H327" s="7" t="str">
        <f t="shared" si="115"/>
        <v/>
      </c>
      <c r="I327" s="7">
        <f t="shared" si="116"/>
        <v>0</v>
      </c>
      <c r="J327" s="7" t="str">
        <f t="shared" si="117"/>
        <v/>
      </c>
      <c r="K327" s="17">
        <f t="shared" si="118"/>
        <v>41759</v>
      </c>
      <c r="L327" s="12" t="str">
        <f t="shared" si="119"/>
        <v>201404</v>
      </c>
      <c r="M327" s="347" t="str">
        <f>VLOOKUP($K327,[3]주!$A:$F,6,FALSE)</f>
        <v>3월 2주</v>
      </c>
      <c r="N327" s="273" t="str">
        <f>IF(VLOOKUP($Z327,생산업체!$A:$C,2,FALSE)=1,"해외","국내")</f>
        <v>해외</v>
      </c>
      <c r="O327" s="12" t="str">
        <f>IF(VLOOKUP($U327,CODE!$K:$P,CODE!P$1,FALSE)="모자",T327,T327&amp;"-"&amp;VLOOKUP($U327,CODE!$K:$P,CODE!P$1,FALSE))</f>
        <v>JIL</v>
      </c>
      <c r="P327" s="11" t="s">
        <v>32</v>
      </c>
      <c r="R327" s="11">
        <v>185</v>
      </c>
      <c r="T327" s="8" t="s">
        <v>32</v>
      </c>
      <c r="U327" s="8" t="s">
        <v>56</v>
      </c>
      <c r="V327" s="8" t="s">
        <v>43</v>
      </c>
      <c r="W327" s="8" t="s">
        <v>1425</v>
      </c>
      <c r="X327" s="8" t="s">
        <v>900</v>
      </c>
      <c r="Y327" s="9">
        <v>0.5</v>
      </c>
      <c r="Z327" s="8" t="s">
        <v>1415</v>
      </c>
      <c r="AA327" s="10">
        <v>41731</v>
      </c>
      <c r="AB327" s="10">
        <v>41759</v>
      </c>
      <c r="AC327" s="10">
        <v>41759</v>
      </c>
    </row>
    <row r="328" spans="1:39">
      <c r="A328" s="7">
        <f t="shared" si="109"/>
        <v>0.5</v>
      </c>
      <c r="B328" s="7" t="str">
        <f t="shared" si="110"/>
        <v>14FW-JILLBY-KNIT_04_GY</v>
      </c>
      <c r="C328" s="7">
        <f t="shared" si="111"/>
        <v>1</v>
      </c>
      <c r="D328" s="7" t="str">
        <f t="shared" si="112"/>
        <v>Y&amp;Y14FW-JILLBY-KNIT_04_GY</v>
      </c>
      <c r="E328" s="12" t="str">
        <f t="shared" si="113"/>
        <v>201404</v>
      </c>
      <c r="F328" s="347" t="str">
        <f>VLOOKUP($AA328,[3]주!$A:$F,6,FALSE)</f>
        <v>3월 2주</v>
      </c>
      <c r="G328" s="7">
        <f t="shared" si="114"/>
        <v>0</v>
      </c>
      <c r="H328" s="7" t="str">
        <f t="shared" si="115"/>
        <v/>
      </c>
      <c r="I328" s="7">
        <f t="shared" si="116"/>
        <v>0</v>
      </c>
      <c r="J328" s="7" t="str">
        <f t="shared" si="117"/>
        <v/>
      </c>
      <c r="K328" s="17">
        <f t="shared" si="118"/>
        <v>41759</v>
      </c>
      <c r="L328" s="12" t="str">
        <f t="shared" si="119"/>
        <v>201404</v>
      </c>
      <c r="M328" s="347" t="str">
        <f>VLOOKUP($K328,[3]주!$A:$F,6,FALSE)</f>
        <v>3월 2주</v>
      </c>
      <c r="N328" s="273" t="str">
        <f>IF(VLOOKUP($Z328,생산업체!$A:$C,2,FALSE)=1,"해외","국내")</f>
        <v>해외</v>
      </c>
      <c r="O328" s="12" t="str">
        <f>IF(VLOOKUP($U328,CODE!$K:$P,CODE!P$1,FALSE)="모자",T328,T328&amp;"-"&amp;VLOOKUP($U328,CODE!$K:$P,CODE!P$1,FALSE))</f>
        <v>JIL</v>
      </c>
      <c r="P328" s="11" t="s">
        <v>32</v>
      </c>
      <c r="R328" s="11">
        <v>186</v>
      </c>
      <c r="T328" s="8" t="s">
        <v>32</v>
      </c>
      <c r="U328" s="8" t="s">
        <v>56</v>
      </c>
      <c r="V328" s="8" t="s">
        <v>43</v>
      </c>
      <c r="W328" s="8" t="s">
        <v>1426</v>
      </c>
      <c r="X328" s="8" t="s">
        <v>900</v>
      </c>
      <c r="Y328" s="9">
        <v>0.5</v>
      </c>
      <c r="Z328" s="8" t="s">
        <v>1415</v>
      </c>
      <c r="AA328" s="10">
        <v>41731</v>
      </c>
      <c r="AB328" s="10">
        <v>41759</v>
      </c>
      <c r="AC328" s="10">
        <v>41759</v>
      </c>
    </row>
    <row r="329" spans="1:39">
      <c r="A329" s="7">
        <f t="shared" si="109"/>
        <v>0.5</v>
      </c>
      <c r="B329" s="7" t="str">
        <f t="shared" si="110"/>
        <v>14FW-JILLBY-KNIT_04_BK</v>
      </c>
      <c r="C329" s="7">
        <f t="shared" si="111"/>
        <v>1</v>
      </c>
      <c r="D329" s="7" t="str">
        <f t="shared" si="112"/>
        <v>Y&amp;Y14FW-JILLBY-KNIT_04_BK</v>
      </c>
      <c r="E329" s="12" t="str">
        <f t="shared" si="113"/>
        <v>201404</v>
      </c>
      <c r="F329" s="347" t="str">
        <f>VLOOKUP($AA329,[3]주!$A:$F,6,FALSE)</f>
        <v>3월 2주</v>
      </c>
      <c r="G329" s="7">
        <f t="shared" si="114"/>
        <v>0</v>
      </c>
      <c r="H329" s="7" t="str">
        <f t="shared" si="115"/>
        <v/>
      </c>
      <c r="I329" s="7">
        <f t="shared" si="116"/>
        <v>0</v>
      </c>
      <c r="J329" s="7" t="str">
        <f t="shared" si="117"/>
        <v/>
      </c>
      <c r="K329" s="17">
        <f t="shared" si="118"/>
        <v>41759</v>
      </c>
      <c r="L329" s="12" t="str">
        <f t="shared" si="119"/>
        <v>201404</v>
      </c>
      <c r="M329" s="347" t="str">
        <f>VLOOKUP($K329,[3]주!$A:$F,6,FALSE)</f>
        <v>3월 2주</v>
      </c>
      <c r="N329" s="273" t="str">
        <f>IF(VLOOKUP($Z329,생산업체!$A:$C,2,FALSE)=1,"해외","국내")</f>
        <v>해외</v>
      </c>
      <c r="O329" s="12" t="str">
        <f>IF(VLOOKUP($U329,CODE!$K:$P,CODE!P$1,FALSE)="모자",T329,T329&amp;"-"&amp;VLOOKUP($U329,CODE!$K:$P,CODE!P$1,FALSE))</f>
        <v>JIL</v>
      </c>
      <c r="P329" s="11" t="s">
        <v>32</v>
      </c>
      <c r="R329" s="11">
        <v>187</v>
      </c>
      <c r="T329" s="8" t="s">
        <v>32</v>
      </c>
      <c r="U329" s="8" t="s">
        <v>56</v>
      </c>
      <c r="V329" s="8" t="s">
        <v>43</v>
      </c>
      <c r="W329" s="8" t="s">
        <v>1427</v>
      </c>
      <c r="X329" s="8" t="s">
        <v>900</v>
      </c>
      <c r="Y329" s="9">
        <v>0.5</v>
      </c>
      <c r="Z329" s="8" t="s">
        <v>1415</v>
      </c>
      <c r="AA329" s="10">
        <v>41731</v>
      </c>
      <c r="AB329" s="10">
        <v>41759</v>
      </c>
      <c r="AC329" s="10">
        <v>41759</v>
      </c>
    </row>
    <row r="330" spans="1:39">
      <c r="A330" s="7">
        <f t="shared" si="109"/>
        <v>1</v>
      </c>
      <c r="B330" s="7" t="str">
        <f t="shared" si="110"/>
        <v>14FW DISNEY 06_SNAP_BK</v>
      </c>
      <c r="C330" s="7">
        <f t="shared" si="111"/>
        <v>1</v>
      </c>
      <c r="D330" s="7" t="str">
        <f t="shared" si="112"/>
        <v>QF14FW DISNEY 06_SNAP_BK</v>
      </c>
      <c r="E330" s="12" t="str">
        <f t="shared" si="113"/>
        <v>201404</v>
      </c>
      <c r="F330" s="347" t="str">
        <f>VLOOKUP($AA330,[3]주!$A:$F,6,FALSE)</f>
        <v>3월 2주</v>
      </c>
      <c r="G330" s="7">
        <f t="shared" si="114"/>
        <v>0</v>
      </c>
      <c r="H330" s="7" t="str">
        <f t="shared" si="115"/>
        <v/>
      </c>
      <c r="I330" s="7">
        <f t="shared" si="116"/>
        <v>0</v>
      </c>
      <c r="J330" s="7" t="str">
        <f t="shared" si="117"/>
        <v/>
      </c>
      <c r="K330" s="17">
        <f t="shared" si="118"/>
        <v>41767</v>
      </c>
      <c r="L330" s="12" t="str">
        <f t="shared" si="119"/>
        <v>201405</v>
      </c>
      <c r="M330" s="347" t="str">
        <f>VLOOKUP($K330,[3]주!$A:$F,6,FALSE)</f>
        <v>3월 2주</v>
      </c>
      <c r="N330" s="273" t="str">
        <f>IF(VLOOKUP($Z330,생산업체!$A:$C,2,FALSE)=1,"해외","국내")</f>
        <v>해외</v>
      </c>
      <c r="O330" s="12" t="str">
        <f>IF(VLOOKUP($U330,CODE!$K:$P,CODE!P$1,FALSE)="모자",T330,T330&amp;"-"&amp;VLOOKUP($U330,CODE!$K:$P,CODE!P$1,FALSE))</f>
        <v>DPS-의류</v>
      </c>
      <c r="P330" s="11" t="s">
        <v>2089</v>
      </c>
      <c r="R330" s="11">
        <v>188</v>
      </c>
      <c r="T330" s="8" t="s">
        <v>1772</v>
      </c>
      <c r="U330" s="8" t="s">
        <v>1946</v>
      </c>
      <c r="V330" s="8" t="s">
        <v>43</v>
      </c>
      <c r="W330" s="8" t="s">
        <v>2090</v>
      </c>
      <c r="X330" s="8" t="s">
        <v>900</v>
      </c>
      <c r="Y330" s="9">
        <v>1</v>
      </c>
      <c r="Z330" s="8" t="s">
        <v>792</v>
      </c>
      <c r="AA330" s="10">
        <v>41739</v>
      </c>
      <c r="AB330" s="10">
        <v>41767</v>
      </c>
      <c r="AC330" s="10">
        <v>41767</v>
      </c>
    </row>
    <row r="331" spans="1:39">
      <c r="A331" s="7">
        <f t="shared" si="109"/>
        <v>1</v>
      </c>
      <c r="B331" s="7" t="str">
        <f t="shared" si="110"/>
        <v>14FW DISNEY 07_SNAP_BK</v>
      </c>
      <c r="C331" s="7">
        <f t="shared" si="111"/>
        <v>1</v>
      </c>
      <c r="D331" s="7" t="str">
        <f t="shared" si="112"/>
        <v>QF14FW DISNEY 07_SNAP_BK</v>
      </c>
      <c r="E331" s="12" t="str">
        <f t="shared" si="113"/>
        <v>201404</v>
      </c>
      <c r="F331" s="347" t="str">
        <f>VLOOKUP($AA331,[3]주!$A:$F,6,FALSE)</f>
        <v>3월 2주</v>
      </c>
      <c r="G331" s="7">
        <f t="shared" si="114"/>
        <v>0</v>
      </c>
      <c r="H331" s="7" t="str">
        <f t="shared" si="115"/>
        <v/>
      </c>
      <c r="I331" s="7">
        <f t="shared" si="116"/>
        <v>0</v>
      </c>
      <c r="J331" s="7" t="str">
        <f t="shared" si="117"/>
        <v/>
      </c>
      <c r="K331" s="17">
        <f t="shared" si="118"/>
        <v>41767</v>
      </c>
      <c r="L331" s="12" t="str">
        <f t="shared" si="119"/>
        <v>201405</v>
      </c>
      <c r="M331" s="347" t="str">
        <f>VLOOKUP($K331,[3]주!$A:$F,6,FALSE)</f>
        <v>3월 2주</v>
      </c>
      <c r="N331" s="273" t="str">
        <f>IF(VLOOKUP($Z331,생산업체!$A:$C,2,FALSE)=1,"해외","국내")</f>
        <v>해외</v>
      </c>
      <c r="O331" s="12" t="str">
        <f>IF(VLOOKUP($U331,CODE!$K:$P,CODE!P$1,FALSE)="모자",T331,T331&amp;"-"&amp;VLOOKUP($U331,CODE!$K:$P,CODE!P$1,FALSE))</f>
        <v>DPS-의류</v>
      </c>
      <c r="P331" s="11" t="s">
        <v>2089</v>
      </c>
      <c r="R331" s="11">
        <v>189</v>
      </c>
      <c r="T331" s="8" t="s">
        <v>1772</v>
      </c>
      <c r="U331" s="8" t="s">
        <v>1946</v>
      </c>
      <c r="V331" s="8" t="s">
        <v>43</v>
      </c>
      <c r="W331" s="8" t="s">
        <v>2091</v>
      </c>
      <c r="X331" s="8" t="s">
        <v>900</v>
      </c>
      <c r="Y331" s="9">
        <v>1</v>
      </c>
      <c r="Z331" s="8" t="s">
        <v>792</v>
      </c>
      <c r="AA331" s="10">
        <v>41739</v>
      </c>
      <c r="AB331" s="10">
        <v>41767</v>
      </c>
      <c r="AC331" s="10">
        <v>41767</v>
      </c>
    </row>
    <row r="332" spans="1:39">
      <c r="A332" s="7">
        <f t="shared" si="109"/>
        <v>1</v>
      </c>
      <c r="B332" s="7" t="str">
        <f t="shared" si="110"/>
        <v>14FW DISNEY 08_SNAP_BL_KIDS</v>
      </c>
      <c r="C332" s="7">
        <f t="shared" si="111"/>
        <v>1</v>
      </c>
      <c r="D332" s="7" t="str">
        <f t="shared" si="112"/>
        <v>QF14FW DISNEY 08_SNAP_BL_KIDS</v>
      </c>
      <c r="E332" s="12" t="str">
        <f t="shared" si="113"/>
        <v>201404</v>
      </c>
      <c r="F332" s="347" t="str">
        <f>VLOOKUP($AA332,[3]주!$A:$F,6,FALSE)</f>
        <v>3월 2주</v>
      </c>
      <c r="G332" s="7">
        <f t="shared" si="114"/>
        <v>0</v>
      </c>
      <c r="H332" s="7" t="str">
        <f t="shared" si="115"/>
        <v/>
      </c>
      <c r="I332" s="7">
        <f t="shared" si="116"/>
        <v>0</v>
      </c>
      <c r="J332" s="7" t="str">
        <f t="shared" si="117"/>
        <v/>
      </c>
      <c r="K332" s="17">
        <f t="shared" si="118"/>
        <v>41767</v>
      </c>
      <c r="L332" s="12" t="str">
        <f t="shared" si="119"/>
        <v>201405</v>
      </c>
      <c r="M332" s="347" t="str">
        <f>VLOOKUP($K332,[3]주!$A:$F,6,FALSE)</f>
        <v>3월 2주</v>
      </c>
      <c r="N332" s="273" t="str">
        <f>IF(VLOOKUP($Z332,생산업체!$A:$C,2,FALSE)=1,"해외","국내")</f>
        <v>해외</v>
      </c>
      <c r="O332" s="12" t="str">
        <f>IF(VLOOKUP($U332,CODE!$K:$P,CODE!P$1,FALSE)="모자",T332,T332&amp;"-"&amp;VLOOKUP($U332,CODE!$K:$P,CODE!P$1,FALSE))</f>
        <v>DPS-의류</v>
      </c>
      <c r="P332" s="11" t="s">
        <v>2089</v>
      </c>
      <c r="R332" s="11">
        <v>190</v>
      </c>
      <c r="T332" s="8" t="s">
        <v>1772</v>
      </c>
      <c r="U332" s="8" t="s">
        <v>1946</v>
      </c>
      <c r="V332" s="8" t="s">
        <v>43</v>
      </c>
      <c r="W332" s="8" t="s">
        <v>2092</v>
      </c>
      <c r="X332" s="8" t="s">
        <v>124</v>
      </c>
      <c r="Y332" s="9">
        <v>1</v>
      </c>
      <c r="Z332" s="8" t="s">
        <v>792</v>
      </c>
      <c r="AA332" s="10">
        <v>41739</v>
      </c>
      <c r="AB332" s="10">
        <v>41767</v>
      </c>
      <c r="AC332" s="10">
        <v>41767</v>
      </c>
    </row>
    <row r="333" spans="1:39">
      <c r="A333" s="7">
        <f t="shared" si="109"/>
        <v>1</v>
      </c>
      <c r="B333" s="7" t="str">
        <f t="shared" si="110"/>
        <v>14FW DISNEY 08_SNAP_PP</v>
      </c>
      <c r="C333" s="7">
        <f t="shared" si="111"/>
        <v>1</v>
      </c>
      <c r="D333" s="7" t="str">
        <f t="shared" si="112"/>
        <v>QF14FW DISNEY 08_SNAP_PP</v>
      </c>
      <c r="E333" s="12" t="str">
        <f t="shared" si="113"/>
        <v>201404</v>
      </c>
      <c r="F333" s="347" t="str">
        <f>VLOOKUP($AA333,[3]주!$A:$F,6,FALSE)</f>
        <v>3월 2주</v>
      </c>
      <c r="G333" s="7">
        <f t="shared" si="114"/>
        <v>0</v>
      </c>
      <c r="H333" s="7" t="str">
        <f t="shared" si="115"/>
        <v/>
      </c>
      <c r="I333" s="7">
        <f t="shared" si="116"/>
        <v>0</v>
      </c>
      <c r="J333" s="7" t="str">
        <f t="shared" si="117"/>
        <v/>
      </c>
      <c r="K333" s="17">
        <f t="shared" si="118"/>
        <v>41767</v>
      </c>
      <c r="L333" s="12" t="str">
        <f t="shared" si="119"/>
        <v>201405</v>
      </c>
      <c r="M333" s="347" t="str">
        <f>VLOOKUP($K333,[3]주!$A:$F,6,FALSE)</f>
        <v>3월 2주</v>
      </c>
      <c r="N333" s="273" t="str">
        <f>IF(VLOOKUP($Z333,생산업체!$A:$C,2,FALSE)=1,"해외","국내")</f>
        <v>해외</v>
      </c>
      <c r="O333" s="12" t="str">
        <f>IF(VLOOKUP($U333,CODE!$K:$P,CODE!P$1,FALSE)="모자",T333,T333&amp;"-"&amp;VLOOKUP($U333,CODE!$K:$P,CODE!P$1,FALSE))</f>
        <v>DPS-의류</v>
      </c>
      <c r="P333" s="11" t="s">
        <v>2089</v>
      </c>
      <c r="R333" s="11">
        <v>191</v>
      </c>
      <c r="T333" s="8" t="s">
        <v>1772</v>
      </c>
      <c r="U333" s="8" t="s">
        <v>1946</v>
      </c>
      <c r="V333" s="8" t="s">
        <v>43</v>
      </c>
      <c r="W333" s="8" t="s">
        <v>2093</v>
      </c>
      <c r="X333" s="8" t="s">
        <v>900</v>
      </c>
      <c r="Y333" s="9">
        <v>1</v>
      </c>
      <c r="Z333" s="8" t="s">
        <v>792</v>
      </c>
      <c r="AA333" s="10">
        <v>41739</v>
      </c>
      <c r="AB333" s="10">
        <v>41767</v>
      </c>
      <c r="AC333" s="10">
        <v>41767</v>
      </c>
    </row>
    <row r="334" spans="1:39">
      <c r="A334" s="7">
        <f t="shared" si="109"/>
        <v>1</v>
      </c>
      <c r="B334" s="7" t="str">
        <f t="shared" si="110"/>
        <v>14FW DISNEY 09_SNAP_BK</v>
      </c>
      <c r="C334" s="7">
        <f t="shared" si="111"/>
        <v>1</v>
      </c>
      <c r="D334" s="7" t="str">
        <f t="shared" si="112"/>
        <v>QF14FW DISNEY 09_SNAP_BK</v>
      </c>
      <c r="E334" s="12" t="str">
        <f t="shared" si="113"/>
        <v>201404</v>
      </c>
      <c r="F334" s="347" t="str">
        <f>VLOOKUP($AA334,[3]주!$A:$F,6,FALSE)</f>
        <v>3월 2주</v>
      </c>
      <c r="G334" s="7">
        <f t="shared" si="114"/>
        <v>0</v>
      </c>
      <c r="H334" s="7" t="str">
        <f t="shared" si="115"/>
        <v/>
      </c>
      <c r="I334" s="7">
        <f t="shared" si="116"/>
        <v>0</v>
      </c>
      <c r="J334" s="7" t="str">
        <f t="shared" si="117"/>
        <v/>
      </c>
      <c r="K334" s="17">
        <f t="shared" si="118"/>
        <v>41767</v>
      </c>
      <c r="L334" s="12" t="str">
        <f t="shared" si="119"/>
        <v>201405</v>
      </c>
      <c r="M334" s="347" t="str">
        <f>VLOOKUP($K334,[3]주!$A:$F,6,FALSE)</f>
        <v>3월 2주</v>
      </c>
      <c r="N334" s="273" t="str">
        <f>IF(VLOOKUP($Z334,생산업체!$A:$C,2,FALSE)=1,"해외","국내")</f>
        <v>해외</v>
      </c>
      <c r="O334" s="12" t="str">
        <f>IF(VLOOKUP($U334,CODE!$K:$P,CODE!P$1,FALSE)="모자",T334,T334&amp;"-"&amp;VLOOKUP($U334,CODE!$K:$P,CODE!P$1,FALSE))</f>
        <v>DPS-의류</v>
      </c>
      <c r="P334" s="11" t="s">
        <v>2089</v>
      </c>
      <c r="R334" s="11">
        <v>192</v>
      </c>
      <c r="T334" s="8" t="s">
        <v>1772</v>
      </c>
      <c r="U334" s="8" t="s">
        <v>1946</v>
      </c>
      <c r="V334" s="8" t="s">
        <v>43</v>
      </c>
      <c r="W334" s="8" t="s">
        <v>2094</v>
      </c>
      <c r="X334" s="8" t="s">
        <v>900</v>
      </c>
      <c r="Y334" s="9">
        <v>1</v>
      </c>
      <c r="Z334" s="8" t="s">
        <v>792</v>
      </c>
      <c r="AA334" s="10">
        <v>41739</v>
      </c>
      <c r="AB334" s="10">
        <v>41767</v>
      </c>
      <c r="AC334" s="10">
        <v>41767</v>
      </c>
    </row>
    <row r="335" spans="1:39">
      <c r="A335" s="7">
        <f t="shared" si="109"/>
        <v>1</v>
      </c>
      <c r="B335" s="7" t="str">
        <f t="shared" si="110"/>
        <v>14FW DISNEY 09_SNAP_RD_KIDS</v>
      </c>
      <c r="C335" s="7">
        <f t="shared" si="111"/>
        <v>1</v>
      </c>
      <c r="D335" s="7" t="str">
        <f t="shared" si="112"/>
        <v>QF14FW DISNEY 09_SNAP_RD_KIDS</v>
      </c>
      <c r="E335" s="12" t="str">
        <f t="shared" si="113"/>
        <v>201404</v>
      </c>
      <c r="F335" s="347" t="str">
        <f>VLOOKUP($AA335,[3]주!$A:$F,6,FALSE)</f>
        <v>3월 2주</v>
      </c>
      <c r="G335" s="7">
        <f t="shared" si="114"/>
        <v>0</v>
      </c>
      <c r="H335" s="7" t="str">
        <f t="shared" si="115"/>
        <v/>
      </c>
      <c r="I335" s="7">
        <f t="shared" si="116"/>
        <v>0</v>
      </c>
      <c r="J335" s="7" t="str">
        <f t="shared" si="117"/>
        <v/>
      </c>
      <c r="K335" s="17">
        <f t="shared" si="118"/>
        <v>41767</v>
      </c>
      <c r="L335" s="12" t="str">
        <f t="shared" si="119"/>
        <v>201405</v>
      </c>
      <c r="M335" s="347" t="str">
        <f>VLOOKUP($K335,[3]주!$A:$F,6,FALSE)</f>
        <v>3월 2주</v>
      </c>
      <c r="N335" s="273" t="str">
        <f>IF(VLOOKUP($Z335,생산업체!$A:$C,2,FALSE)=1,"해외","국내")</f>
        <v>해외</v>
      </c>
      <c r="O335" s="12" t="str">
        <f>IF(VLOOKUP($U335,CODE!$K:$P,CODE!P$1,FALSE)="모자",T335,T335&amp;"-"&amp;VLOOKUP($U335,CODE!$K:$P,CODE!P$1,FALSE))</f>
        <v>DPS-의류</v>
      </c>
      <c r="P335" s="11" t="s">
        <v>2089</v>
      </c>
      <c r="R335" s="11">
        <v>193</v>
      </c>
      <c r="T335" s="8" t="s">
        <v>1772</v>
      </c>
      <c r="U335" s="8" t="s">
        <v>1946</v>
      </c>
      <c r="V335" s="8" t="s">
        <v>43</v>
      </c>
      <c r="W335" s="8" t="s">
        <v>2095</v>
      </c>
      <c r="X335" s="8" t="s">
        <v>124</v>
      </c>
      <c r="Y335" s="9">
        <v>1</v>
      </c>
      <c r="Z335" s="8" t="s">
        <v>792</v>
      </c>
      <c r="AA335" s="10">
        <v>41739</v>
      </c>
      <c r="AB335" s="10">
        <v>41767</v>
      </c>
      <c r="AC335" s="10">
        <v>41767</v>
      </c>
    </row>
    <row r="336" spans="1:39">
      <c r="A336" s="7">
        <f t="shared" si="109"/>
        <v>1</v>
      </c>
      <c r="B336" s="7" t="str">
        <f t="shared" si="110"/>
        <v>14FW DISNEY 10_SNAP_BL_KIDS</v>
      </c>
      <c r="C336" s="7">
        <f t="shared" si="111"/>
        <v>1</v>
      </c>
      <c r="D336" s="7" t="str">
        <f t="shared" si="112"/>
        <v>QF14FW DISNEY 10_SNAP_BL_KIDS</v>
      </c>
      <c r="E336" s="12" t="str">
        <f t="shared" si="113"/>
        <v>201404</v>
      </c>
      <c r="F336" s="347" t="str">
        <f>VLOOKUP($AA336,[3]주!$A:$F,6,FALSE)</f>
        <v>3월 2주</v>
      </c>
      <c r="G336" s="7">
        <f t="shared" si="114"/>
        <v>0</v>
      </c>
      <c r="H336" s="7" t="str">
        <f t="shared" si="115"/>
        <v/>
      </c>
      <c r="I336" s="7">
        <f t="shared" si="116"/>
        <v>0</v>
      </c>
      <c r="J336" s="7" t="str">
        <f t="shared" si="117"/>
        <v/>
      </c>
      <c r="K336" s="17">
        <f t="shared" si="118"/>
        <v>41767</v>
      </c>
      <c r="L336" s="12" t="str">
        <f t="shared" si="119"/>
        <v>201405</v>
      </c>
      <c r="M336" s="347" t="str">
        <f>VLOOKUP($K336,[3]주!$A:$F,6,FALSE)</f>
        <v>3월 2주</v>
      </c>
      <c r="N336" s="273" t="str">
        <f>IF(VLOOKUP($Z336,생산업체!$A:$C,2,FALSE)=1,"해외","국내")</f>
        <v>해외</v>
      </c>
      <c r="O336" s="12" t="str">
        <f>IF(VLOOKUP($U336,CODE!$K:$P,CODE!P$1,FALSE)="모자",T336,T336&amp;"-"&amp;VLOOKUP($U336,CODE!$K:$P,CODE!P$1,FALSE))</f>
        <v>DPS-의류</v>
      </c>
      <c r="P336" s="11" t="s">
        <v>2089</v>
      </c>
      <c r="R336" s="11">
        <v>194</v>
      </c>
      <c r="T336" s="8" t="s">
        <v>1772</v>
      </c>
      <c r="U336" s="8" t="s">
        <v>1946</v>
      </c>
      <c r="V336" s="8" t="s">
        <v>43</v>
      </c>
      <c r="W336" s="8" t="s">
        <v>2096</v>
      </c>
      <c r="X336" s="8" t="s">
        <v>124</v>
      </c>
      <c r="Y336" s="9">
        <v>1</v>
      </c>
      <c r="Z336" s="8" t="s">
        <v>792</v>
      </c>
      <c r="AA336" s="10">
        <v>41739</v>
      </c>
      <c r="AB336" s="10">
        <v>41767</v>
      </c>
      <c r="AC336" s="10">
        <v>41767</v>
      </c>
    </row>
    <row r="337" spans="1:38">
      <c r="A337" s="7">
        <f t="shared" si="109"/>
        <v>1</v>
      </c>
      <c r="B337" s="7" t="str">
        <f t="shared" si="110"/>
        <v>14FW DISNEY 11_SNAP_PK_KIDS</v>
      </c>
      <c r="C337" s="7">
        <f t="shared" si="111"/>
        <v>1</v>
      </c>
      <c r="D337" s="7" t="str">
        <f t="shared" si="112"/>
        <v>QF14FW DISNEY 11_SNAP_PK_KIDS</v>
      </c>
      <c r="E337" s="12" t="str">
        <f t="shared" si="113"/>
        <v>201404</v>
      </c>
      <c r="F337" s="347" t="str">
        <f>VLOOKUP($AA337,[3]주!$A:$F,6,FALSE)</f>
        <v>3월 2주</v>
      </c>
      <c r="G337" s="7">
        <f t="shared" si="114"/>
        <v>0</v>
      </c>
      <c r="H337" s="7" t="str">
        <f t="shared" si="115"/>
        <v/>
      </c>
      <c r="I337" s="7">
        <f t="shared" si="116"/>
        <v>0</v>
      </c>
      <c r="J337" s="7" t="str">
        <f t="shared" si="117"/>
        <v/>
      </c>
      <c r="K337" s="17">
        <f t="shared" si="118"/>
        <v>41767</v>
      </c>
      <c r="L337" s="12" t="str">
        <f t="shared" si="119"/>
        <v>201405</v>
      </c>
      <c r="M337" s="347" t="str">
        <f>VLOOKUP($K337,[3]주!$A:$F,6,FALSE)</f>
        <v>3월 2주</v>
      </c>
      <c r="N337" s="273" t="str">
        <f>IF(VLOOKUP($Z337,생산업체!$A:$C,2,FALSE)=1,"해외","국내")</f>
        <v>해외</v>
      </c>
      <c r="O337" s="12" t="str">
        <f>IF(VLOOKUP($U337,CODE!$K:$P,CODE!P$1,FALSE)="모자",T337,T337&amp;"-"&amp;VLOOKUP($U337,CODE!$K:$P,CODE!P$1,FALSE))</f>
        <v>DPS-의류</v>
      </c>
      <c r="P337" s="11" t="s">
        <v>2089</v>
      </c>
      <c r="R337" s="11">
        <v>195</v>
      </c>
      <c r="T337" s="8" t="s">
        <v>1772</v>
      </c>
      <c r="U337" s="8" t="s">
        <v>1946</v>
      </c>
      <c r="V337" s="8" t="s">
        <v>43</v>
      </c>
      <c r="W337" s="8" t="s">
        <v>2097</v>
      </c>
      <c r="X337" s="8" t="s">
        <v>124</v>
      </c>
      <c r="Y337" s="9">
        <v>1</v>
      </c>
      <c r="Z337" s="8" t="s">
        <v>792</v>
      </c>
      <c r="AA337" s="10">
        <v>41739</v>
      </c>
      <c r="AB337" s="10">
        <v>41767</v>
      </c>
      <c r="AC337" s="10">
        <v>41767</v>
      </c>
    </row>
    <row r="338" spans="1:38">
      <c r="A338" s="7">
        <f t="shared" si="109"/>
        <v>1</v>
      </c>
      <c r="B338" s="7" t="str">
        <f t="shared" si="110"/>
        <v>14FW JILLBY_01_CURVED_GY</v>
      </c>
      <c r="C338" s="7">
        <f t="shared" si="111"/>
        <v>1</v>
      </c>
      <c r="D338" s="7" t="str">
        <f t="shared" si="112"/>
        <v>FOREMOST14FW JILLBY_01_CURVED_GY</v>
      </c>
      <c r="E338" s="12" t="str">
        <f t="shared" si="113"/>
        <v>201404</v>
      </c>
      <c r="F338" s="347" t="str">
        <f>VLOOKUP($AA338,[3]주!$A:$F,6,FALSE)</f>
        <v>3월 2주</v>
      </c>
      <c r="G338" s="7">
        <f t="shared" si="114"/>
        <v>1</v>
      </c>
      <c r="H338" s="7" t="str">
        <f t="shared" si="115"/>
        <v>14FW JILLBY_01_CURVED_GY</v>
      </c>
      <c r="I338" s="7">
        <f t="shared" si="116"/>
        <v>1</v>
      </c>
      <c r="J338" s="7" t="str">
        <f t="shared" si="117"/>
        <v>FOREMOST14FW JILLBY_01_CURVED_GY</v>
      </c>
      <c r="K338" s="17">
        <f t="shared" si="118"/>
        <v>41758</v>
      </c>
      <c r="L338" s="12" t="str">
        <f t="shared" si="119"/>
        <v>201404</v>
      </c>
      <c r="M338" s="347" t="str">
        <f>VLOOKUP($K338,[3]주!$A:$F,6,FALSE)</f>
        <v>3월 2주</v>
      </c>
      <c r="N338" s="273" t="str">
        <f>IF(VLOOKUP($Z338,생산업체!$A:$C,2,FALSE)=1,"해외","국내")</f>
        <v>해외</v>
      </c>
      <c r="O338" s="12" t="str">
        <f>IF(VLOOKUP($U338,CODE!$K:$P,CODE!P$1,FALSE)="모자",T338,T338&amp;"-"&amp;VLOOKUP($U338,CODE!$K:$P,CODE!P$1,FALSE))</f>
        <v>JIL</v>
      </c>
      <c r="P338" s="11" t="s">
        <v>32</v>
      </c>
      <c r="R338" s="11">
        <v>196</v>
      </c>
      <c r="T338" s="8" t="s">
        <v>32</v>
      </c>
      <c r="U338" s="8" t="s">
        <v>38</v>
      </c>
      <c r="V338" s="8" t="s">
        <v>43</v>
      </c>
      <c r="W338" s="8" t="s">
        <v>2098</v>
      </c>
      <c r="X338" s="8" t="s">
        <v>900</v>
      </c>
      <c r="Y338" s="9">
        <v>1</v>
      </c>
      <c r="Z338" s="8" t="s">
        <v>6</v>
      </c>
      <c r="AA338" s="10">
        <v>41739</v>
      </c>
      <c r="AB338" s="10">
        <v>41767</v>
      </c>
      <c r="AC338" s="10">
        <v>41767</v>
      </c>
      <c r="AD338" s="10">
        <v>41758</v>
      </c>
      <c r="AK338" s="8" t="s">
        <v>1394</v>
      </c>
    </row>
    <row r="339" spans="1:38">
      <c r="A339" s="7">
        <f t="shared" si="109"/>
        <v>1</v>
      </c>
      <c r="B339" s="7" t="str">
        <f t="shared" si="110"/>
        <v>14FW JILLBY_02_CURVED_BG</v>
      </c>
      <c r="C339" s="7">
        <f t="shared" si="111"/>
        <v>1</v>
      </c>
      <c r="D339" s="7" t="str">
        <f t="shared" si="112"/>
        <v>FOREMOST14FW JILLBY_02_CURVED_BG</v>
      </c>
      <c r="E339" s="12" t="str">
        <f t="shared" si="113"/>
        <v>201404</v>
      </c>
      <c r="F339" s="347" t="str">
        <f>VLOOKUP($AA339,[3]주!$A:$F,6,FALSE)</f>
        <v>3월 2주</v>
      </c>
      <c r="G339" s="7">
        <f t="shared" si="114"/>
        <v>1</v>
      </c>
      <c r="H339" s="7" t="str">
        <f t="shared" si="115"/>
        <v>14FW JILLBY_02_CURVED_BG</v>
      </c>
      <c r="I339" s="7">
        <f t="shared" si="116"/>
        <v>1</v>
      </c>
      <c r="J339" s="7" t="str">
        <f t="shared" si="117"/>
        <v>FOREMOST14FW JILLBY_02_CURVED_BG</v>
      </c>
      <c r="K339" s="17">
        <f t="shared" si="118"/>
        <v>41758</v>
      </c>
      <c r="L339" s="12" t="str">
        <f t="shared" si="119"/>
        <v>201404</v>
      </c>
      <c r="M339" s="347" t="str">
        <f>VLOOKUP($K339,[3]주!$A:$F,6,FALSE)</f>
        <v>3월 2주</v>
      </c>
      <c r="N339" s="273" t="str">
        <f>IF(VLOOKUP($Z339,생산업체!$A:$C,2,FALSE)=1,"해외","국내")</f>
        <v>해외</v>
      </c>
      <c r="O339" s="12" t="str">
        <f>IF(VLOOKUP($U339,CODE!$K:$P,CODE!P$1,FALSE)="모자",T339,T339&amp;"-"&amp;VLOOKUP($U339,CODE!$K:$P,CODE!P$1,FALSE))</f>
        <v>JIL</v>
      </c>
      <c r="P339" s="11" t="s">
        <v>32</v>
      </c>
      <c r="R339" s="11">
        <v>197</v>
      </c>
      <c r="T339" s="8" t="s">
        <v>32</v>
      </c>
      <c r="U339" s="8" t="s">
        <v>38</v>
      </c>
      <c r="V339" s="8" t="s">
        <v>43</v>
      </c>
      <c r="W339" s="8" t="s">
        <v>2099</v>
      </c>
      <c r="X339" s="8" t="s">
        <v>900</v>
      </c>
      <c r="Y339" s="9">
        <v>1</v>
      </c>
      <c r="Z339" s="8" t="s">
        <v>6</v>
      </c>
      <c r="AA339" s="10">
        <v>41739</v>
      </c>
      <c r="AB339" s="10">
        <v>41767</v>
      </c>
      <c r="AC339" s="10">
        <v>41767</v>
      </c>
      <c r="AD339" s="10">
        <v>41758</v>
      </c>
      <c r="AK339" s="8" t="s">
        <v>1394</v>
      </c>
    </row>
    <row r="340" spans="1:38">
      <c r="A340" s="7">
        <f t="shared" si="109"/>
        <v>1</v>
      </c>
      <c r="B340" s="7" t="str">
        <f t="shared" si="110"/>
        <v>14FW JILLBY_04_CURVED_NV</v>
      </c>
      <c r="C340" s="7">
        <f t="shared" si="111"/>
        <v>1</v>
      </c>
      <c r="D340" s="7" t="str">
        <f t="shared" si="112"/>
        <v>FOREMOST14FW JILLBY_04_CURVED_NV</v>
      </c>
      <c r="E340" s="12" t="str">
        <f t="shared" si="113"/>
        <v>201404</v>
      </c>
      <c r="F340" s="347" t="str">
        <f>VLOOKUP($AA340,[3]주!$A:$F,6,FALSE)</f>
        <v>3월 2주</v>
      </c>
      <c r="G340" s="7">
        <f t="shared" si="114"/>
        <v>1</v>
      </c>
      <c r="H340" s="7" t="str">
        <f t="shared" si="115"/>
        <v>14FW JILLBY_04_CURVED_NV</v>
      </c>
      <c r="I340" s="7">
        <f t="shared" si="116"/>
        <v>1</v>
      </c>
      <c r="J340" s="7" t="str">
        <f t="shared" si="117"/>
        <v>FOREMOST14FW JILLBY_04_CURVED_NV</v>
      </c>
      <c r="K340" s="17">
        <f t="shared" si="118"/>
        <v>41761</v>
      </c>
      <c r="L340" s="12" t="str">
        <f t="shared" si="119"/>
        <v>201405</v>
      </c>
      <c r="M340" s="347" t="str">
        <f>VLOOKUP($K340,[3]주!$A:$F,6,FALSE)</f>
        <v>3월 2주</v>
      </c>
      <c r="N340" s="273" t="str">
        <f>IF(VLOOKUP($Z340,생산업체!$A:$C,2,FALSE)=1,"해외","국내")</f>
        <v>해외</v>
      </c>
      <c r="O340" s="12" t="str">
        <f>IF(VLOOKUP($U340,CODE!$K:$P,CODE!P$1,FALSE)="모자",T340,T340&amp;"-"&amp;VLOOKUP($U340,CODE!$K:$P,CODE!P$1,FALSE))</f>
        <v>JIL</v>
      </c>
      <c r="P340" s="11" t="s">
        <v>32</v>
      </c>
      <c r="R340" s="11">
        <v>198</v>
      </c>
      <c r="T340" s="8" t="s">
        <v>32</v>
      </c>
      <c r="U340" s="8" t="s">
        <v>38</v>
      </c>
      <c r="V340" s="8" t="s">
        <v>43</v>
      </c>
      <c r="W340" s="8" t="s">
        <v>2100</v>
      </c>
      <c r="X340" s="8" t="s">
        <v>900</v>
      </c>
      <c r="Y340" s="9">
        <v>1</v>
      </c>
      <c r="Z340" s="8" t="s">
        <v>6</v>
      </c>
      <c r="AA340" s="10">
        <v>41739</v>
      </c>
      <c r="AB340" s="10">
        <v>41767</v>
      </c>
      <c r="AC340" s="10">
        <v>41767</v>
      </c>
      <c r="AD340" s="10">
        <v>41761</v>
      </c>
      <c r="AK340" s="8" t="s">
        <v>1394</v>
      </c>
    </row>
    <row r="341" spans="1:38">
      <c r="A341" s="7">
        <f t="shared" si="109"/>
        <v>1</v>
      </c>
      <c r="B341" s="7" t="str">
        <f t="shared" si="110"/>
        <v>14FW JILLBY_06_CURVED_BK</v>
      </c>
      <c r="C341" s="7">
        <f t="shared" si="111"/>
        <v>1</v>
      </c>
      <c r="D341" s="7" t="str">
        <f t="shared" si="112"/>
        <v>FOREMOST14FW JILLBY_06_CURVED_BK</v>
      </c>
      <c r="E341" s="12" t="str">
        <f t="shared" si="113"/>
        <v>201404</v>
      </c>
      <c r="F341" s="347" t="str">
        <f>VLOOKUP($AA341,[3]주!$A:$F,6,FALSE)</f>
        <v>3월 2주</v>
      </c>
      <c r="G341" s="7">
        <f t="shared" si="114"/>
        <v>1</v>
      </c>
      <c r="H341" s="7" t="str">
        <f t="shared" si="115"/>
        <v>14FW JILLBY_06_CURVED_BK</v>
      </c>
      <c r="I341" s="7">
        <f t="shared" si="116"/>
        <v>1</v>
      </c>
      <c r="J341" s="7" t="str">
        <f t="shared" si="117"/>
        <v>FOREMOST14FW JILLBY_06_CURVED_BK</v>
      </c>
      <c r="K341" s="17">
        <f t="shared" si="118"/>
        <v>41761</v>
      </c>
      <c r="L341" s="12" t="str">
        <f t="shared" si="119"/>
        <v>201405</v>
      </c>
      <c r="M341" s="347" t="str">
        <f>VLOOKUP($K341,[3]주!$A:$F,6,FALSE)</f>
        <v>3월 2주</v>
      </c>
      <c r="N341" s="273" t="str">
        <f>IF(VLOOKUP($Z341,생산업체!$A:$C,2,FALSE)=1,"해외","국내")</f>
        <v>해외</v>
      </c>
      <c r="O341" s="12" t="str">
        <f>IF(VLOOKUP($U341,CODE!$K:$P,CODE!P$1,FALSE)="모자",T341,T341&amp;"-"&amp;VLOOKUP($U341,CODE!$K:$P,CODE!P$1,FALSE))</f>
        <v>JIL</v>
      </c>
      <c r="P341" s="11" t="s">
        <v>32</v>
      </c>
      <c r="R341" s="11">
        <v>199</v>
      </c>
      <c r="T341" s="8" t="s">
        <v>32</v>
      </c>
      <c r="U341" s="8" t="s">
        <v>38</v>
      </c>
      <c r="V341" s="8" t="s">
        <v>43</v>
      </c>
      <c r="W341" s="8" t="s">
        <v>2101</v>
      </c>
      <c r="X341" s="8" t="s">
        <v>900</v>
      </c>
      <c r="Y341" s="9">
        <v>1</v>
      </c>
      <c r="Z341" s="8" t="s">
        <v>6</v>
      </c>
      <c r="AA341" s="10">
        <v>41739</v>
      </c>
      <c r="AB341" s="10">
        <v>41767</v>
      </c>
      <c r="AC341" s="10">
        <v>41767</v>
      </c>
      <c r="AD341" s="10">
        <v>41761</v>
      </c>
      <c r="AK341" s="8" t="s">
        <v>1394</v>
      </c>
    </row>
    <row r="342" spans="1:38">
      <c r="A342" s="7">
        <f t="shared" si="109"/>
        <v>1</v>
      </c>
      <c r="B342" s="7" t="str">
        <f t="shared" si="110"/>
        <v>14FW JILLBY_03_CURVED_BK</v>
      </c>
      <c r="C342" s="7">
        <f t="shared" si="111"/>
        <v>1</v>
      </c>
      <c r="D342" s="7" t="str">
        <f t="shared" si="112"/>
        <v>FOREMOST14FW JILLBY_03_CURVED_BK</v>
      </c>
      <c r="E342" s="12" t="str">
        <f t="shared" si="113"/>
        <v>201404</v>
      </c>
      <c r="F342" s="347" t="str">
        <f>VLOOKUP($AA342,[3]주!$A:$F,6,FALSE)</f>
        <v>3월 2주</v>
      </c>
      <c r="G342" s="7">
        <f t="shared" si="114"/>
        <v>1</v>
      </c>
      <c r="H342" s="7" t="str">
        <f t="shared" si="115"/>
        <v>14FW JILLBY_03_CURVED_BK</v>
      </c>
      <c r="I342" s="7">
        <f t="shared" si="116"/>
        <v>1</v>
      </c>
      <c r="J342" s="7" t="str">
        <f t="shared" si="117"/>
        <v>FOREMOST14FW JILLBY_03_CURVED_BK</v>
      </c>
      <c r="K342" s="17">
        <f t="shared" si="118"/>
        <v>41761</v>
      </c>
      <c r="L342" s="12" t="str">
        <f t="shared" si="119"/>
        <v>201405</v>
      </c>
      <c r="M342" s="347" t="str">
        <f>VLOOKUP($K342,[3]주!$A:$F,6,FALSE)</f>
        <v>3월 2주</v>
      </c>
      <c r="N342" s="273" t="str">
        <f>IF(VLOOKUP($Z342,생산업체!$A:$C,2,FALSE)=1,"해외","국내")</f>
        <v>해외</v>
      </c>
      <c r="O342" s="12" t="str">
        <f>IF(VLOOKUP($U342,CODE!$K:$P,CODE!P$1,FALSE)="모자",T342,T342&amp;"-"&amp;VLOOKUP($U342,CODE!$K:$P,CODE!P$1,FALSE))</f>
        <v>JIL</v>
      </c>
      <c r="P342" s="11" t="s">
        <v>32</v>
      </c>
      <c r="R342" s="11">
        <v>200</v>
      </c>
      <c r="T342" s="8" t="s">
        <v>32</v>
      </c>
      <c r="U342" s="8" t="s">
        <v>38</v>
      </c>
      <c r="V342" s="8" t="s">
        <v>43</v>
      </c>
      <c r="W342" s="8" t="s">
        <v>2102</v>
      </c>
      <c r="X342" s="8" t="s">
        <v>900</v>
      </c>
      <c r="Y342" s="9">
        <v>1</v>
      </c>
      <c r="Z342" s="8" t="s">
        <v>6</v>
      </c>
      <c r="AA342" s="10">
        <v>41747</v>
      </c>
      <c r="AB342" s="10">
        <v>41775</v>
      </c>
      <c r="AC342" s="10">
        <v>41775</v>
      </c>
      <c r="AD342" s="10">
        <v>41761</v>
      </c>
      <c r="AK342" s="8" t="s">
        <v>1394</v>
      </c>
    </row>
    <row r="343" spans="1:38">
      <c r="A343" s="7">
        <f t="shared" si="109"/>
        <v>1</v>
      </c>
      <c r="B343" s="7" t="str">
        <f t="shared" si="110"/>
        <v>14FW JILLBY_05_CURVED_BK</v>
      </c>
      <c r="C343" s="7">
        <f t="shared" si="111"/>
        <v>1</v>
      </c>
      <c r="D343" s="7" t="str">
        <f t="shared" si="112"/>
        <v>FOREMOST14FW JILLBY_05_CURVED_BK</v>
      </c>
      <c r="E343" s="12" t="str">
        <f t="shared" si="113"/>
        <v>201404</v>
      </c>
      <c r="F343" s="347" t="str">
        <f>VLOOKUP($AA343,[3]주!$A:$F,6,FALSE)</f>
        <v>3월 2주</v>
      </c>
      <c r="G343" s="7">
        <f t="shared" si="114"/>
        <v>1</v>
      </c>
      <c r="H343" s="7" t="str">
        <f t="shared" si="115"/>
        <v>14FW JILLBY_05_CURVED_BK</v>
      </c>
      <c r="I343" s="7">
        <f t="shared" si="116"/>
        <v>1</v>
      </c>
      <c r="J343" s="7" t="str">
        <f t="shared" si="117"/>
        <v>FOREMOST14FW JILLBY_05_CURVED_BK</v>
      </c>
      <c r="K343" s="17">
        <f t="shared" si="118"/>
        <v>41761</v>
      </c>
      <c r="L343" s="12" t="str">
        <f t="shared" si="119"/>
        <v>201405</v>
      </c>
      <c r="M343" s="347" t="str">
        <f>VLOOKUP($K343,[3]주!$A:$F,6,FALSE)</f>
        <v>3월 2주</v>
      </c>
      <c r="N343" s="273" t="str">
        <f>IF(VLOOKUP($Z343,생산업체!$A:$C,2,FALSE)=1,"해외","국내")</f>
        <v>해외</v>
      </c>
      <c r="O343" s="12" t="str">
        <f>IF(VLOOKUP($U343,CODE!$K:$P,CODE!P$1,FALSE)="모자",T343,T343&amp;"-"&amp;VLOOKUP($U343,CODE!$K:$P,CODE!P$1,FALSE))</f>
        <v>JIL</v>
      </c>
      <c r="P343" s="11" t="s">
        <v>32</v>
      </c>
      <c r="R343" s="11">
        <v>201</v>
      </c>
      <c r="T343" s="8" t="s">
        <v>32</v>
      </c>
      <c r="U343" s="8" t="s">
        <v>38</v>
      </c>
      <c r="V343" s="8" t="s">
        <v>43</v>
      </c>
      <c r="W343" s="8" t="s">
        <v>2103</v>
      </c>
      <c r="X343" s="8" t="s">
        <v>900</v>
      </c>
      <c r="Y343" s="9">
        <v>1</v>
      </c>
      <c r="Z343" s="8" t="s">
        <v>6</v>
      </c>
      <c r="AA343" s="10">
        <v>41747</v>
      </c>
      <c r="AB343" s="10">
        <v>41775</v>
      </c>
      <c r="AC343" s="10">
        <v>41775</v>
      </c>
      <c r="AD343" s="10">
        <v>41761</v>
      </c>
      <c r="AK343" s="8" t="s">
        <v>1394</v>
      </c>
    </row>
    <row r="344" spans="1:38">
      <c r="A344" s="7">
        <f t="shared" si="109"/>
        <v>1</v>
      </c>
      <c r="B344" s="7" t="str">
        <f t="shared" si="110"/>
        <v>14FW JILLBY_43_KH</v>
      </c>
      <c r="C344" s="7">
        <f t="shared" si="111"/>
        <v>1</v>
      </c>
      <c r="D344" s="7" t="str">
        <f t="shared" si="112"/>
        <v>FOREMOST14FW JILLBY_43_KH</v>
      </c>
      <c r="E344" s="12" t="str">
        <f t="shared" si="113"/>
        <v>201404</v>
      </c>
      <c r="F344" s="347" t="str">
        <f>VLOOKUP($AA344,[3]주!$A:$F,6,FALSE)</f>
        <v>3월 2주</v>
      </c>
      <c r="G344" s="7">
        <f t="shared" si="114"/>
        <v>0</v>
      </c>
      <c r="H344" s="7" t="str">
        <f t="shared" si="115"/>
        <v/>
      </c>
      <c r="I344" s="7">
        <f t="shared" si="116"/>
        <v>0</v>
      </c>
      <c r="J344" s="7" t="str">
        <f t="shared" si="117"/>
        <v/>
      </c>
      <c r="K344" s="17">
        <f t="shared" si="118"/>
        <v>41786</v>
      </c>
      <c r="L344" s="12" t="str">
        <f t="shared" si="119"/>
        <v>201405</v>
      </c>
      <c r="M344" s="347" t="str">
        <f>VLOOKUP($K344,[3]주!$A:$F,6,FALSE)</f>
        <v>3월 2주</v>
      </c>
      <c r="N344" s="273" t="str">
        <f>IF(VLOOKUP($Z344,생산업체!$A:$C,2,FALSE)=1,"해외","국내")</f>
        <v>해외</v>
      </c>
      <c r="O344" s="12" t="str">
        <f>IF(VLOOKUP($U344,CODE!$K:$P,CODE!P$1,FALSE)="모자",T344,T344&amp;"-"&amp;VLOOKUP($U344,CODE!$K:$P,CODE!P$1,FALSE))</f>
        <v>JIL</v>
      </c>
      <c r="P344" s="11" t="s">
        <v>32</v>
      </c>
      <c r="R344" s="11">
        <v>202</v>
      </c>
      <c r="T344" s="8" t="s">
        <v>32</v>
      </c>
      <c r="U344" s="8" t="s">
        <v>28</v>
      </c>
      <c r="V344" s="8" t="s">
        <v>43</v>
      </c>
      <c r="W344" s="8" t="s">
        <v>2169</v>
      </c>
      <c r="X344" s="8" t="s">
        <v>900</v>
      </c>
      <c r="Y344" s="9">
        <v>1</v>
      </c>
      <c r="Z344" s="8" t="s">
        <v>6</v>
      </c>
      <c r="AA344" s="10">
        <v>41758</v>
      </c>
      <c r="AB344" s="10">
        <v>41786</v>
      </c>
      <c r="AC344" s="10">
        <v>41786</v>
      </c>
      <c r="AK344" s="8" t="s">
        <v>1394</v>
      </c>
    </row>
    <row r="345" spans="1:38">
      <c r="A345" s="7">
        <f t="shared" si="109"/>
        <v>1</v>
      </c>
      <c r="B345" s="7" t="str">
        <f t="shared" si="110"/>
        <v>14FW JILLBY_44_BK</v>
      </c>
      <c r="C345" s="7">
        <f t="shared" si="111"/>
        <v>1</v>
      </c>
      <c r="D345" s="7" t="str">
        <f t="shared" si="112"/>
        <v>FOREMOST14FW JILLBY_44_BK</v>
      </c>
      <c r="E345" s="12" t="str">
        <f t="shared" si="113"/>
        <v>201404</v>
      </c>
      <c r="F345" s="347" t="str">
        <f>VLOOKUP($AA345,[3]주!$A:$F,6,FALSE)</f>
        <v>3월 2주</v>
      </c>
      <c r="G345" s="7">
        <f t="shared" si="114"/>
        <v>0</v>
      </c>
      <c r="H345" s="7" t="str">
        <f t="shared" si="115"/>
        <v/>
      </c>
      <c r="I345" s="7">
        <f t="shared" si="116"/>
        <v>0</v>
      </c>
      <c r="J345" s="7" t="str">
        <f t="shared" si="117"/>
        <v/>
      </c>
      <c r="K345" s="17">
        <f t="shared" si="118"/>
        <v>41786</v>
      </c>
      <c r="L345" s="12" t="str">
        <f t="shared" si="119"/>
        <v>201405</v>
      </c>
      <c r="M345" s="347" t="str">
        <f>VLOOKUP($K345,[3]주!$A:$F,6,FALSE)</f>
        <v>3월 2주</v>
      </c>
      <c r="N345" s="273" t="str">
        <f>IF(VLOOKUP($Z345,생산업체!$A:$C,2,FALSE)=1,"해외","국내")</f>
        <v>해외</v>
      </c>
      <c r="O345" s="12" t="str">
        <f>IF(VLOOKUP($U345,CODE!$K:$P,CODE!P$1,FALSE)="모자",T345,T345&amp;"-"&amp;VLOOKUP($U345,CODE!$K:$P,CODE!P$1,FALSE))</f>
        <v>JIL</v>
      </c>
      <c r="P345" s="11" t="s">
        <v>32</v>
      </c>
      <c r="R345" s="11">
        <v>203</v>
      </c>
      <c r="T345" s="8" t="s">
        <v>32</v>
      </c>
      <c r="U345" s="8" t="s">
        <v>28</v>
      </c>
      <c r="V345" s="8" t="s">
        <v>43</v>
      </c>
      <c r="W345" s="8" t="s">
        <v>2170</v>
      </c>
      <c r="X345" s="8" t="s">
        <v>900</v>
      </c>
      <c r="Y345" s="9">
        <v>1</v>
      </c>
      <c r="Z345" s="8" t="s">
        <v>6</v>
      </c>
      <c r="AA345" s="10">
        <v>41758</v>
      </c>
      <c r="AB345" s="10">
        <v>41786</v>
      </c>
      <c r="AC345" s="10">
        <v>41786</v>
      </c>
      <c r="AK345" s="8" t="s">
        <v>1394</v>
      </c>
    </row>
    <row r="346" spans="1:38">
      <c r="A346" s="7">
        <f t="shared" si="109"/>
        <v>1</v>
      </c>
      <c r="B346" s="7" t="str">
        <f t="shared" si="110"/>
        <v>14FW JILLBY_45_BK</v>
      </c>
      <c r="C346" s="7">
        <f t="shared" si="111"/>
        <v>1</v>
      </c>
      <c r="D346" s="7" t="str">
        <f t="shared" si="112"/>
        <v>FOREMOST14FW JILLBY_45_BK</v>
      </c>
      <c r="E346" s="12" t="str">
        <f t="shared" si="113"/>
        <v>201404</v>
      </c>
      <c r="F346" s="347" t="str">
        <f>VLOOKUP($AA346,[3]주!$A:$F,6,FALSE)</f>
        <v>3월 2주</v>
      </c>
      <c r="G346" s="7">
        <f t="shared" si="114"/>
        <v>0</v>
      </c>
      <c r="H346" s="7" t="str">
        <f t="shared" si="115"/>
        <v/>
      </c>
      <c r="I346" s="7">
        <f t="shared" si="116"/>
        <v>0</v>
      </c>
      <c r="J346" s="7" t="str">
        <f t="shared" si="117"/>
        <v/>
      </c>
      <c r="K346" s="17">
        <f t="shared" si="118"/>
        <v>41786</v>
      </c>
      <c r="L346" s="12" t="str">
        <f t="shared" si="119"/>
        <v>201405</v>
      </c>
      <c r="M346" s="347" t="str">
        <f>VLOOKUP($K346,[3]주!$A:$F,6,FALSE)</f>
        <v>3월 2주</v>
      </c>
      <c r="N346" s="273" t="str">
        <f>IF(VLOOKUP($Z346,생산업체!$A:$C,2,FALSE)=1,"해외","국내")</f>
        <v>해외</v>
      </c>
      <c r="O346" s="12" t="str">
        <f>IF(VLOOKUP($U346,CODE!$K:$P,CODE!P$1,FALSE)="모자",T346,T346&amp;"-"&amp;VLOOKUP($U346,CODE!$K:$P,CODE!P$1,FALSE))</f>
        <v>JIL</v>
      </c>
      <c r="P346" s="11" t="s">
        <v>32</v>
      </c>
      <c r="R346" s="11">
        <v>204</v>
      </c>
      <c r="T346" s="8" t="s">
        <v>32</v>
      </c>
      <c r="U346" s="8" t="s">
        <v>28</v>
      </c>
      <c r="V346" s="8" t="s">
        <v>43</v>
      </c>
      <c r="W346" s="8" t="s">
        <v>2171</v>
      </c>
      <c r="X346" s="8" t="s">
        <v>900</v>
      </c>
      <c r="Y346" s="9">
        <v>1</v>
      </c>
      <c r="Z346" s="8" t="s">
        <v>6</v>
      </c>
      <c r="AA346" s="10">
        <v>41758</v>
      </c>
      <c r="AB346" s="10">
        <v>41786</v>
      </c>
      <c r="AC346" s="10">
        <v>41786</v>
      </c>
      <c r="AK346" s="8" t="s">
        <v>1395</v>
      </c>
      <c r="AL346" s="8" t="s">
        <v>1396</v>
      </c>
    </row>
    <row r="347" spans="1:38">
      <c r="A347" s="7">
        <f t="shared" si="109"/>
        <v>1</v>
      </c>
      <c r="B347" s="7" t="str">
        <f t="shared" si="110"/>
        <v>14FW JILLBY_45_KH</v>
      </c>
      <c r="C347" s="7">
        <f t="shared" si="111"/>
        <v>1</v>
      </c>
      <c r="D347" s="7" t="str">
        <f t="shared" si="112"/>
        <v>FOREMOST14FW JILLBY_45_KH</v>
      </c>
      <c r="E347" s="12" t="str">
        <f t="shared" si="113"/>
        <v>201404</v>
      </c>
      <c r="F347" s="347" t="str">
        <f>VLOOKUP($AA347,[3]주!$A:$F,6,FALSE)</f>
        <v>3월 2주</v>
      </c>
      <c r="G347" s="7">
        <f t="shared" si="114"/>
        <v>0</v>
      </c>
      <c r="H347" s="7" t="str">
        <f t="shared" si="115"/>
        <v/>
      </c>
      <c r="I347" s="7">
        <f t="shared" si="116"/>
        <v>0</v>
      </c>
      <c r="J347" s="7" t="str">
        <f t="shared" si="117"/>
        <v/>
      </c>
      <c r="K347" s="17">
        <f t="shared" si="118"/>
        <v>41786</v>
      </c>
      <c r="L347" s="12" t="str">
        <f t="shared" si="119"/>
        <v>201405</v>
      </c>
      <c r="M347" s="347" t="str">
        <f>VLOOKUP($K347,[3]주!$A:$F,6,FALSE)</f>
        <v>3월 2주</v>
      </c>
      <c r="N347" s="273" t="str">
        <f>IF(VLOOKUP($Z347,생산업체!$A:$C,2,FALSE)=1,"해외","국내")</f>
        <v>해외</v>
      </c>
      <c r="O347" s="12" t="str">
        <f>IF(VLOOKUP($U347,CODE!$K:$P,CODE!P$1,FALSE)="모자",T347,T347&amp;"-"&amp;VLOOKUP($U347,CODE!$K:$P,CODE!P$1,FALSE))</f>
        <v>JIL</v>
      </c>
      <c r="P347" s="11" t="s">
        <v>32</v>
      </c>
      <c r="R347" s="11">
        <v>205</v>
      </c>
      <c r="T347" s="8" t="s">
        <v>32</v>
      </c>
      <c r="U347" s="8" t="s">
        <v>28</v>
      </c>
      <c r="V347" s="8" t="s">
        <v>43</v>
      </c>
      <c r="W347" s="8" t="s">
        <v>2172</v>
      </c>
      <c r="X347" s="8" t="s">
        <v>900</v>
      </c>
      <c r="Y347" s="9">
        <v>1</v>
      </c>
      <c r="Z347" s="8" t="s">
        <v>6</v>
      </c>
      <c r="AA347" s="10">
        <v>41758</v>
      </c>
      <c r="AB347" s="10">
        <v>41786</v>
      </c>
      <c r="AC347" s="10">
        <v>41786</v>
      </c>
      <c r="AK347" s="8" t="s">
        <v>1395</v>
      </c>
      <c r="AL347" s="8" t="s">
        <v>1396</v>
      </c>
    </row>
    <row r="348" spans="1:38">
      <c r="A348" s="7">
        <f t="shared" si="109"/>
        <v>1</v>
      </c>
      <c r="B348" s="7" t="str">
        <f t="shared" si="110"/>
        <v>14FW JILLBY_46_BK</v>
      </c>
      <c r="C348" s="7">
        <f t="shared" si="111"/>
        <v>1</v>
      </c>
      <c r="D348" s="7" t="str">
        <f t="shared" si="112"/>
        <v>FOREMOST14FW JILLBY_46_BK</v>
      </c>
      <c r="E348" s="12" t="str">
        <f t="shared" si="113"/>
        <v>201404</v>
      </c>
      <c r="F348" s="347" t="str">
        <f>VLOOKUP($AA348,[3]주!$A:$F,6,FALSE)</f>
        <v>3월 2주</v>
      </c>
      <c r="G348" s="7">
        <f t="shared" si="114"/>
        <v>0</v>
      </c>
      <c r="H348" s="7" t="str">
        <f t="shared" si="115"/>
        <v/>
      </c>
      <c r="I348" s="7">
        <f t="shared" si="116"/>
        <v>0</v>
      </c>
      <c r="J348" s="7" t="str">
        <f t="shared" si="117"/>
        <v/>
      </c>
      <c r="K348" s="17">
        <f t="shared" si="118"/>
        <v>41786</v>
      </c>
      <c r="L348" s="12" t="str">
        <f t="shared" si="119"/>
        <v>201405</v>
      </c>
      <c r="M348" s="347" t="str">
        <f>VLOOKUP($K348,[3]주!$A:$F,6,FALSE)</f>
        <v>3월 2주</v>
      </c>
      <c r="N348" s="273" t="str">
        <f>IF(VLOOKUP($Z348,생산업체!$A:$C,2,FALSE)=1,"해외","국내")</f>
        <v>해외</v>
      </c>
      <c r="O348" s="12" t="str">
        <f>IF(VLOOKUP($U348,CODE!$K:$P,CODE!P$1,FALSE)="모자",T348,T348&amp;"-"&amp;VLOOKUP($U348,CODE!$K:$P,CODE!P$1,FALSE))</f>
        <v>JIL</v>
      </c>
      <c r="P348" s="11" t="s">
        <v>32</v>
      </c>
      <c r="R348" s="11">
        <v>206</v>
      </c>
      <c r="T348" s="8" t="s">
        <v>32</v>
      </c>
      <c r="U348" s="8" t="s">
        <v>28</v>
      </c>
      <c r="V348" s="8" t="s">
        <v>43</v>
      </c>
      <c r="W348" s="8" t="s">
        <v>2173</v>
      </c>
      <c r="X348" s="8" t="s">
        <v>900</v>
      </c>
      <c r="Y348" s="9">
        <v>1</v>
      </c>
      <c r="Z348" s="8" t="s">
        <v>6</v>
      </c>
      <c r="AA348" s="10">
        <v>41758</v>
      </c>
      <c r="AB348" s="10">
        <v>41786</v>
      </c>
      <c r="AC348" s="10">
        <v>41786</v>
      </c>
      <c r="AK348" s="8" t="s">
        <v>1395</v>
      </c>
      <c r="AL348" s="8" t="s">
        <v>1396</v>
      </c>
    </row>
    <row r="349" spans="1:38">
      <c r="A349" s="7">
        <f t="shared" si="109"/>
        <v>1</v>
      </c>
      <c r="B349" s="7" t="str">
        <f t="shared" si="110"/>
        <v>14FW JILLBY_47_BK</v>
      </c>
      <c r="C349" s="7">
        <f t="shared" si="111"/>
        <v>1</v>
      </c>
      <c r="D349" s="7" t="str">
        <f t="shared" si="112"/>
        <v>FOREMOST14FW JILLBY_47_BK</v>
      </c>
      <c r="E349" s="12" t="str">
        <f t="shared" si="113"/>
        <v>201404</v>
      </c>
      <c r="F349" s="347" t="str">
        <f>VLOOKUP($AA349,[3]주!$A:$F,6,FALSE)</f>
        <v>3월 2주</v>
      </c>
      <c r="G349" s="7">
        <f t="shared" si="114"/>
        <v>0</v>
      </c>
      <c r="H349" s="7" t="str">
        <f t="shared" si="115"/>
        <v/>
      </c>
      <c r="I349" s="7">
        <f t="shared" si="116"/>
        <v>0</v>
      </c>
      <c r="J349" s="7" t="str">
        <f t="shared" si="117"/>
        <v/>
      </c>
      <c r="K349" s="17">
        <f t="shared" si="118"/>
        <v>41786</v>
      </c>
      <c r="L349" s="12" t="str">
        <f t="shared" si="119"/>
        <v>201405</v>
      </c>
      <c r="M349" s="347" t="str">
        <f>VLOOKUP($K349,[3]주!$A:$F,6,FALSE)</f>
        <v>3월 2주</v>
      </c>
      <c r="N349" s="273" t="str">
        <f>IF(VLOOKUP($Z349,생산업체!$A:$C,2,FALSE)=1,"해외","국내")</f>
        <v>해외</v>
      </c>
      <c r="O349" s="12" t="str">
        <f>IF(VLOOKUP($U349,CODE!$K:$P,CODE!P$1,FALSE)="모자",T349,T349&amp;"-"&amp;VLOOKUP($U349,CODE!$K:$P,CODE!P$1,FALSE))</f>
        <v>JIL</v>
      </c>
      <c r="P349" s="11" t="s">
        <v>32</v>
      </c>
      <c r="R349" s="11">
        <v>207</v>
      </c>
      <c r="T349" s="8" t="s">
        <v>32</v>
      </c>
      <c r="U349" s="8" t="s">
        <v>28</v>
      </c>
      <c r="V349" s="8" t="s">
        <v>43</v>
      </c>
      <c r="W349" s="8" t="s">
        <v>2174</v>
      </c>
      <c r="X349" s="8" t="s">
        <v>900</v>
      </c>
      <c r="Y349" s="9">
        <v>1</v>
      </c>
      <c r="Z349" s="8" t="s">
        <v>6</v>
      </c>
      <c r="AA349" s="10">
        <v>41758</v>
      </c>
      <c r="AB349" s="10">
        <v>41786</v>
      </c>
      <c r="AC349" s="10">
        <v>41786</v>
      </c>
      <c r="AK349" s="8" t="s">
        <v>1395</v>
      </c>
      <c r="AL349" s="8" t="s">
        <v>1396</v>
      </c>
    </row>
    <row r="350" spans="1:38">
      <c r="A350" s="7">
        <f t="shared" si="109"/>
        <v>1</v>
      </c>
      <c r="B350" s="7" t="str">
        <f t="shared" si="110"/>
        <v>14FW JILLBY_48_NV</v>
      </c>
      <c r="C350" s="7">
        <f t="shared" si="111"/>
        <v>1</v>
      </c>
      <c r="D350" s="7" t="str">
        <f t="shared" si="112"/>
        <v>FOREMOST14FW JILLBY_48_NV</v>
      </c>
      <c r="E350" s="12" t="str">
        <f t="shared" si="113"/>
        <v>201404</v>
      </c>
      <c r="F350" s="347" t="str">
        <f>VLOOKUP($AA350,[3]주!$A:$F,6,FALSE)</f>
        <v>3월 2주</v>
      </c>
      <c r="G350" s="7">
        <f t="shared" si="114"/>
        <v>0</v>
      </c>
      <c r="H350" s="7" t="str">
        <f t="shared" si="115"/>
        <v/>
      </c>
      <c r="I350" s="7">
        <f t="shared" si="116"/>
        <v>0</v>
      </c>
      <c r="J350" s="7" t="str">
        <f t="shared" si="117"/>
        <v/>
      </c>
      <c r="K350" s="17">
        <f t="shared" si="118"/>
        <v>41786</v>
      </c>
      <c r="L350" s="12" t="str">
        <f t="shared" si="119"/>
        <v>201405</v>
      </c>
      <c r="M350" s="347" t="str">
        <f>VLOOKUP($K350,[3]주!$A:$F,6,FALSE)</f>
        <v>3월 2주</v>
      </c>
      <c r="N350" s="273" t="str">
        <f>IF(VLOOKUP($Z350,생산업체!$A:$C,2,FALSE)=1,"해외","국내")</f>
        <v>해외</v>
      </c>
      <c r="O350" s="12" t="str">
        <f>IF(VLOOKUP($U350,CODE!$K:$P,CODE!P$1,FALSE)="모자",T350,T350&amp;"-"&amp;VLOOKUP($U350,CODE!$K:$P,CODE!P$1,FALSE))</f>
        <v>JIL</v>
      </c>
      <c r="P350" s="11" t="s">
        <v>32</v>
      </c>
      <c r="R350" s="11">
        <v>208</v>
      </c>
      <c r="T350" s="8" t="s">
        <v>32</v>
      </c>
      <c r="U350" s="8" t="s">
        <v>28</v>
      </c>
      <c r="V350" s="8" t="s">
        <v>43</v>
      </c>
      <c r="W350" s="8" t="s">
        <v>2175</v>
      </c>
      <c r="X350" s="8" t="s">
        <v>900</v>
      </c>
      <c r="Y350" s="9">
        <v>1</v>
      </c>
      <c r="Z350" s="8" t="s">
        <v>6</v>
      </c>
      <c r="AA350" s="10">
        <v>41758</v>
      </c>
      <c r="AB350" s="10">
        <v>41786</v>
      </c>
      <c r="AC350" s="10">
        <v>41786</v>
      </c>
      <c r="AK350" s="8" t="s">
        <v>1395</v>
      </c>
      <c r="AL350" s="8" t="s">
        <v>1396</v>
      </c>
    </row>
    <row r="351" spans="1:38">
      <c r="A351" s="7">
        <f t="shared" si="109"/>
        <v>1</v>
      </c>
      <c r="B351" s="7" t="str">
        <f t="shared" si="110"/>
        <v>14FW-JILLBY-KNIT-44-PK-KIDS</v>
      </c>
      <c r="C351" s="7">
        <f t="shared" si="111"/>
        <v>1</v>
      </c>
      <c r="D351" s="7" t="str">
        <f t="shared" si="112"/>
        <v>FOREMOST14FW-JILLBY-KNIT-44-PK-KIDS</v>
      </c>
      <c r="E351" s="12" t="str">
        <f t="shared" si="113"/>
        <v>201404</v>
      </c>
      <c r="F351" s="347" t="str">
        <f>VLOOKUP($AA351,[3]주!$A:$F,6,FALSE)</f>
        <v>3월 2주</v>
      </c>
      <c r="G351" s="7">
        <f t="shared" si="114"/>
        <v>1</v>
      </c>
      <c r="H351" s="7" t="str">
        <f t="shared" si="115"/>
        <v>14FW-JILLBY-KNIT-44-PK-KIDS</v>
      </c>
      <c r="I351" s="7">
        <f t="shared" si="116"/>
        <v>1</v>
      </c>
      <c r="J351" s="7" t="str">
        <f t="shared" si="117"/>
        <v>FOREMOST14FW-JILLBY-KNIT-44-PK-KIDS</v>
      </c>
      <c r="K351" s="17">
        <f t="shared" si="118"/>
        <v>41775</v>
      </c>
      <c r="L351" s="12" t="str">
        <f t="shared" si="119"/>
        <v>201405</v>
      </c>
      <c r="M351" s="347" t="str">
        <f>VLOOKUP($K351,[3]주!$A:$F,6,FALSE)</f>
        <v>3월 2주</v>
      </c>
      <c r="N351" s="273" t="str">
        <f>IF(VLOOKUP($Z351,생산업체!$A:$C,2,FALSE)=1,"해외","국내")</f>
        <v>해외</v>
      </c>
      <c r="O351" s="12" t="str">
        <f>IF(VLOOKUP($U351,CODE!$K:$P,CODE!P$1,FALSE)="모자",T351,T351&amp;"-"&amp;VLOOKUP($U351,CODE!$K:$P,CODE!P$1,FALSE))</f>
        <v>JIL</v>
      </c>
      <c r="P351" s="11" t="s">
        <v>32</v>
      </c>
      <c r="R351" s="11">
        <v>209</v>
      </c>
      <c r="T351" s="8" t="s">
        <v>32</v>
      </c>
      <c r="U351" s="8" t="s">
        <v>35</v>
      </c>
      <c r="V351" s="8" t="s">
        <v>43</v>
      </c>
      <c r="W351" s="8" t="s">
        <v>2176</v>
      </c>
      <c r="X351" s="8" t="s">
        <v>124</v>
      </c>
      <c r="Y351" s="9">
        <v>1</v>
      </c>
      <c r="Z351" s="8" t="s">
        <v>6</v>
      </c>
      <c r="AA351" s="10">
        <v>41758</v>
      </c>
      <c r="AB351" s="10">
        <v>41786</v>
      </c>
      <c r="AC351" s="10">
        <v>41786</v>
      </c>
      <c r="AD351" s="10">
        <v>41775</v>
      </c>
      <c r="AK351" s="8" t="s">
        <v>1395</v>
      </c>
      <c r="AL351" s="8" t="s">
        <v>1396</v>
      </c>
    </row>
    <row r="352" spans="1:38">
      <c r="A352" s="7">
        <f t="shared" si="109"/>
        <v>1</v>
      </c>
      <c r="B352" s="7" t="str">
        <f t="shared" si="110"/>
        <v>14FW-SMITH BRIDGE-KNIT-68-BL-KIDS</v>
      </c>
      <c r="C352" s="7">
        <f t="shared" si="111"/>
        <v>1</v>
      </c>
      <c r="D352" s="7" t="str">
        <f t="shared" si="112"/>
        <v>FOREMOST14FW-SMITH BRIDGE-KNIT-68-BL-KIDS</v>
      </c>
      <c r="E352" s="12" t="str">
        <f t="shared" si="113"/>
        <v>201404</v>
      </c>
      <c r="F352" s="347" t="str">
        <f>VLOOKUP($AA352,[3]주!$A:$F,6,FALSE)</f>
        <v>3월 2주</v>
      </c>
      <c r="G352" s="7">
        <f t="shared" si="114"/>
        <v>0</v>
      </c>
      <c r="H352" s="7" t="str">
        <f t="shared" si="115"/>
        <v/>
      </c>
      <c r="I352" s="7">
        <f t="shared" si="116"/>
        <v>0</v>
      </c>
      <c r="J352" s="7" t="str">
        <f t="shared" si="117"/>
        <v/>
      </c>
      <c r="K352" s="17">
        <f t="shared" si="118"/>
        <v>41786</v>
      </c>
      <c r="L352" s="12" t="str">
        <f t="shared" si="119"/>
        <v>201405</v>
      </c>
      <c r="M352" s="347" t="str">
        <f>VLOOKUP($K352,[3]주!$A:$F,6,FALSE)</f>
        <v>3월 2주</v>
      </c>
      <c r="N352" s="273" t="str">
        <f>IF(VLOOKUP($Z352,생산업체!$A:$C,2,FALSE)=1,"해외","국내")</f>
        <v>해외</v>
      </c>
      <c r="O352" s="12" t="str">
        <f>IF(VLOOKUP($U352,CODE!$K:$P,CODE!P$1,FALSE)="모자",T352,T352&amp;"-"&amp;VLOOKUP($U352,CODE!$K:$P,CODE!P$1,FALSE))</f>
        <v>JIL</v>
      </c>
      <c r="P352" s="11" t="s">
        <v>32</v>
      </c>
      <c r="R352" s="11">
        <v>210</v>
      </c>
      <c r="T352" s="8" t="s">
        <v>32</v>
      </c>
      <c r="U352" s="8" t="s">
        <v>36</v>
      </c>
      <c r="V352" s="8" t="s">
        <v>43</v>
      </c>
      <c r="W352" s="8" t="s">
        <v>2177</v>
      </c>
      <c r="X352" s="8" t="s">
        <v>124</v>
      </c>
      <c r="Y352" s="9">
        <v>1</v>
      </c>
      <c r="Z352" s="8" t="s">
        <v>6</v>
      </c>
      <c r="AA352" s="10">
        <v>41758</v>
      </c>
      <c r="AB352" s="10">
        <v>41786</v>
      </c>
      <c r="AC352" s="10">
        <v>41786</v>
      </c>
      <c r="AK352" s="8" t="s">
        <v>1395</v>
      </c>
      <c r="AL352" s="8" t="s">
        <v>1396</v>
      </c>
    </row>
    <row r="353" spans="1:39">
      <c r="A353" s="7">
        <f t="shared" si="109"/>
        <v>1</v>
      </c>
      <c r="B353" s="7" t="str">
        <f t="shared" si="110"/>
        <v>14FW-SMITH BRIDGE-KNIT-68-RD-KIDS</v>
      </c>
      <c r="C353" s="7">
        <f t="shared" si="111"/>
        <v>1</v>
      </c>
      <c r="D353" s="7" t="str">
        <f t="shared" si="112"/>
        <v>FOREMOST14FW-SMITH BRIDGE-KNIT-68-RD-KIDS</v>
      </c>
      <c r="E353" s="12" t="str">
        <f t="shared" si="113"/>
        <v>201404</v>
      </c>
      <c r="F353" s="347" t="str">
        <f>VLOOKUP($AA353,[3]주!$A:$F,6,FALSE)</f>
        <v>3월 2주</v>
      </c>
      <c r="G353" s="7">
        <f t="shared" si="114"/>
        <v>0</v>
      </c>
      <c r="H353" s="7" t="str">
        <f t="shared" si="115"/>
        <v/>
      </c>
      <c r="I353" s="7">
        <f t="shared" si="116"/>
        <v>0</v>
      </c>
      <c r="J353" s="7" t="str">
        <f t="shared" si="117"/>
        <v/>
      </c>
      <c r="K353" s="17">
        <f t="shared" si="118"/>
        <v>41786</v>
      </c>
      <c r="L353" s="12" t="str">
        <f t="shared" si="119"/>
        <v>201405</v>
      </c>
      <c r="M353" s="347" t="str">
        <f>VLOOKUP($K353,[3]주!$A:$F,6,FALSE)</f>
        <v>3월 2주</v>
      </c>
      <c r="N353" s="273" t="str">
        <f>IF(VLOOKUP($Z353,생산업체!$A:$C,2,FALSE)=1,"해외","국내")</f>
        <v>해외</v>
      </c>
      <c r="O353" s="12" t="str">
        <f>IF(VLOOKUP($U353,CODE!$K:$P,CODE!P$1,FALSE)="모자",T353,T353&amp;"-"&amp;VLOOKUP($U353,CODE!$K:$P,CODE!P$1,FALSE))</f>
        <v>JIL</v>
      </c>
      <c r="P353" s="11" t="s">
        <v>32</v>
      </c>
      <c r="R353" s="11">
        <v>211</v>
      </c>
      <c r="T353" s="8" t="s">
        <v>32</v>
      </c>
      <c r="U353" s="8" t="s">
        <v>36</v>
      </c>
      <c r="V353" s="8" t="s">
        <v>43</v>
      </c>
      <c r="W353" s="8" t="s">
        <v>2178</v>
      </c>
      <c r="X353" s="8" t="s">
        <v>124</v>
      </c>
      <c r="Y353" s="9">
        <v>1</v>
      </c>
      <c r="Z353" s="8" t="s">
        <v>6</v>
      </c>
      <c r="AA353" s="10">
        <v>41758</v>
      </c>
      <c r="AB353" s="10">
        <v>41786</v>
      </c>
      <c r="AC353" s="10">
        <v>41786</v>
      </c>
      <c r="AK353" s="8" t="s">
        <v>1397</v>
      </c>
      <c r="AL353" s="8" t="s">
        <v>1396</v>
      </c>
      <c r="AM353" s="8" t="s">
        <v>1398</v>
      </c>
    </row>
    <row r="354" spans="1:39">
      <c r="A354" s="7">
        <f t="shared" si="109"/>
        <v>0.5</v>
      </c>
      <c r="B354" s="7" t="str">
        <f t="shared" si="110"/>
        <v>14FW-SMITH-BRIDGE-KNIT-69-MT-KIDS</v>
      </c>
      <c r="C354" s="7">
        <f t="shared" si="111"/>
        <v>1</v>
      </c>
      <c r="D354" s="7" t="str">
        <f t="shared" si="112"/>
        <v>Y&amp;Y14FW-SMITH-BRIDGE-KNIT-69-MT-KIDS</v>
      </c>
      <c r="E354" s="12" t="str">
        <f t="shared" si="113"/>
        <v>201404</v>
      </c>
      <c r="F354" s="347" t="str">
        <f>VLOOKUP($AA354,[3]주!$A:$F,6,FALSE)</f>
        <v>3월 2주</v>
      </c>
      <c r="G354" s="7">
        <f t="shared" si="114"/>
        <v>0</v>
      </c>
      <c r="H354" s="7" t="str">
        <f t="shared" si="115"/>
        <v/>
      </c>
      <c r="I354" s="7">
        <f t="shared" si="116"/>
        <v>0</v>
      </c>
      <c r="J354" s="7" t="str">
        <f t="shared" si="117"/>
        <v/>
      </c>
      <c r="K354" s="17">
        <f t="shared" si="118"/>
        <v>41786</v>
      </c>
      <c r="L354" s="12" t="str">
        <f t="shared" si="119"/>
        <v>201405</v>
      </c>
      <c r="M354" s="347" t="str">
        <f>VLOOKUP($K354,[3]주!$A:$F,6,FALSE)</f>
        <v>3월 2주</v>
      </c>
      <c r="N354" s="273" t="str">
        <f>IF(VLOOKUP($Z354,생산업체!$A:$C,2,FALSE)=1,"해외","국내")</f>
        <v>해외</v>
      </c>
      <c r="O354" s="12" t="str">
        <f>IF(VLOOKUP($U354,CODE!$K:$P,CODE!P$1,FALSE)="모자",T354,T354&amp;"-"&amp;VLOOKUP($U354,CODE!$K:$P,CODE!P$1,FALSE))</f>
        <v>JIL</v>
      </c>
      <c r="P354" s="11" t="s">
        <v>32</v>
      </c>
      <c r="R354" s="11">
        <v>212</v>
      </c>
      <c r="T354" s="8" t="s">
        <v>32</v>
      </c>
      <c r="U354" s="8" t="s">
        <v>56</v>
      </c>
      <c r="V354" s="8" t="s">
        <v>43</v>
      </c>
      <c r="W354" s="8" t="s">
        <v>2179</v>
      </c>
      <c r="X354" s="8" t="s">
        <v>124</v>
      </c>
      <c r="Y354" s="9">
        <v>0.5</v>
      </c>
      <c r="Z354" s="8" t="s">
        <v>1415</v>
      </c>
      <c r="AA354" s="10">
        <v>41758</v>
      </c>
      <c r="AB354" s="10">
        <v>41786</v>
      </c>
      <c r="AC354" s="10">
        <v>41786</v>
      </c>
      <c r="AK354" s="8" t="s">
        <v>1397</v>
      </c>
      <c r="AL354" s="8" t="s">
        <v>1396</v>
      </c>
      <c r="AM354" s="8" t="s">
        <v>1398</v>
      </c>
    </row>
    <row r="355" spans="1:39">
      <c r="A355" s="7">
        <f t="shared" si="109"/>
        <v>0.5</v>
      </c>
      <c r="B355" s="7" t="str">
        <f t="shared" si="110"/>
        <v>14FW-SMITH-BRIDGE-KNIT-69-MT-KIDS</v>
      </c>
      <c r="C355" s="7">
        <f t="shared" si="111"/>
        <v>1</v>
      </c>
      <c r="D355" s="7" t="str">
        <f t="shared" si="112"/>
        <v>FOREMOST14FW-SMITH-BRIDGE-KNIT-69-MT-KIDS</v>
      </c>
      <c r="E355" s="12" t="str">
        <f t="shared" si="113"/>
        <v>201404</v>
      </c>
      <c r="F355" s="347" t="str">
        <f>VLOOKUP($AA355,[3]주!$A:$F,6,FALSE)</f>
        <v>3월 2주</v>
      </c>
      <c r="G355" s="7">
        <f t="shared" si="114"/>
        <v>0</v>
      </c>
      <c r="H355" s="7" t="str">
        <f t="shared" si="115"/>
        <v/>
      </c>
      <c r="I355" s="7">
        <f t="shared" si="116"/>
        <v>0</v>
      </c>
      <c r="J355" s="7" t="str">
        <f t="shared" si="117"/>
        <v/>
      </c>
      <c r="K355" s="17">
        <f t="shared" si="118"/>
        <v>0</v>
      </c>
      <c r="L355" s="12" t="str">
        <f t="shared" si="119"/>
        <v>190001</v>
      </c>
      <c r="M355" s="347" t="e">
        <f>VLOOKUP($K355,[3]주!$A:$F,6,FALSE)</f>
        <v>#N/A</v>
      </c>
      <c r="N355" s="273" t="str">
        <f>IF(VLOOKUP($Z355,생산업체!$A:$C,2,FALSE)=1,"해외","국내")</f>
        <v>해외</v>
      </c>
      <c r="O355" s="12" t="str">
        <f>IF(VLOOKUP($U355,CODE!$K:$P,CODE!P$1,FALSE)="모자",T355,T355&amp;"-"&amp;VLOOKUP($U355,CODE!$K:$P,CODE!P$1,FALSE))</f>
        <v>JIL</v>
      </c>
      <c r="T355" s="8" t="s">
        <v>32</v>
      </c>
      <c r="U355" s="8" t="s">
        <v>56</v>
      </c>
      <c r="V355" s="8" t="s">
        <v>43</v>
      </c>
      <c r="W355" s="8" t="s">
        <v>2179</v>
      </c>
      <c r="X355" s="8" t="s">
        <v>124</v>
      </c>
      <c r="Y355" s="9">
        <v>0.5</v>
      </c>
      <c r="Z355" s="8" t="s">
        <v>6</v>
      </c>
      <c r="AA355" s="10">
        <v>41758</v>
      </c>
      <c r="AK355" s="8" t="s">
        <v>1685</v>
      </c>
      <c r="AL355" s="8" t="s">
        <v>1396</v>
      </c>
      <c r="AM355" s="8" t="s">
        <v>1399</v>
      </c>
    </row>
    <row r="356" spans="1:39">
      <c r="A356" s="7">
        <f t="shared" si="109"/>
        <v>1</v>
      </c>
      <c r="B356" s="7" t="str">
        <f t="shared" si="110"/>
        <v>14FW-SMITH-BRIDGE-KNIT-70-RD-KIDS</v>
      </c>
      <c r="C356" s="7">
        <f t="shared" si="111"/>
        <v>1</v>
      </c>
      <c r="D356" s="7" t="str">
        <f t="shared" si="112"/>
        <v>Y&amp;Y14FW-SMITH-BRIDGE-KNIT-70-RD-KIDS</v>
      </c>
      <c r="E356" s="12" t="str">
        <f t="shared" si="113"/>
        <v>201404</v>
      </c>
      <c r="F356" s="347" t="str">
        <f>VLOOKUP($AA356,[3]주!$A:$F,6,FALSE)</f>
        <v>3월 2주</v>
      </c>
      <c r="G356" s="7">
        <f t="shared" si="114"/>
        <v>0</v>
      </c>
      <c r="H356" s="7" t="str">
        <f t="shared" si="115"/>
        <v/>
      </c>
      <c r="I356" s="7">
        <f t="shared" si="116"/>
        <v>0</v>
      </c>
      <c r="J356" s="7" t="str">
        <f t="shared" si="117"/>
        <v/>
      </c>
      <c r="K356" s="17">
        <f t="shared" si="118"/>
        <v>41786</v>
      </c>
      <c r="L356" s="12" t="str">
        <f t="shared" si="119"/>
        <v>201405</v>
      </c>
      <c r="M356" s="347" t="str">
        <f>VLOOKUP($K356,[3]주!$A:$F,6,FALSE)</f>
        <v>3월 2주</v>
      </c>
      <c r="N356" s="273" t="str">
        <f>IF(VLOOKUP($Z356,생산업체!$A:$C,2,FALSE)=1,"해외","국내")</f>
        <v>해외</v>
      </c>
      <c r="O356" s="12" t="str">
        <f>IF(VLOOKUP($U356,CODE!$K:$P,CODE!P$1,FALSE)="모자",T356,T356&amp;"-"&amp;VLOOKUP($U356,CODE!$K:$P,CODE!P$1,FALSE))</f>
        <v>JIL-ACC</v>
      </c>
      <c r="P356" s="11" t="s">
        <v>787</v>
      </c>
      <c r="R356" s="11">
        <v>213</v>
      </c>
      <c r="T356" s="8" t="s">
        <v>32</v>
      </c>
      <c r="U356" s="8" t="s">
        <v>379</v>
      </c>
      <c r="V356" s="8" t="s">
        <v>43</v>
      </c>
      <c r="W356" s="8" t="s">
        <v>2180</v>
      </c>
      <c r="X356" s="8" t="s">
        <v>124</v>
      </c>
      <c r="Y356" s="9">
        <v>1</v>
      </c>
      <c r="Z356" s="8" t="s">
        <v>1415</v>
      </c>
      <c r="AA356" s="10">
        <v>41758</v>
      </c>
      <c r="AB356" s="10">
        <v>41786</v>
      </c>
      <c r="AC356" s="10">
        <v>41786</v>
      </c>
      <c r="AK356" s="8" t="s">
        <v>1686</v>
      </c>
      <c r="AL356" s="8" t="s">
        <v>1396</v>
      </c>
      <c r="AM356" s="8" t="s">
        <v>1783</v>
      </c>
    </row>
    <row r="357" spans="1:39">
      <c r="A357" s="7">
        <f t="shared" si="109"/>
        <v>1</v>
      </c>
      <c r="B357" s="7" t="str">
        <f t="shared" si="110"/>
        <v>14FW-SMITH-BRIDGE-KNIT-71-PK</v>
      </c>
      <c r="C357" s="7">
        <f t="shared" si="111"/>
        <v>1</v>
      </c>
      <c r="D357" s="7" t="str">
        <f t="shared" si="112"/>
        <v>FOREMOST14FW-SMITH-BRIDGE-KNIT-71-PK</v>
      </c>
      <c r="E357" s="12" t="str">
        <f t="shared" si="113"/>
        <v>201404</v>
      </c>
      <c r="F357" s="347" t="str">
        <f>VLOOKUP($AA357,[3]주!$A:$F,6,FALSE)</f>
        <v>3월 2주</v>
      </c>
      <c r="G357" s="7">
        <f t="shared" si="114"/>
        <v>0</v>
      </c>
      <c r="H357" s="7" t="str">
        <f t="shared" si="115"/>
        <v/>
      </c>
      <c r="I357" s="7">
        <f t="shared" si="116"/>
        <v>0</v>
      </c>
      <c r="J357" s="7" t="str">
        <f t="shared" si="117"/>
        <v/>
      </c>
      <c r="K357" s="17">
        <f t="shared" si="118"/>
        <v>41786</v>
      </c>
      <c r="L357" s="12" t="str">
        <f t="shared" si="119"/>
        <v>201405</v>
      </c>
      <c r="M357" s="347" t="str">
        <f>VLOOKUP($K357,[3]주!$A:$F,6,FALSE)</f>
        <v>3월 2주</v>
      </c>
      <c r="N357" s="273" t="str">
        <f>IF(VLOOKUP($Z357,생산업체!$A:$C,2,FALSE)=1,"해외","국내")</f>
        <v>해외</v>
      </c>
      <c r="O357" s="12" t="str">
        <f>IF(VLOOKUP($U357,CODE!$K:$P,CODE!P$1,FALSE)="모자",T357,T357&amp;"-"&amp;VLOOKUP($U357,CODE!$K:$P,CODE!P$1,FALSE))</f>
        <v>JIL-ACC</v>
      </c>
      <c r="P357" s="11" t="s">
        <v>787</v>
      </c>
      <c r="R357" s="11">
        <v>214</v>
      </c>
      <c r="T357" s="8" t="s">
        <v>32</v>
      </c>
      <c r="U357" s="8" t="s">
        <v>379</v>
      </c>
      <c r="V357" s="8" t="s">
        <v>43</v>
      </c>
      <c r="W357" s="8" t="s">
        <v>2181</v>
      </c>
      <c r="X357" s="8" t="s">
        <v>900</v>
      </c>
      <c r="Y357" s="9">
        <v>1</v>
      </c>
      <c r="Z357" s="8" t="s">
        <v>6</v>
      </c>
      <c r="AA357" s="10">
        <v>41758</v>
      </c>
      <c r="AB357" s="10">
        <v>41786</v>
      </c>
      <c r="AC357" s="10">
        <v>41786</v>
      </c>
      <c r="AL357" s="8" t="s">
        <v>1396</v>
      </c>
      <c r="AM357" s="8" t="s">
        <v>1784</v>
      </c>
    </row>
    <row r="358" spans="1:39">
      <c r="A358" s="7">
        <f t="shared" si="109"/>
        <v>1</v>
      </c>
      <c r="B358" s="7" t="str">
        <f t="shared" si="110"/>
        <v>14FW-SMITH-BRIDGE-KNIT-72-IV</v>
      </c>
      <c r="C358" s="7">
        <f t="shared" si="111"/>
        <v>1</v>
      </c>
      <c r="D358" s="7" t="str">
        <f t="shared" si="112"/>
        <v>FOREMOST14FW-SMITH-BRIDGE-KNIT-72-IV</v>
      </c>
      <c r="E358" s="12" t="str">
        <f t="shared" si="113"/>
        <v>201404</v>
      </c>
      <c r="F358" s="347" t="str">
        <f>VLOOKUP($AA358,[3]주!$A:$F,6,FALSE)</f>
        <v>3월 2주</v>
      </c>
      <c r="G358" s="7">
        <f t="shared" si="114"/>
        <v>0</v>
      </c>
      <c r="H358" s="7" t="str">
        <f t="shared" si="115"/>
        <v/>
      </c>
      <c r="I358" s="7">
        <f t="shared" si="116"/>
        <v>0</v>
      </c>
      <c r="J358" s="7" t="str">
        <f t="shared" si="117"/>
        <v/>
      </c>
      <c r="K358" s="17">
        <f t="shared" si="118"/>
        <v>41786</v>
      </c>
      <c r="L358" s="12" t="str">
        <f t="shared" si="119"/>
        <v>201405</v>
      </c>
      <c r="M358" s="347" t="str">
        <f>VLOOKUP($K358,[3]주!$A:$F,6,FALSE)</f>
        <v>3월 2주</v>
      </c>
      <c r="N358" s="273" t="str">
        <f>IF(VLOOKUP($Z358,생산업체!$A:$C,2,FALSE)=1,"해외","국내")</f>
        <v>해외</v>
      </c>
      <c r="O358" s="12" t="str">
        <f>IF(VLOOKUP($U358,CODE!$K:$P,CODE!P$1,FALSE)="모자",T358,T358&amp;"-"&amp;VLOOKUP($U358,CODE!$K:$P,CODE!P$1,FALSE))</f>
        <v>JIL-ACC</v>
      </c>
      <c r="P358" s="11" t="s">
        <v>787</v>
      </c>
      <c r="R358" s="11">
        <v>215</v>
      </c>
      <c r="T358" s="8" t="s">
        <v>32</v>
      </c>
      <c r="U358" s="8" t="s">
        <v>379</v>
      </c>
      <c r="V358" s="8" t="s">
        <v>43</v>
      </c>
      <c r="W358" s="8" t="s">
        <v>2182</v>
      </c>
      <c r="X358" s="8" t="s">
        <v>900</v>
      </c>
      <c r="Y358" s="9">
        <v>1</v>
      </c>
      <c r="Z358" s="8" t="s">
        <v>6</v>
      </c>
      <c r="AA358" s="10">
        <v>41758</v>
      </c>
      <c r="AB358" s="10">
        <v>41786</v>
      </c>
      <c r="AC358" s="10">
        <v>41786</v>
      </c>
      <c r="AL358" s="8" t="s">
        <v>1396</v>
      </c>
      <c r="AM358" s="8" t="s">
        <v>1784</v>
      </c>
    </row>
    <row r="359" spans="1:39">
      <c r="A359" s="7">
        <f t="shared" si="109"/>
        <v>1</v>
      </c>
      <c r="B359" s="7" t="str">
        <f t="shared" si="110"/>
        <v>14FW-SMITH-BRIDGE-KNIT-73-GY</v>
      </c>
      <c r="C359" s="7">
        <f t="shared" si="111"/>
        <v>1</v>
      </c>
      <c r="D359" s="7" t="str">
        <f t="shared" si="112"/>
        <v>FOREMOST14FW-SMITH-BRIDGE-KNIT-73-GY</v>
      </c>
      <c r="E359" s="12" t="str">
        <f t="shared" si="113"/>
        <v>201404</v>
      </c>
      <c r="F359" s="347" t="str">
        <f>VLOOKUP($AA359,[3]주!$A:$F,6,FALSE)</f>
        <v>3월 2주</v>
      </c>
      <c r="G359" s="7">
        <f t="shared" si="114"/>
        <v>0</v>
      </c>
      <c r="H359" s="7" t="str">
        <f t="shared" si="115"/>
        <v/>
      </c>
      <c r="I359" s="7">
        <f t="shared" si="116"/>
        <v>0</v>
      </c>
      <c r="J359" s="7" t="str">
        <f t="shared" si="117"/>
        <v/>
      </c>
      <c r="K359" s="17">
        <f t="shared" si="118"/>
        <v>41786</v>
      </c>
      <c r="L359" s="12" t="str">
        <f t="shared" si="119"/>
        <v>201405</v>
      </c>
      <c r="M359" s="347" t="str">
        <f>VLOOKUP($K359,[3]주!$A:$F,6,FALSE)</f>
        <v>3월 2주</v>
      </c>
      <c r="N359" s="273" t="str">
        <f>IF(VLOOKUP($Z359,생산업체!$A:$C,2,FALSE)=1,"해외","국내")</f>
        <v>해외</v>
      </c>
      <c r="O359" s="12" t="str">
        <f>IF(VLOOKUP($U359,CODE!$K:$P,CODE!P$1,FALSE)="모자",T359,T359&amp;"-"&amp;VLOOKUP($U359,CODE!$K:$P,CODE!P$1,FALSE))</f>
        <v>JIL-ACC</v>
      </c>
      <c r="P359" s="11" t="s">
        <v>787</v>
      </c>
      <c r="R359" s="11">
        <v>216</v>
      </c>
      <c r="T359" s="8" t="s">
        <v>32</v>
      </c>
      <c r="U359" s="8" t="s">
        <v>379</v>
      </c>
      <c r="V359" s="8" t="s">
        <v>43</v>
      </c>
      <c r="W359" s="8" t="s">
        <v>2183</v>
      </c>
      <c r="X359" s="8" t="s">
        <v>900</v>
      </c>
      <c r="Y359" s="9">
        <v>1</v>
      </c>
      <c r="Z359" s="8" t="s">
        <v>6</v>
      </c>
      <c r="AA359" s="10">
        <v>41758</v>
      </c>
      <c r="AB359" s="10">
        <v>41786</v>
      </c>
      <c r="AC359" s="10">
        <v>41786</v>
      </c>
      <c r="AK359" s="8" t="s">
        <v>1688</v>
      </c>
      <c r="AL359" s="8" t="s">
        <v>1396</v>
      </c>
      <c r="AM359" s="8" t="s">
        <v>1784</v>
      </c>
    </row>
    <row r="360" spans="1:39">
      <c r="A360" s="7">
        <f t="shared" si="109"/>
        <v>1</v>
      </c>
      <c r="B360" s="7" t="str">
        <f t="shared" si="110"/>
        <v>14FW DISNEY 04_SNAP_RD(수정)</v>
      </c>
      <c r="C360" s="7">
        <f t="shared" si="111"/>
        <v>1</v>
      </c>
      <c r="D360" s="7" t="str">
        <f t="shared" si="112"/>
        <v>QF14FW DISNEY 04_SNAP_RD(수정)</v>
      </c>
      <c r="E360" s="12" t="str">
        <f t="shared" si="113"/>
        <v>201405</v>
      </c>
      <c r="F360" s="347" t="str">
        <f>VLOOKUP($AA360,[3]주!$A:$F,6,FALSE)</f>
        <v>3월 2주</v>
      </c>
      <c r="G360" s="7">
        <f t="shared" si="114"/>
        <v>0</v>
      </c>
      <c r="H360" s="7" t="str">
        <f t="shared" si="115"/>
        <v/>
      </c>
      <c r="I360" s="7">
        <f t="shared" si="116"/>
        <v>0</v>
      </c>
      <c r="J360" s="7" t="str">
        <f t="shared" si="117"/>
        <v/>
      </c>
      <c r="K360" s="17">
        <f t="shared" si="118"/>
        <v>41799</v>
      </c>
      <c r="L360" s="12" t="str">
        <f t="shared" si="119"/>
        <v>201406</v>
      </c>
      <c r="M360" s="347" t="str">
        <f>VLOOKUP($K360,[3]주!$A:$F,6,FALSE)</f>
        <v>3월 2주</v>
      </c>
      <c r="N360" s="273" t="str">
        <f>IF(VLOOKUP($Z360,생산업체!$A:$C,2,FALSE)=1,"해외","국내")</f>
        <v>해외</v>
      </c>
      <c r="O360" s="12" t="str">
        <f>IF(VLOOKUP($U360,CODE!$K:$P,CODE!P$1,FALSE)="모자",T360,T360&amp;"-"&amp;VLOOKUP($U360,CODE!$K:$P,CODE!P$1,FALSE))</f>
        <v>DPS-의류</v>
      </c>
      <c r="P360" s="11" t="s">
        <v>2089</v>
      </c>
      <c r="R360" s="11">
        <v>217</v>
      </c>
      <c r="T360" s="8" t="s">
        <v>1772</v>
      </c>
      <c r="U360" s="8" t="s">
        <v>1946</v>
      </c>
      <c r="V360" s="8" t="s">
        <v>43</v>
      </c>
      <c r="W360" s="8" t="s">
        <v>2184</v>
      </c>
      <c r="X360" s="8" t="s">
        <v>900</v>
      </c>
      <c r="Y360" s="9">
        <v>1</v>
      </c>
      <c r="Z360" s="8" t="s">
        <v>792</v>
      </c>
      <c r="AA360" s="10">
        <v>41771</v>
      </c>
      <c r="AB360" s="10">
        <v>41799</v>
      </c>
      <c r="AC360" s="10">
        <v>41799</v>
      </c>
      <c r="AK360" s="8" t="s">
        <v>1394</v>
      </c>
    </row>
    <row r="361" spans="1:39">
      <c r="A361" s="7">
        <f t="shared" si="109"/>
        <v>1</v>
      </c>
      <c r="B361" s="7" t="str">
        <f t="shared" si="110"/>
        <v>14FW DISNEY 10_SNAP_NY</v>
      </c>
      <c r="C361" s="7">
        <f t="shared" si="111"/>
        <v>1</v>
      </c>
      <c r="D361" s="7" t="str">
        <f t="shared" si="112"/>
        <v>QF14FW DISNEY 10_SNAP_NY</v>
      </c>
      <c r="E361" s="12" t="str">
        <f t="shared" si="113"/>
        <v>201405</v>
      </c>
      <c r="F361" s="347" t="str">
        <f>VLOOKUP($AA361,[3]주!$A:$F,6,FALSE)</f>
        <v>3월 2주</v>
      </c>
      <c r="G361" s="7">
        <f t="shared" si="114"/>
        <v>0</v>
      </c>
      <c r="H361" s="7" t="str">
        <f t="shared" si="115"/>
        <v/>
      </c>
      <c r="I361" s="7">
        <f t="shared" si="116"/>
        <v>0</v>
      </c>
      <c r="J361" s="7" t="str">
        <f t="shared" si="117"/>
        <v/>
      </c>
      <c r="K361" s="17">
        <f t="shared" si="118"/>
        <v>41799</v>
      </c>
      <c r="L361" s="12" t="str">
        <f t="shared" si="119"/>
        <v>201406</v>
      </c>
      <c r="M361" s="347" t="str">
        <f>VLOOKUP($K361,[3]주!$A:$F,6,FALSE)</f>
        <v>3월 2주</v>
      </c>
      <c r="N361" s="273" t="str">
        <f>IF(VLOOKUP($Z361,생산업체!$A:$C,2,FALSE)=1,"해외","국내")</f>
        <v>해외</v>
      </c>
      <c r="O361" s="12" t="str">
        <f>IF(VLOOKUP($U361,CODE!$K:$P,CODE!P$1,FALSE)="모자",T361,T361&amp;"-"&amp;VLOOKUP($U361,CODE!$K:$P,CODE!P$1,FALSE))</f>
        <v>DPS-의류</v>
      </c>
      <c r="P361" s="11" t="s">
        <v>2089</v>
      </c>
      <c r="R361" s="11">
        <v>218</v>
      </c>
      <c r="T361" s="8" t="s">
        <v>1772</v>
      </c>
      <c r="U361" s="8" t="s">
        <v>1946</v>
      </c>
      <c r="V361" s="8" t="s">
        <v>43</v>
      </c>
      <c r="W361" s="8" t="s">
        <v>2185</v>
      </c>
      <c r="X361" s="8" t="s">
        <v>900</v>
      </c>
      <c r="Y361" s="9">
        <v>1</v>
      </c>
      <c r="Z361" s="8" t="s">
        <v>792</v>
      </c>
      <c r="AA361" s="10">
        <v>41771</v>
      </c>
      <c r="AB361" s="10">
        <v>41799</v>
      </c>
      <c r="AC361" s="10">
        <v>41799</v>
      </c>
      <c r="AK361" s="8" t="s">
        <v>1394</v>
      </c>
    </row>
    <row r="362" spans="1:39">
      <c r="A362" s="7">
        <f t="shared" si="109"/>
        <v>1</v>
      </c>
      <c r="B362" s="7" t="str">
        <f t="shared" si="110"/>
        <v>14FW DISNEY 11_SNAP_GY</v>
      </c>
      <c r="C362" s="7">
        <f t="shared" si="111"/>
        <v>1</v>
      </c>
      <c r="D362" s="7" t="str">
        <f t="shared" si="112"/>
        <v>QF14FW DISNEY 11_SNAP_GY</v>
      </c>
      <c r="E362" s="12" t="str">
        <f t="shared" si="113"/>
        <v>201405</v>
      </c>
      <c r="F362" s="347" t="str">
        <f>VLOOKUP($AA362,[3]주!$A:$F,6,FALSE)</f>
        <v>3월 2주</v>
      </c>
      <c r="G362" s="7">
        <f t="shared" si="114"/>
        <v>0</v>
      </c>
      <c r="H362" s="7" t="str">
        <f t="shared" si="115"/>
        <v/>
      </c>
      <c r="I362" s="7">
        <f t="shared" si="116"/>
        <v>0</v>
      </c>
      <c r="J362" s="7" t="str">
        <f t="shared" si="117"/>
        <v/>
      </c>
      <c r="K362" s="17">
        <f t="shared" si="118"/>
        <v>41799</v>
      </c>
      <c r="L362" s="12" t="str">
        <f t="shared" si="119"/>
        <v>201406</v>
      </c>
      <c r="M362" s="347" t="str">
        <f>VLOOKUP($K362,[3]주!$A:$F,6,FALSE)</f>
        <v>3월 2주</v>
      </c>
      <c r="N362" s="273" t="str">
        <f>IF(VLOOKUP($Z362,생산업체!$A:$C,2,FALSE)=1,"해외","국내")</f>
        <v>해외</v>
      </c>
      <c r="O362" s="12" t="str">
        <f>IF(VLOOKUP($U362,CODE!$K:$P,CODE!P$1,FALSE)="모자",T362,T362&amp;"-"&amp;VLOOKUP($U362,CODE!$K:$P,CODE!P$1,FALSE))</f>
        <v>DPS-의류</v>
      </c>
      <c r="P362" s="11" t="s">
        <v>2089</v>
      </c>
      <c r="R362" s="11">
        <v>219</v>
      </c>
      <c r="T362" s="8" t="s">
        <v>1772</v>
      </c>
      <c r="U362" s="8" t="s">
        <v>1946</v>
      </c>
      <c r="V362" s="8" t="s">
        <v>43</v>
      </c>
      <c r="W362" s="8" t="s">
        <v>2186</v>
      </c>
      <c r="X362" s="8" t="s">
        <v>900</v>
      </c>
      <c r="Y362" s="9">
        <v>1</v>
      </c>
      <c r="Z362" s="8" t="s">
        <v>792</v>
      </c>
      <c r="AA362" s="10">
        <v>41771</v>
      </c>
      <c r="AB362" s="10">
        <v>41799</v>
      </c>
      <c r="AC362" s="10">
        <v>41799</v>
      </c>
      <c r="AK362" s="8" t="s">
        <v>1394</v>
      </c>
    </row>
    <row r="363" spans="1:39">
      <c r="A363" s="7">
        <f t="shared" si="109"/>
        <v>1</v>
      </c>
      <c r="B363" s="7" t="str">
        <f t="shared" si="110"/>
        <v>14FW DISNEY 13_SNAP_NY</v>
      </c>
      <c r="C363" s="7">
        <f t="shared" si="111"/>
        <v>1</v>
      </c>
      <c r="D363" s="7" t="str">
        <f t="shared" si="112"/>
        <v>QF14FW DISNEY 13_SNAP_NY</v>
      </c>
      <c r="E363" s="12" t="str">
        <f t="shared" si="113"/>
        <v>201405</v>
      </c>
      <c r="F363" s="347" t="str">
        <f>VLOOKUP($AA363,[3]주!$A:$F,6,FALSE)</f>
        <v>3월 2주</v>
      </c>
      <c r="G363" s="7">
        <f t="shared" si="114"/>
        <v>0</v>
      </c>
      <c r="H363" s="7" t="str">
        <f t="shared" si="115"/>
        <v/>
      </c>
      <c r="I363" s="7">
        <f t="shared" si="116"/>
        <v>0</v>
      </c>
      <c r="J363" s="7" t="str">
        <f t="shared" si="117"/>
        <v/>
      </c>
      <c r="K363" s="17">
        <f t="shared" si="118"/>
        <v>41799</v>
      </c>
      <c r="L363" s="12" t="str">
        <f t="shared" si="119"/>
        <v>201406</v>
      </c>
      <c r="M363" s="347" t="str">
        <f>VLOOKUP($K363,[3]주!$A:$F,6,FALSE)</f>
        <v>3월 2주</v>
      </c>
      <c r="N363" s="273" t="str">
        <f>IF(VLOOKUP($Z363,생산업체!$A:$C,2,FALSE)=1,"해외","국내")</f>
        <v>해외</v>
      </c>
      <c r="O363" s="12" t="str">
        <f>IF(VLOOKUP($U363,CODE!$K:$P,CODE!P$1,FALSE)="모자",T363,T363&amp;"-"&amp;VLOOKUP($U363,CODE!$K:$P,CODE!P$1,FALSE))</f>
        <v>DPS-의류</v>
      </c>
      <c r="P363" s="11" t="s">
        <v>2089</v>
      </c>
      <c r="R363" s="11">
        <v>220</v>
      </c>
      <c r="T363" s="8" t="s">
        <v>1772</v>
      </c>
      <c r="U363" s="8" t="s">
        <v>1946</v>
      </c>
      <c r="V363" s="8" t="s">
        <v>43</v>
      </c>
      <c r="W363" s="8" t="s">
        <v>2187</v>
      </c>
      <c r="X363" s="8" t="s">
        <v>900</v>
      </c>
      <c r="Y363" s="9">
        <v>1</v>
      </c>
      <c r="Z363" s="8" t="s">
        <v>792</v>
      </c>
      <c r="AA363" s="10">
        <v>41771</v>
      </c>
      <c r="AB363" s="10">
        <v>41799</v>
      </c>
      <c r="AC363" s="10">
        <v>41799</v>
      </c>
    </row>
    <row r="364" spans="1:39">
      <c r="A364" s="7">
        <f t="shared" si="109"/>
        <v>1</v>
      </c>
      <c r="B364" s="7" t="str">
        <f t="shared" si="110"/>
        <v>14FW DISNEY 14_SNAP_GY</v>
      </c>
      <c r="C364" s="7">
        <f t="shared" si="111"/>
        <v>1</v>
      </c>
      <c r="D364" s="7" t="str">
        <f t="shared" si="112"/>
        <v>QF14FW DISNEY 14_SNAP_GY</v>
      </c>
      <c r="E364" s="12" t="str">
        <f t="shared" si="113"/>
        <v>201405</v>
      </c>
      <c r="F364" s="347" t="str">
        <f>VLOOKUP($AA364,[3]주!$A:$F,6,FALSE)</f>
        <v>3월 2주</v>
      </c>
      <c r="G364" s="7">
        <f t="shared" si="114"/>
        <v>0</v>
      </c>
      <c r="H364" s="7" t="str">
        <f t="shared" si="115"/>
        <v/>
      </c>
      <c r="I364" s="7">
        <f t="shared" si="116"/>
        <v>0</v>
      </c>
      <c r="J364" s="7" t="str">
        <f t="shared" si="117"/>
        <v/>
      </c>
      <c r="K364" s="17">
        <f t="shared" si="118"/>
        <v>41799</v>
      </c>
      <c r="L364" s="12" t="str">
        <f t="shared" si="119"/>
        <v>201406</v>
      </c>
      <c r="M364" s="347" t="str">
        <f>VLOOKUP($K364,[3]주!$A:$F,6,FALSE)</f>
        <v>3월 2주</v>
      </c>
      <c r="N364" s="273" t="str">
        <f>IF(VLOOKUP($Z364,생산업체!$A:$C,2,FALSE)=1,"해외","국내")</f>
        <v>해외</v>
      </c>
      <c r="O364" s="12" t="str">
        <f>IF(VLOOKUP($U364,CODE!$K:$P,CODE!P$1,FALSE)="모자",T364,T364&amp;"-"&amp;VLOOKUP($U364,CODE!$K:$P,CODE!P$1,FALSE))</f>
        <v>DPS-의류</v>
      </c>
      <c r="P364" s="11" t="s">
        <v>2089</v>
      </c>
      <c r="R364" s="11">
        <v>221</v>
      </c>
      <c r="T364" s="8" t="s">
        <v>1772</v>
      </c>
      <c r="U364" s="8" t="s">
        <v>1946</v>
      </c>
      <c r="V364" s="8" t="s">
        <v>43</v>
      </c>
      <c r="W364" s="8" t="s">
        <v>2188</v>
      </c>
      <c r="X364" s="8" t="s">
        <v>900</v>
      </c>
      <c r="Y364" s="9">
        <v>1</v>
      </c>
      <c r="Z364" s="8" t="s">
        <v>792</v>
      </c>
      <c r="AA364" s="10">
        <v>41771</v>
      </c>
      <c r="AB364" s="10">
        <v>41799</v>
      </c>
      <c r="AC364" s="10">
        <v>41799</v>
      </c>
    </row>
    <row r="365" spans="1:39">
      <c r="A365" s="7">
        <f t="shared" si="109"/>
        <v>1</v>
      </c>
      <c r="B365" s="7" t="str">
        <f t="shared" si="110"/>
        <v>14FW DISNEY 15_SNAP_BL</v>
      </c>
      <c r="C365" s="7">
        <f t="shared" si="111"/>
        <v>1</v>
      </c>
      <c r="D365" s="7" t="str">
        <f t="shared" si="112"/>
        <v>QF14FW DISNEY 15_SNAP_BL</v>
      </c>
      <c r="E365" s="12" t="str">
        <f t="shared" si="113"/>
        <v>201405</v>
      </c>
      <c r="F365" s="347" t="str">
        <f>VLOOKUP($AA365,[3]주!$A:$F,6,FALSE)</f>
        <v>3월 2주</v>
      </c>
      <c r="G365" s="7">
        <f t="shared" si="114"/>
        <v>0</v>
      </c>
      <c r="H365" s="7" t="str">
        <f t="shared" si="115"/>
        <v/>
      </c>
      <c r="I365" s="7">
        <f t="shared" si="116"/>
        <v>0</v>
      </c>
      <c r="J365" s="7" t="str">
        <f t="shared" si="117"/>
        <v/>
      </c>
      <c r="K365" s="17">
        <f t="shared" si="118"/>
        <v>41799</v>
      </c>
      <c r="L365" s="12" t="str">
        <f t="shared" si="119"/>
        <v>201406</v>
      </c>
      <c r="M365" s="347" t="str">
        <f>VLOOKUP($K365,[3]주!$A:$F,6,FALSE)</f>
        <v>3월 2주</v>
      </c>
      <c r="N365" s="273" t="str">
        <f>IF(VLOOKUP($Z365,생산업체!$A:$C,2,FALSE)=1,"해외","국내")</f>
        <v>해외</v>
      </c>
      <c r="O365" s="12" t="str">
        <f>IF(VLOOKUP($U365,CODE!$K:$P,CODE!P$1,FALSE)="모자",T365,T365&amp;"-"&amp;VLOOKUP($U365,CODE!$K:$P,CODE!P$1,FALSE))</f>
        <v>DPS-의류</v>
      </c>
      <c r="P365" s="11" t="s">
        <v>2089</v>
      </c>
      <c r="R365" s="11">
        <v>222</v>
      </c>
      <c r="T365" s="8" t="s">
        <v>1772</v>
      </c>
      <c r="U365" s="8" t="s">
        <v>1946</v>
      </c>
      <c r="V365" s="8" t="s">
        <v>43</v>
      </c>
      <c r="W365" s="8" t="s">
        <v>2189</v>
      </c>
      <c r="X365" s="8" t="s">
        <v>900</v>
      </c>
      <c r="Y365" s="9">
        <v>1</v>
      </c>
      <c r="Z365" s="8" t="s">
        <v>792</v>
      </c>
      <c r="AA365" s="10">
        <v>41771</v>
      </c>
      <c r="AB365" s="10">
        <v>41799</v>
      </c>
      <c r="AC365" s="10">
        <v>41799</v>
      </c>
    </row>
    <row r="366" spans="1:39">
      <c r="A366" s="7">
        <f t="shared" si="109"/>
        <v>1</v>
      </c>
      <c r="B366" s="7" t="str">
        <f t="shared" si="110"/>
        <v>14FW BLACK MOOD_01_FLAT_GY</v>
      </c>
      <c r="C366" s="7">
        <f t="shared" si="111"/>
        <v>1</v>
      </c>
      <c r="D366" s="7" t="str">
        <f t="shared" si="112"/>
        <v>동일모자14FW BLACK MOOD_01_FLAT_GY</v>
      </c>
      <c r="E366" s="12" t="str">
        <f t="shared" si="113"/>
        <v>201401</v>
      </c>
      <c r="F366" s="347" t="str">
        <f>VLOOKUP($AA366,[3]주!$A:$F,6,FALSE)</f>
        <v>1월 3주</v>
      </c>
      <c r="G366" s="7">
        <f t="shared" si="114"/>
        <v>1</v>
      </c>
      <c r="H366" s="7" t="str">
        <f t="shared" si="115"/>
        <v>14FW BLACK MOOD_01_FLAT_GY</v>
      </c>
      <c r="I366" s="7">
        <f t="shared" si="116"/>
        <v>1</v>
      </c>
      <c r="J366" s="7" t="str">
        <f t="shared" si="117"/>
        <v>동일모자14FW BLACK MOOD_01_FLAT_GY</v>
      </c>
      <c r="K366" s="17">
        <f t="shared" si="118"/>
        <v>41681</v>
      </c>
      <c r="L366" s="12" t="str">
        <f t="shared" si="119"/>
        <v>201402</v>
      </c>
      <c r="M366" s="347" t="str">
        <f>VLOOKUP($K366,[3]주!$A:$F,6,FALSE)</f>
        <v>2월 2주</v>
      </c>
      <c r="N366" s="273" t="str">
        <f>IF(VLOOKUP($Z366,생산업체!$A:$C,2,FALSE)=1,"해외","국내")</f>
        <v>해외</v>
      </c>
      <c r="O366" s="12" t="str">
        <f>IF(VLOOKUP($U366,CODE!$K:$P,CODE!P$1,FALSE)="모자",T366,T366&amp;"-"&amp;VLOOKUP($U366,CODE!$K:$P,CODE!P$1,FALSE))</f>
        <v>BMD</v>
      </c>
      <c r="P366" s="11" t="s">
        <v>53</v>
      </c>
      <c r="R366" s="11">
        <v>1</v>
      </c>
      <c r="T366" s="8" t="s">
        <v>53</v>
      </c>
      <c r="U366" s="8" t="s">
        <v>50</v>
      </c>
      <c r="V366" s="8" t="s">
        <v>43</v>
      </c>
      <c r="W366" s="8" t="s">
        <v>1235</v>
      </c>
      <c r="X366" s="8" t="s">
        <v>900</v>
      </c>
      <c r="Y366" s="9">
        <v>1</v>
      </c>
      <c r="Z366" s="8" t="s">
        <v>44</v>
      </c>
      <c r="AA366" s="10">
        <v>41652</v>
      </c>
      <c r="AB366" s="10">
        <v>41680</v>
      </c>
      <c r="AC366" s="10">
        <v>41666</v>
      </c>
      <c r="AD366" s="10">
        <v>41681</v>
      </c>
      <c r="AE366" s="8">
        <v>4.95</v>
      </c>
      <c r="AG366" s="8" t="s">
        <v>2004</v>
      </c>
      <c r="AH366" s="8">
        <v>2</v>
      </c>
      <c r="AI366" s="8">
        <v>2</v>
      </c>
      <c r="AJ366" s="8" t="s">
        <v>1491</v>
      </c>
    </row>
    <row r="367" spans="1:39">
      <c r="A367" s="7">
        <f t="shared" si="109"/>
        <v>1</v>
      </c>
      <c r="B367" s="7" t="str">
        <f t="shared" si="110"/>
        <v>14FW BLACK MOOD_02_CURVED_BK</v>
      </c>
      <c r="C367" s="7">
        <f t="shared" si="111"/>
        <v>1</v>
      </c>
      <c r="D367" s="7" t="str">
        <f t="shared" si="112"/>
        <v>동일모자14FW BLACK MOOD_02_CURVED_BK</v>
      </c>
      <c r="E367" s="12" t="str">
        <f t="shared" si="113"/>
        <v>201401</v>
      </c>
      <c r="F367" s="347" t="str">
        <f>VLOOKUP($AA367,[3]주!$A:$F,6,FALSE)</f>
        <v>1월 3주</v>
      </c>
      <c r="G367" s="7">
        <f t="shared" si="114"/>
        <v>1</v>
      </c>
      <c r="H367" s="7" t="str">
        <f t="shared" si="115"/>
        <v>14FW BLACK MOOD_02_CURVED_BK</v>
      </c>
      <c r="I367" s="7">
        <f t="shared" si="116"/>
        <v>1</v>
      </c>
      <c r="J367" s="7" t="str">
        <f t="shared" si="117"/>
        <v>동일모자14FW BLACK MOOD_02_CURVED_BK</v>
      </c>
      <c r="K367" s="17">
        <f t="shared" si="118"/>
        <v>41681</v>
      </c>
      <c r="L367" s="12" t="str">
        <f t="shared" si="119"/>
        <v>201402</v>
      </c>
      <c r="M367" s="347" t="str">
        <f>VLOOKUP($K367,[3]주!$A:$F,6,FALSE)</f>
        <v>2월 2주</v>
      </c>
      <c r="N367" s="273" t="str">
        <f>IF(VLOOKUP($Z367,생산업체!$A:$C,2,FALSE)=1,"해외","국내")</f>
        <v>해외</v>
      </c>
      <c r="O367" s="12" t="str">
        <f>IF(VLOOKUP($U367,CODE!$K:$P,CODE!P$1,FALSE)="모자",T367,T367&amp;"-"&amp;VLOOKUP($U367,CODE!$K:$P,CODE!P$1,FALSE))</f>
        <v>BMD</v>
      </c>
      <c r="P367" s="11" t="s">
        <v>53</v>
      </c>
      <c r="R367" s="11">
        <v>2</v>
      </c>
      <c r="T367" s="8" t="s">
        <v>53</v>
      </c>
      <c r="U367" s="8" t="s">
        <v>35</v>
      </c>
      <c r="V367" s="8" t="s">
        <v>43</v>
      </c>
      <c r="W367" s="8" t="s">
        <v>1236</v>
      </c>
      <c r="X367" s="8" t="s">
        <v>900</v>
      </c>
      <c r="Y367" s="9">
        <v>1</v>
      </c>
      <c r="Z367" s="8" t="s">
        <v>44</v>
      </c>
      <c r="AA367" s="10">
        <v>41652</v>
      </c>
      <c r="AB367" s="10">
        <v>41680</v>
      </c>
      <c r="AC367" s="10">
        <v>41666</v>
      </c>
      <c r="AD367" s="10">
        <v>41681</v>
      </c>
      <c r="AE367" s="8">
        <v>6.5</v>
      </c>
      <c r="AH367" s="8">
        <v>3</v>
      </c>
      <c r="AI367" s="8">
        <v>3</v>
      </c>
      <c r="AJ367" s="8" t="s">
        <v>1491</v>
      </c>
    </row>
    <row r="368" spans="1:39">
      <c r="A368" s="7">
        <f t="shared" si="109"/>
        <v>1</v>
      </c>
      <c r="B368" s="7" t="str">
        <f t="shared" si="110"/>
        <v>14FW BLACK MOOD_01_CURVED_BK</v>
      </c>
      <c r="C368" s="7">
        <f t="shared" si="111"/>
        <v>1</v>
      </c>
      <c r="D368" s="7" t="str">
        <f t="shared" si="112"/>
        <v>동일모자14FW BLACK MOOD_01_CURVED_BK</v>
      </c>
      <c r="E368" s="12" t="str">
        <f t="shared" si="113"/>
        <v>201401</v>
      </c>
      <c r="F368" s="347" t="str">
        <f>VLOOKUP($AA368,[3]주!$A:$F,6,FALSE)</f>
        <v>1월 3주</v>
      </c>
      <c r="G368" s="7">
        <f t="shared" si="114"/>
        <v>1</v>
      </c>
      <c r="H368" s="7" t="str">
        <f t="shared" si="115"/>
        <v>14FW BLACK MOOD_01_CURVED_BK</v>
      </c>
      <c r="I368" s="7">
        <f t="shared" si="116"/>
        <v>1</v>
      </c>
      <c r="J368" s="7" t="str">
        <f t="shared" si="117"/>
        <v>동일모자14FW BLACK MOOD_01_CURVED_BK</v>
      </c>
      <c r="K368" s="17">
        <f t="shared" si="118"/>
        <v>41681</v>
      </c>
      <c r="L368" s="12" t="str">
        <f t="shared" si="119"/>
        <v>201402</v>
      </c>
      <c r="M368" s="347" t="str">
        <f>VLOOKUP($K368,[3]주!$A:$F,6,FALSE)</f>
        <v>2월 2주</v>
      </c>
      <c r="N368" s="273" t="str">
        <f>IF(VLOOKUP($Z368,생산업체!$A:$C,2,FALSE)=1,"해외","국내")</f>
        <v>해외</v>
      </c>
      <c r="O368" s="12" t="str">
        <f>IF(VLOOKUP($U368,CODE!$K:$P,CODE!P$1,FALSE)="모자",T368,T368&amp;"-"&amp;VLOOKUP($U368,CODE!$K:$P,CODE!P$1,FALSE))</f>
        <v>BMD</v>
      </c>
      <c r="P368" s="11" t="s">
        <v>53</v>
      </c>
      <c r="R368" s="11">
        <v>3</v>
      </c>
      <c r="T368" s="8" t="s">
        <v>53</v>
      </c>
      <c r="U368" s="8" t="s">
        <v>35</v>
      </c>
      <c r="V368" s="8" t="s">
        <v>43</v>
      </c>
      <c r="W368" s="8" t="s">
        <v>1237</v>
      </c>
      <c r="X368" s="8" t="s">
        <v>900</v>
      </c>
      <c r="Y368" s="9">
        <v>1</v>
      </c>
      <c r="Z368" s="8" t="s">
        <v>44</v>
      </c>
      <c r="AA368" s="10">
        <v>41652</v>
      </c>
      <c r="AB368" s="10">
        <v>41680</v>
      </c>
      <c r="AC368" s="10">
        <v>41666</v>
      </c>
      <c r="AD368" s="10">
        <v>41681</v>
      </c>
      <c r="AE368" s="8">
        <v>6.5</v>
      </c>
      <c r="AH368" s="8">
        <v>3</v>
      </c>
      <c r="AI368" s="8">
        <v>3</v>
      </c>
      <c r="AJ368" s="8" t="s">
        <v>1491</v>
      </c>
    </row>
    <row r="369" spans="1:36">
      <c r="A369" s="7">
        <f t="shared" si="109"/>
        <v>1</v>
      </c>
      <c r="B369" s="7" t="str">
        <f t="shared" si="110"/>
        <v>14FW JOIE BETE_01_IV_KIDS</v>
      </c>
      <c r="C369" s="7">
        <f t="shared" si="111"/>
        <v>1</v>
      </c>
      <c r="D369" s="7" t="str">
        <f t="shared" si="112"/>
        <v>동일모자14FW JOIE BETE_01_IV_KIDS</v>
      </c>
      <c r="E369" s="12" t="str">
        <f t="shared" si="113"/>
        <v>201401</v>
      </c>
      <c r="F369" s="347" t="str">
        <f>VLOOKUP($AA369,[3]주!$A:$F,6,FALSE)</f>
        <v>1월 3주</v>
      </c>
      <c r="G369" s="7">
        <f t="shared" si="114"/>
        <v>1</v>
      </c>
      <c r="H369" s="7" t="str">
        <f t="shared" si="115"/>
        <v>14FW JOIE BETE_01_IV_KIDS</v>
      </c>
      <c r="I369" s="7">
        <f t="shared" si="116"/>
        <v>1</v>
      </c>
      <c r="J369" s="7" t="str">
        <f t="shared" si="117"/>
        <v>동일모자14FW JOIE BETE_01_IV_KIDS</v>
      </c>
      <c r="K369" s="17">
        <f t="shared" si="118"/>
        <v>41712</v>
      </c>
      <c r="L369" s="12" t="str">
        <f t="shared" si="119"/>
        <v>201403</v>
      </c>
      <c r="M369" s="347" t="str">
        <f>VLOOKUP($K369,[3]주!$A:$F,6,FALSE)</f>
        <v>3월 2주</v>
      </c>
      <c r="N369" s="273" t="str">
        <f>IF(VLOOKUP($Z369,생산업체!$A:$C,2,FALSE)=1,"해외","국내")</f>
        <v>해외</v>
      </c>
      <c r="O369" s="12" t="str">
        <f>IF(VLOOKUP($U369,CODE!$K:$P,CODE!P$1,FALSE)="모자",T369,T369&amp;"-"&amp;VLOOKUP($U369,CODE!$K:$P,CODE!P$1,FALSE))</f>
        <v>JOI</v>
      </c>
      <c r="P369" s="11" t="s">
        <v>51</v>
      </c>
      <c r="R369" s="11">
        <v>4</v>
      </c>
      <c r="T369" s="8" t="s">
        <v>51</v>
      </c>
      <c r="U369" s="8" t="s">
        <v>38</v>
      </c>
      <c r="V369" s="8" t="s">
        <v>43</v>
      </c>
      <c r="W369" s="8" t="s">
        <v>1238</v>
      </c>
      <c r="X369" s="8" t="s">
        <v>905</v>
      </c>
      <c r="Y369" s="9">
        <v>1</v>
      </c>
      <c r="Z369" s="8" t="s">
        <v>44</v>
      </c>
      <c r="AA369" s="10">
        <v>41653</v>
      </c>
      <c r="AB369" s="10">
        <v>41681</v>
      </c>
      <c r="AC369" s="10">
        <v>41708</v>
      </c>
      <c r="AD369" s="10">
        <v>41712</v>
      </c>
      <c r="AE369" s="8">
        <v>7.8</v>
      </c>
      <c r="AH369" s="8">
        <v>7</v>
      </c>
      <c r="AI369" s="8">
        <v>7</v>
      </c>
      <c r="AJ369" s="8" t="s">
        <v>1239</v>
      </c>
    </row>
    <row r="370" spans="1:36">
      <c r="A370" s="7">
        <f t="shared" si="109"/>
        <v>1</v>
      </c>
      <c r="B370" s="7" t="str">
        <f t="shared" si="110"/>
        <v>14FW JOIE BETE_02_PK_KIDS</v>
      </c>
      <c r="C370" s="7">
        <f t="shared" si="111"/>
        <v>1</v>
      </c>
      <c r="D370" s="7" t="str">
        <f t="shared" si="112"/>
        <v>동일모자14FW JOIE BETE_02_PK_KIDS</v>
      </c>
      <c r="E370" s="12" t="str">
        <f t="shared" si="113"/>
        <v>201401</v>
      </c>
      <c r="F370" s="347" t="str">
        <f>VLOOKUP($AA370,[3]주!$A:$F,6,FALSE)</f>
        <v>1월 3주</v>
      </c>
      <c r="G370" s="7">
        <f t="shared" si="114"/>
        <v>1</v>
      </c>
      <c r="H370" s="7" t="str">
        <f t="shared" si="115"/>
        <v>14FW JOIE BETE_02_PK_KIDS</v>
      </c>
      <c r="I370" s="7">
        <f t="shared" si="116"/>
        <v>1</v>
      </c>
      <c r="J370" s="7" t="str">
        <f t="shared" si="117"/>
        <v>동일모자14FW JOIE BETE_02_PK_KIDS</v>
      </c>
      <c r="K370" s="17">
        <f t="shared" si="118"/>
        <v>41733</v>
      </c>
      <c r="L370" s="12" t="str">
        <f t="shared" si="119"/>
        <v>201404</v>
      </c>
      <c r="M370" s="347" t="str">
        <f>VLOOKUP($K370,[3]주!$A:$F,6,FALSE)</f>
        <v>3월 2주</v>
      </c>
      <c r="N370" s="273" t="str">
        <f>IF(VLOOKUP($Z370,생산업체!$A:$C,2,FALSE)=1,"해외","국내")</f>
        <v>해외</v>
      </c>
      <c r="O370" s="12" t="str">
        <f>IF(VLOOKUP($U370,CODE!$K:$P,CODE!P$1,FALSE)="모자",T370,T370&amp;"-"&amp;VLOOKUP($U370,CODE!$K:$P,CODE!P$1,FALSE))</f>
        <v>JOI</v>
      </c>
      <c r="P370" s="11" t="s">
        <v>51</v>
      </c>
      <c r="R370" s="11">
        <v>5</v>
      </c>
      <c r="T370" s="8" t="s">
        <v>51</v>
      </c>
      <c r="U370" s="8" t="s">
        <v>38</v>
      </c>
      <c r="V370" s="8" t="s">
        <v>43</v>
      </c>
      <c r="W370" s="8" t="s">
        <v>1240</v>
      </c>
      <c r="X370" s="8" t="s">
        <v>905</v>
      </c>
      <c r="Y370" s="9">
        <v>1</v>
      </c>
      <c r="Z370" s="8" t="s">
        <v>44</v>
      </c>
      <c r="AA370" s="10">
        <v>41653</v>
      </c>
      <c r="AB370" s="10">
        <v>41681</v>
      </c>
      <c r="AC370" s="10">
        <v>41733</v>
      </c>
      <c r="AD370" s="10">
        <v>41733</v>
      </c>
      <c r="AE370" s="8">
        <v>10.8</v>
      </c>
      <c r="AH370" s="8">
        <v>6</v>
      </c>
      <c r="AI370" s="8">
        <v>6</v>
      </c>
      <c r="AJ370" s="8" t="s">
        <v>1239</v>
      </c>
    </row>
    <row r="371" spans="1:36">
      <c r="A371" s="7">
        <f t="shared" si="109"/>
        <v>1</v>
      </c>
      <c r="B371" s="7" t="str">
        <f t="shared" si="110"/>
        <v>14FW JOIE BETE_03_BL_KIDS</v>
      </c>
      <c r="C371" s="7">
        <f t="shared" si="111"/>
        <v>1</v>
      </c>
      <c r="D371" s="7" t="str">
        <f t="shared" si="112"/>
        <v>동일모자14FW JOIE BETE_03_BL_KIDS</v>
      </c>
      <c r="E371" s="12" t="str">
        <f t="shared" si="113"/>
        <v>201401</v>
      </c>
      <c r="F371" s="347" t="str">
        <f>VLOOKUP($AA371,[3]주!$A:$F,6,FALSE)</f>
        <v>1월 3주</v>
      </c>
      <c r="G371" s="7">
        <f t="shared" si="114"/>
        <v>1</v>
      </c>
      <c r="H371" s="7" t="str">
        <f t="shared" si="115"/>
        <v>14FW JOIE BETE_03_BL_KIDS</v>
      </c>
      <c r="I371" s="7">
        <f t="shared" si="116"/>
        <v>1</v>
      </c>
      <c r="J371" s="7" t="str">
        <f t="shared" si="117"/>
        <v>동일모자14FW JOIE BETE_03_BL_KIDS</v>
      </c>
      <c r="K371" s="17">
        <f t="shared" si="118"/>
        <v>41733</v>
      </c>
      <c r="L371" s="12" t="str">
        <f t="shared" si="119"/>
        <v>201404</v>
      </c>
      <c r="M371" s="347" t="str">
        <f>VLOOKUP($K371,[3]주!$A:$F,6,FALSE)</f>
        <v>3월 2주</v>
      </c>
      <c r="N371" s="273" t="str">
        <f>IF(VLOOKUP($Z371,생산업체!$A:$C,2,FALSE)=1,"해외","국내")</f>
        <v>해외</v>
      </c>
      <c r="O371" s="12" t="str">
        <f>IF(VLOOKUP($U371,CODE!$K:$P,CODE!P$1,FALSE)="모자",T371,T371&amp;"-"&amp;VLOOKUP($U371,CODE!$K:$P,CODE!P$1,FALSE))</f>
        <v>JOI</v>
      </c>
      <c r="P371" s="11" t="s">
        <v>51</v>
      </c>
      <c r="R371" s="11">
        <v>6</v>
      </c>
      <c r="T371" s="8" t="s">
        <v>51</v>
      </c>
      <c r="U371" s="8" t="s">
        <v>38</v>
      </c>
      <c r="V371" s="8" t="s">
        <v>43</v>
      </c>
      <c r="W371" s="8" t="s">
        <v>1241</v>
      </c>
      <c r="X371" s="8" t="s">
        <v>905</v>
      </c>
      <c r="Y371" s="9">
        <v>1</v>
      </c>
      <c r="Z371" s="8" t="s">
        <v>44</v>
      </c>
      <c r="AA371" s="10">
        <v>41653</v>
      </c>
      <c r="AB371" s="10">
        <v>41681</v>
      </c>
      <c r="AC371" s="10">
        <v>41733</v>
      </c>
      <c r="AD371" s="10">
        <v>41733</v>
      </c>
      <c r="AE371" s="8">
        <v>10.5</v>
      </c>
      <c r="AH371" s="8">
        <v>7</v>
      </c>
      <c r="AI371" s="8">
        <v>7</v>
      </c>
      <c r="AJ371" s="8" t="s">
        <v>1239</v>
      </c>
    </row>
    <row r="372" spans="1:36">
      <c r="A372" s="7">
        <f t="shared" si="109"/>
        <v>1</v>
      </c>
      <c r="B372" s="7" t="str">
        <f t="shared" si="110"/>
        <v>14FW BROWN_SQUARE_CAP_01_GY</v>
      </c>
      <c r="C372" s="7">
        <f t="shared" si="111"/>
        <v>1</v>
      </c>
      <c r="D372" s="7" t="str">
        <f t="shared" si="112"/>
        <v>동일모자14FW BROWN_SQUARE_CAP_01_GY</v>
      </c>
      <c r="E372" s="12" t="str">
        <f t="shared" si="113"/>
        <v>201401</v>
      </c>
      <c r="F372" s="347" t="str">
        <f>VLOOKUP($AA372,[3]주!$A:$F,6,FALSE)</f>
        <v>1월 4주</v>
      </c>
      <c r="G372" s="7">
        <f t="shared" si="114"/>
        <v>1</v>
      </c>
      <c r="H372" s="7" t="str">
        <f t="shared" si="115"/>
        <v>14FW BROWN_SQUARE_CAP_01_GY</v>
      </c>
      <c r="I372" s="7">
        <f t="shared" si="116"/>
        <v>1</v>
      </c>
      <c r="J372" s="7" t="str">
        <f t="shared" si="117"/>
        <v>동일모자14FW BROWN_SQUARE_CAP_01_GY</v>
      </c>
      <c r="K372" s="17">
        <f t="shared" si="118"/>
        <v>41709</v>
      </c>
      <c r="L372" s="12" t="str">
        <f t="shared" si="119"/>
        <v>201403</v>
      </c>
      <c r="M372" s="347" t="str">
        <f>VLOOKUP($K372,[3]주!$A:$F,6,FALSE)</f>
        <v>3월 2주</v>
      </c>
      <c r="N372" s="273" t="str">
        <f>IF(VLOOKUP($Z372,생산업체!$A:$C,2,FALSE)=1,"해외","국내")</f>
        <v>해외</v>
      </c>
      <c r="O372" s="12" t="str">
        <f>IF(VLOOKUP($U372,CODE!$K:$P,CODE!P$1,FALSE)="모자",T372,T372&amp;"-"&amp;VLOOKUP($U372,CODE!$K:$P,CODE!P$1,FALSE))</f>
        <v>BRO</v>
      </c>
      <c r="P372" s="11" t="s">
        <v>779</v>
      </c>
      <c r="R372" s="11">
        <v>7</v>
      </c>
      <c r="T372" s="8" t="s">
        <v>779</v>
      </c>
      <c r="U372" s="8" t="s">
        <v>38</v>
      </c>
      <c r="V372" s="8" t="s">
        <v>43</v>
      </c>
      <c r="W372" s="8" t="s">
        <v>1242</v>
      </c>
      <c r="X372" s="8" t="s">
        <v>900</v>
      </c>
      <c r="Y372" s="9">
        <v>1</v>
      </c>
      <c r="Z372" s="8" t="s">
        <v>44</v>
      </c>
      <c r="AA372" s="10">
        <v>41660</v>
      </c>
      <c r="AB372" s="10">
        <v>41688</v>
      </c>
      <c r="AC372" s="10">
        <v>41708</v>
      </c>
      <c r="AD372" s="10">
        <v>41709</v>
      </c>
      <c r="AE372" s="8">
        <v>5.9</v>
      </c>
      <c r="AH372" s="8">
        <v>2</v>
      </c>
      <c r="AI372" s="8">
        <v>2</v>
      </c>
    </row>
    <row r="373" spans="1:36">
      <c r="A373" s="7">
        <f t="shared" si="109"/>
        <v>1</v>
      </c>
      <c r="B373" s="7" t="str">
        <f t="shared" si="110"/>
        <v>14FW BROWN_SQUARE_CAP_02_BK</v>
      </c>
      <c r="C373" s="7">
        <f t="shared" si="111"/>
        <v>1</v>
      </c>
      <c r="D373" s="7" t="str">
        <f t="shared" si="112"/>
        <v>동일모자14FW BROWN_SQUARE_CAP_02_BK</v>
      </c>
      <c r="E373" s="12" t="str">
        <f t="shared" si="113"/>
        <v>201401</v>
      </c>
      <c r="F373" s="347" t="str">
        <f>VLOOKUP($AA373,[3]주!$A:$F,6,FALSE)</f>
        <v>1월 4주</v>
      </c>
      <c r="G373" s="7">
        <f t="shared" si="114"/>
        <v>1</v>
      </c>
      <c r="H373" s="7" t="str">
        <f t="shared" si="115"/>
        <v>14FW BROWN_SQUARE_CAP_02_BK</v>
      </c>
      <c r="I373" s="7">
        <f t="shared" si="116"/>
        <v>1</v>
      </c>
      <c r="J373" s="7" t="str">
        <f t="shared" si="117"/>
        <v>동일모자14FW BROWN_SQUARE_CAP_02_BK</v>
      </c>
      <c r="K373" s="17">
        <f t="shared" si="118"/>
        <v>41709</v>
      </c>
      <c r="L373" s="12" t="str">
        <f t="shared" si="119"/>
        <v>201403</v>
      </c>
      <c r="M373" s="347" t="str">
        <f>VLOOKUP($K373,[3]주!$A:$F,6,FALSE)</f>
        <v>3월 2주</v>
      </c>
      <c r="N373" s="273" t="str">
        <f>IF(VLOOKUP($Z373,생산업체!$A:$C,2,FALSE)=1,"해외","국내")</f>
        <v>해외</v>
      </c>
      <c r="O373" s="12" t="str">
        <f>IF(VLOOKUP($U373,CODE!$K:$P,CODE!P$1,FALSE)="모자",T373,T373&amp;"-"&amp;VLOOKUP($U373,CODE!$K:$P,CODE!P$1,FALSE))</f>
        <v>BRO</v>
      </c>
      <c r="P373" s="11" t="s">
        <v>779</v>
      </c>
      <c r="R373" s="11">
        <v>8</v>
      </c>
      <c r="T373" s="8" t="s">
        <v>779</v>
      </c>
      <c r="U373" s="8" t="s">
        <v>33</v>
      </c>
      <c r="V373" s="8" t="s">
        <v>43</v>
      </c>
      <c r="W373" s="8" t="s">
        <v>1243</v>
      </c>
      <c r="X373" s="8" t="s">
        <v>900</v>
      </c>
      <c r="Y373" s="9">
        <v>1</v>
      </c>
      <c r="Z373" s="8" t="s">
        <v>44</v>
      </c>
      <c r="AA373" s="10">
        <v>41660</v>
      </c>
      <c r="AB373" s="10">
        <v>41688</v>
      </c>
      <c r="AC373" s="10">
        <v>41708</v>
      </c>
      <c r="AD373" s="10">
        <v>41709</v>
      </c>
      <c r="AE373" s="8">
        <v>5.75</v>
      </c>
      <c r="AH373" s="8">
        <v>4</v>
      </c>
      <c r="AI373" s="8">
        <v>3</v>
      </c>
      <c r="AJ373" s="8" t="s">
        <v>1244</v>
      </c>
    </row>
    <row r="374" spans="1:36">
      <c r="A374" s="7">
        <f t="shared" si="109"/>
        <v>1</v>
      </c>
      <c r="B374" s="7" t="str">
        <f t="shared" si="110"/>
        <v>14FW BROWN_SQUARE_CAP_03_BG</v>
      </c>
      <c r="C374" s="7">
        <f t="shared" si="111"/>
        <v>1</v>
      </c>
      <c r="D374" s="7" t="str">
        <f t="shared" si="112"/>
        <v>동일모자14FW BROWN_SQUARE_CAP_03_BG</v>
      </c>
      <c r="E374" s="12" t="str">
        <f t="shared" si="113"/>
        <v>201401</v>
      </c>
      <c r="F374" s="347" t="str">
        <f>VLOOKUP($AA374,[3]주!$A:$F,6,FALSE)</f>
        <v>1월 4주</v>
      </c>
      <c r="G374" s="7">
        <f t="shared" si="114"/>
        <v>1</v>
      </c>
      <c r="H374" s="7" t="str">
        <f t="shared" si="115"/>
        <v>14FW BROWN_SQUARE_CAP_03_BG</v>
      </c>
      <c r="I374" s="7">
        <f t="shared" si="116"/>
        <v>1</v>
      </c>
      <c r="J374" s="7" t="str">
        <f t="shared" si="117"/>
        <v>동일모자14FW BROWN_SQUARE_CAP_03_BG</v>
      </c>
      <c r="K374" s="17">
        <f t="shared" si="118"/>
        <v>41709</v>
      </c>
      <c r="L374" s="12" t="str">
        <f t="shared" si="119"/>
        <v>201403</v>
      </c>
      <c r="M374" s="347" t="str">
        <f>VLOOKUP($K374,[3]주!$A:$F,6,FALSE)</f>
        <v>3월 2주</v>
      </c>
      <c r="N374" s="273" t="str">
        <f>IF(VLOOKUP($Z374,생산업체!$A:$C,2,FALSE)=1,"해외","국내")</f>
        <v>해외</v>
      </c>
      <c r="O374" s="12" t="str">
        <f>IF(VLOOKUP($U374,CODE!$K:$P,CODE!P$1,FALSE)="모자",T374,T374&amp;"-"&amp;VLOOKUP($U374,CODE!$K:$P,CODE!P$1,FALSE))</f>
        <v>BRO</v>
      </c>
      <c r="P374" s="11" t="s">
        <v>779</v>
      </c>
      <c r="R374" s="11">
        <v>9</v>
      </c>
      <c r="T374" s="8" t="s">
        <v>779</v>
      </c>
      <c r="U374" s="8" t="s">
        <v>35</v>
      </c>
      <c r="V374" s="8" t="s">
        <v>43</v>
      </c>
      <c r="W374" s="8" t="s">
        <v>1245</v>
      </c>
      <c r="X374" s="8" t="s">
        <v>900</v>
      </c>
      <c r="Y374" s="9">
        <v>1</v>
      </c>
      <c r="Z374" s="8" t="s">
        <v>44</v>
      </c>
      <c r="AA374" s="10">
        <v>41660</v>
      </c>
      <c r="AB374" s="10">
        <v>41688</v>
      </c>
      <c r="AC374" s="10">
        <v>41708</v>
      </c>
      <c r="AD374" s="10">
        <v>41709</v>
      </c>
      <c r="AE374" s="8">
        <v>7.15</v>
      </c>
      <c r="AH374" s="8">
        <v>4</v>
      </c>
      <c r="AI374" s="8">
        <v>3</v>
      </c>
      <c r="AJ374" s="8" t="s">
        <v>1246</v>
      </c>
    </row>
    <row r="375" spans="1:36">
      <c r="A375" s="7">
        <f t="shared" si="109"/>
        <v>1</v>
      </c>
      <c r="B375" s="7" t="str">
        <f t="shared" si="110"/>
        <v>14FW BROWN_SQUARE_CAP_04_NV</v>
      </c>
      <c r="C375" s="7">
        <f t="shared" si="111"/>
        <v>1</v>
      </c>
      <c r="D375" s="7" t="str">
        <f t="shared" si="112"/>
        <v>동일모자14FW BROWN_SQUARE_CAP_04_NV</v>
      </c>
      <c r="E375" s="12" t="str">
        <f t="shared" si="113"/>
        <v>201401</v>
      </c>
      <c r="F375" s="347" t="str">
        <f>VLOOKUP($AA375,[3]주!$A:$F,6,FALSE)</f>
        <v>1월 4주</v>
      </c>
      <c r="G375" s="7">
        <f t="shared" si="114"/>
        <v>1</v>
      </c>
      <c r="H375" s="7" t="str">
        <f t="shared" si="115"/>
        <v>14FW BROWN_SQUARE_CAP_04_NV</v>
      </c>
      <c r="I375" s="7">
        <f t="shared" si="116"/>
        <v>1</v>
      </c>
      <c r="J375" s="7" t="str">
        <f t="shared" si="117"/>
        <v>동일모자14FW BROWN_SQUARE_CAP_04_NV</v>
      </c>
      <c r="K375" s="17">
        <f t="shared" si="118"/>
        <v>41709</v>
      </c>
      <c r="L375" s="12" t="str">
        <f t="shared" si="119"/>
        <v>201403</v>
      </c>
      <c r="M375" s="347" t="str">
        <f>VLOOKUP($K375,[3]주!$A:$F,6,FALSE)</f>
        <v>3월 2주</v>
      </c>
      <c r="N375" s="273" t="str">
        <f>IF(VLOOKUP($Z375,생산업체!$A:$C,2,FALSE)=1,"해외","국내")</f>
        <v>해외</v>
      </c>
      <c r="O375" s="12" t="str">
        <f>IF(VLOOKUP($U375,CODE!$K:$P,CODE!P$1,FALSE)="모자",T375,T375&amp;"-"&amp;VLOOKUP($U375,CODE!$K:$P,CODE!P$1,FALSE))</f>
        <v>BRO</v>
      </c>
      <c r="P375" s="11" t="s">
        <v>779</v>
      </c>
      <c r="R375" s="11">
        <v>10</v>
      </c>
      <c r="T375" s="8" t="s">
        <v>779</v>
      </c>
      <c r="U375" s="8" t="s">
        <v>35</v>
      </c>
      <c r="V375" s="8" t="s">
        <v>43</v>
      </c>
      <c r="W375" s="8" t="s">
        <v>1247</v>
      </c>
      <c r="X375" s="8" t="s">
        <v>900</v>
      </c>
      <c r="Y375" s="9">
        <v>1</v>
      </c>
      <c r="Z375" s="8" t="s">
        <v>44</v>
      </c>
      <c r="AA375" s="10">
        <v>41660</v>
      </c>
      <c r="AB375" s="10">
        <v>41688</v>
      </c>
      <c r="AC375" s="10">
        <v>41708</v>
      </c>
      <c r="AD375" s="10">
        <v>41709</v>
      </c>
      <c r="AE375" s="8">
        <v>7.45</v>
      </c>
      <c r="AH375" s="8">
        <v>4</v>
      </c>
      <c r="AI375" s="8">
        <v>1</v>
      </c>
      <c r="AJ375" s="8" t="s">
        <v>1248</v>
      </c>
    </row>
    <row r="376" spans="1:36">
      <c r="A376" s="7">
        <f t="shared" si="109"/>
        <v>1</v>
      </c>
      <c r="B376" s="7" t="str">
        <f t="shared" si="110"/>
        <v>14FW BROWN_SQUARE_CAP_05_BR</v>
      </c>
      <c r="C376" s="7">
        <f t="shared" si="111"/>
        <v>1</v>
      </c>
      <c r="D376" s="7" t="str">
        <f t="shared" si="112"/>
        <v>동일모자14FW BROWN_SQUARE_CAP_05_BR</v>
      </c>
      <c r="E376" s="12" t="str">
        <f t="shared" si="113"/>
        <v>201401</v>
      </c>
      <c r="F376" s="347" t="str">
        <f>VLOOKUP($AA376,[3]주!$A:$F,6,FALSE)</f>
        <v>1월 4주</v>
      </c>
      <c r="G376" s="7">
        <f t="shared" si="114"/>
        <v>1</v>
      </c>
      <c r="H376" s="7" t="str">
        <f t="shared" si="115"/>
        <v>14FW BROWN_SQUARE_CAP_05_BR</v>
      </c>
      <c r="I376" s="7">
        <f t="shared" si="116"/>
        <v>1</v>
      </c>
      <c r="J376" s="7" t="str">
        <f t="shared" si="117"/>
        <v>동일모자14FW BROWN_SQUARE_CAP_05_BR</v>
      </c>
      <c r="K376" s="17">
        <f t="shared" si="118"/>
        <v>41709</v>
      </c>
      <c r="L376" s="12" t="str">
        <f t="shared" si="119"/>
        <v>201403</v>
      </c>
      <c r="M376" s="347" t="str">
        <f>VLOOKUP($K376,[3]주!$A:$F,6,FALSE)</f>
        <v>3월 2주</v>
      </c>
      <c r="N376" s="273" t="str">
        <f>IF(VLOOKUP($Z376,생산업체!$A:$C,2,FALSE)=1,"해외","국내")</f>
        <v>해외</v>
      </c>
      <c r="O376" s="12" t="str">
        <f>IF(VLOOKUP($U376,CODE!$K:$P,CODE!P$1,FALSE)="모자",T376,T376&amp;"-"&amp;VLOOKUP($U376,CODE!$K:$P,CODE!P$1,FALSE))</f>
        <v>BRO</v>
      </c>
      <c r="P376" s="11" t="s">
        <v>779</v>
      </c>
      <c r="R376" s="11">
        <v>11</v>
      </c>
      <c r="T376" s="8" t="s">
        <v>779</v>
      </c>
      <c r="U376" s="8" t="s">
        <v>35</v>
      </c>
      <c r="V376" s="8" t="s">
        <v>43</v>
      </c>
      <c r="W376" s="8" t="s">
        <v>1249</v>
      </c>
      <c r="X376" s="8" t="s">
        <v>900</v>
      </c>
      <c r="Y376" s="9">
        <v>1</v>
      </c>
      <c r="Z376" s="8" t="s">
        <v>44</v>
      </c>
      <c r="AA376" s="10">
        <v>41660</v>
      </c>
      <c r="AB376" s="10">
        <v>41688</v>
      </c>
      <c r="AC376" s="10">
        <v>41708</v>
      </c>
      <c r="AD376" s="10">
        <v>41709</v>
      </c>
      <c r="AE376" s="8">
        <v>5.55</v>
      </c>
      <c r="AH376" s="8">
        <v>3</v>
      </c>
      <c r="AI376" s="8">
        <v>3</v>
      </c>
    </row>
    <row r="377" spans="1:36">
      <c r="A377" s="7">
        <f t="shared" si="109"/>
        <v>1</v>
      </c>
      <c r="B377" s="7" t="str">
        <f t="shared" si="110"/>
        <v>14FW BROWN_SQUARE_CAP_06_WH</v>
      </c>
      <c r="C377" s="7">
        <f t="shared" si="111"/>
        <v>1</v>
      </c>
      <c r="D377" s="7" t="str">
        <f t="shared" si="112"/>
        <v>동일모자14FW BROWN_SQUARE_CAP_06_WH</v>
      </c>
      <c r="E377" s="12" t="str">
        <f t="shared" si="113"/>
        <v>201401</v>
      </c>
      <c r="F377" s="347" t="str">
        <f>VLOOKUP($AA377,[3]주!$A:$F,6,FALSE)</f>
        <v>1월 4주</v>
      </c>
      <c r="G377" s="7">
        <f t="shared" si="114"/>
        <v>1</v>
      </c>
      <c r="H377" s="7" t="str">
        <f t="shared" si="115"/>
        <v>14FW BROWN_SQUARE_CAP_06_WH</v>
      </c>
      <c r="I377" s="7">
        <f t="shared" si="116"/>
        <v>1</v>
      </c>
      <c r="J377" s="7" t="str">
        <f t="shared" si="117"/>
        <v>동일모자14FW BROWN_SQUARE_CAP_06_WH</v>
      </c>
      <c r="K377" s="17">
        <f t="shared" si="118"/>
        <v>41709</v>
      </c>
      <c r="L377" s="12" t="str">
        <f t="shared" si="119"/>
        <v>201403</v>
      </c>
      <c r="M377" s="347" t="str">
        <f>VLOOKUP($K377,[3]주!$A:$F,6,FALSE)</f>
        <v>3월 2주</v>
      </c>
      <c r="N377" s="273" t="str">
        <f>IF(VLOOKUP($Z377,생산업체!$A:$C,2,FALSE)=1,"해외","국내")</f>
        <v>해외</v>
      </c>
      <c r="O377" s="12" t="str">
        <f>IF(VLOOKUP($U377,CODE!$K:$P,CODE!P$1,FALSE)="모자",T377,T377&amp;"-"&amp;VLOOKUP($U377,CODE!$K:$P,CODE!P$1,FALSE))</f>
        <v>BRO</v>
      </c>
      <c r="P377" s="11" t="s">
        <v>779</v>
      </c>
      <c r="R377" s="11">
        <v>12</v>
      </c>
      <c r="T377" s="8" t="s">
        <v>779</v>
      </c>
      <c r="U377" s="8" t="s">
        <v>35</v>
      </c>
      <c r="V377" s="8" t="s">
        <v>43</v>
      </c>
      <c r="W377" s="8" t="s">
        <v>1250</v>
      </c>
      <c r="X377" s="8" t="s">
        <v>900</v>
      </c>
      <c r="Y377" s="9">
        <v>1</v>
      </c>
      <c r="Z377" s="8" t="s">
        <v>44</v>
      </c>
      <c r="AA377" s="10">
        <v>41660</v>
      </c>
      <c r="AB377" s="10">
        <v>41688</v>
      </c>
      <c r="AC377" s="10">
        <v>41708</v>
      </c>
      <c r="AD377" s="10">
        <v>41709</v>
      </c>
      <c r="AE377" s="8">
        <v>7.9</v>
      </c>
      <c r="AH377" s="8">
        <v>4</v>
      </c>
      <c r="AI377" s="8">
        <v>3</v>
      </c>
      <c r="AJ377" s="8" t="s">
        <v>1251</v>
      </c>
    </row>
    <row r="378" spans="1:36">
      <c r="A378" s="7">
        <f t="shared" si="109"/>
        <v>1</v>
      </c>
      <c r="B378" s="7" t="str">
        <f t="shared" si="110"/>
        <v>14FW BROWN_SQUARE_CAP_07-RD</v>
      </c>
      <c r="C378" s="7">
        <f t="shared" si="111"/>
        <v>1</v>
      </c>
      <c r="D378" s="7" t="str">
        <f t="shared" si="112"/>
        <v>동일모자14FW BROWN_SQUARE_CAP_07-RD</v>
      </c>
      <c r="E378" s="12" t="str">
        <f t="shared" si="113"/>
        <v>201401</v>
      </c>
      <c r="F378" s="347" t="str">
        <f>VLOOKUP($AA378,[3]주!$A:$F,6,FALSE)</f>
        <v>1월 4주</v>
      </c>
      <c r="G378" s="7">
        <f t="shared" si="114"/>
        <v>1</v>
      </c>
      <c r="H378" s="7" t="str">
        <f t="shared" si="115"/>
        <v>14FW BROWN_SQUARE_CAP_07-RD</v>
      </c>
      <c r="I378" s="7">
        <f t="shared" si="116"/>
        <v>1</v>
      </c>
      <c r="J378" s="7" t="str">
        <f t="shared" si="117"/>
        <v>동일모자14FW BROWN_SQUARE_CAP_07-RD</v>
      </c>
      <c r="K378" s="17">
        <f t="shared" si="118"/>
        <v>41709</v>
      </c>
      <c r="L378" s="12" t="str">
        <f t="shared" si="119"/>
        <v>201403</v>
      </c>
      <c r="M378" s="347" t="str">
        <f>VLOOKUP($K378,[3]주!$A:$F,6,FALSE)</f>
        <v>3월 2주</v>
      </c>
      <c r="N378" s="273" t="str">
        <f>IF(VLOOKUP($Z378,생산업체!$A:$C,2,FALSE)=1,"해외","국내")</f>
        <v>해외</v>
      </c>
      <c r="O378" s="12" t="str">
        <f>IF(VLOOKUP($U378,CODE!$K:$P,CODE!P$1,FALSE)="모자",T378,T378&amp;"-"&amp;VLOOKUP($U378,CODE!$K:$P,CODE!P$1,FALSE))</f>
        <v>BRO</v>
      </c>
      <c r="P378" s="11" t="s">
        <v>779</v>
      </c>
      <c r="R378" s="11">
        <v>13</v>
      </c>
      <c r="T378" s="8" t="s">
        <v>779</v>
      </c>
      <c r="U378" s="8" t="s">
        <v>35</v>
      </c>
      <c r="V378" s="8" t="s">
        <v>43</v>
      </c>
      <c r="W378" s="8" t="s">
        <v>1252</v>
      </c>
      <c r="X378" s="8" t="s">
        <v>900</v>
      </c>
      <c r="Y378" s="9">
        <v>1</v>
      </c>
      <c r="Z378" s="8" t="s">
        <v>44</v>
      </c>
      <c r="AA378" s="10">
        <v>41660</v>
      </c>
      <c r="AB378" s="10">
        <v>41688</v>
      </c>
      <c r="AC378" s="10">
        <v>41708</v>
      </c>
      <c r="AD378" s="10">
        <v>41709</v>
      </c>
      <c r="AE378" s="8">
        <v>7.4</v>
      </c>
      <c r="AH378" s="8">
        <v>4</v>
      </c>
      <c r="AI378" s="8">
        <v>2</v>
      </c>
      <c r="AJ378" s="8" t="s">
        <v>1253</v>
      </c>
    </row>
    <row r="379" spans="1:36">
      <c r="A379" s="7">
        <f t="shared" si="109"/>
        <v>1</v>
      </c>
      <c r="B379" s="7" t="str">
        <f t="shared" si="110"/>
        <v>14FW BROWN_SQUARE_CAP_08-RD</v>
      </c>
      <c r="C379" s="7">
        <f t="shared" si="111"/>
        <v>1</v>
      </c>
      <c r="D379" s="7" t="str">
        <f t="shared" si="112"/>
        <v>동일모자14FW BROWN_SQUARE_CAP_08-RD</v>
      </c>
      <c r="E379" s="12" t="str">
        <f t="shared" si="113"/>
        <v>201401</v>
      </c>
      <c r="F379" s="347" t="str">
        <f>VLOOKUP($AA379,[3]주!$A:$F,6,FALSE)</f>
        <v>1월 4주</v>
      </c>
      <c r="G379" s="7">
        <f t="shared" si="114"/>
        <v>1</v>
      </c>
      <c r="H379" s="7" t="str">
        <f t="shared" si="115"/>
        <v>14FW BROWN_SQUARE_CAP_08-RD</v>
      </c>
      <c r="I379" s="7">
        <f t="shared" si="116"/>
        <v>1</v>
      </c>
      <c r="J379" s="7" t="str">
        <f t="shared" si="117"/>
        <v>동일모자14FW BROWN_SQUARE_CAP_08-RD</v>
      </c>
      <c r="K379" s="17">
        <f t="shared" si="118"/>
        <v>41709</v>
      </c>
      <c r="L379" s="12" t="str">
        <f t="shared" si="119"/>
        <v>201403</v>
      </c>
      <c r="M379" s="347" t="str">
        <f>VLOOKUP($K379,[3]주!$A:$F,6,FALSE)</f>
        <v>3월 2주</v>
      </c>
      <c r="N379" s="273" t="str">
        <f>IF(VLOOKUP($Z379,생산업체!$A:$C,2,FALSE)=1,"해외","국내")</f>
        <v>해외</v>
      </c>
      <c r="O379" s="12" t="str">
        <f>IF(VLOOKUP($U379,CODE!$K:$P,CODE!P$1,FALSE)="모자",T379,T379&amp;"-"&amp;VLOOKUP($U379,CODE!$K:$P,CODE!P$1,FALSE))</f>
        <v>BRO</v>
      </c>
      <c r="P379" s="11" t="s">
        <v>779</v>
      </c>
      <c r="R379" s="11">
        <v>14</v>
      </c>
      <c r="T379" s="8" t="s">
        <v>779</v>
      </c>
      <c r="U379" s="8" t="s">
        <v>35</v>
      </c>
      <c r="V379" s="8" t="s">
        <v>43</v>
      </c>
      <c r="W379" s="8" t="s">
        <v>1254</v>
      </c>
      <c r="X379" s="8" t="s">
        <v>900</v>
      </c>
      <c r="Y379" s="9">
        <v>1</v>
      </c>
      <c r="Z379" s="8" t="s">
        <v>44</v>
      </c>
      <c r="AA379" s="10">
        <v>41660</v>
      </c>
      <c r="AB379" s="10">
        <v>41688</v>
      </c>
      <c r="AC379" s="10">
        <v>41708</v>
      </c>
      <c r="AD379" s="10">
        <v>41709</v>
      </c>
      <c r="AE379" s="8">
        <v>6.55</v>
      </c>
      <c r="AH379" s="8">
        <v>4</v>
      </c>
      <c r="AI379" s="8">
        <v>3</v>
      </c>
      <c r="AJ379" s="8" t="s">
        <v>1246</v>
      </c>
    </row>
    <row r="380" spans="1:36">
      <c r="A380" s="7">
        <f t="shared" si="109"/>
        <v>1</v>
      </c>
      <c r="B380" s="7" t="str">
        <f t="shared" si="110"/>
        <v>14FW JOIE BETE_04_RD</v>
      </c>
      <c r="C380" s="7">
        <f t="shared" si="111"/>
        <v>1</v>
      </c>
      <c r="D380" s="7" t="str">
        <f t="shared" si="112"/>
        <v>FOREMOST14FW JOIE BETE_04_RD</v>
      </c>
      <c r="E380" s="12" t="str">
        <f t="shared" si="113"/>
        <v>201401</v>
      </c>
      <c r="F380" s="347" t="str">
        <f>VLOOKUP($AA380,[3]주!$A:$F,6,FALSE)</f>
        <v>1월 4주</v>
      </c>
      <c r="G380" s="7">
        <f t="shared" si="114"/>
        <v>1</v>
      </c>
      <c r="H380" s="7" t="str">
        <f t="shared" si="115"/>
        <v>14FW JOIE BETE_04_RD</v>
      </c>
      <c r="I380" s="7">
        <f t="shared" si="116"/>
        <v>1</v>
      </c>
      <c r="J380" s="7" t="str">
        <f t="shared" si="117"/>
        <v>FOREMOST14FW JOIE BETE_04_RD</v>
      </c>
      <c r="K380" s="17">
        <f t="shared" si="118"/>
        <v>41708</v>
      </c>
      <c r="L380" s="12" t="str">
        <f t="shared" si="119"/>
        <v>201403</v>
      </c>
      <c r="M380" s="347" t="str">
        <f>VLOOKUP($K380,[3]주!$A:$F,6,FALSE)</f>
        <v>3월 2주</v>
      </c>
      <c r="N380" s="273" t="str">
        <f>IF(VLOOKUP($Z380,생산업체!$A:$C,2,FALSE)=1,"해외","국내")</f>
        <v>해외</v>
      </c>
      <c r="O380" s="12" t="str">
        <f>IF(VLOOKUP($U380,CODE!$K:$P,CODE!P$1,FALSE)="모자",T380,T380&amp;"-"&amp;VLOOKUP($U380,CODE!$K:$P,CODE!P$1,FALSE))</f>
        <v>JOI</v>
      </c>
      <c r="P380" s="11" t="s">
        <v>51</v>
      </c>
      <c r="R380" s="11">
        <v>15</v>
      </c>
      <c r="T380" s="8" t="s">
        <v>51</v>
      </c>
      <c r="U380" s="8" t="s">
        <v>56</v>
      </c>
      <c r="V380" s="8" t="s">
        <v>43</v>
      </c>
      <c r="W380" s="8" t="s">
        <v>1255</v>
      </c>
      <c r="X380" s="8" t="s">
        <v>900</v>
      </c>
      <c r="Y380" s="9">
        <v>1</v>
      </c>
      <c r="Z380" s="8" t="s">
        <v>6</v>
      </c>
      <c r="AA380" s="10">
        <v>41662</v>
      </c>
      <c r="AB380" s="10">
        <v>41690</v>
      </c>
      <c r="AC380" s="10">
        <v>41712</v>
      </c>
      <c r="AD380" s="10">
        <v>41708</v>
      </c>
      <c r="AE380" s="8">
        <v>6.8</v>
      </c>
      <c r="AH380" s="8">
        <v>5</v>
      </c>
      <c r="AI380" s="8">
        <v>5</v>
      </c>
    </row>
    <row r="381" spans="1:36">
      <c r="A381" s="7">
        <f t="shared" si="109"/>
        <v>1</v>
      </c>
      <c r="B381" s="7" t="str">
        <f t="shared" si="110"/>
        <v>14FW JOIE BETE_05_RD</v>
      </c>
      <c r="C381" s="7">
        <f t="shared" si="111"/>
        <v>1</v>
      </c>
      <c r="D381" s="7" t="str">
        <f t="shared" si="112"/>
        <v>FOREMOST14FW JOIE BETE_05_RD</v>
      </c>
      <c r="E381" s="12" t="str">
        <f t="shared" si="113"/>
        <v>201401</v>
      </c>
      <c r="F381" s="347" t="str">
        <f>VLOOKUP($AA381,[3]주!$A:$F,6,FALSE)</f>
        <v>1월 4주</v>
      </c>
      <c r="G381" s="7">
        <f t="shared" si="114"/>
        <v>1</v>
      </c>
      <c r="H381" s="7" t="str">
        <f t="shared" si="115"/>
        <v>14FW JOIE BETE_05_RD</v>
      </c>
      <c r="I381" s="7">
        <f t="shared" si="116"/>
        <v>1</v>
      </c>
      <c r="J381" s="7" t="str">
        <f t="shared" si="117"/>
        <v>FOREMOST14FW JOIE BETE_05_RD</v>
      </c>
      <c r="K381" s="17">
        <f t="shared" si="118"/>
        <v>41715</v>
      </c>
      <c r="L381" s="12" t="str">
        <f t="shared" si="119"/>
        <v>201403</v>
      </c>
      <c r="M381" s="347" t="str">
        <f>VLOOKUP($K381,[3]주!$A:$F,6,FALSE)</f>
        <v>3월 2주</v>
      </c>
      <c r="N381" s="273" t="str">
        <f>IF(VLOOKUP($Z381,생산업체!$A:$C,2,FALSE)=1,"해외","국내")</f>
        <v>해외</v>
      </c>
      <c r="O381" s="12" t="str">
        <f>IF(VLOOKUP($U381,CODE!$K:$P,CODE!P$1,FALSE)="모자",T381,T381&amp;"-"&amp;VLOOKUP($U381,CODE!$K:$P,CODE!P$1,FALSE))</f>
        <v>JOI-ACC</v>
      </c>
      <c r="P381" s="11" t="s">
        <v>52</v>
      </c>
      <c r="R381" s="11">
        <v>16</v>
      </c>
      <c r="T381" s="8" t="s">
        <v>51</v>
      </c>
      <c r="U381" s="8" t="s">
        <v>249</v>
      </c>
      <c r="V381" s="8" t="s">
        <v>43</v>
      </c>
      <c r="W381" s="8" t="s">
        <v>1256</v>
      </c>
      <c r="X381" s="8" t="s">
        <v>900</v>
      </c>
      <c r="Y381" s="9">
        <v>1</v>
      </c>
      <c r="Z381" s="8" t="s">
        <v>6</v>
      </c>
      <c r="AA381" s="10">
        <v>41662</v>
      </c>
      <c r="AB381" s="10">
        <v>41690</v>
      </c>
      <c r="AC381" s="10">
        <v>41715</v>
      </c>
      <c r="AD381" s="10">
        <v>41715</v>
      </c>
      <c r="AE381" s="8">
        <v>10.08</v>
      </c>
      <c r="AH381" s="8">
        <v>4</v>
      </c>
      <c r="AI381" s="8">
        <v>4</v>
      </c>
    </row>
    <row r="382" spans="1:36">
      <c r="A382" s="7">
        <f t="shared" si="109"/>
        <v>1</v>
      </c>
      <c r="B382" s="7" t="str">
        <f t="shared" si="110"/>
        <v>14FW JOIE BETE_06_RD</v>
      </c>
      <c r="C382" s="7">
        <f t="shared" si="111"/>
        <v>1</v>
      </c>
      <c r="D382" s="7" t="str">
        <f t="shared" si="112"/>
        <v>FOREMOST14FW JOIE BETE_06_RD</v>
      </c>
      <c r="E382" s="12" t="str">
        <f t="shared" si="113"/>
        <v>201401</v>
      </c>
      <c r="F382" s="347" t="str">
        <f>VLOOKUP($AA382,[3]주!$A:$F,6,FALSE)</f>
        <v>1월 4주</v>
      </c>
      <c r="G382" s="7">
        <f t="shared" si="114"/>
        <v>1</v>
      </c>
      <c r="H382" s="7" t="str">
        <f t="shared" si="115"/>
        <v>14FW JOIE BETE_06_RD</v>
      </c>
      <c r="I382" s="7">
        <f t="shared" si="116"/>
        <v>1</v>
      </c>
      <c r="J382" s="7" t="str">
        <f t="shared" si="117"/>
        <v>FOREMOST14FW JOIE BETE_06_RD</v>
      </c>
      <c r="K382" s="17">
        <f t="shared" si="118"/>
        <v>41722</v>
      </c>
      <c r="L382" s="12" t="str">
        <f t="shared" si="119"/>
        <v>201403</v>
      </c>
      <c r="M382" s="347" t="str">
        <f>VLOOKUP($K382,[3]주!$A:$F,6,FALSE)</f>
        <v>3월 2주</v>
      </c>
      <c r="N382" s="273" t="str">
        <f>IF(VLOOKUP($Z382,생산업체!$A:$C,2,FALSE)=1,"해외","국내")</f>
        <v>해외</v>
      </c>
      <c r="O382" s="12" t="str">
        <f>IF(VLOOKUP($U382,CODE!$K:$P,CODE!P$1,FALSE)="모자",T382,T382&amp;"-"&amp;VLOOKUP($U382,CODE!$K:$P,CODE!P$1,FALSE))</f>
        <v>JOI-ACC</v>
      </c>
      <c r="P382" s="11" t="s">
        <v>52</v>
      </c>
      <c r="R382" s="11">
        <v>17</v>
      </c>
      <c r="T382" s="8" t="s">
        <v>51</v>
      </c>
      <c r="U382" s="8" t="s">
        <v>249</v>
      </c>
      <c r="V382" s="8" t="s">
        <v>43</v>
      </c>
      <c r="W382" s="8" t="s">
        <v>1257</v>
      </c>
      <c r="X382" s="8" t="s">
        <v>900</v>
      </c>
      <c r="Y382" s="9">
        <v>1</v>
      </c>
      <c r="Z382" s="8" t="s">
        <v>6</v>
      </c>
      <c r="AA382" s="10">
        <v>41662</v>
      </c>
      <c r="AB382" s="10">
        <v>41690</v>
      </c>
      <c r="AC382" s="10">
        <v>41722</v>
      </c>
      <c r="AD382" s="10">
        <v>41722</v>
      </c>
      <c r="AE382" s="8">
        <v>5</v>
      </c>
      <c r="AH382" s="8">
        <v>3</v>
      </c>
      <c r="AI382" s="8">
        <v>3</v>
      </c>
    </row>
    <row r="383" spans="1:36">
      <c r="A383" s="7">
        <f t="shared" si="109"/>
        <v>1</v>
      </c>
      <c r="B383" s="7" t="str">
        <f t="shared" si="110"/>
        <v>14FW JOIE BETE_07_BR</v>
      </c>
      <c r="C383" s="7">
        <f t="shared" si="111"/>
        <v>1</v>
      </c>
      <c r="D383" s="7" t="str">
        <f t="shared" si="112"/>
        <v>FOREMOST14FW JOIE BETE_07_BR</v>
      </c>
      <c r="E383" s="12" t="str">
        <f t="shared" si="113"/>
        <v>201401</v>
      </c>
      <c r="F383" s="347" t="str">
        <f>VLOOKUP($AA383,[3]주!$A:$F,6,FALSE)</f>
        <v>1월 4주</v>
      </c>
      <c r="G383" s="7">
        <f t="shared" si="114"/>
        <v>1</v>
      </c>
      <c r="H383" s="7" t="str">
        <f t="shared" si="115"/>
        <v>14FW JOIE BETE_07_BR</v>
      </c>
      <c r="I383" s="7">
        <f t="shared" si="116"/>
        <v>1</v>
      </c>
      <c r="J383" s="7" t="str">
        <f t="shared" si="117"/>
        <v>FOREMOST14FW JOIE BETE_07_BR</v>
      </c>
      <c r="K383" s="17">
        <f t="shared" si="118"/>
        <v>41727</v>
      </c>
      <c r="L383" s="12" t="str">
        <f t="shared" si="119"/>
        <v>201403</v>
      </c>
      <c r="M383" s="347" t="str">
        <f>VLOOKUP($K383,[3]주!$A:$F,6,FALSE)</f>
        <v>3월 2주</v>
      </c>
      <c r="N383" s="273" t="str">
        <f>IF(VLOOKUP($Z383,생산업체!$A:$C,2,FALSE)=1,"해외","국내")</f>
        <v>해외</v>
      </c>
      <c r="O383" s="12" t="str">
        <f>IF(VLOOKUP($U383,CODE!$K:$P,CODE!P$1,FALSE)="모자",T383,T383&amp;"-"&amp;VLOOKUP($U383,CODE!$K:$P,CODE!P$1,FALSE))</f>
        <v>JOI</v>
      </c>
      <c r="P383" s="11" t="s">
        <v>51</v>
      </c>
      <c r="R383" s="11">
        <v>18</v>
      </c>
      <c r="T383" s="8" t="s">
        <v>51</v>
      </c>
      <c r="U383" s="8" t="s">
        <v>56</v>
      </c>
      <c r="V383" s="8" t="s">
        <v>43</v>
      </c>
      <c r="W383" s="8" t="s">
        <v>1258</v>
      </c>
      <c r="X383" s="8" t="s">
        <v>900</v>
      </c>
      <c r="Y383" s="9">
        <v>1</v>
      </c>
      <c r="Z383" s="8" t="s">
        <v>6</v>
      </c>
      <c r="AA383" s="10">
        <v>41662</v>
      </c>
      <c r="AB383" s="10">
        <v>41690</v>
      </c>
      <c r="AC383" s="10">
        <v>41722</v>
      </c>
      <c r="AD383" s="10">
        <v>41727</v>
      </c>
      <c r="AE383" s="8">
        <v>10.199999999999999</v>
      </c>
      <c r="AH383" s="8">
        <v>3</v>
      </c>
      <c r="AI383" s="8">
        <v>3</v>
      </c>
    </row>
    <row r="384" spans="1:36">
      <c r="A384" s="7">
        <f t="shared" si="109"/>
        <v>1</v>
      </c>
      <c r="B384" s="7" t="str">
        <f t="shared" si="110"/>
        <v>14FW JOIE BETE_08_GY</v>
      </c>
      <c r="C384" s="7">
        <f t="shared" si="111"/>
        <v>1</v>
      </c>
      <c r="D384" s="7" t="str">
        <f t="shared" si="112"/>
        <v>FOREMOST14FW JOIE BETE_08_GY</v>
      </c>
      <c r="E384" s="12" t="str">
        <f t="shared" si="113"/>
        <v>201401</v>
      </c>
      <c r="F384" s="347" t="str">
        <f>VLOOKUP($AA384,[3]주!$A:$F,6,FALSE)</f>
        <v>1월 4주</v>
      </c>
      <c r="G384" s="7">
        <f t="shared" si="114"/>
        <v>1</v>
      </c>
      <c r="H384" s="7" t="str">
        <f t="shared" si="115"/>
        <v>14FW JOIE BETE_08_GY</v>
      </c>
      <c r="I384" s="7">
        <f t="shared" si="116"/>
        <v>1</v>
      </c>
      <c r="J384" s="7" t="str">
        <f t="shared" si="117"/>
        <v>FOREMOST14FW JOIE BETE_08_GY</v>
      </c>
      <c r="K384" s="17">
        <f t="shared" si="118"/>
        <v>41730</v>
      </c>
      <c r="L384" s="12" t="str">
        <f t="shared" si="119"/>
        <v>201404</v>
      </c>
      <c r="M384" s="347" t="str">
        <f>VLOOKUP($K384,[3]주!$A:$F,6,FALSE)</f>
        <v>3월 2주</v>
      </c>
      <c r="N384" s="273" t="str">
        <f>IF(VLOOKUP($Z384,생산업체!$A:$C,2,FALSE)=1,"해외","국내")</f>
        <v>해외</v>
      </c>
      <c r="O384" s="12" t="str">
        <f>IF(VLOOKUP($U384,CODE!$K:$P,CODE!P$1,FALSE)="모자",T384,T384&amp;"-"&amp;VLOOKUP($U384,CODE!$K:$P,CODE!P$1,FALSE))</f>
        <v>JOI</v>
      </c>
      <c r="P384" s="11" t="s">
        <v>51</v>
      </c>
      <c r="R384" s="11">
        <v>19</v>
      </c>
      <c r="T384" s="8" t="s">
        <v>51</v>
      </c>
      <c r="U384" s="8" t="s">
        <v>56</v>
      </c>
      <c r="V384" s="8" t="s">
        <v>43</v>
      </c>
      <c r="W384" s="8" t="s">
        <v>1259</v>
      </c>
      <c r="X384" s="8" t="s">
        <v>900</v>
      </c>
      <c r="Y384" s="9">
        <v>1</v>
      </c>
      <c r="Z384" s="8" t="s">
        <v>6</v>
      </c>
      <c r="AA384" s="10">
        <v>41662</v>
      </c>
      <c r="AB384" s="10">
        <v>41690</v>
      </c>
      <c r="AC384" s="10">
        <v>41722</v>
      </c>
      <c r="AD384" s="10">
        <v>41730</v>
      </c>
      <c r="AE384" s="8">
        <v>8.9</v>
      </c>
      <c r="AG384" s="8" t="s">
        <v>2004</v>
      </c>
      <c r="AH384" s="8">
        <v>5</v>
      </c>
      <c r="AI384" s="8">
        <v>5</v>
      </c>
    </row>
    <row r="385" spans="1:36">
      <c r="A385" s="7">
        <f t="shared" si="109"/>
        <v>1</v>
      </c>
      <c r="B385" s="7" t="str">
        <f t="shared" si="110"/>
        <v>14FW JOIE BETE_09_GY</v>
      </c>
      <c r="C385" s="7">
        <f t="shared" si="111"/>
        <v>1</v>
      </c>
      <c r="D385" s="7" t="str">
        <f t="shared" si="112"/>
        <v>FOREMOST14FW JOIE BETE_09_GY</v>
      </c>
      <c r="E385" s="12" t="str">
        <f t="shared" si="113"/>
        <v>201401</v>
      </c>
      <c r="F385" s="347" t="str">
        <f>VLOOKUP($AA385,[3]주!$A:$F,6,FALSE)</f>
        <v>1월 4주</v>
      </c>
      <c r="G385" s="7">
        <f t="shared" si="114"/>
        <v>1</v>
      </c>
      <c r="H385" s="7" t="str">
        <f t="shared" si="115"/>
        <v>14FW JOIE BETE_09_GY</v>
      </c>
      <c r="I385" s="7">
        <f t="shared" si="116"/>
        <v>1</v>
      </c>
      <c r="J385" s="7" t="str">
        <f t="shared" si="117"/>
        <v>FOREMOST14FW JOIE BETE_09_GY</v>
      </c>
      <c r="K385" s="17">
        <f t="shared" si="118"/>
        <v>41722</v>
      </c>
      <c r="L385" s="12" t="str">
        <f t="shared" si="119"/>
        <v>201403</v>
      </c>
      <c r="M385" s="347" t="str">
        <f>VLOOKUP($K385,[3]주!$A:$F,6,FALSE)</f>
        <v>3월 2주</v>
      </c>
      <c r="N385" s="273" t="str">
        <f>IF(VLOOKUP($Z385,생산업체!$A:$C,2,FALSE)=1,"해외","국내")</f>
        <v>해외</v>
      </c>
      <c r="O385" s="12" t="str">
        <f>IF(VLOOKUP($U385,CODE!$K:$P,CODE!P$1,FALSE)="모자",T385,T385&amp;"-"&amp;VLOOKUP($U385,CODE!$K:$P,CODE!P$1,FALSE))</f>
        <v>JOI</v>
      </c>
      <c r="P385" s="11" t="s">
        <v>51</v>
      </c>
      <c r="R385" s="11">
        <v>20</v>
      </c>
      <c r="T385" s="8" t="s">
        <v>51</v>
      </c>
      <c r="U385" s="8" t="s">
        <v>56</v>
      </c>
      <c r="V385" s="8" t="s">
        <v>43</v>
      </c>
      <c r="W385" s="8" t="s">
        <v>1260</v>
      </c>
      <c r="X385" s="8" t="s">
        <v>900</v>
      </c>
      <c r="Y385" s="9">
        <v>1</v>
      </c>
      <c r="Z385" s="8" t="s">
        <v>6</v>
      </c>
      <c r="AA385" s="10">
        <v>41662</v>
      </c>
      <c r="AB385" s="10">
        <v>41690</v>
      </c>
      <c r="AC385" s="10">
        <v>41722</v>
      </c>
      <c r="AD385" s="10">
        <v>41722</v>
      </c>
      <c r="AE385" s="8">
        <v>9.6999999999999993</v>
      </c>
      <c r="AH385" s="8">
        <v>5</v>
      </c>
      <c r="AI385" s="8">
        <v>5</v>
      </c>
    </row>
    <row r="386" spans="1:36">
      <c r="A386" s="7">
        <f t="shared" ref="A386:A449" si="120">IF(B386="",0,1/COUNTIF(B:B,B386))</f>
        <v>1</v>
      </c>
      <c r="B386" s="7" t="str">
        <f t="shared" ref="B386:B396" si="121">IF(AA386="","",W386)</f>
        <v>14FW JOIE BETE_12_GY</v>
      </c>
      <c r="C386" s="7">
        <f t="shared" ref="C386:C449" si="122">IF(D386="",0,1/COUNTIF(D:D,D386))</f>
        <v>1</v>
      </c>
      <c r="D386" s="7" t="str">
        <f t="shared" ref="D386:D396" si="123">IF(AA386="","",Z386&amp;W386)</f>
        <v>FOREMOST14FW JOIE BETE_12_GY</v>
      </c>
      <c r="E386" s="12" t="str">
        <f t="shared" ref="E386:E396" si="124">IF(YEAR(AA386)&lt;10,0&amp;YEAR(AA386),YEAR(AA386))&amp;IF(MONTH(AA386)&lt;10,0&amp;MONTH(AA386),MONTH(AA386))</f>
        <v>201401</v>
      </c>
      <c r="F386" s="347" t="str">
        <f>VLOOKUP($AA386,[3]주!$A:$F,6,FALSE)</f>
        <v>1월 4주</v>
      </c>
      <c r="G386" s="7">
        <f t="shared" ref="G386:G449" si="125">IF(H386="",0,1/COUNTIF(H:H,H386))</f>
        <v>1</v>
      </c>
      <c r="H386" s="7" t="str">
        <f t="shared" ref="H386:H396" si="126">IF(AD386="","",W386)</f>
        <v>14FW JOIE BETE_12_GY</v>
      </c>
      <c r="I386" s="7">
        <f t="shared" ref="I386:I449" si="127">IF(J386="",0,1/COUNTIF(J:J,J386))</f>
        <v>1</v>
      </c>
      <c r="J386" s="7" t="str">
        <f t="shared" ref="J386:J396" si="128">IF(AD386="","",Z386&amp;W386)</f>
        <v>FOREMOST14FW JOIE BETE_12_GY</v>
      </c>
      <c r="K386" s="17">
        <f t="shared" ref="K386:K396" si="129">IF(AD386="",AC386,AD386)</f>
        <v>41710</v>
      </c>
      <c r="L386" s="12" t="str">
        <f t="shared" ref="L386:L396" si="130">IF(YEAR(K386)&lt;10,0&amp;YEAR(K386),YEAR(K386))&amp;IF(MONTH(K386)&lt;10,0&amp;MONTH(K386),MONTH(K386))</f>
        <v>201403</v>
      </c>
      <c r="M386" s="347" t="str">
        <f>VLOOKUP($K386,[3]주!$A:$F,6,FALSE)</f>
        <v>3월 2주</v>
      </c>
      <c r="N386" s="273" t="str">
        <f>IF(VLOOKUP($Z386,생산업체!$A:$C,2,FALSE)=1,"해외","국내")</f>
        <v>해외</v>
      </c>
      <c r="O386" s="12" t="str">
        <f>IF(VLOOKUP($U386,CODE!$K:$P,CODE!P$1,FALSE)="모자",T386,T386&amp;"-"&amp;VLOOKUP($U386,CODE!$K:$P,CODE!P$1,FALSE))</f>
        <v>JOI</v>
      </c>
      <c r="P386" s="11" t="s">
        <v>51</v>
      </c>
      <c r="R386" s="11">
        <v>21</v>
      </c>
      <c r="T386" s="8" t="s">
        <v>51</v>
      </c>
      <c r="U386" s="8" t="s">
        <v>60</v>
      </c>
      <c r="V386" s="8" t="s">
        <v>43</v>
      </c>
      <c r="W386" s="8" t="s">
        <v>1261</v>
      </c>
      <c r="X386" s="8" t="s">
        <v>900</v>
      </c>
      <c r="Y386" s="9">
        <v>1</v>
      </c>
      <c r="Z386" s="8" t="s">
        <v>6</v>
      </c>
      <c r="AA386" s="10">
        <v>41662</v>
      </c>
      <c r="AB386" s="10">
        <v>41690</v>
      </c>
      <c r="AC386" s="10">
        <v>41712</v>
      </c>
      <c r="AD386" s="10">
        <v>41710</v>
      </c>
      <c r="AE386" s="8">
        <v>13.2</v>
      </c>
      <c r="AH386" s="8">
        <v>3</v>
      </c>
      <c r="AI386" s="8">
        <v>3</v>
      </c>
    </row>
    <row r="387" spans="1:36">
      <c r="A387" s="7">
        <f t="shared" si="120"/>
        <v>1</v>
      </c>
      <c r="B387" s="7" t="str">
        <f t="shared" si="121"/>
        <v>14FW JOIE BETE_11_PK_KIDS</v>
      </c>
      <c r="C387" s="7">
        <f t="shared" si="122"/>
        <v>1</v>
      </c>
      <c r="D387" s="7" t="str">
        <f t="shared" si="123"/>
        <v>KIDS FIRST TOYS14FW JOIE BETE_11_PK_KIDS</v>
      </c>
      <c r="E387" s="12" t="str">
        <f t="shared" si="124"/>
        <v>201401</v>
      </c>
      <c r="F387" s="347" t="str">
        <f>VLOOKUP($AA387,[3]주!$A:$F,6,FALSE)</f>
        <v>1월 4주</v>
      </c>
      <c r="G387" s="7">
        <f t="shared" si="125"/>
        <v>1</v>
      </c>
      <c r="H387" s="7" t="str">
        <f t="shared" si="126"/>
        <v>14FW JOIE BETE_11_PK_KIDS</v>
      </c>
      <c r="I387" s="7">
        <f t="shared" si="127"/>
        <v>1</v>
      </c>
      <c r="J387" s="7" t="str">
        <f t="shared" si="128"/>
        <v>KIDS FIRST TOYS14FW JOIE BETE_11_PK_KIDS</v>
      </c>
      <c r="K387" s="17">
        <f t="shared" si="129"/>
        <v>41715</v>
      </c>
      <c r="L387" s="12" t="str">
        <f t="shared" si="130"/>
        <v>201403</v>
      </c>
      <c r="M387" s="347" t="str">
        <f>VLOOKUP($K387,[3]주!$A:$F,6,FALSE)</f>
        <v>3월 2주</v>
      </c>
      <c r="N387" s="273" t="str">
        <f>IF(VLOOKUP($Z387,생산업체!$A:$C,2,FALSE)=1,"해외","국내")</f>
        <v>해외</v>
      </c>
      <c r="O387" s="12" t="str">
        <f>IF(VLOOKUP($U387,CODE!$K:$P,CODE!P$1,FALSE)="모자",T387,T387&amp;"-"&amp;VLOOKUP($U387,CODE!$K:$P,CODE!P$1,FALSE))</f>
        <v>JOI</v>
      </c>
      <c r="P387" s="11" t="s">
        <v>51</v>
      </c>
      <c r="R387" s="11">
        <v>22</v>
      </c>
      <c r="T387" s="8" t="s">
        <v>51</v>
      </c>
      <c r="U387" s="8" t="s">
        <v>60</v>
      </c>
      <c r="V387" s="8" t="s">
        <v>43</v>
      </c>
      <c r="W387" s="8" t="s">
        <v>1262</v>
      </c>
      <c r="X387" s="8" t="s">
        <v>905</v>
      </c>
      <c r="Y387" s="9">
        <v>1</v>
      </c>
      <c r="Z387" s="8" t="s">
        <v>1120</v>
      </c>
      <c r="AA387" s="10">
        <v>41662</v>
      </c>
      <c r="AB387" s="10">
        <v>41690</v>
      </c>
      <c r="AC387" s="10">
        <v>41715</v>
      </c>
      <c r="AD387" s="10">
        <v>41715</v>
      </c>
      <c r="AE387" s="8">
        <v>3.24</v>
      </c>
      <c r="AG387" s="8" t="s">
        <v>2004</v>
      </c>
      <c r="AH387" s="8">
        <v>2</v>
      </c>
      <c r="AI387" s="8">
        <v>2</v>
      </c>
      <c r="AJ387" s="8" t="s">
        <v>1827</v>
      </c>
    </row>
    <row r="388" spans="1:36">
      <c r="A388" s="7">
        <f t="shared" si="120"/>
        <v>1</v>
      </c>
      <c r="B388" s="7" t="str">
        <f t="shared" si="121"/>
        <v>14FW JOIE BETE_13_PP_KIDS</v>
      </c>
      <c r="C388" s="7">
        <f t="shared" si="122"/>
        <v>1</v>
      </c>
      <c r="D388" s="7" t="str">
        <f t="shared" si="123"/>
        <v>KIDS FIRST TOYS14FW JOIE BETE_13_PP_KIDS</v>
      </c>
      <c r="E388" s="12" t="str">
        <f t="shared" si="124"/>
        <v>201401</v>
      </c>
      <c r="F388" s="347" t="str">
        <f>VLOOKUP($AA388,[3]주!$A:$F,6,FALSE)</f>
        <v>1월 4주</v>
      </c>
      <c r="G388" s="7">
        <f t="shared" si="125"/>
        <v>1</v>
      </c>
      <c r="H388" s="7" t="str">
        <f t="shared" si="126"/>
        <v>14FW JOIE BETE_13_PP_KIDS</v>
      </c>
      <c r="I388" s="7">
        <f t="shared" si="127"/>
        <v>1</v>
      </c>
      <c r="J388" s="7" t="str">
        <f t="shared" si="128"/>
        <v>KIDS FIRST TOYS14FW JOIE BETE_13_PP_KIDS</v>
      </c>
      <c r="K388" s="17">
        <f t="shared" si="129"/>
        <v>41715</v>
      </c>
      <c r="L388" s="12" t="str">
        <f t="shared" si="130"/>
        <v>201403</v>
      </c>
      <c r="M388" s="347" t="str">
        <f>VLOOKUP($K388,[3]주!$A:$F,6,FALSE)</f>
        <v>3월 2주</v>
      </c>
      <c r="N388" s="273" t="str">
        <f>IF(VLOOKUP($Z388,생산업체!$A:$C,2,FALSE)=1,"해외","국내")</f>
        <v>해외</v>
      </c>
      <c r="O388" s="12" t="str">
        <f>IF(VLOOKUP($U388,CODE!$K:$P,CODE!P$1,FALSE)="모자",T388,T388&amp;"-"&amp;VLOOKUP($U388,CODE!$K:$P,CODE!P$1,FALSE))</f>
        <v>JOI</v>
      </c>
      <c r="P388" s="11" t="s">
        <v>51</v>
      </c>
      <c r="R388" s="11">
        <v>23</v>
      </c>
      <c r="T388" s="8" t="s">
        <v>51</v>
      </c>
      <c r="U388" s="8" t="s">
        <v>28</v>
      </c>
      <c r="V388" s="8" t="s">
        <v>43</v>
      </c>
      <c r="W388" s="8" t="s">
        <v>1263</v>
      </c>
      <c r="X388" s="8" t="s">
        <v>905</v>
      </c>
      <c r="Y388" s="9">
        <v>1</v>
      </c>
      <c r="Z388" s="8" t="s">
        <v>1120</v>
      </c>
      <c r="AA388" s="10">
        <v>41662</v>
      </c>
      <c r="AB388" s="10">
        <v>41690</v>
      </c>
      <c r="AC388" s="10">
        <v>41715</v>
      </c>
      <c r="AD388" s="10">
        <v>41715</v>
      </c>
      <c r="AE388" s="8">
        <v>3.38</v>
      </c>
      <c r="AH388" s="8">
        <v>5</v>
      </c>
      <c r="AI388" s="8">
        <v>5</v>
      </c>
      <c r="AJ388" s="8" t="s">
        <v>1827</v>
      </c>
    </row>
    <row r="389" spans="1:36">
      <c r="A389" s="7">
        <f t="shared" si="120"/>
        <v>1</v>
      </c>
      <c r="B389" s="7" t="str">
        <f t="shared" si="121"/>
        <v>14FW JOIE BETE_14_PK_KIDS</v>
      </c>
      <c r="C389" s="7">
        <f t="shared" si="122"/>
        <v>1</v>
      </c>
      <c r="D389" s="7" t="str">
        <f t="shared" si="123"/>
        <v>KIDS FIRST TOYS14FW JOIE BETE_14_PK_KIDS</v>
      </c>
      <c r="E389" s="12" t="str">
        <f t="shared" si="124"/>
        <v>201401</v>
      </c>
      <c r="F389" s="347" t="str">
        <f>VLOOKUP($AA389,[3]주!$A:$F,6,FALSE)</f>
        <v>1월 4주</v>
      </c>
      <c r="G389" s="7">
        <f t="shared" si="125"/>
        <v>1</v>
      </c>
      <c r="H389" s="7" t="str">
        <f t="shared" si="126"/>
        <v>14FW JOIE BETE_14_PK_KIDS</v>
      </c>
      <c r="I389" s="7">
        <f t="shared" si="127"/>
        <v>1</v>
      </c>
      <c r="J389" s="7" t="str">
        <f t="shared" si="128"/>
        <v>KIDS FIRST TOYS14FW JOIE BETE_14_PK_KIDS</v>
      </c>
      <c r="K389" s="17">
        <f t="shared" si="129"/>
        <v>41715</v>
      </c>
      <c r="L389" s="12" t="str">
        <f t="shared" si="130"/>
        <v>201403</v>
      </c>
      <c r="M389" s="347" t="str">
        <f>VLOOKUP($K389,[3]주!$A:$F,6,FALSE)</f>
        <v>3월 2주</v>
      </c>
      <c r="N389" s="273" t="str">
        <f>IF(VLOOKUP($Z389,생산업체!$A:$C,2,FALSE)=1,"해외","국내")</f>
        <v>해외</v>
      </c>
      <c r="O389" s="12" t="str">
        <f>IF(VLOOKUP($U389,CODE!$K:$P,CODE!P$1,FALSE)="모자",T389,T389&amp;"-"&amp;VLOOKUP($U389,CODE!$K:$P,CODE!P$1,FALSE))</f>
        <v>JOI</v>
      </c>
      <c r="P389" s="11" t="s">
        <v>51</v>
      </c>
      <c r="R389" s="11">
        <v>24</v>
      </c>
      <c r="T389" s="8" t="s">
        <v>51</v>
      </c>
      <c r="U389" s="8" t="s">
        <v>28</v>
      </c>
      <c r="V389" s="8" t="s">
        <v>43</v>
      </c>
      <c r="W389" s="8" t="s">
        <v>1264</v>
      </c>
      <c r="X389" s="8" t="s">
        <v>905</v>
      </c>
      <c r="Y389" s="9">
        <v>1</v>
      </c>
      <c r="Z389" s="8" t="s">
        <v>1120</v>
      </c>
      <c r="AA389" s="10">
        <v>41662</v>
      </c>
      <c r="AB389" s="10">
        <v>41690</v>
      </c>
      <c r="AC389" s="10">
        <v>41715</v>
      </c>
      <c r="AD389" s="10">
        <v>41715</v>
      </c>
      <c r="AE389" s="8">
        <v>3.89</v>
      </c>
      <c r="AH389" s="8">
        <v>4</v>
      </c>
      <c r="AI389" s="8">
        <v>4</v>
      </c>
      <c r="AJ389" s="8" t="s">
        <v>1827</v>
      </c>
    </row>
    <row r="390" spans="1:36">
      <c r="A390" s="7">
        <f t="shared" si="120"/>
        <v>0.5</v>
      </c>
      <c r="B390" s="7" t="str">
        <f t="shared" si="121"/>
        <v>14FW JOIE BETE_15_PK_KIDS</v>
      </c>
      <c r="C390" s="7">
        <f t="shared" si="122"/>
        <v>1</v>
      </c>
      <c r="D390" s="7" t="str">
        <f t="shared" si="123"/>
        <v>FOREMOST14FW JOIE BETE_15_PK_KIDS</v>
      </c>
      <c r="E390" s="12" t="str">
        <f t="shared" si="124"/>
        <v>201401</v>
      </c>
      <c r="F390" s="347" t="str">
        <f>VLOOKUP($AA390,[3]주!$A:$F,6,FALSE)</f>
        <v>1월 4주</v>
      </c>
      <c r="G390" s="7">
        <f t="shared" si="125"/>
        <v>0.5</v>
      </c>
      <c r="H390" s="7" t="str">
        <f t="shared" si="126"/>
        <v>14FW JOIE BETE_15_PK_KIDS</v>
      </c>
      <c r="I390" s="7">
        <f t="shared" si="127"/>
        <v>1</v>
      </c>
      <c r="J390" s="7" t="str">
        <f t="shared" si="128"/>
        <v>FOREMOST14FW JOIE BETE_15_PK_KIDS</v>
      </c>
      <c r="K390" s="17">
        <f t="shared" si="129"/>
        <v>41715</v>
      </c>
      <c r="L390" s="12" t="str">
        <f t="shared" si="130"/>
        <v>201403</v>
      </c>
      <c r="M390" s="347" t="str">
        <f>VLOOKUP($K390,[3]주!$A:$F,6,FALSE)</f>
        <v>3월 2주</v>
      </c>
      <c r="N390" s="273" t="str">
        <f>IF(VLOOKUP($Z390,생산업체!$A:$C,2,FALSE)=1,"해외","국내")</f>
        <v>해외</v>
      </c>
      <c r="O390" s="12" t="str">
        <f>IF(VLOOKUP($U390,CODE!$K:$P,CODE!P$1,FALSE)="모자",T390,T390&amp;"-"&amp;VLOOKUP($U390,CODE!$K:$P,CODE!P$1,FALSE))</f>
        <v>JOI</v>
      </c>
      <c r="P390" s="11" t="s">
        <v>51</v>
      </c>
      <c r="R390" s="11">
        <v>25</v>
      </c>
      <c r="T390" s="8" t="s">
        <v>51</v>
      </c>
      <c r="U390" s="8" t="s">
        <v>56</v>
      </c>
      <c r="V390" s="8" t="s">
        <v>43</v>
      </c>
      <c r="W390" s="8" t="s">
        <v>1265</v>
      </c>
      <c r="X390" s="8" t="s">
        <v>905</v>
      </c>
      <c r="Y390" s="9">
        <v>0.5</v>
      </c>
      <c r="Z390" s="8" t="s">
        <v>6</v>
      </c>
      <c r="AA390" s="10">
        <v>41662</v>
      </c>
      <c r="AB390" s="10">
        <v>41690</v>
      </c>
      <c r="AC390" s="10">
        <v>41715</v>
      </c>
      <c r="AD390" s="10">
        <v>41715</v>
      </c>
      <c r="AE390" s="8">
        <v>7.5</v>
      </c>
      <c r="AH390" s="8">
        <v>3</v>
      </c>
      <c r="AI390" s="8">
        <v>3</v>
      </c>
    </row>
    <row r="391" spans="1:36">
      <c r="A391" s="7">
        <f t="shared" si="120"/>
        <v>0.5</v>
      </c>
      <c r="B391" s="7" t="str">
        <f t="shared" si="121"/>
        <v>14FW JOIE BETE_16_PK_KIDS</v>
      </c>
      <c r="C391" s="7">
        <f t="shared" si="122"/>
        <v>1</v>
      </c>
      <c r="D391" s="7" t="str">
        <f t="shared" si="123"/>
        <v>FOREMOST14FW JOIE BETE_16_PK_KIDS</v>
      </c>
      <c r="E391" s="12" t="str">
        <f t="shared" si="124"/>
        <v>201401</v>
      </c>
      <c r="F391" s="347" t="str">
        <f>VLOOKUP($AA391,[3]주!$A:$F,6,FALSE)</f>
        <v>1월 4주</v>
      </c>
      <c r="G391" s="7">
        <f t="shared" si="125"/>
        <v>0.5</v>
      </c>
      <c r="H391" s="7" t="str">
        <f t="shared" si="126"/>
        <v>14FW JOIE BETE_16_PK_KIDS</v>
      </c>
      <c r="I391" s="7">
        <f t="shared" si="127"/>
        <v>1</v>
      </c>
      <c r="J391" s="7" t="str">
        <f t="shared" si="128"/>
        <v>FOREMOST14FW JOIE BETE_16_PK_KIDS</v>
      </c>
      <c r="K391" s="17">
        <f t="shared" si="129"/>
        <v>41715</v>
      </c>
      <c r="L391" s="12" t="str">
        <f t="shared" si="130"/>
        <v>201403</v>
      </c>
      <c r="M391" s="347" t="str">
        <f>VLOOKUP($K391,[3]주!$A:$F,6,FALSE)</f>
        <v>3월 2주</v>
      </c>
      <c r="N391" s="273" t="str">
        <f>IF(VLOOKUP($Z391,생산업체!$A:$C,2,FALSE)=1,"해외","국내")</f>
        <v>해외</v>
      </c>
      <c r="O391" s="12" t="str">
        <f>IF(VLOOKUP($U391,CODE!$K:$P,CODE!P$1,FALSE)="모자",T391,T391&amp;"-"&amp;VLOOKUP($U391,CODE!$K:$P,CODE!P$1,FALSE))</f>
        <v>JOI-ACC</v>
      </c>
      <c r="P391" s="11" t="s">
        <v>52</v>
      </c>
      <c r="R391" s="11">
        <v>26</v>
      </c>
      <c r="T391" s="8" t="s">
        <v>51</v>
      </c>
      <c r="U391" s="8" t="s">
        <v>249</v>
      </c>
      <c r="V391" s="8" t="s">
        <v>43</v>
      </c>
      <c r="W391" s="8" t="s">
        <v>1266</v>
      </c>
      <c r="X391" s="8" t="s">
        <v>905</v>
      </c>
      <c r="Y391" s="9">
        <v>0.5</v>
      </c>
      <c r="Z391" s="8" t="s">
        <v>6</v>
      </c>
      <c r="AA391" s="10">
        <v>41662</v>
      </c>
      <c r="AB391" s="10">
        <v>41690</v>
      </c>
      <c r="AC391" s="10">
        <v>41715</v>
      </c>
      <c r="AD391" s="10">
        <v>41715</v>
      </c>
      <c r="AE391" s="8">
        <v>6.3</v>
      </c>
      <c r="AH391" s="8">
        <v>5</v>
      </c>
      <c r="AI391" s="8">
        <v>5</v>
      </c>
    </row>
    <row r="392" spans="1:36">
      <c r="A392" s="7">
        <f t="shared" si="120"/>
        <v>0.5</v>
      </c>
      <c r="B392" s="7" t="str">
        <f t="shared" si="121"/>
        <v>14FW JOIE BETE_17_PK_KIDS</v>
      </c>
      <c r="C392" s="7">
        <f t="shared" si="122"/>
        <v>1</v>
      </c>
      <c r="D392" s="7" t="str">
        <f t="shared" si="123"/>
        <v>FOREMOST14FW JOIE BETE_17_PK_KIDS</v>
      </c>
      <c r="E392" s="12" t="str">
        <f t="shared" si="124"/>
        <v>201401</v>
      </c>
      <c r="F392" s="347" t="str">
        <f>VLOOKUP($AA392,[3]주!$A:$F,6,FALSE)</f>
        <v>1월 4주</v>
      </c>
      <c r="G392" s="7">
        <f t="shared" si="125"/>
        <v>0.5</v>
      </c>
      <c r="H392" s="7" t="str">
        <f t="shared" si="126"/>
        <v>14FW JOIE BETE_17_PK_KIDS</v>
      </c>
      <c r="I392" s="7">
        <f t="shared" si="127"/>
        <v>1</v>
      </c>
      <c r="J392" s="7" t="str">
        <f t="shared" si="128"/>
        <v>FOREMOST14FW JOIE BETE_17_PK_KIDS</v>
      </c>
      <c r="K392" s="17">
        <f t="shared" si="129"/>
        <v>41722</v>
      </c>
      <c r="L392" s="12" t="str">
        <f t="shared" si="130"/>
        <v>201403</v>
      </c>
      <c r="M392" s="347" t="str">
        <f>VLOOKUP($K392,[3]주!$A:$F,6,FALSE)</f>
        <v>3월 2주</v>
      </c>
      <c r="N392" s="273" t="str">
        <f>IF(VLOOKUP($Z392,생산업체!$A:$C,2,FALSE)=1,"해외","국내")</f>
        <v>해외</v>
      </c>
      <c r="O392" s="12" t="str">
        <f>IF(VLOOKUP($U392,CODE!$K:$P,CODE!P$1,FALSE)="모자",T392,T392&amp;"-"&amp;VLOOKUP($U392,CODE!$K:$P,CODE!P$1,FALSE))</f>
        <v>JOI-ACC</v>
      </c>
      <c r="P392" s="11" t="s">
        <v>52</v>
      </c>
      <c r="R392" s="11">
        <v>27</v>
      </c>
      <c r="T392" s="8" t="s">
        <v>51</v>
      </c>
      <c r="U392" s="8" t="s">
        <v>249</v>
      </c>
      <c r="V392" s="8" t="s">
        <v>43</v>
      </c>
      <c r="W392" s="8" t="s">
        <v>1267</v>
      </c>
      <c r="X392" s="8" t="s">
        <v>905</v>
      </c>
      <c r="Y392" s="9">
        <v>0.5</v>
      </c>
      <c r="Z392" s="8" t="s">
        <v>6</v>
      </c>
      <c r="AA392" s="10">
        <v>41662</v>
      </c>
      <c r="AB392" s="10">
        <v>41690</v>
      </c>
      <c r="AC392" s="10">
        <v>41723</v>
      </c>
      <c r="AD392" s="10">
        <v>41722</v>
      </c>
      <c r="AE392" s="8">
        <v>8</v>
      </c>
      <c r="AH392" s="8">
        <v>5</v>
      </c>
      <c r="AI392" s="8">
        <v>5</v>
      </c>
    </row>
    <row r="393" spans="1:36">
      <c r="A393" s="7">
        <f t="shared" si="120"/>
        <v>0.5</v>
      </c>
      <c r="B393" s="7" t="str">
        <f t="shared" si="121"/>
        <v>14FW JOIE BETE_18_BL_KIDS</v>
      </c>
      <c r="C393" s="7">
        <f t="shared" si="122"/>
        <v>1</v>
      </c>
      <c r="D393" s="7" t="str">
        <f t="shared" si="123"/>
        <v>FOREMOST14FW JOIE BETE_18_BL_KIDS</v>
      </c>
      <c r="E393" s="12" t="str">
        <f t="shared" si="124"/>
        <v>201401</v>
      </c>
      <c r="F393" s="347" t="str">
        <f>VLOOKUP($AA393,[3]주!$A:$F,6,FALSE)</f>
        <v>1월 4주</v>
      </c>
      <c r="G393" s="7">
        <f t="shared" si="125"/>
        <v>0.5</v>
      </c>
      <c r="H393" s="7" t="str">
        <f t="shared" si="126"/>
        <v>14FW JOIE BETE_18_BL_KIDS</v>
      </c>
      <c r="I393" s="7">
        <f t="shared" si="127"/>
        <v>1</v>
      </c>
      <c r="J393" s="7" t="str">
        <f t="shared" si="128"/>
        <v>FOREMOST14FW JOIE BETE_18_BL_KIDS</v>
      </c>
      <c r="K393" s="17">
        <f t="shared" si="129"/>
        <v>41737</v>
      </c>
      <c r="L393" s="12" t="str">
        <f t="shared" si="130"/>
        <v>201404</v>
      </c>
      <c r="M393" s="347" t="str">
        <f>VLOOKUP($K393,[3]주!$A:$F,6,FALSE)</f>
        <v>3월 2주</v>
      </c>
      <c r="N393" s="273" t="str">
        <f>IF(VLOOKUP($Z393,생산업체!$A:$C,2,FALSE)=1,"해외","국내")</f>
        <v>해외</v>
      </c>
      <c r="O393" s="12" t="str">
        <f>IF(VLOOKUP($U393,CODE!$K:$P,CODE!P$1,FALSE)="모자",T393,T393&amp;"-"&amp;VLOOKUP($U393,CODE!$K:$P,CODE!P$1,FALSE))</f>
        <v>JOI</v>
      </c>
      <c r="P393" s="11" t="s">
        <v>51</v>
      </c>
      <c r="R393" s="11">
        <v>28</v>
      </c>
      <c r="T393" s="8" t="s">
        <v>51</v>
      </c>
      <c r="U393" s="8" t="s">
        <v>56</v>
      </c>
      <c r="V393" s="8" t="s">
        <v>43</v>
      </c>
      <c r="W393" s="8" t="s">
        <v>1268</v>
      </c>
      <c r="X393" s="8" t="s">
        <v>905</v>
      </c>
      <c r="Y393" s="9">
        <v>0.5</v>
      </c>
      <c r="Z393" s="8" t="s">
        <v>6</v>
      </c>
      <c r="AA393" s="10">
        <v>41662</v>
      </c>
      <c r="AB393" s="10">
        <v>41690</v>
      </c>
      <c r="AC393" s="10">
        <v>41740</v>
      </c>
      <c r="AD393" s="10">
        <v>41737</v>
      </c>
      <c r="AE393" s="8">
        <v>7.2</v>
      </c>
      <c r="AH393" s="8">
        <v>3</v>
      </c>
      <c r="AI393" s="8">
        <v>3</v>
      </c>
    </row>
    <row r="394" spans="1:36">
      <c r="A394" s="7">
        <f t="shared" si="120"/>
        <v>0.5</v>
      </c>
      <c r="B394" s="7" t="str">
        <f t="shared" si="121"/>
        <v>14FW JOIE BETE_19_BL_KIDS</v>
      </c>
      <c r="C394" s="7">
        <f t="shared" si="122"/>
        <v>1</v>
      </c>
      <c r="D394" s="7" t="str">
        <f t="shared" si="123"/>
        <v>FOREMOST14FW JOIE BETE_19_BL_KIDS</v>
      </c>
      <c r="E394" s="12" t="str">
        <f t="shared" si="124"/>
        <v>201401</v>
      </c>
      <c r="F394" s="347" t="str">
        <f>VLOOKUP($AA394,[3]주!$A:$F,6,FALSE)</f>
        <v>1월 4주</v>
      </c>
      <c r="G394" s="7">
        <f t="shared" si="125"/>
        <v>0.5</v>
      </c>
      <c r="H394" s="7" t="str">
        <f t="shared" si="126"/>
        <v>14FW JOIE BETE_19_BL_KIDS</v>
      </c>
      <c r="I394" s="7">
        <f t="shared" si="127"/>
        <v>1</v>
      </c>
      <c r="J394" s="7" t="str">
        <f t="shared" si="128"/>
        <v>FOREMOST14FW JOIE BETE_19_BL_KIDS</v>
      </c>
      <c r="K394" s="17">
        <f t="shared" si="129"/>
        <v>41737</v>
      </c>
      <c r="L394" s="12" t="str">
        <f t="shared" si="130"/>
        <v>201404</v>
      </c>
      <c r="M394" s="347" t="str">
        <f>VLOOKUP($K394,[3]주!$A:$F,6,FALSE)</f>
        <v>3월 2주</v>
      </c>
      <c r="N394" s="273" t="str">
        <f>IF(VLOOKUP($Z394,생산업체!$A:$C,2,FALSE)=1,"해외","국내")</f>
        <v>해외</v>
      </c>
      <c r="O394" s="12" t="str">
        <f>IF(VLOOKUP($U394,CODE!$K:$P,CODE!P$1,FALSE)="모자",T394,T394&amp;"-"&amp;VLOOKUP($U394,CODE!$K:$P,CODE!P$1,FALSE))</f>
        <v>JOI-ACC</v>
      </c>
      <c r="P394" s="11" t="s">
        <v>52</v>
      </c>
      <c r="R394" s="11">
        <v>29</v>
      </c>
      <c r="T394" s="8" t="s">
        <v>51</v>
      </c>
      <c r="U394" s="8" t="s">
        <v>249</v>
      </c>
      <c r="V394" s="8" t="s">
        <v>43</v>
      </c>
      <c r="W394" s="8" t="s">
        <v>1269</v>
      </c>
      <c r="X394" s="8" t="s">
        <v>905</v>
      </c>
      <c r="Y394" s="9">
        <v>0.5</v>
      </c>
      <c r="Z394" s="8" t="s">
        <v>6</v>
      </c>
      <c r="AA394" s="10">
        <v>41662</v>
      </c>
      <c r="AB394" s="10">
        <v>41690</v>
      </c>
      <c r="AC394" s="10">
        <v>41740</v>
      </c>
      <c r="AD394" s="10">
        <v>41737</v>
      </c>
      <c r="AE394" s="8">
        <v>6.1</v>
      </c>
      <c r="AH394" s="8">
        <v>5</v>
      </c>
      <c r="AI394" s="8">
        <v>5</v>
      </c>
    </row>
    <row r="395" spans="1:36">
      <c r="A395" s="7">
        <f t="shared" si="120"/>
        <v>0.5</v>
      </c>
      <c r="B395" s="7" t="str">
        <f t="shared" si="121"/>
        <v>14FW JOIE BETE_20_BL_KIDS</v>
      </c>
      <c r="C395" s="7">
        <f t="shared" si="122"/>
        <v>1</v>
      </c>
      <c r="D395" s="7" t="str">
        <f t="shared" si="123"/>
        <v>FOREMOST14FW JOIE BETE_20_BL_KIDS</v>
      </c>
      <c r="E395" s="12" t="str">
        <f t="shared" si="124"/>
        <v>201401</v>
      </c>
      <c r="F395" s="347" t="str">
        <f>VLOOKUP($AA395,[3]주!$A:$F,6,FALSE)</f>
        <v>1월 4주</v>
      </c>
      <c r="G395" s="7">
        <f t="shared" si="125"/>
        <v>0.5</v>
      </c>
      <c r="H395" s="7" t="str">
        <f t="shared" si="126"/>
        <v>14FW JOIE BETE_20_BL_KIDS</v>
      </c>
      <c r="I395" s="7">
        <f t="shared" si="127"/>
        <v>1</v>
      </c>
      <c r="J395" s="7" t="str">
        <f t="shared" si="128"/>
        <v>FOREMOST14FW JOIE BETE_20_BL_KIDS</v>
      </c>
      <c r="K395" s="17">
        <f t="shared" si="129"/>
        <v>41749</v>
      </c>
      <c r="L395" s="12" t="str">
        <f t="shared" si="130"/>
        <v>201404</v>
      </c>
      <c r="M395" s="347" t="str">
        <f>VLOOKUP($K395,[3]주!$A:$F,6,FALSE)</f>
        <v>3월 2주</v>
      </c>
      <c r="N395" s="273" t="str">
        <f>IF(VLOOKUP($Z395,생산업체!$A:$C,2,FALSE)=1,"해외","국내")</f>
        <v>해외</v>
      </c>
      <c r="O395" s="12" t="str">
        <f>IF(VLOOKUP($U395,CODE!$K:$P,CODE!P$1,FALSE)="모자",T395,T395&amp;"-"&amp;VLOOKUP($U395,CODE!$K:$P,CODE!P$1,FALSE))</f>
        <v>JOI-ACC</v>
      </c>
      <c r="P395" s="11" t="s">
        <v>52</v>
      </c>
      <c r="R395" s="11">
        <v>30</v>
      </c>
      <c r="T395" s="8" t="s">
        <v>51</v>
      </c>
      <c r="U395" s="8" t="s">
        <v>249</v>
      </c>
      <c r="V395" s="8" t="s">
        <v>43</v>
      </c>
      <c r="W395" s="8" t="s">
        <v>1270</v>
      </c>
      <c r="X395" s="8" t="s">
        <v>905</v>
      </c>
      <c r="Y395" s="9">
        <v>0.5</v>
      </c>
      <c r="Z395" s="8" t="s">
        <v>6</v>
      </c>
      <c r="AA395" s="10">
        <v>41662</v>
      </c>
      <c r="AB395" s="10">
        <v>41690</v>
      </c>
      <c r="AC395" s="10">
        <v>41740</v>
      </c>
      <c r="AD395" s="10">
        <v>41749</v>
      </c>
      <c r="AE395" s="8">
        <v>7.2</v>
      </c>
      <c r="AH395" s="8">
        <v>5</v>
      </c>
      <c r="AI395" s="8">
        <v>5</v>
      </c>
    </row>
    <row r="396" spans="1:36">
      <c r="A396" s="7">
        <f t="shared" si="120"/>
        <v>0.5</v>
      </c>
      <c r="B396" s="7" t="str">
        <f t="shared" si="121"/>
        <v>14FW JOIE BETE_21_PK_KIDS</v>
      </c>
      <c r="C396" s="7">
        <f t="shared" si="122"/>
        <v>1</v>
      </c>
      <c r="D396" s="7" t="str">
        <f t="shared" si="123"/>
        <v>FOREMOST14FW JOIE BETE_21_PK_KIDS</v>
      </c>
      <c r="E396" s="12" t="str">
        <f t="shared" si="124"/>
        <v>201401</v>
      </c>
      <c r="F396" s="347" t="str">
        <f>VLOOKUP($AA396,[3]주!$A:$F,6,FALSE)</f>
        <v>1월 4주</v>
      </c>
      <c r="G396" s="7">
        <f t="shared" si="125"/>
        <v>0.5</v>
      </c>
      <c r="H396" s="7" t="str">
        <f t="shared" si="126"/>
        <v>14FW JOIE BETE_21_PK_KIDS</v>
      </c>
      <c r="I396" s="7">
        <f t="shared" si="127"/>
        <v>1</v>
      </c>
      <c r="J396" s="7" t="str">
        <f t="shared" si="128"/>
        <v>FOREMOST14FW JOIE BETE_21_PK_KIDS</v>
      </c>
      <c r="K396" s="17">
        <f t="shared" si="129"/>
        <v>41731</v>
      </c>
      <c r="L396" s="12" t="str">
        <f t="shared" si="130"/>
        <v>201404</v>
      </c>
      <c r="M396" s="347" t="str">
        <f>VLOOKUP($K396,[3]주!$A:$F,6,FALSE)</f>
        <v>3월 2주</v>
      </c>
      <c r="N396" s="273" t="str">
        <f>IF(VLOOKUP($Z396,생산업체!$A:$C,2,FALSE)=1,"해외","국내")</f>
        <v>해외</v>
      </c>
      <c r="O396" s="12" t="str">
        <f>IF(VLOOKUP($U396,CODE!$K:$P,CODE!P$1,FALSE)="모자",T396,T396&amp;"-"&amp;VLOOKUP($U396,CODE!$K:$P,CODE!P$1,FALSE))</f>
        <v>JOI-ACC</v>
      </c>
      <c r="P396" s="11" t="s">
        <v>52</v>
      </c>
      <c r="R396" s="11">
        <v>31</v>
      </c>
      <c r="T396" s="8" t="s">
        <v>51</v>
      </c>
      <c r="U396" s="8" t="s">
        <v>249</v>
      </c>
      <c r="V396" s="8" t="s">
        <v>43</v>
      </c>
      <c r="W396" s="8" t="s">
        <v>1271</v>
      </c>
      <c r="X396" s="8" t="s">
        <v>905</v>
      </c>
      <c r="Y396" s="9">
        <v>0.5</v>
      </c>
      <c r="Z396" s="8" t="s">
        <v>6</v>
      </c>
      <c r="AA396" s="10">
        <v>41662</v>
      </c>
      <c r="AB396" s="10">
        <v>41690</v>
      </c>
      <c r="AC396" s="10">
        <v>41723</v>
      </c>
      <c r="AD396" s="10">
        <v>41731</v>
      </c>
      <c r="AE396" s="8">
        <v>4.8499999999999996</v>
      </c>
      <c r="AH396" s="8">
        <v>3</v>
      </c>
      <c r="AI396" s="8">
        <v>3</v>
      </c>
    </row>
    <row r="397" spans="1:36">
      <c r="A397" s="7">
        <f t="shared" si="120"/>
        <v>0.5</v>
      </c>
      <c r="B397" s="7" t="str">
        <f t="shared" ref="B397:B460" si="131">IF(AA397="","",W397)</f>
        <v>14FW JOIE BETE_15_PK_KIDS</v>
      </c>
      <c r="C397" s="7">
        <f t="shared" si="122"/>
        <v>1</v>
      </c>
      <c r="D397" s="7" t="str">
        <f t="shared" ref="D397:D460" si="132">IF(AA397="","",Z397&amp;W397)</f>
        <v>KIDS FIRST TOYS14FW JOIE BETE_15_PK_KIDS</v>
      </c>
      <c r="E397" s="12" t="str">
        <f t="shared" ref="E397:E460" si="133">IF(YEAR(AA397)&lt;10,0&amp;YEAR(AA397),YEAR(AA397))&amp;IF(MONTH(AA397)&lt;10,0&amp;MONTH(AA397),MONTH(AA397))</f>
        <v>201401</v>
      </c>
      <c r="F397" s="347" t="str">
        <f>VLOOKUP($AA397,[3]주!$A:$F,6,FALSE)</f>
        <v>1월 4주</v>
      </c>
      <c r="G397" s="7">
        <f t="shared" si="125"/>
        <v>0.5</v>
      </c>
      <c r="H397" s="7" t="str">
        <f t="shared" ref="H397:H460" si="134">IF(AD397="","",W397)</f>
        <v>14FW JOIE BETE_15_PK_KIDS</v>
      </c>
      <c r="I397" s="7">
        <f t="shared" si="127"/>
        <v>1</v>
      </c>
      <c r="J397" s="7" t="str">
        <f t="shared" ref="J397:J460" si="135">IF(AD397="","",Z397&amp;W397)</f>
        <v>KIDS FIRST TOYS14FW JOIE BETE_15_PK_KIDS</v>
      </c>
      <c r="K397" s="17">
        <f t="shared" ref="K397:K460" si="136">IF(AD397="",AC397,AD397)</f>
        <v>41715</v>
      </c>
      <c r="L397" s="12" t="str">
        <f t="shared" ref="L397:L460" si="137">IF(YEAR(K397)&lt;10,0&amp;YEAR(K397),YEAR(K397))&amp;IF(MONTH(K397)&lt;10,0&amp;MONTH(K397),MONTH(K397))</f>
        <v>201403</v>
      </c>
      <c r="M397" s="347" t="str">
        <f>VLOOKUP($K397,[3]주!$A:$F,6,FALSE)</f>
        <v>3월 2주</v>
      </c>
      <c r="N397" s="273" t="str">
        <f>IF(VLOOKUP($Z397,생산업체!$A:$C,2,FALSE)=1,"해외","국내")</f>
        <v>해외</v>
      </c>
      <c r="O397" s="12" t="str">
        <f>IF(VLOOKUP($U397,CODE!$K:$P,CODE!P$1,FALSE)="모자",T397,T397&amp;"-"&amp;VLOOKUP($U397,CODE!$K:$P,CODE!P$1,FALSE))</f>
        <v>JOI</v>
      </c>
      <c r="P397" s="11" t="s">
        <v>51</v>
      </c>
      <c r="R397" s="11">
        <v>32</v>
      </c>
      <c r="T397" s="8" t="s">
        <v>51</v>
      </c>
      <c r="U397" s="8" t="s">
        <v>56</v>
      </c>
      <c r="V397" s="8" t="s">
        <v>43</v>
      </c>
      <c r="W397" s="8" t="s">
        <v>1265</v>
      </c>
      <c r="X397" s="8" t="s">
        <v>905</v>
      </c>
      <c r="Y397" s="9">
        <v>0.5</v>
      </c>
      <c r="Z397" s="8" t="s">
        <v>1120</v>
      </c>
      <c r="AA397" s="10">
        <v>41662</v>
      </c>
      <c r="AB397" s="10">
        <v>41690</v>
      </c>
      <c r="AC397" s="10">
        <v>41715</v>
      </c>
      <c r="AD397" s="10">
        <v>41715</v>
      </c>
      <c r="AE397" s="8">
        <v>6.24</v>
      </c>
      <c r="AH397" s="8">
        <v>3</v>
      </c>
      <c r="AI397" s="8">
        <v>3</v>
      </c>
      <c r="AJ397" s="8" t="s">
        <v>1827</v>
      </c>
    </row>
    <row r="398" spans="1:36">
      <c r="A398" s="7">
        <f t="shared" si="120"/>
        <v>0.5</v>
      </c>
      <c r="B398" s="7" t="str">
        <f t="shared" si="131"/>
        <v>14FW JOIE BETE_16_PK_KIDS</v>
      </c>
      <c r="C398" s="7">
        <f t="shared" si="122"/>
        <v>1</v>
      </c>
      <c r="D398" s="7" t="str">
        <f t="shared" si="132"/>
        <v>KIDS FIRST TOYS14FW JOIE BETE_16_PK_KIDS</v>
      </c>
      <c r="E398" s="12" t="str">
        <f t="shared" si="133"/>
        <v>201401</v>
      </c>
      <c r="F398" s="347" t="str">
        <f>VLOOKUP($AA398,[3]주!$A:$F,6,FALSE)</f>
        <v>1월 4주</v>
      </c>
      <c r="G398" s="7">
        <f t="shared" si="125"/>
        <v>0.5</v>
      </c>
      <c r="H398" s="7" t="str">
        <f t="shared" si="134"/>
        <v>14FW JOIE BETE_16_PK_KIDS</v>
      </c>
      <c r="I398" s="7">
        <f t="shared" si="127"/>
        <v>1</v>
      </c>
      <c r="J398" s="7" t="str">
        <f t="shared" si="135"/>
        <v>KIDS FIRST TOYS14FW JOIE BETE_16_PK_KIDS</v>
      </c>
      <c r="K398" s="17">
        <f t="shared" si="136"/>
        <v>41715</v>
      </c>
      <c r="L398" s="12" t="str">
        <f t="shared" si="137"/>
        <v>201403</v>
      </c>
      <c r="M398" s="347" t="str">
        <f>VLOOKUP($K398,[3]주!$A:$F,6,FALSE)</f>
        <v>3월 2주</v>
      </c>
      <c r="N398" s="273" t="str">
        <f>IF(VLOOKUP($Z398,생산업체!$A:$C,2,FALSE)=1,"해외","국내")</f>
        <v>해외</v>
      </c>
      <c r="O398" s="12" t="str">
        <f>IF(VLOOKUP($U398,CODE!$K:$P,CODE!P$1,FALSE)="모자",T398,T398&amp;"-"&amp;VLOOKUP($U398,CODE!$K:$P,CODE!P$1,FALSE))</f>
        <v>JOI-ACC</v>
      </c>
      <c r="P398" s="11" t="s">
        <v>52</v>
      </c>
      <c r="R398" s="11">
        <v>33</v>
      </c>
      <c r="T398" s="8" t="s">
        <v>51</v>
      </c>
      <c r="U398" s="8" t="s">
        <v>249</v>
      </c>
      <c r="V398" s="8" t="s">
        <v>43</v>
      </c>
      <c r="W398" s="8" t="s">
        <v>1266</v>
      </c>
      <c r="X398" s="8" t="s">
        <v>905</v>
      </c>
      <c r="Y398" s="9">
        <v>0.5</v>
      </c>
      <c r="Z398" s="8" t="s">
        <v>1120</v>
      </c>
      <c r="AA398" s="10">
        <v>41662</v>
      </c>
      <c r="AB398" s="10">
        <v>41690</v>
      </c>
      <c r="AC398" s="10">
        <v>41715</v>
      </c>
      <c r="AD398" s="10">
        <v>41715</v>
      </c>
      <c r="AE398" s="8">
        <v>5.21</v>
      </c>
      <c r="AH398" s="8">
        <v>5</v>
      </c>
      <c r="AI398" s="8">
        <v>5</v>
      </c>
      <c r="AJ398" s="8" t="s">
        <v>1827</v>
      </c>
    </row>
    <row r="399" spans="1:36">
      <c r="A399" s="7">
        <f t="shared" si="120"/>
        <v>0.5</v>
      </c>
      <c r="B399" s="7" t="str">
        <f t="shared" si="131"/>
        <v>14FW JOIE BETE_17_PK_KIDS</v>
      </c>
      <c r="C399" s="7">
        <f t="shared" si="122"/>
        <v>1</v>
      </c>
      <c r="D399" s="7" t="str">
        <f t="shared" si="132"/>
        <v>KIDS FIRST TOYS14FW JOIE BETE_17_PK_KIDS</v>
      </c>
      <c r="E399" s="12" t="str">
        <f t="shared" si="133"/>
        <v>201401</v>
      </c>
      <c r="F399" s="347" t="str">
        <f>VLOOKUP($AA399,[3]주!$A:$F,6,FALSE)</f>
        <v>1월 4주</v>
      </c>
      <c r="G399" s="7">
        <f t="shared" si="125"/>
        <v>0.5</v>
      </c>
      <c r="H399" s="7" t="str">
        <f t="shared" si="134"/>
        <v>14FW JOIE BETE_17_PK_KIDS</v>
      </c>
      <c r="I399" s="7">
        <f t="shared" si="127"/>
        <v>1</v>
      </c>
      <c r="J399" s="7" t="str">
        <f t="shared" si="135"/>
        <v>KIDS FIRST TOYS14FW JOIE BETE_17_PK_KIDS</v>
      </c>
      <c r="K399" s="17">
        <f t="shared" si="136"/>
        <v>41715</v>
      </c>
      <c r="L399" s="12" t="str">
        <f t="shared" si="137"/>
        <v>201403</v>
      </c>
      <c r="M399" s="347" t="str">
        <f>VLOOKUP($K399,[3]주!$A:$F,6,FALSE)</f>
        <v>3월 2주</v>
      </c>
      <c r="N399" s="273" t="str">
        <f>IF(VLOOKUP($Z399,생산업체!$A:$C,2,FALSE)=1,"해외","국내")</f>
        <v>해외</v>
      </c>
      <c r="O399" s="12" t="str">
        <f>IF(VLOOKUP($U399,CODE!$K:$P,CODE!P$1,FALSE)="모자",T399,T399&amp;"-"&amp;VLOOKUP($U399,CODE!$K:$P,CODE!P$1,FALSE))</f>
        <v>JOI-ACC</v>
      </c>
      <c r="P399" s="11" t="s">
        <v>52</v>
      </c>
      <c r="R399" s="11">
        <v>34</v>
      </c>
      <c r="T399" s="8" t="s">
        <v>51</v>
      </c>
      <c r="U399" s="8" t="s">
        <v>249</v>
      </c>
      <c r="V399" s="8" t="s">
        <v>43</v>
      </c>
      <c r="W399" s="8" t="s">
        <v>1267</v>
      </c>
      <c r="X399" s="8" t="s">
        <v>905</v>
      </c>
      <c r="Y399" s="9">
        <v>0.5</v>
      </c>
      <c r="Z399" s="8" t="s">
        <v>1120</v>
      </c>
      <c r="AA399" s="10">
        <v>41662</v>
      </c>
      <c r="AB399" s="10">
        <v>41690</v>
      </c>
      <c r="AC399" s="10">
        <v>41715</v>
      </c>
      <c r="AD399" s="10">
        <v>41715</v>
      </c>
      <c r="AE399" s="8">
        <v>5.27</v>
      </c>
      <c r="AH399" s="8">
        <v>5</v>
      </c>
      <c r="AI399" s="8">
        <v>5</v>
      </c>
      <c r="AJ399" s="8" t="s">
        <v>1827</v>
      </c>
    </row>
    <row r="400" spans="1:36">
      <c r="A400" s="7">
        <f t="shared" si="120"/>
        <v>0.5</v>
      </c>
      <c r="B400" s="7" t="str">
        <f t="shared" si="131"/>
        <v>14FW JOIE BETE_18_BL_KIDS</v>
      </c>
      <c r="C400" s="7">
        <f t="shared" si="122"/>
        <v>1</v>
      </c>
      <c r="D400" s="7" t="str">
        <f t="shared" si="132"/>
        <v>KIDS FIRST TOYS14FW JOIE BETE_18_BL_KIDS</v>
      </c>
      <c r="E400" s="12" t="str">
        <f t="shared" si="133"/>
        <v>201401</v>
      </c>
      <c r="F400" s="347" t="str">
        <f>VLOOKUP($AA400,[3]주!$A:$F,6,FALSE)</f>
        <v>1월 4주</v>
      </c>
      <c r="G400" s="7">
        <f t="shared" si="125"/>
        <v>0.5</v>
      </c>
      <c r="H400" s="7" t="str">
        <f t="shared" si="134"/>
        <v>14FW JOIE BETE_18_BL_KIDS</v>
      </c>
      <c r="I400" s="7">
        <f t="shared" si="127"/>
        <v>1</v>
      </c>
      <c r="J400" s="7" t="str">
        <f t="shared" si="135"/>
        <v>KIDS FIRST TOYS14FW JOIE BETE_18_BL_KIDS</v>
      </c>
      <c r="K400" s="17">
        <v>41764</v>
      </c>
      <c r="L400" s="12" t="str">
        <f t="shared" si="137"/>
        <v>201405</v>
      </c>
      <c r="M400" s="347" t="str">
        <f>VLOOKUP($K400,[3]주!$A:$F,6,FALSE)</f>
        <v>3월 2주</v>
      </c>
      <c r="N400" s="273" t="str">
        <f>IF(VLOOKUP($Z400,생산업체!$A:$C,2,FALSE)=1,"해외","국내")</f>
        <v>해외</v>
      </c>
      <c r="O400" s="12" t="str">
        <f>IF(VLOOKUP($U400,CODE!$K:$P,CODE!P$1,FALSE)="모자",T400,T400&amp;"-"&amp;VLOOKUP($U400,CODE!$K:$P,CODE!P$1,FALSE))</f>
        <v>JOI</v>
      </c>
      <c r="P400" s="11" t="s">
        <v>51</v>
      </c>
      <c r="R400" s="11">
        <v>35</v>
      </c>
      <c r="T400" s="8" t="s">
        <v>51</v>
      </c>
      <c r="U400" s="8" t="s">
        <v>56</v>
      </c>
      <c r="V400" s="8" t="s">
        <v>43</v>
      </c>
      <c r="W400" s="8" t="s">
        <v>1268</v>
      </c>
      <c r="X400" s="8" t="s">
        <v>905</v>
      </c>
      <c r="Y400" s="9">
        <v>0.5</v>
      </c>
      <c r="Z400" s="8" t="s">
        <v>1120</v>
      </c>
      <c r="AA400" s="10">
        <v>41662</v>
      </c>
      <c r="AB400" s="10">
        <v>41690</v>
      </c>
      <c r="AC400" s="10">
        <v>41715</v>
      </c>
      <c r="AD400" s="10">
        <v>41715</v>
      </c>
      <c r="AE400" s="8">
        <v>5.99</v>
      </c>
      <c r="AH400" s="8">
        <v>3</v>
      </c>
      <c r="AI400" s="8">
        <v>3</v>
      </c>
      <c r="AJ400" s="8" t="s">
        <v>1827</v>
      </c>
    </row>
    <row r="401" spans="1:36">
      <c r="A401" s="7">
        <f t="shared" si="120"/>
        <v>0.5</v>
      </c>
      <c r="B401" s="7" t="str">
        <f t="shared" si="131"/>
        <v>14FW JOIE BETE_19_BL_KIDS</v>
      </c>
      <c r="C401" s="7">
        <f t="shared" si="122"/>
        <v>1</v>
      </c>
      <c r="D401" s="7" t="str">
        <f t="shared" si="132"/>
        <v>KIDS FIRST TOYS14FW JOIE BETE_19_BL_KIDS</v>
      </c>
      <c r="E401" s="12" t="str">
        <f t="shared" si="133"/>
        <v>201401</v>
      </c>
      <c r="F401" s="347" t="str">
        <f>VLOOKUP($AA401,[3]주!$A:$F,6,FALSE)</f>
        <v>1월 4주</v>
      </c>
      <c r="G401" s="7">
        <f t="shared" si="125"/>
        <v>0.5</v>
      </c>
      <c r="H401" s="7" t="str">
        <f t="shared" si="134"/>
        <v>14FW JOIE BETE_19_BL_KIDS</v>
      </c>
      <c r="I401" s="7">
        <f t="shared" si="127"/>
        <v>1</v>
      </c>
      <c r="J401" s="7" t="str">
        <f t="shared" si="135"/>
        <v>KIDS FIRST TOYS14FW JOIE BETE_19_BL_KIDS</v>
      </c>
      <c r="K401" s="17">
        <v>41765</v>
      </c>
      <c r="L401" s="12" t="str">
        <f t="shared" si="137"/>
        <v>201405</v>
      </c>
      <c r="M401" s="347" t="str">
        <f>VLOOKUP($K401,[3]주!$A:$F,6,FALSE)</f>
        <v>3월 2주</v>
      </c>
      <c r="N401" s="273" t="str">
        <f>IF(VLOOKUP($Z401,생산업체!$A:$C,2,FALSE)=1,"해외","국내")</f>
        <v>해외</v>
      </c>
      <c r="O401" s="12" t="str">
        <f>IF(VLOOKUP($U401,CODE!$K:$P,CODE!P$1,FALSE)="모자",T401,T401&amp;"-"&amp;VLOOKUP($U401,CODE!$K:$P,CODE!P$1,FALSE))</f>
        <v>JOI-ACC</v>
      </c>
      <c r="P401" s="11" t="s">
        <v>52</v>
      </c>
      <c r="R401" s="11">
        <v>36</v>
      </c>
      <c r="T401" s="8" t="s">
        <v>51</v>
      </c>
      <c r="U401" s="8" t="s">
        <v>249</v>
      </c>
      <c r="V401" s="8" t="s">
        <v>43</v>
      </c>
      <c r="W401" s="8" t="s">
        <v>1269</v>
      </c>
      <c r="X401" s="8" t="s">
        <v>905</v>
      </c>
      <c r="Y401" s="9">
        <v>0.5</v>
      </c>
      <c r="Z401" s="8" t="s">
        <v>1120</v>
      </c>
      <c r="AA401" s="10">
        <v>41662</v>
      </c>
      <c r="AB401" s="10">
        <v>41690</v>
      </c>
      <c r="AC401" s="10">
        <v>41715</v>
      </c>
      <c r="AD401" s="10">
        <v>41715</v>
      </c>
      <c r="AE401" s="8">
        <v>5.12</v>
      </c>
      <c r="AH401" s="8">
        <v>5</v>
      </c>
      <c r="AI401" s="8">
        <v>5</v>
      </c>
      <c r="AJ401" s="8" t="s">
        <v>1827</v>
      </c>
    </row>
    <row r="402" spans="1:36">
      <c r="A402" s="7">
        <f t="shared" si="120"/>
        <v>0.5</v>
      </c>
      <c r="B402" s="7" t="str">
        <f t="shared" si="131"/>
        <v>14FW JOIE BETE_20_BL_KIDS</v>
      </c>
      <c r="C402" s="7">
        <f t="shared" si="122"/>
        <v>1</v>
      </c>
      <c r="D402" s="7" t="str">
        <f t="shared" si="132"/>
        <v>KIDS FIRST TOYS14FW JOIE BETE_20_BL_KIDS</v>
      </c>
      <c r="E402" s="12" t="str">
        <f t="shared" si="133"/>
        <v>201401</v>
      </c>
      <c r="F402" s="347" t="str">
        <f>VLOOKUP($AA402,[3]주!$A:$F,6,FALSE)</f>
        <v>1월 4주</v>
      </c>
      <c r="G402" s="7">
        <f t="shared" si="125"/>
        <v>0.5</v>
      </c>
      <c r="H402" s="7" t="str">
        <f t="shared" si="134"/>
        <v>14FW JOIE BETE_20_BL_KIDS</v>
      </c>
      <c r="I402" s="7">
        <f t="shared" si="127"/>
        <v>1</v>
      </c>
      <c r="J402" s="7" t="str">
        <f t="shared" si="135"/>
        <v>KIDS FIRST TOYS14FW JOIE BETE_20_BL_KIDS</v>
      </c>
      <c r="K402" s="17">
        <v>41766</v>
      </c>
      <c r="L402" s="12" t="str">
        <f t="shared" si="137"/>
        <v>201405</v>
      </c>
      <c r="M402" s="347" t="str">
        <f>VLOOKUP($K402,[3]주!$A:$F,6,FALSE)</f>
        <v>3월 2주</v>
      </c>
      <c r="N402" s="273" t="str">
        <f>IF(VLOOKUP($Z402,생산업체!$A:$C,2,FALSE)=1,"해외","국내")</f>
        <v>해외</v>
      </c>
      <c r="O402" s="12" t="str">
        <f>IF(VLOOKUP($U402,CODE!$K:$P,CODE!P$1,FALSE)="모자",T402,T402&amp;"-"&amp;VLOOKUP($U402,CODE!$K:$P,CODE!P$1,FALSE))</f>
        <v>JOI-ACC</v>
      </c>
      <c r="P402" s="11" t="s">
        <v>52</v>
      </c>
      <c r="R402" s="11">
        <v>37</v>
      </c>
      <c r="T402" s="8" t="s">
        <v>51</v>
      </c>
      <c r="U402" s="8" t="s">
        <v>249</v>
      </c>
      <c r="V402" s="8" t="s">
        <v>43</v>
      </c>
      <c r="W402" s="8" t="s">
        <v>1270</v>
      </c>
      <c r="X402" s="8" t="s">
        <v>905</v>
      </c>
      <c r="Y402" s="9">
        <v>0.5</v>
      </c>
      <c r="Z402" s="8" t="s">
        <v>1120</v>
      </c>
      <c r="AA402" s="10">
        <v>41662</v>
      </c>
      <c r="AB402" s="10">
        <v>41690</v>
      </c>
      <c r="AC402" s="10">
        <v>41715</v>
      </c>
      <c r="AD402" s="10">
        <v>41715</v>
      </c>
      <c r="AE402" s="8">
        <v>5.0199999999999996</v>
      </c>
      <c r="AH402" s="8">
        <v>5</v>
      </c>
      <c r="AI402" s="8">
        <v>5</v>
      </c>
      <c r="AJ402" s="8" t="s">
        <v>1827</v>
      </c>
    </row>
    <row r="403" spans="1:36">
      <c r="A403" s="7">
        <f t="shared" si="120"/>
        <v>0.5</v>
      </c>
      <c r="B403" s="7" t="str">
        <f t="shared" si="131"/>
        <v>14FW JOIE BETE_21_PK_KIDS</v>
      </c>
      <c r="C403" s="7">
        <f t="shared" si="122"/>
        <v>1</v>
      </c>
      <c r="D403" s="7" t="str">
        <f t="shared" si="132"/>
        <v>KIDS FIRST TOYS14FW JOIE BETE_21_PK_KIDS</v>
      </c>
      <c r="E403" s="12" t="str">
        <f t="shared" si="133"/>
        <v>201401</v>
      </c>
      <c r="F403" s="347" t="str">
        <f>VLOOKUP($AA403,[3]주!$A:$F,6,FALSE)</f>
        <v>1월 4주</v>
      </c>
      <c r="G403" s="7">
        <f t="shared" si="125"/>
        <v>0.5</v>
      </c>
      <c r="H403" s="7" t="str">
        <f t="shared" si="134"/>
        <v>14FW JOIE BETE_21_PK_KIDS</v>
      </c>
      <c r="I403" s="7">
        <f t="shared" si="127"/>
        <v>1</v>
      </c>
      <c r="J403" s="7" t="str">
        <f t="shared" si="135"/>
        <v>KIDS FIRST TOYS14FW JOIE BETE_21_PK_KIDS</v>
      </c>
      <c r="K403" s="17">
        <v>41767</v>
      </c>
      <c r="L403" s="12" t="str">
        <f t="shared" si="137"/>
        <v>201405</v>
      </c>
      <c r="M403" s="347" t="str">
        <f>VLOOKUP($K403,[3]주!$A:$F,6,FALSE)</f>
        <v>3월 2주</v>
      </c>
      <c r="N403" s="273" t="str">
        <f>IF(VLOOKUP($Z403,생산업체!$A:$C,2,FALSE)=1,"해외","국내")</f>
        <v>해외</v>
      </c>
      <c r="O403" s="12" t="str">
        <f>IF(VLOOKUP($U403,CODE!$K:$P,CODE!P$1,FALSE)="모자",T403,T403&amp;"-"&amp;VLOOKUP($U403,CODE!$K:$P,CODE!P$1,FALSE))</f>
        <v>JOI-ACC</v>
      </c>
      <c r="P403" s="11" t="s">
        <v>52</v>
      </c>
      <c r="R403" s="11">
        <v>38</v>
      </c>
      <c r="T403" s="8" t="s">
        <v>51</v>
      </c>
      <c r="U403" s="8" t="s">
        <v>249</v>
      </c>
      <c r="V403" s="8" t="s">
        <v>43</v>
      </c>
      <c r="W403" s="8" t="s">
        <v>1271</v>
      </c>
      <c r="X403" s="8" t="s">
        <v>905</v>
      </c>
      <c r="Y403" s="9">
        <v>0.5</v>
      </c>
      <c r="Z403" s="8" t="s">
        <v>1120</v>
      </c>
      <c r="AA403" s="10">
        <v>41662</v>
      </c>
      <c r="AB403" s="10">
        <v>41690</v>
      </c>
      <c r="AC403" s="10">
        <v>41715</v>
      </c>
      <c r="AD403" s="10">
        <v>41715</v>
      </c>
      <c r="AE403" s="8">
        <v>3.57</v>
      </c>
      <c r="AH403" s="8">
        <v>3</v>
      </c>
      <c r="AI403" s="8">
        <v>3</v>
      </c>
      <c r="AJ403" s="8" t="s">
        <v>1827</v>
      </c>
    </row>
    <row r="404" spans="1:36">
      <c r="A404" s="7">
        <f t="shared" si="120"/>
        <v>1</v>
      </c>
      <c r="B404" s="7" t="str">
        <f t="shared" si="131"/>
        <v>14FW NV 01_WIRE_PK</v>
      </c>
      <c r="C404" s="7">
        <f t="shared" si="122"/>
        <v>1</v>
      </c>
      <c r="D404" s="7" t="str">
        <f t="shared" si="132"/>
        <v>FOREMOST14FW NV 01_WIRE_PK</v>
      </c>
      <c r="E404" s="12" t="str">
        <f t="shared" si="133"/>
        <v>201401</v>
      </c>
      <c r="F404" s="347" t="str">
        <f>VLOOKUP($AA404,[3]주!$A:$F,6,FALSE)</f>
        <v>1월 5주</v>
      </c>
      <c r="G404" s="7">
        <f t="shared" si="125"/>
        <v>1</v>
      </c>
      <c r="H404" s="7" t="str">
        <f t="shared" si="134"/>
        <v>14FW NV 01_WIRE_PK</v>
      </c>
      <c r="I404" s="7">
        <f t="shared" si="127"/>
        <v>1</v>
      </c>
      <c r="J404" s="7" t="str">
        <f t="shared" si="135"/>
        <v>FOREMOST14FW NV 01_WIRE_PK</v>
      </c>
      <c r="K404" s="17">
        <v>41768</v>
      </c>
      <c r="L404" s="12" t="str">
        <f t="shared" si="137"/>
        <v>201405</v>
      </c>
      <c r="M404" s="347" t="str">
        <f>VLOOKUP($K404,[3]주!$A:$F,6,FALSE)</f>
        <v>3월 2주</v>
      </c>
      <c r="N404" s="273" t="str">
        <f>IF(VLOOKUP($Z404,생산업체!$A:$C,2,FALSE)=1,"해외","국내")</f>
        <v>해외</v>
      </c>
      <c r="O404" s="12" t="str">
        <f>IF(VLOOKUP($U404,CODE!$K:$P,CODE!P$1,FALSE)="모자",T404,T404&amp;"-"&amp;VLOOKUP($U404,CODE!$K:$P,CODE!P$1,FALSE))</f>
        <v>NOV</v>
      </c>
      <c r="P404" s="11" t="s">
        <v>40</v>
      </c>
      <c r="R404" s="11">
        <v>39</v>
      </c>
      <c r="T404" s="8" t="s">
        <v>40</v>
      </c>
      <c r="U404" s="8" t="s">
        <v>38</v>
      </c>
      <c r="V404" s="8" t="s">
        <v>43</v>
      </c>
      <c r="W404" s="8" t="s">
        <v>1272</v>
      </c>
      <c r="X404" s="8" t="s">
        <v>900</v>
      </c>
      <c r="Y404" s="9">
        <v>1</v>
      </c>
      <c r="Z404" s="8" t="s">
        <v>6</v>
      </c>
      <c r="AA404" s="10">
        <v>41666</v>
      </c>
      <c r="AB404" s="10">
        <v>41694</v>
      </c>
      <c r="AC404" s="10">
        <v>41712</v>
      </c>
      <c r="AD404" s="10">
        <v>41710</v>
      </c>
      <c r="AE404" s="8">
        <v>5.5</v>
      </c>
      <c r="AH404" s="8">
        <v>6</v>
      </c>
      <c r="AI404" s="8">
        <v>5</v>
      </c>
      <c r="AJ404" s="8" t="s">
        <v>1273</v>
      </c>
    </row>
    <row r="405" spans="1:36">
      <c r="A405" s="7">
        <f t="shared" si="120"/>
        <v>1</v>
      </c>
      <c r="B405" s="7" t="str">
        <f t="shared" si="131"/>
        <v>14FW NV 02_WIRE_MU</v>
      </c>
      <c r="C405" s="7">
        <f t="shared" si="122"/>
        <v>1</v>
      </c>
      <c r="D405" s="7" t="str">
        <f t="shared" si="132"/>
        <v>FOREMOST14FW NV 02_WIRE_MU</v>
      </c>
      <c r="E405" s="12" t="str">
        <f t="shared" si="133"/>
        <v>201402</v>
      </c>
      <c r="F405" s="347" t="str">
        <f>VLOOKUP($AA405,[3]주!$A:$F,6,FALSE)</f>
        <v>2월 1주</v>
      </c>
      <c r="G405" s="7">
        <f t="shared" si="125"/>
        <v>1</v>
      </c>
      <c r="H405" s="7" t="str">
        <f t="shared" si="134"/>
        <v>14FW NV 02_WIRE_MU</v>
      </c>
      <c r="I405" s="7">
        <f t="shared" si="127"/>
        <v>1</v>
      </c>
      <c r="J405" s="7" t="str">
        <f t="shared" si="135"/>
        <v>FOREMOST14FW NV 02_WIRE_MU</v>
      </c>
      <c r="K405" s="17">
        <v>41769</v>
      </c>
      <c r="L405" s="12" t="str">
        <f t="shared" si="137"/>
        <v>201405</v>
      </c>
      <c r="M405" s="347" t="str">
        <f>VLOOKUP($K405,[3]주!$A:$F,6,FALSE)</f>
        <v>3월 2주</v>
      </c>
      <c r="N405" s="273" t="str">
        <f>IF(VLOOKUP($Z405,생산업체!$A:$C,2,FALSE)=1,"해외","국내")</f>
        <v>해외</v>
      </c>
      <c r="O405" s="12" t="str">
        <f>IF(VLOOKUP($U405,CODE!$K:$P,CODE!P$1,FALSE)="모자",T405,T405&amp;"-"&amp;VLOOKUP($U405,CODE!$K:$P,CODE!P$1,FALSE))</f>
        <v>NOV</v>
      </c>
      <c r="P405" s="11" t="s">
        <v>40</v>
      </c>
      <c r="R405" s="11">
        <v>40</v>
      </c>
      <c r="T405" s="8" t="s">
        <v>40</v>
      </c>
      <c r="U405" s="8" t="s">
        <v>38</v>
      </c>
      <c r="V405" s="8" t="s">
        <v>43</v>
      </c>
      <c r="W405" s="8" t="s">
        <v>1274</v>
      </c>
      <c r="X405" s="8" t="s">
        <v>900</v>
      </c>
      <c r="Y405" s="9">
        <v>1</v>
      </c>
      <c r="Z405" s="8" t="s">
        <v>6</v>
      </c>
      <c r="AA405" s="10">
        <v>41676</v>
      </c>
      <c r="AB405" s="10">
        <v>41704</v>
      </c>
      <c r="AC405" s="10">
        <v>41708</v>
      </c>
      <c r="AD405" s="10">
        <v>41710</v>
      </c>
      <c r="AE405" s="8">
        <v>4.55</v>
      </c>
      <c r="AH405" s="8">
        <v>5</v>
      </c>
      <c r="AI405" s="8">
        <v>4</v>
      </c>
      <c r="AJ405" s="8" t="s">
        <v>1275</v>
      </c>
    </row>
    <row r="406" spans="1:36">
      <c r="A406" s="7">
        <f t="shared" si="120"/>
        <v>1</v>
      </c>
      <c r="B406" s="7" t="str">
        <f t="shared" si="131"/>
        <v>14FW NV 03_CAMP_NY</v>
      </c>
      <c r="C406" s="7">
        <f t="shared" si="122"/>
        <v>1</v>
      </c>
      <c r="D406" s="7" t="str">
        <f t="shared" si="132"/>
        <v>FOREMOST14FW NV 03_CAMP_NY</v>
      </c>
      <c r="E406" s="12" t="str">
        <f t="shared" si="133"/>
        <v>201401</v>
      </c>
      <c r="F406" s="347" t="str">
        <f>VLOOKUP($AA406,[3]주!$A:$F,6,FALSE)</f>
        <v>1월 5주</v>
      </c>
      <c r="G406" s="7">
        <f t="shared" si="125"/>
        <v>1</v>
      </c>
      <c r="H406" s="7" t="str">
        <f t="shared" si="134"/>
        <v>14FW NV 03_CAMP_NY</v>
      </c>
      <c r="I406" s="7">
        <f t="shared" si="127"/>
        <v>1</v>
      </c>
      <c r="J406" s="7" t="str">
        <f t="shared" si="135"/>
        <v>FOREMOST14FW NV 03_CAMP_NY</v>
      </c>
      <c r="K406" s="17">
        <v>41770</v>
      </c>
      <c r="L406" s="12" t="str">
        <f t="shared" si="137"/>
        <v>201405</v>
      </c>
      <c r="M406" s="347" t="str">
        <f>VLOOKUP($K406,[3]주!$A:$F,6,FALSE)</f>
        <v>3월 2주</v>
      </c>
      <c r="N406" s="273" t="str">
        <f>IF(VLOOKUP($Z406,생산업체!$A:$C,2,FALSE)=1,"해외","국내")</f>
        <v>해외</v>
      </c>
      <c r="O406" s="12" t="str">
        <f>IF(VLOOKUP($U406,CODE!$K:$P,CODE!P$1,FALSE)="모자",T406,T406&amp;"-"&amp;VLOOKUP($U406,CODE!$K:$P,CODE!P$1,FALSE))</f>
        <v>NOV</v>
      </c>
      <c r="P406" s="11" t="s">
        <v>40</v>
      </c>
      <c r="R406" s="11">
        <v>41</v>
      </c>
      <c r="T406" s="8" t="s">
        <v>40</v>
      </c>
      <c r="U406" s="8" t="s">
        <v>38</v>
      </c>
      <c r="V406" s="8" t="s">
        <v>43</v>
      </c>
      <c r="W406" s="8" t="s">
        <v>1276</v>
      </c>
      <c r="X406" s="8" t="s">
        <v>900</v>
      </c>
      <c r="Y406" s="9">
        <v>1</v>
      </c>
      <c r="Z406" s="8" t="s">
        <v>6</v>
      </c>
      <c r="AA406" s="10">
        <v>41666</v>
      </c>
      <c r="AB406" s="10">
        <v>41694</v>
      </c>
      <c r="AC406" s="10">
        <v>41712</v>
      </c>
      <c r="AD406" s="10">
        <v>41712</v>
      </c>
      <c r="AE406" s="8">
        <v>4.75</v>
      </c>
      <c r="AH406" s="8">
        <v>4</v>
      </c>
      <c r="AI406" s="8">
        <v>3</v>
      </c>
      <c r="AJ406" s="8" t="s">
        <v>1277</v>
      </c>
    </row>
    <row r="407" spans="1:36">
      <c r="A407" s="7">
        <f t="shared" si="120"/>
        <v>1</v>
      </c>
      <c r="B407" s="7" t="str">
        <f t="shared" si="131"/>
        <v>14FW NV 04_CAMP_BK</v>
      </c>
      <c r="C407" s="7">
        <f t="shared" si="122"/>
        <v>1</v>
      </c>
      <c r="D407" s="7" t="str">
        <f t="shared" si="132"/>
        <v>FOREMOST14FW NV 04_CAMP_BK</v>
      </c>
      <c r="E407" s="12" t="str">
        <f t="shared" si="133"/>
        <v>201401</v>
      </c>
      <c r="F407" s="347" t="str">
        <f>VLOOKUP($AA407,[3]주!$A:$F,6,FALSE)</f>
        <v>1월 5주</v>
      </c>
      <c r="G407" s="7">
        <f t="shared" si="125"/>
        <v>1</v>
      </c>
      <c r="H407" s="7" t="str">
        <f t="shared" si="134"/>
        <v>14FW NV 04_CAMP_BK</v>
      </c>
      <c r="I407" s="7">
        <f t="shared" si="127"/>
        <v>1</v>
      </c>
      <c r="J407" s="7" t="str">
        <f t="shared" si="135"/>
        <v>FOREMOST14FW NV 04_CAMP_BK</v>
      </c>
      <c r="K407" s="17">
        <v>41771</v>
      </c>
      <c r="L407" s="12" t="str">
        <f t="shared" si="137"/>
        <v>201405</v>
      </c>
      <c r="M407" s="347" t="str">
        <f>VLOOKUP($K407,[3]주!$A:$F,6,FALSE)</f>
        <v>3월 2주</v>
      </c>
      <c r="N407" s="273" t="str">
        <f>IF(VLOOKUP($Z407,생산업체!$A:$C,2,FALSE)=1,"해외","국내")</f>
        <v>해외</v>
      </c>
      <c r="O407" s="12" t="str">
        <f>IF(VLOOKUP($U407,CODE!$K:$P,CODE!P$1,FALSE)="모자",T407,T407&amp;"-"&amp;VLOOKUP($U407,CODE!$K:$P,CODE!P$1,FALSE))</f>
        <v>NOV</v>
      </c>
      <c r="P407" s="11" t="s">
        <v>40</v>
      </c>
      <c r="R407" s="11">
        <v>42</v>
      </c>
      <c r="T407" s="8" t="s">
        <v>40</v>
      </c>
      <c r="U407" s="8" t="s">
        <v>38</v>
      </c>
      <c r="V407" s="8" t="s">
        <v>43</v>
      </c>
      <c r="W407" s="8" t="s">
        <v>1278</v>
      </c>
      <c r="X407" s="8" t="s">
        <v>900</v>
      </c>
      <c r="Y407" s="9">
        <v>1</v>
      </c>
      <c r="Z407" s="8" t="s">
        <v>6</v>
      </c>
      <c r="AA407" s="10">
        <v>41666</v>
      </c>
      <c r="AB407" s="10">
        <v>41694</v>
      </c>
      <c r="AC407" s="10">
        <v>41712</v>
      </c>
      <c r="AD407" s="10">
        <v>41710</v>
      </c>
      <c r="AE407" s="8">
        <v>3.7</v>
      </c>
      <c r="AH407" s="8">
        <v>2</v>
      </c>
      <c r="AI407" s="8">
        <v>1</v>
      </c>
      <c r="AJ407" s="8" t="s">
        <v>1279</v>
      </c>
    </row>
    <row r="408" spans="1:36">
      <c r="A408" s="7">
        <f t="shared" si="120"/>
        <v>1</v>
      </c>
      <c r="B408" s="7" t="str">
        <f t="shared" si="131"/>
        <v>14FW NV 05_CAMP_GY</v>
      </c>
      <c r="C408" s="7">
        <f t="shared" si="122"/>
        <v>1</v>
      </c>
      <c r="D408" s="7" t="str">
        <f t="shared" si="132"/>
        <v>FOREMOST14FW NV 05_CAMP_GY</v>
      </c>
      <c r="E408" s="12" t="str">
        <f t="shared" si="133"/>
        <v>201401</v>
      </c>
      <c r="F408" s="347" t="str">
        <f>VLOOKUP($AA408,[3]주!$A:$F,6,FALSE)</f>
        <v>1월 5주</v>
      </c>
      <c r="G408" s="7">
        <f t="shared" si="125"/>
        <v>1</v>
      </c>
      <c r="H408" s="7" t="str">
        <f t="shared" si="134"/>
        <v>14FW NV 05_CAMP_GY</v>
      </c>
      <c r="I408" s="7">
        <f t="shared" si="127"/>
        <v>1</v>
      </c>
      <c r="J408" s="7" t="str">
        <f t="shared" si="135"/>
        <v>FOREMOST14FW NV 05_CAMP_GY</v>
      </c>
      <c r="K408" s="17">
        <v>41772</v>
      </c>
      <c r="L408" s="12" t="str">
        <f t="shared" si="137"/>
        <v>201405</v>
      </c>
      <c r="M408" s="347" t="str">
        <f>VLOOKUP($K408,[3]주!$A:$F,6,FALSE)</f>
        <v>3월 2주</v>
      </c>
      <c r="N408" s="273" t="str">
        <f>IF(VLOOKUP($Z408,생산업체!$A:$C,2,FALSE)=1,"해외","국내")</f>
        <v>해외</v>
      </c>
      <c r="O408" s="12" t="str">
        <f>IF(VLOOKUP($U408,CODE!$K:$P,CODE!P$1,FALSE)="모자",T408,T408&amp;"-"&amp;VLOOKUP($U408,CODE!$K:$P,CODE!P$1,FALSE))</f>
        <v>NOV</v>
      </c>
      <c r="P408" s="11" t="s">
        <v>40</v>
      </c>
      <c r="R408" s="11">
        <v>43</v>
      </c>
      <c r="T408" s="8" t="s">
        <v>40</v>
      </c>
      <c r="U408" s="8" t="s">
        <v>38</v>
      </c>
      <c r="V408" s="8" t="s">
        <v>43</v>
      </c>
      <c r="W408" s="8" t="s">
        <v>1280</v>
      </c>
      <c r="X408" s="8" t="s">
        <v>900</v>
      </c>
      <c r="Y408" s="9">
        <v>1</v>
      </c>
      <c r="Z408" s="8" t="s">
        <v>6</v>
      </c>
      <c r="AA408" s="10">
        <v>41666</v>
      </c>
      <c r="AB408" s="10">
        <v>41694</v>
      </c>
      <c r="AC408" s="10">
        <v>41708</v>
      </c>
      <c r="AD408" s="10">
        <v>41710</v>
      </c>
      <c r="AE408" s="8">
        <v>3.65</v>
      </c>
      <c r="AH408" s="8">
        <v>2</v>
      </c>
      <c r="AI408" s="8">
        <v>1</v>
      </c>
      <c r="AJ408" s="8" t="s">
        <v>1281</v>
      </c>
    </row>
    <row r="409" spans="1:36">
      <c r="A409" s="7">
        <f t="shared" si="120"/>
        <v>1</v>
      </c>
      <c r="B409" s="7" t="str">
        <f t="shared" si="131"/>
        <v>14FW NV 06_HAT_BR</v>
      </c>
      <c r="C409" s="7">
        <f t="shared" si="122"/>
        <v>1</v>
      </c>
      <c r="D409" s="7" t="str">
        <f t="shared" si="132"/>
        <v>FOREMOST14FW NV 06_HAT_BR</v>
      </c>
      <c r="E409" s="12" t="str">
        <f t="shared" si="133"/>
        <v>201401</v>
      </c>
      <c r="F409" s="347" t="str">
        <f>VLOOKUP($AA409,[3]주!$A:$F,6,FALSE)</f>
        <v>1월 5주</v>
      </c>
      <c r="G409" s="7">
        <f t="shared" si="125"/>
        <v>1</v>
      </c>
      <c r="H409" s="7" t="str">
        <f t="shared" si="134"/>
        <v>14FW NV 06_HAT_BR</v>
      </c>
      <c r="I409" s="7">
        <f t="shared" si="127"/>
        <v>1</v>
      </c>
      <c r="J409" s="7" t="str">
        <f t="shared" si="135"/>
        <v>FOREMOST14FW NV 06_HAT_BR</v>
      </c>
      <c r="K409" s="17">
        <v>41773</v>
      </c>
      <c r="L409" s="12" t="str">
        <f t="shared" si="137"/>
        <v>201405</v>
      </c>
      <c r="M409" s="347" t="str">
        <f>VLOOKUP($K409,[3]주!$A:$F,6,FALSE)</f>
        <v>3월 2주</v>
      </c>
      <c r="N409" s="273" t="str">
        <f>IF(VLOOKUP($Z409,생산업체!$A:$C,2,FALSE)=1,"해외","국내")</f>
        <v>해외</v>
      </c>
      <c r="O409" s="12" t="str">
        <f>IF(VLOOKUP($U409,CODE!$K:$P,CODE!P$1,FALSE)="모자",T409,T409&amp;"-"&amp;VLOOKUP($U409,CODE!$K:$P,CODE!P$1,FALSE))</f>
        <v>NOV</v>
      </c>
      <c r="P409" s="11" t="s">
        <v>40</v>
      </c>
      <c r="R409" s="11">
        <v>44</v>
      </c>
      <c r="T409" s="8" t="s">
        <v>40</v>
      </c>
      <c r="U409" s="8" t="s">
        <v>60</v>
      </c>
      <c r="V409" s="8" t="s">
        <v>43</v>
      </c>
      <c r="W409" s="8" t="s">
        <v>1282</v>
      </c>
      <c r="X409" s="8" t="s">
        <v>900</v>
      </c>
      <c r="Y409" s="9">
        <v>1</v>
      </c>
      <c r="Z409" s="8" t="s">
        <v>6</v>
      </c>
      <c r="AA409" s="10">
        <v>41666</v>
      </c>
      <c r="AB409" s="10">
        <v>41694</v>
      </c>
      <c r="AC409" s="10">
        <v>41708</v>
      </c>
      <c r="AD409" s="10">
        <v>41710</v>
      </c>
      <c r="AE409" s="8">
        <v>4.8499999999999996</v>
      </c>
      <c r="AH409" s="8">
        <v>3</v>
      </c>
      <c r="AI409" s="8">
        <v>2</v>
      </c>
      <c r="AJ409" s="8" t="s">
        <v>1283</v>
      </c>
    </row>
    <row r="410" spans="1:36">
      <c r="A410" s="7">
        <f t="shared" si="120"/>
        <v>1</v>
      </c>
      <c r="B410" s="7" t="str">
        <f t="shared" si="131"/>
        <v>14FW NV 07_TROOPER_BK</v>
      </c>
      <c r="C410" s="7">
        <f t="shared" si="122"/>
        <v>1</v>
      </c>
      <c r="D410" s="7" t="str">
        <f t="shared" si="132"/>
        <v>FOREMOST14FW NV 07_TROOPER_BK</v>
      </c>
      <c r="E410" s="12" t="str">
        <f t="shared" si="133"/>
        <v>201401</v>
      </c>
      <c r="F410" s="347" t="str">
        <f>VLOOKUP($AA410,[3]주!$A:$F,6,FALSE)</f>
        <v>1월 5주</v>
      </c>
      <c r="G410" s="7">
        <f t="shared" si="125"/>
        <v>1</v>
      </c>
      <c r="H410" s="7" t="str">
        <f t="shared" si="134"/>
        <v>14FW NV 07_TROOPER_BK</v>
      </c>
      <c r="I410" s="7">
        <f t="shared" si="127"/>
        <v>1</v>
      </c>
      <c r="J410" s="7" t="str">
        <f t="shared" si="135"/>
        <v>FOREMOST14FW NV 07_TROOPER_BK</v>
      </c>
      <c r="K410" s="17">
        <v>41774</v>
      </c>
      <c r="L410" s="12" t="str">
        <f t="shared" si="137"/>
        <v>201405</v>
      </c>
      <c r="M410" s="347" t="str">
        <f>VLOOKUP($K410,[3]주!$A:$F,6,FALSE)</f>
        <v>3월 2주</v>
      </c>
      <c r="N410" s="273" t="str">
        <f>IF(VLOOKUP($Z410,생산업체!$A:$C,2,FALSE)=1,"해외","국내")</f>
        <v>해외</v>
      </c>
      <c r="O410" s="12" t="str">
        <f>IF(VLOOKUP($U410,CODE!$K:$P,CODE!P$1,FALSE)="모자",T410,T410&amp;"-"&amp;VLOOKUP($U410,CODE!$K:$P,CODE!P$1,FALSE))</f>
        <v>NOV</v>
      </c>
      <c r="P410" s="11" t="s">
        <v>40</v>
      </c>
      <c r="R410" s="11">
        <v>45</v>
      </c>
      <c r="T410" s="8" t="s">
        <v>40</v>
      </c>
      <c r="U410" s="8" t="s">
        <v>28</v>
      </c>
      <c r="V410" s="8" t="s">
        <v>43</v>
      </c>
      <c r="W410" s="8" t="s">
        <v>1284</v>
      </c>
      <c r="X410" s="8" t="s">
        <v>900</v>
      </c>
      <c r="Y410" s="9">
        <v>1</v>
      </c>
      <c r="Z410" s="8" t="s">
        <v>6</v>
      </c>
      <c r="AA410" s="10">
        <v>41666</v>
      </c>
      <c r="AB410" s="10">
        <v>41694</v>
      </c>
      <c r="AC410" s="10">
        <v>41715</v>
      </c>
      <c r="AD410" s="10">
        <v>41719</v>
      </c>
      <c r="AE410" s="8">
        <v>6.15</v>
      </c>
      <c r="AH410" s="8">
        <v>5</v>
      </c>
      <c r="AI410" s="8">
        <v>2</v>
      </c>
      <c r="AJ410" s="8" t="s">
        <v>1285</v>
      </c>
    </row>
    <row r="411" spans="1:36">
      <c r="A411" s="7">
        <f t="shared" si="120"/>
        <v>1</v>
      </c>
      <c r="B411" s="7" t="str">
        <f t="shared" si="131"/>
        <v>14FW BLACK MOOD_02_FLAT_BK</v>
      </c>
      <c r="C411" s="7">
        <f t="shared" si="122"/>
        <v>1</v>
      </c>
      <c r="D411" s="7" t="str">
        <f t="shared" si="132"/>
        <v>동일모자14FW BLACK MOOD_02_FLAT_BK</v>
      </c>
      <c r="E411" s="12" t="str">
        <f t="shared" si="133"/>
        <v>201402</v>
      </c>
      <c r="F411" s="347" t="str">
        <f>VLOOKUP($AA411,[3]주!$A:$F,6,FALSE)</f>
        <v>2월 1주</v>
      </c>
      <c r="G411" s="7">
        <f t="shared" si="125"/>
        <v>1</v>
      </c>
      <c r="H411" s="7" t="str">
        <f t="shared" si="134"/>
        <v>14FW BLACK MOOD_02_FLAT_BK</v>
      </c>
      <c r="I411" s="7">
        <f t="shared" si="127"/>
        <v>1</v>
      </c>
      <c r="J411" s="7" t="str">
        <f t="shared" si="135"/>
        <v>동일모자14FW BLACK MOOD_02_FLAT_BK</v>
      </c>
      <c r="K411" s="17">
        <v>41775</v>
      </c>
      <c r="L411" s="12" t="str">
        <f t="shared" si="137"/>
        <v>201405</v>
      </c>
      <c r="M411" s="347" t="str">
        <f>VLOOKUP($K411,[3]주!$A:$F,6,FALSE)</f>
        <v>3월 2주</v>
      </c>
      <c r="N411" s="273" t="str">
        <f>IF(VLOOKUP($Z411,생산업체!$A:$C,2,FALSE)=1,"해외","국내")</f>
        <v>해외</v>
      </c>
      <c r="O411" s="12" t="str">
        <f>IF(VLOOKUP($U411,CODE!$K:$P,CODE!P$1,FALSE)="모자",T411,T411&amp;"-"&amp;VLOOKUP($U411,CODE!$K:$P,CODE!P$1,FALSE))</f>
        <v>BMD</v>
      </c>
      <c r="P411" s="11" t="s">
        <v>53</v>
      </c>
      <c r="R411" s="11">
        <v>46</v>
      </c>
      <c r="T411" s="8" t="s">
        <v>53</v>
      </c>
      <c r="U411" s="8" t="s">
        <v>50</v>
      </c>
      <c r="V411" s="8" t="s">
        <v>43</v>
      </c>
      <c r="W411" s="8" t="s">
        <v>1440</v>
      </c>
      <c r="X411" s="8" t="s">
        <v>900</v>
      </c>
      <c r="Y411" s="9">
        <v>1</v>
      </c>
      <c r="Z411" s="8" t="s">
        <v>44</v>
      </c>
      <c r="AA411" s="10">
        <v>41676</v>
      </c>
      <c r="AB411" s="10">
        <v>41704</v>
      </c>
      <c r="AC411" s="10">
        <v>41708</v>
      </c>
      <c r="AD411" s="10">
        <v>41709</v>
      </c>
      <c r="AE411" s="8">
        <v>5.25</v>
      </c>
      <c r="AG411" s="8" t="s">
        <v>2004</v>
      </c>
      <c r="AH411" s="8">
        <v>1</v>
      </c>
      <c r="AI411" s="8">
        <v>1</v>
      </c>
    </row>
    <row r="412" spans="1:36">
      <c r="A412" s="7">
        <f t="shared" si="120"/>
        <v>1</v>
      </c>
      <c r="B412" s="7" t="str">
        <f t="shared" si="131"/>
        <v>14FW NV 08_TROOPER_NY</v>
      </c>
      <c r="C412" s="7">
        <f t="shared" si="122"/>
        <v>1</v>
      </c>
      <c r="D412" s="7" t="str">
        <f t="shared" si="132"/>
        <v>FOREMOST14FW NV 08_TROOPER_NY</v>
      </c>
      <c r="E412" s="12" t="str">
        <f t="shared" si="133"/>
        <v>201402</v>
      </c>
      <c r="F412" s="347" t="str">
        <f>VLOOKUP($AA412,[3]주!$A:$F,6,FALSE)</f>
        <v>2월 3주</v>
      </c>
      <c r="G412" s="7">
        <f t="shared" si="125"/>
        <v>1</v>
      </c>
      <c r="H412" s="7" t="str">
        <f t="shared" si="134"/>
        <v>14FW NV 08_TROOPER_NY</v>
      </c>
      <c r="I412" s="7">
        <f t="shared" si="127"/>
        <v>1</v>
      </c>
      <c r="J412" s="7" t="str">
        <f t="shared" si="135"/>
        <v>FOREMOST14FW NV 08_TROOPER_NY</v>
      </c>
      <c r="K412" s="17">
        <v>41776</v>
      </c>
      <c r="L412" s="12" t="str">
        <f t="shared" si="137"/>
        <v>201405</v>
      </c>
      <c r="M412" s="347" t="str">
        <f>VLOOKUP($K412,[3]주!$A:$F,6,FALSE)</f>
        <v>3월 2주</v>
      </c>
      <c r="N412" s="273" t="str">
        <f>IF(VLOOKUP($Z412,생산업체!$A:$C,2,FALSE)=1,"해외","국내")</f>
        <v>해외</v>
      </c>
      <c r="O412" s="12" t="str">
        <f>IF(VLOOKUP($U412,CODE!$K:$P,CODE!P$1,FALSE)="모자",T412,T412&amp;"-"&amp;VLOOKUP($U412,CODE!$K:$P,CODE!P$1,FALSE))</f>
        <v>NOV</v>
      </c>
      <c r="P412" s="11" t="s">
        <v>40</v>
      </c>
      <c r="R412" s="11">
        <v>47</v>
      </c>
      <c r="T412" s="8" t="s">
        <v>40</v>
      </c>
      <c r="U412" s="8" t="s">
        <v>28</v>
      </c>
      <c r="V412" s="8" t="s">
        <v>43</v>
      </c>
      <c r="W412" s="8" t="s">
        <v>1492</v>
      </c>
      <c r="X412" s="8" t="s">
        <v>900</v>
      </c>
      <c r="Y412" s="9">
        <v>1</v>
      </c>
      <c r="Z412" s="8" t="s">
        <v>6</v>
      </c>
      <c r="AA412" s="10">
        <v>41687</v>
      </c>
      <c r="AB412" s="10">
        <v>41715</v>
      </c>
      <c r="AC412" s="10">
        <v>41719</v>
      </c>
      <c r="AD412" s="10">
        <v>41712</v>
      </c>
      <c r="AE412" s="8">
        <v>14.05</v>
      </c>
      <c r="AH412" s="8">
        <v>4</v>
      </c>
      <c r="AI412" s="8">
        <v>3</v>
      </c>
    </row>
    <row r="413" spans="1:36">
      <c r="A413" s="7">
        <f t="shared" si="120"/>
        <v>1</v>
      </c>
      <c r="B413" s="7" t="str">
        <f t="shared" si="131"/>
        <v>14FW NV 09_TROOPER_BK</v>
      </c>
      <c r="C413" s="7">
        <f t="shared" si="122"/>
        <v>1</v>
      </c>
      <c r="D413" s="7" t="str">
        <f t="shared" si="132"/>
        <v>FOREMOST14FW NV 09_TROOPER_BK</v>
      </c>
      <c r="E413" s="12" t="str">
        <f t="shared" si="133"/>
        <v>201402</v>
      </c>
      <c r="F413" s="347" t="str">
        <f>VLOOKUP($AA413,[3]주!$A:$F,6,FALSE)</f>
        <v>2월 3주</v>
      </c>
      <c r="G413" s="7">
        <f t="shared" si="125"/>
        <v>1</v>
      </c>
      <c r="H413" s="7" t="str">
        <f t="shared" si="134"/>
        <v>14FW NV 09_TROOPER_BK</v>
      </c>
      <c r="I413" s="7">
        <f t="shared" si="127"/>
        <v>1</v>
      </c>
      <c r="J413" s="7" t="str">
        <f t="shared" si="135"/>
        <v>FOREMOST14FW NV 09_TROOPER_BK</v>
      </c>
      <c r="K413" s="17">
        <v>41777</v>
      </c>
      <c r="L413" s="12" t="str">
        <f t="shared" si="137"/>
        <v>201405</v>
      </c>
      <c r="M413" s="347" t="str">
        <f>VLOOKUP($K413,[3]주!$A:$F,6,FALSE)</f>
        <v>3월 2주</v>
      </c>
      <c r="N413" s="273" t="str">
        <f>IF(VLOOKUP($Z413,생산업체!$A:$C,2,FALSE)=1,"해외","국내")</f>
        <v>해외</v>
      </c>
      <c r="O413" s="12" t="str">
        <f>IF(VLOOKUP($U413,CODE!$K:$P,CODE!P$1,FALSE)="모자",T413,T413&amp;"-"&amp;VLOOKUP($U413,CODE!$K:$P,CODE!P$1,FALSE))</f>
        <v>NOV</v>
      </c>
      <c r="P413" s="11" t="s">
        <v>40</v>
      </c>
      <c r="R413" s="11">
        <v>48</v>
      </c>
      <c r="T413" s="8" t="s">
        <v>40</v>
      </c>
      <c r="U413" s="8" t="s">
        <v>28</v>
      </c>
      <c r="V413" s="8" t="s">
        <v>43</v>
      </c>
      <c r="W413" s="8" t="s">
        <v>1493</v>
      </c>
      <c r="X413" s="8" t="s">
        <v>900</v>
      </c>
      <c r="Y413" s="9">
        <v>1</v>
      </c>
      <c r="Z413" s="8" t="s">
        <v>6</v>
      </c>
      <c r="AA413" s="10">
        <v>41687</v>
      </c>
      <c r="AB413" s="10">
        <v>41715</v>
      </c>
      <c r="AC413" s="10">
        <v>41723</v>
      </c>
      <c r="AD413" s="10">
        <v>41722</v>
      </c>
      <c r="AE413" s="8">
        <v>14.5</v>
      </c>
      <c r="AH413" s="8">
        <v>3</v>
      </c>
      <c r="AI413" s="8">
        <v>2</v>
      </c>
    </row>
    <row r="414" spans="1:36">
      <c r="A414" s="7">
        <f t="shared" si="120"/>
        <v>1</v>
      </c>
      <c r="B414" s="7" t="str">
        <f t="shared" si="131"/>
        <v>14FW NV 09_TROOPER_RE</v>
      </c>
      <c r="C414" s="7">
        <f t="shared" si="122"/>
        <v>1</v>
      </c>
      <c r="D414" s="7" t="str">
        <f t="shared" si="132"/>
        <v>FOREMOST14FW NV 09_TROOPER_RE</v>
      </c>
      <c r="E414" s="12" t="str">
        <f t="shared" si="133"/>
        <v>201402</v>
      </c>
      <c r="F414" s="347" t="str">
        <f>VLOOKUP($AA414,[3]주!$A:$F,6,FALSE)</f>
        <v>2월 3주</v>
      </c>
      <c r="G414" s="7">
        <f t="shared" si="125"/>
        <v>1</v>
      </c>
      <c r="H414" s="7" t="str">
        <f t="shared" si="134"/>
        <v>14FW NV 09_TROOPER_RE</v>
      </c>
      <c r="I414" s="7">
        <f t="shared" si="127"/>
        <v>1</v>
      </c>
      <c r="J414" s="7" t="str">
        <f t="shared" si="135"/>
        <v>FOREMOST14FW NV 09_TROOPER_RE</v>
      </c>
      <c r="K414" s="17">
        <f t="shared" si="136"/>
        <v>41722</v>
      </c>
      <c r="L414" s="12" t="str">
        <f t="shared" si="137"/>
        <v>201403</v>
      </c>
      <c r="M414" s="347" t="str">
        <f>VLOOKUP($K414,[3]주!$A:$F,6,FALSE)</f>
        <v>3월 2주</v>
      </c>
      <c r="N414" s="273" t="str">
        <f>IF(VLOOKUP($Z414,생산업체!$A:$C,2,FALSE)=1,"해외","국내")</f>
        <v>해외</v>
      </c>
      <c r="O414" s="12" t="str">
        <f>IF(VLOOKUP($U414,CODE!$K:$P,CODE!P$1,FALSE)="모자",T414,T414&amp;"-"&amp;VLOOKUP($U414,CODE!$K:$P,CODE!P$1,FALSE))</f>
        <v>NOV</v>
      </c>
      <c r="P414" s="11" t="s">
        <v>40</v>
      </c>
      <c r="R414" s="11">
        <v>49</v>
      </c>
      <c r="T414" s="8" t="s">
        <v>40</v>
      </c>
      <c r="U414" s="8" t="s">
        <v>28</v>
      </c>
      <c r="V414" s="8" t="s">
        <v>43</v>
      </c>
      <c r="W414" s="8" t="s">
        <v>1494</v>
      </c>
      <c r="X414" s="8" t="s">
        <v>900</v>
      </c>
      <c r="Y414" s="9">
        <v>1</v>
      </c>
      <c r="Z414" s="8" t="s">
        <v>6</v>
      </c>
      <c r="AA414" s="10">
        <v>41688</v>
      </c>
      <c r="AB414" s="10">
        <v>41716</v>
      </c>
      <c r="AC414" s="10">
        <v>41723</v>
      </c>
      <c r="AD414" s="10">
        <v>41722</v>
      </c>
      <c r="AE414" s="8">
        <v>14.5</v>
      </c>
      <c r="AH414" s="8">
        <v>3</v>
      </c>
      <c r="AI414" s="8">
        <v>2</v>
      </c>
    </row>
    <row r="415" spans="1:36">
      <c r="A415" s="7">
        <f t="shared" si="120"/>
        <v>1</v>
      </c>
      <c r="B415" s="7" t="str">
        <f t="shared" si="131"/>
        <v>14FW NV 10_TROOPER_BK</v>
      </c>
      <c r="C415" s="7">
        <f t="shared" si="122"/>
        <v>1</v>
      </c>
      <c r="D415" s="7" t="str">
        <f t="shared" si="132"/>
        <v>FOREMOST14FW NV 10_TROOPER_BK</v>
      </c>
      <c r="E415" s="12" t="str">
        <f t="shared" si="133"/>
        <v>201402</v>
      </c>
      <c r="F415" s="347" t="str">
        <f>VLOOKUP($AA415,[3]주!$A:$F,6,FALSE)</f>
        <v>2월 3주</v>
      </c>
      <c r="G415" s="7">
        <f t="shared" si="125"/>
        <v>1</v>
      </c>
      <c r="H415" s="7" t="str">
        <f t="shared" si="134"/>
        <v>14FW NV 10_TROOPER_BK</v>
      </c>
      <c r="I415" s="7">
        <f t="shared" si="127"/>
        <v>1</v>
      </c>
      <c r="J415" s="7" t="str">
        <f t="shared" si="135"/>
        <v>FOREMOST14FW NV 10_TROOPER_BK</v>
      </c>
      <c r="K415" s="17">
        <f t="shared" si="136"/>
        <v>41722</v>
      </c>
      <c r="L415" s="12" t="str">
        <f t="shared" si="137"/>
        <v>201403</v>
      </c>
      <c r="M415" s="347" t="str">
        <f>VLOOKUP($K415,[3]주!$A:$F,6,FALSE)</f>
        <v>3월 2주</v>
      </c>
      <c r="N415" s="273" t="str">
        <f>IF(VLOOKUP($Z415,생산업체!$A:$C,2,FALSE)=1,"해외","국내")</f>
        <v>해외</v>
      </c>
      <c r="O415" s="12" t="str">
        <f>IF(VLOOKUP($U415,CODE!$K:$P,CODE!P$1,FALSE)="모자",T415,T415&amp;"-"&amp;VLOOKUP($U415,CODE!$K:$P,CODE!P$1,FALSE))</f>
        <v>NOV</v>
      </c>
      <c r="P415" s="11" t="s">
        <v>40</v>
      </c>
      <c r="R415" s="11">
        <v>50</v>
      </c>
      <c r="T415" s="8" t="s">
        <v>40</v>
      </c>
      <c r="U415" s="8" t="s">
        <v>28</v>
      </c>
      <c r="V415" s="8" t="s">
        <v>43</v>
      </c>
      <c r="W415" s="8" t="s">
        <v>1495</v>
      </c>
      <c r="X415" s="8" t="s">
        <v>900</v>
      </c>
      <c r="Y415" s="9">
        <v>1</v>
      </c>
      <c r="Z415" s="8" t="s">
        <v>6</v>
      </c>
      <c r="AA415" s="10">
        <v>41688</v>
      </c>
      <c r="AB415" s="10">
        <v>41716</v>
      </c>
      <c r="AC415" s="10">
        <v>41723</v>
      </c>
      <c r="AD415" s="10">
        <v>41722</v>
      </c>
      <c r="AE415" s="8">
        <v>15</v>
      </c>
      <c r="AH415" s="8">
        <v>3</v>
      </c>
      <c r="AI415" s="8">
        <v>2</v>
      </c>
    </row>
    <row r="416" spans="1:36">
      <c r="A416" s="7">
        <f t="shared" si="120"/>
        <v>1</v>
      </c>
      <c r="B416" s="7" t="str">
        <f t="shared" si="131"/>
        <v>14SS RP 21_SUNCAP_PK_KIDS</v>
      </c>
      <c r="C416" s="7">
        <f t="shared" si="122"/>
        <v>1</v>
      </c>
      <c r="D416" s="7" t="str">
        <f t="shared" si="132"/>
        <v>FOREMOST14SS RP 21_SUNCAP_PK_KIDS</v>
      </c>
      <c r="E416" s="12" t="str">
        <f t="shared" si="133"/>
        <v>201402</v>
      </c>
      <c r="F416" s="347" t="str">
        <f>VLOOKUP($AA416,[3]주!$A:$F,6,FALSE)</f>
        <v>2월 4주</v>
      </c>
      <c r="G416" s="7">
        <f t="shared" si="125"/>
        <v>1</v>
      </c>
      <c r="H416" s="7" t="str">
        <f t="shared" si="134"/>
        <v>14SS RP 21_SUNCAP_PK_KIDS</v>
      </c>
      <c r="I416" s="7">
        <f t="shared" si="127"/>
        <v>1</v>
      </c>
      <c r="J416" s="7" t="str">
        <f t="shared" si="135"/>
        <v>FOREMOST14SS RP 21_SUNCAP_PK_KIDS</v>
      </c>
      <c r="K416" s="17">
        <f t="shared" si="136"/>
        <v>41737</v>
      </c>
      <c r="L416" s="12" t="str">
        <f t="shared" si="137"/>
        <v>201404</v>
      </c>
      <c r="M416" s="347" t="str">
        <f>VLOOKUP($K416,[3]주!$A:$F,6,FALSE)</f>
        <v>3월 2주</v>
      </c>
      <c r="N416" s="273" t="str">
        <f>IF(VLOOKUP($Z416,생산업체!$A:$C,2,FALSE)=1,"해외","국내")</f>
        <v>해외</v>
      </c>
      <c r="O416" s="12" t="str">
        <f>IF(VLOOKUP($U416,CODE!$K:$P,CODE!P$1,FALSE)="모자",T416,T416&amp;"-"&amp;VLOOKUP($U416,CODE!$K:$P,CODE!P$1,FALSE))</f>
        <v>POL</v>
      </c>
      <c r="P416" s="11" t="s">
        <v>1677</v>
      </c>
      <c r="R416" s="11">
        <v>51</v>
      </c>
      <c r="T416" s="8" t="s">
        <v>1677</v>
      </c>
      <c r="U416" s="8" t="s">
        <v>228</v>
      </c>
      <c r="V416" s="8" t="s">
        <v>43</v>
      </c>
      <c r="W416" s="8" t="s">
        <v>1678</v>
      </c>
      <c r="X416" s="8" t="s">
        <v>905</v>
      </c>
      <c r="Y416" s="9">
        <v>1</v>
      </c>
      <c r="Z416" s="8" t="s">
        <v>6</v>
      </c>
      <c r="AA416" s="10">
        <v>41694</v>
      </c>
      <c r="AB416" s="10">
        <v>41722</v>
      </c>
      <c r="AC416" s="10">
        <v>41737</v>
      </c>
      <c r="AD416" s="10">
        <v>41737</v>
      </c>
      <c r="AE416" s="8">
        <v>5.7</v>
      </c>
      <c r="AG416" s="8" t="s">
        <v>2004</v>
      </c>
      <c r="AH416" s="8">
        <v>4</v>
      </c>
      <c r="AI416" s="8">
        <v>1</v>
      </c>
    </row>
    <row r="417" spans="1:36">
      <c r="A417" s="7">
        <f t="shared" si="120"/>
        <v>1</v>
      </c>
      <c r="B417" s="7" t="str">
        <f t="shared" si="131"/>
        <v>14SS RP 22_SUNCAP_PK_KIDS</v>
      </c>
      <c r="C417" s="7">
        <f t="shared" si="122"/>
        <v>1</v>
      </c>
      <c r="D417" s="7" t="str">
        <f t="shared" si="132"/>
        <v>FOREMOST14SS RP 22_SUNCAP_PK_KIDS</v>
      </c>
      <c r="E417" s="12" t="str">
        <f t="shared" si="133"/>
        <v>201402</v>
      </c>
      <c r="F417" s="347" t="str">
        <f>VLOOKUP($AA417,[3]주!$A:$F,6,FALSE)</f>
        <v>2월 4주</v>
      </c>
      <c r="G417" s="7">
        <f t="shared" si="125"/>
        <v>1</v>
      </c>
      <c r="H417" s="7" t="str">
        <f t="shared" si="134"/>
        <v>14SS RP 22_SUNCAP_PK_KIDS</v>
      </c>
      <c r="I417" s="7">
        <f t="shared" si="127"/>
        <v>1</v>
      </c>
      <c r="J417" s="7" t="str">
        <f t="shared" si="135"/>
        <v>FOREMOST14SS RP 22_SUNCAP_PK_KIDS</v>
      </c>
      <c r="K417" s="17">
        <f t="shared" si="136"/>
        <v>41737</v>
      </c>
      <c r="L417" s="12" t="str">
        <f t="shared" si="137"/>
        <v>201404</v>
      </c>
      <c r="M417" s="347" t="str">
        <f>VLOOKUP($K417,[3]주!$A:$F,6,FALSE)</f>
        <v>3월 2주</v>
      </c>
      <c r="N417" s="273" t="str">
        <f>IF(VLOOKUP($Z417,생산업체!$A:$C,2,FALSE)=1,"해외","국내")</f>
        <v>해외</v>
      </c>
      <c r="O417" s="12" t="str">
        <f>IF(VLOOKUP($U417,CODE!$K:$P,CODE!P$1,FALSE)="모자",T417,T417&amp;"-"&amp;VLOOKUP($U417,CODE!$K:$P,CODE!P$1,FALSE))</f>
        <v>POL</v>
      </c>
      <c r="P417" s="11" t="s">
        <v>1677</v>
      </c>
      <c r="R417" s="11">
        <v>52</v>
      </c>
      <c r="T417" s="8" t="s">
        <v>1677</v>
      </c>
      <c r="U417" s="8" t="s">
        <v>228</v>
      </c>
      <c r="V417" s="8" t="s">
        <v>43</v>
      </c>
      <c r="W417" s="8" t="s">
        <v>1679</v>
      </c>
      <c r="X417" s="8" t="s">
        <v>905</v>
      </c>
      <c r="Y417" s="9">
        <v>1</v>
      </c>
      <c r="Z417" s="8" t="s">
        <v>6</v>
      </c>
      <c r="AA417" s="10">
        <v>41694</v>
      </c>
      <c r="AB417" s="10">
        <v>41722</v>
      </c>
      <c r="AC417" s="10">
        <v>41737</v>
      </c>
      <c r="AD417" s="10">
        <v>41737</v>
      </c>
      <c r="AE417" s="8">
        <v>5</v>
      </c>
      <c r="AH417" s="8">
        <v>4</v>
      </c>
      <c r="AI417" s="8">
        <v>2</v>
      </c>
    </row>
    <row r="418" spans="1:36">
      <c r="A418" s="7">
        <f t="shared" si="120"/>
        <v>1</v>
      </c>
      <c r="B418" s="7" t="str">
        <f t="shared" si="131"/>
        <v>14SS RP 23_SUNCAP_BL_KIDS</v>
      </c>
      <c r="C418" s="7">
        <f t="shared" si="122"/>
        <v>1</v>
      </c>
      <c r="D418" s="7" t="str">
        <f t="shared" si="132"/>
        <v>FOREMOST14SS RP 23_SUNCAP_BL_KIDS</v>
      </c>
      <c r="E418" s="12" t="str">
        <f t="shared" si="133"/>
        <v>201402</v>
      </c>
      <c r="F418" s="347" t="str">
        <f>VLOOKUP($AA418,[3]주!$A:$F,6,FALSE)</f>
        <v>2월 4주</v>
      </c>
      <c r="G418" s="7">
        <f t="shared" si="125"/>
        <v>1</v>
      </c>
      <c r="H418" s="7" t="str">
        <f t="shared" si="134"/>
        <v>14SS RP 23_SUNCAP_BL_KIDS</v>
      </c>
      <c r="I418" s="7">
        <f t="shared" si="127"/>
        <v>1</v>
      </c>
      <c r="J418" s="7" t="str">
        <f t="shared" si="135"/>
        <v>FOREMOST14SS RP 23_SUNCAP_BL_KIDS</v>
      </c>
      <c r="K418" s="17">
        <f t="shared" si="136"/>
        <v>41737</v>
      </c>
      <c r="L418" s="12" t="str">
        <f t="shared" si="137"/>
        <v>201404</v>
      </c>
      <c r="M418" s="347" t="str">
        <f>VLOOKUP($K418,[3]주!$A:$F,6,FALSE)</f>
        <v>3월 2주</v>
      </c>
      <c r="N418" s="273" t="str">
        <f>IF(VLOOKUP($Z418,생산업체!$A:$C,2,FALSE)=1,"해외","국내")</f>
        <v>해외</v>
      </c>
      <c r="O418" s="12" t="str">
        <f>IF(VLOOKUP($U418,CODE!$K:$P,CODE!P$1,FALSE)="모자",T418,T418&amp;"-"&amp;VLOOKUP($U418,CODE!$K:$P,CODE!P$1,FALSE))</f>
        <v>POL</v>
      </c>
      <c r="P418" s="11" t="s">
        <v>1677</v>
      </c>
      <c r="R418" s="11">
        <v>53</v>
      </c>
      <c r="T418" s="8" t="s">
        <v>1677</v>
      </c>
      <c r="U418" s="8" t="s">
        <v>228</v>
      </c>
      <c r="V418" s="8" t="s">
        <v>43</v>
      </c>
      <c r="W418" s="8" t="s">
        <v>1680</v>
      </c>
      <c r="X418" s="8" t="s">
        <v>905</v>
      </c>
      <c r="Y418" s="9">
        <v>1</v>
      </c>
      <c r="Z418" s="8" t="s">
        <v>6</v>
      </c>
      <c r="AA418" s="10">
        <v>41694</v>
      </c>
      <c r="AB418" s="10">
        <v>41722</v>
      </c>
      <c r="AC418" s="10">
        <v>41737</v>
      </c>
      <c r="AD418" s="10">
        <v>41737</v>
      </c>
      <c r="AE418" s="8">
        <v>3.7</v>
      </c>
      <c r="AH418" s="8">
        <v>3</v>
      </c>
      <c r="AI418" s="8">
        <v>2</v>
      </c>
    </row>
    <row r="419" spans="1:36">
      <c r="A419" s="7">
        <f t="shared" si="120"/>
        <v>1</v>
      </c>
      <c r="B419" s="7" t="str">
        <f t="shared" si="131"/>
        <v>14SS RP 24_SUNCAP_BL_KIDS</v>
      </c>
      <c r="C419" s="7">
        <f t="shared" si="122"/>
        <v>1</v>
      </c>
      <c r="D419" s="7" t="str">
        <f t="shared" si="132"/>
        <v>FOREMOST14SS RP 24_SUNCAP_BL_KIDS</v>
      </c>
      <c r="E419" s="12" t="str">
        <f t="shared" si="133"/>
        <v>201402</v>
      </c>
      <c r="F419" s="347" t="str">
        <f>VLOOKUP($AA419,[3]주!$A:$F,6,FALSE)</f>
        <v>2월 4주</v>
      </c>
      <c r="G419" s="7">
        <f t="shared" si="125"/>
        <v>1</v>
      </c>
      <c r="H419" s="7" t="str">
        <f t="shared" si="134"/>
        <v>14SS RP 24_SUNCAP_BL_KIDS</v>
      </c>
      <c r="I419" s="7">
        <f t="shared" si="127"/>
        <v>1</v>
      </c>
      <c r="J419" s="7" t="str">
        <f t="shared" si="135"/>
        <v>FOREMOST14SS RP 24_SUNCAP_BL_KIDS</v>
      </c>
      <c r="K419" s="17">
        <f t="shared" si="136"/>
        <v>41737</v>
      </c>
      <c r="L419" s="12" t="str">
        <f t="shared" si="137"/>
        <v>201404</v>
      </c>
      <c r="M419" s="347" t="str">
        <f>VLOOKUP($K419,[3]주!$A:$F,6,FALSE)</f>
        <v>3월 2주</v>
      </c>
      <c r="N419" s="273" t="str">
        <f>IF(VLOOKUP($Z419,생산업체!$A:$C,2,FALSE)=1,"해외","국내")</f>
        <v>해외</v>
      </c>
      <c r="O419" s="12" t="str">
        <f>IF(VLOOKUP($U419,CODE!$K:$P,CODE!P$1,FALSE)="모자",T419,T419&amp;"-"&amp;VLOOKUP($U419,CODE!$K:$P,CODE!P$1,FALSE))</f>
        <v>POL</v>
      </c>
      <c r="P419" s="11" t="s">
        <v>1677</v>
      </c>
      <c r="R419" s="11">
        <v>54</v>
      </c>
      <c r="T419" s="8" t="s">
        <v>1677</v>
      </c>
      <c r="U419" s="8" t="s">
        <v>228</v>
      </c>
      <c r="V419" s="8" t="s">
        <v>43</v>
      </c>
      <c r="W419" s="8" t="s">
        <v>1681</v>
      </c>
      <c r="X419" s="8" t="s">
        <v>905</v>
      </c>
      <c r="Y419" s="9">
        <v>1</v>
      </c>
      <c r="Z419" s="8" t="s">
        <v>6</v>
      </c>
      <c r="AA419" s="10">
        <v>41694</v>
      </c>
      <c r="AB419" s="10">
        <v>41722</v>
      </c>
      <c r="AC419" s="10">
        <v>41737</v>
      </c>
      <c r="AD419" s="10">
        <v>41737</v>
      </c>
      <c r="AE419" s="8">
        <v>3.95</v>
      </c>
      <c r="AH419" s="8">
        <v>4</v>
      </c>
      <c r="AI419" s="8">
        <v>1</v>
      </c>
    </row>
    <row r="420" spans="1:36">
      <c r="A420" s="7">
        <f t="shared" si="120"/>
        <v>1</v>
      </c>
      <c r="B420" s="7" t="str">
        <f t="shared" si="131"/>
        <v>14FW BROWN_SQUARE_CAP_09_BK</v>
      </c>
      <c r="C420" s="7">
        <f t="shared" si="122"/>
        <v>1</v>
      </c>
      <c r="D420" s="7" t="str">
        <f t="shared" si="132"/>
        <v>동일모자14FW BROWN_SQUARE_CAP_09_BK</v>
      </c>
      <c r="E420" s="12" t="str">
        <f t="shared" si="133"/>
        <v>201402</v>
      </c>
      <c r="F420" s="347" t="str">
        <f>VLOOKUP($AA420,[3]주!$A:$F,6,FALSE)</f>
        <v>2월 4주</v>
      </c>
      <c r="G420" s="7">
        <f t="shared" si="125"/>
        <v>1</v>
      </c>
      <c r="H420" s="7" t="str">
        <f t="shared" si="134"/>
        <v>14FW BROWN_SQUARE_CAP_09_BK</v>
      </c>
      <c r="I420" s="7">
        <f t="shared" si="127"/>
        <v>1</v>
      </c>
      <c r="J420" s="7" t="str">
        <f t="shared" si="135"/>
        <v>동일모자14FW BROWN_SQUARE_CAP_09_BK</v>
      </c>
      <c r="K420" s="17">
        <f t="shared" si="136"/>
        <v>41712</v>
      </c>
      <c r="L420" s="12" t="str">
        <f t="shared" si="137"/>
        <v>201403</v>
      </c>
      <c r="M420" s="347" t="str">
        <f>VLOOKUP($K420,[3]주!$A:$F,6,FALSE)</f>
        <v>3월 2주</v>
      </c>
      <c r="N420" s="273" t="str">
        <f>IF(VLOOKUP($Z420,생산업체!$A:$C,2,FALSE)=1,"해외","국내")</f>
        <v>해외</v>
      </c>
      <c r="O420" s="12" t="str">
        <f>IF(VLOOKUP($U420,CODE!$K:$P,CODE!P$1,FALSE)="모자",T420,T420&amp;"-"&amp;VLOOKUP($U420,CODE!$K:$P,CODE!P$1,FALSE))</f>
        <v>BRO</v>
      </c>
      <c r="P420" s="11" t="s">
        <v>779</v>
      </c>
      <c r="R420" s="11">
        <v>55</v>
      </c>
      <c r="T420" s="8" t="s">
        <v>779</v>
      </c>
      <c r="U420" s="8" t="s">
        <v>35</v>
      </c>
      <c r="V420" s="8" t="s">
        <v>43</v>
      </c>
      <c r="W420" s="8" t="s">
        <v>1682</v>
      </c>
      <c r="X420" s="8" t="s">
        <v>900</v>
      </c>
      <c r="Y420" s="9">
        <v>1</v>
      </c>
      <c r="Z420" s="8" t="s">
        <v>44</v>
      </c>
      <c r="AA420" s="10">
        <v>41694</v>
      </c>
      <c r="AB420" s="10">
        <v>41722</v>
      </c>
      <c r="AC420" s="10">
        <v>41722</v>
      </c>
      <c r="AD420" s="10">
        <v>41712</v>
      </c>
      <c r="AE420" s="8">
        <v>7.95</v>
      </c>
      <c r="AH420" s="8">
        <v>2</v>
      </c>
      <c r="AI420" s="8">
        <v>2</v>
      </c>
    </row>
    <row r="421" spans="1:36">
      <c r="A421" s="7">
        <f t="shared" si="120"/>
        <v>1</v>
      </c>
      <c r="B421" s="7" t="str">
        <f t="shared" si="131"/>
        <v>14FW BROWN_SQUARE_CAP_10_RD</v>
      </c>
      <c r="C421" s="7">
        <f t="shared" si="122"/>
        <v>1</v>
      </c>
      <c r="D421" s="7" t="str">
        <f t="shared" si="132"/>
        <v>동일모자14FW BROWN_SQUARE_CAP_10_RD</v>
      </c>
      <c r="E421" s="12" t="str">
        <f t="shared" si="133"/>
        <v>201402</v>
      </c>
      <c r="F421" s="347" t="str">
        <f>VLOOKUP($AA421,[3]주!$A:$F,6,FALSE)</f>
        <v>2월 4주</v>
      </c>
      <c r="G421" s="7">
        <f t="shared" si="125"/>
        <v>1</v>
      </c>
      <c r="H421" s="7" t="str">
        <f t="shared" si="134"/>
        <v>14FW BROWN_SQUARE_CAP_10_RD</v>
      </c>
      <c r="I421" s="7">
        <f t="shared" si="127"/>
        <v>1</v>
      </c>
      <c r="J421" s="7" t="str">
        <f t="shared" si="135"/>
        <v>동일모자14FW BROWN_SQUARE_CAP_10_RD</v>
      </c>
      <c r="K421" s="17">
        <f t="shared" si="136"/>
        <v>41712</v>
      </c>
      <c r="L421" s="12" t="str">
        <f t="shared" si="137"/>
        <v>201403</v>
      </c>
      <c r="M421" s="347" t="str">
        <f>VLOOKUP($K421,[3]주!$A:$F,6,FALSE)</f>
        <v>3월 2주</v>
      </c>
      <c r="N421" s="273" t="str">
        <f>IF(VLOOKUP($Z421,생산업체!$A:$C,2,FALSE)=1,"해외","국내")</f>
        <v>해외</v>
      </c>
      <c r="O421" s="12" t="str">
        <f>IF(VLOOKUP($U421,CODE!$K:$P,CODE!P$1,FALSE)="모자",T421,T421&amp;"-"&amp;VLOOKUP($U421,CODE!$K:$P,CODE!P$1,FALSE))</f>
        <v>BRO</v>
      </c>
      <c r="P421" s="11" t="s">
        <v>779</v>
      </c>
      <c r="R421" s="11">
        <v>56</v>
      </c>
      <c r="T421" s="8" t="s">
        <v>779</v>
      </c>
      <c r="U421" s="8" t="s">
        <v>35</v>
      </c>
      <c r="V421" s="8" t="s">
        <v>43</v>
      </c>
      <c r="W421" s="8" t="s">
        <v>1683</v>
      </c>
      <c r="X421" s="8" t="s">
        <v>900</v>
      </c>
      <c r="Y421" s="9">
        <v>1</v>
      </c>
      <c r="Z421" s="8" t="s">
        <v>44</v>
      </c>
      <c r="AA421" s="10">
        <v>41694</v>
      </c>
      <c r="AB421" s="10">
        <v>41722</v>
      </c>
      <c r="AC421" s="10">
        <v>41722</v>
      </c>
      <c r="AD421" s="10">
        <v>41712</v>
      </c>
      <c r="AE421" s="8">
        <v>8.25</v>
      </c>
      <c r="AH421" s="8">
        <v>4</v>
      </c>
      <c r="AI421" s="8">
        <v>4</v>
      </c>
    </row>
    <row r="422" spans="1:36">
      <c r="A422" s="7">
        <f t="shared" si="120"/>
        <v>1</v>
      </c>
      <c r="B422" s="7" t="str">
        <f t="shared" si="131"/>
        <v>14FW BROWN_SQUARE_CAP_11_KH</v>
      </c>
      <c r="C422" s="7">
        <f t="shared" si="122"/>
        <v>1</v>
      </c>
      <c r="D422" s="7" t="str">
        <f t="shared" si="132"/>
        <v>동일모자14FW BROWN_SQUARE_CAP_11_KH</v>
      </c>
      <c r="E422" s="12" t="str">
        <f t="shared" si="133"/>
        <v>201402</v>
      </c>
      <c r="F422" s="347" t="str">
        <f>VLOOKUP($AA422,[3]주!$A:$F,6,FALSE)</f>
        <v>2월 4주</v>
      </c>
      <c r="G422" s="7">
        <f t="shared" si="125"/>
        <v>1</v>
      </c>
      <c r="H422" s="7" t="str">
        <f t="shared" si="134"/>
        <v>14FW BROWN_SQUARE_CAP_11_KH</v>
      </c>
      <c r="I422" s="7">
        <f t="shared" si="127"/>
        <v>1</v>
      </c>
      <c r="J422" s="7" t="str">
        <f t="shared" si="135"/>
        <v>동일모자14FW BROWN_SQUARE_CAP_11_KH</v>
      </c>
      <c r="K422" s="17">
        <f t="shared" si="136"/>
        <v>41712</v>
      </c>
      <c r="L422" s="12" t="str">
        <f t="shared" si="137"/>
        <v>201403</v>
      </c>
      <c r="M422" s="347" t="str">
        <f>VLOOKUP($K422,[3]주!$A:$F,6,FALSE)</f>
        <v>3월 2주</v>
      </c>
      <c r="N422" s="273" t="str">
        <f>IF(VLOOKUP($Z422,생산업체!$A:$C,2,FALSE)=1,"해외","국내")</f>
        <v>해외</v>
      </c>
      <c r="O422" s="12" t="str">
        <f>IF(VLOOKUP($U422,CODE!$K:$P,CODE!P$1,FALSE)="모자",T422,T422&amp;"-"&amp;VLOOKUP($U422,CODE!$K:$P,CODE!P$1,FALSE))</f>
        <v>BRO</v>
      </c>
      <c r="P422" s="11" t="s">
        <v>779</v>
      </c>
      <c r="R422" s="11">
        <v>57</v>
      </c>
      <c r="T422" s="8" t="s">
        <v>779</v>
      </c>
      <c r="U422" s="8" t="s">
        <v>35</v>
      </c>
      <c r="V422" s="8" t="s">
        <v>43</v>
      </c>
      <c r="W422" s="8" t="s">
        <v>1684</v>
      </c>
      <c r="X422" s="8" t="s">
        <v>900</v>
      </c>
      <c r="Y422" s="9">
        <v>1</v>
      </c>
      <c r="Z422" s="8" t="s">
        <v>44</v>
      </c>
      <c r="AA422" s="10">
        <v>41695</v>
      </c>
      <c r="AB422" s="10">
        <v>41723</v>
      </c>
      <c r="AC422" s="10">
        <v>41722</v>
      </c>
      <c r="AD422" s="10">
        <v>41712</v>
      </c>
      <c r="AE422" s="8">
        <v>6.65</v>
      </c>
      <c r="AH422" s="8">
        <v>4</v>
      </c>
      <c r="AI422" s="8">
        <v>3</v>
      </c>
      <c r="AJ422" s="8" t="s">
        <v>1776</v>
      </c>
    </row>
    <row r="423" spans="1:36">
      <c r="A423" s="7">
        <f t="shared" si="120"/>
        <v>1</v>
      </c>
      <c r="B423" s="7" t="str">
        <f t="shared" si="131"/>
        <v>14SS POLI 01_SNAP_PK_KIDS</v>
      </c>
      <c r="C423" s="7">
        <f t="shared" si="122"/>
        <v>1</v>
      </c>
      <c r="D423" s="7" t="str">
        <f t="shared" si="132"/>
        <v>동일모자14SS POLI 01_SNAP_PK_KIDS</v>
      </c>
      <c r="E423" s="12" t="str">
        <f t="shared" si="133"/>
        <v>201403</v>
      </c>
      <c r="F423" s="347" t="str">
        <f>VLOOKUP($AA423,[3]주!$A:$F,6,FALSE)</f>
        <v>3월 1주</v>
      </c>
      <c r="G423" s="7">
        <f t="shared" si="125"/>
        <v>1</v>
      </c>
      <c r="H423" s="7" t="str">
        <f t="shared" si="134"/>
        <v>14SS POLI 01_SNAP_PK_KIDS</v>
      </c>
      <c r="I423" s="7">
        <f t="shared" si="127"/>
        <v>1</v>
      </c>
      <c r="J423" s="7" t="str">
        <f t="shared" si="135"/>
        <v>동일모자14SS POLI 01_SNAP_PK_KIDS</v>
      </c>
      <c r="K423" s="17">
        <f t="shared" si="136"/>
        <v>41744</v>
      </c>
      <c r="L423" s="12" t="str">
        <f t="shared" si="137"/>
        <v>201404</v>
      </c>
      <c r="M423" s="347" t="str">
        <f>VLOOKUP($K423,[3]주!$A:$F,6,FALSE)</f>
        <v>3월 2주</v>
      </c>
      <c r="N423" s="273" t="str">
        <f>IF(VLOOKUP($Z423,생산업체!$A:$C,2,FALSE)=1,"해외","국내")</f>
        <v>해외</v>
      </c>
      <c r="O423" s="12" t="str">
        <f>IF(VLOOKUP($U423,CODE!$K:$P,CODE!P$1,FALSE)="모자",T423,T423&amp;"-"&amp;VLOOKUP($U423,CODE!$K:$P,CODE!P$1,FALSE))</f>
        <v>POL</v>
      </c>
      <c r="P423" s="11" t="s">
        <v>1677</v>
      </c>
      <c r="R423" s="11">
        <v>58</v>
      </c>
      <c r="T423" s="8" t="s">
        <v>1677</v>
      </c>
      <c r="U423" s="8" t="s">
        <v>38</v>
      </c>
      <c r="V423" s="8" t="s">
        <v>43</v>
      </c>
      <c r="W423" s="8" t="s">
        <v>1777</v>
      </c>
      <c r="X423" s="8" t="s">
        <v>905</v>
      </c>
      <c r="Y423" s="9">
        <v>1</v>
      </c>
      <c r="Z423" s="8" t="s">
        <v>44</v>
      </c>
      <c r="AA423" s="10">
        <v>41703</v>
      </c>
      <c r="AB423" s="10">
        <v>41731</v>
      </c>
      <c r="AC423" s="10">
        <v>41740</v>
      </c>
      <c r="AD423" s="10">
        <v>41744</v>
      </c>
      <c r="AE423" s="8">
        <v>5.9</v>
      </c>
      <c r="AH423" s="8">
        <v>5</v>
      </c>
      <c r="AI423" s="8" t="s">
        <v>1959</v>
      </c>
      <c r="AJ423" s="8" t="s">
        <v>2190</v>
      </c>
    </row>
    <row r="424" spans="1:36">
      <c r="A424" s="7">
        <f t="shared" si="120"/>
        <v>1</v>
      </c>
      <c r="B424" s="7" t="str">
        <f t="shared" si="131"/>
        <v>14SS POLI 02_SNAP_BL_KIDS</v>
      </c>
      <c r="C424" s="7">
        <f t="shared" si="122"/>
        <v>1</v>
      </c>
      <c r="D424" s="7" t="str">
        <f t="shared" si="132"/>
        <v>동일모자14SS POLI 02_SNAP_BL_KIDS</v>
      </c>
      <c r="E424" s="12" t="str">
        <f t="shared" si="133"/>
        <v>201403</v>
      </c>
      <c r="F424" s="347" t="str">
        <f>VLOOKUP($AA424,[3]주!$A:$F,6,FALSE)</f>
        <v>3월 1주</v>
      </c>
      <c r="G424" s="7">
        <f t="shared" si="125"/>
        <v>1</v>
      </c>
      <c r="H424" s="7" t="str">
        <f t="shared" si="134"/>
        <v>14SS POLI 02_SNAP_BL_KIDS</v>
      </c>
      <c r="I424" s="7">
        <f t="shared" si="127"/>
        <v>1</v>
      </c>
      <c r="J424" s="7" t="str">
        <f t="shared" si="135"/>
        <v>동일모자14SS POLI 02_SNAP_BL_KIDS</v>
      </c>
      <c r="K424" s="17">
        <f t="shared" si="136"/>
        <v>41744</v>
      </c>
      <c r="L424" s="12" t="str">
        <f t="shared" si="137"/>
        <v>201404</v>
      </c>
      <c r="M424" s="347" t="str">
        <f>VLOOKUP($K424,[3]주!$A:$F,6,FALSE)</f>
        <v>3월 2주</v>
      </c>
      <c r="N424" s="273" t="str">
        <f>IF(VLOOKUP($Z424,생산업체!$A:$C,2,FALSE)=1,"해외","국내")</f>
        <v>해외</v>
      </c>
      <c r="O424" s="12" t="str">
        <f>IF(VLOOKUP($U424,CODE!$K:$P,CODE!P$1,FALSE)="모자",T424,T424&amp;"-"&amp;VLOOKUP($U424,CODE!$K:$P,CODE!P$1,FALSE))</f>
        <v>POL</v>
      </c>
      <c r="P424" s="11" t="s">
        <v>1677</v>
      </c>
      <c r="R424" s="11">
        <v>59</v>
      </c>
      <c r="T424" s="8" t="s">
        <v>1677</v>
      </c>
      <c r="U424" s="8" t="s">
        <v>38</v>
      </c>
      <c r="V424" s="8" t="s">
        <v>43</v>
      </c>
      <c r="W424" s="8" t="s">
        <v>1778</v>
      </c>
      <c r="X424" s="8" t="s">
        <v>905</v>
      </c>
      <c r="Y424" s="9">
        <v>1</v>
      </c>
      <c r="Z424" s="8" t="s">
        <v>44</v>
      </c>
      <c r="AA424" s="10">
        <v>41703</v>
      </c>
      <c r="AB424" s="10">
        <v>41731</v>
      </c>
      <c r="AC424" s="10">
        <v>41740</v>
      </c>
      <c r="AD424" s="10">
        <v>41744</v>
      </c>
      <c r="AE424" s="8">
        <v>5.6</v>
      </c>
      <c r="AH424" s="8">
        <v>7</v>
      </c>
      <c r="AI424" s="8" t="s">
        <v>1959</v>
      </c>
      <c r="AJ424" s="8" t="s">
        <v>2190</v>
      </c>
    </row>
    <row r="425" spans="1:36">
      <c r="A425" s="7">
        <f t="shared" si="120"/>
        <v>1</v>
      </c>
      <c r="B425" s="7" t="str">
        <f t="shared" si="131"/>
        <v>14SS POLI 03_SNAP_BL_KIDS</v>
      </c>
      <c r="C425" s="7">
        <f t="shared" si="122"/>
        <v>1</v>
      </c>
      <c r="D425" s="7" t="str">
        <f t="shared" si="132"/>
        <v>동일모자14SS POLI 03_SNAP_BL_KIDS</v>
      </c>
      <c r="E425" s="12" t="str">
        <f t="shared" si="133"/>
        <v>201403</v>
      </c>
      <c r="F425" s="347" t="str">
        <f>VLOOKUP($AA425,[3]주!$A:$F,6,FALSE)</f>
        <v>3월 1주</v>
      </c>
      <c r="G425" s="7">
        <f t="shared" si="125"/>
        <v>1</v>
      </c>
      <c r="H425" s="7" t="str">
        <f t="shared" si="134"/>
        <v>14SS POLI 03_SNAP_BL_KIDS</v>
      </c>
      <c r="I425" s="7">
        <f t="shared" si="127"/>
        <v>1</v>
      </c>
      <c r="J425" s="7" t="str">
        <f t="shared" si="135"/>
        <v>동일모자14SS POLI 03_SNAP_BL_KIDS</v>
      </c>
      <c r="K425" s="17">
        <f t="shared" si="136"/>
        <v>41744</v>
      </c>
      <c r="L425" s="12" t="str">
        <f t="shared" si="137"/>
        <v>201404</v>
      </c>
      <c r="M425" s="347" t="str">
        <f>VLOOKUP($K425,[3]주!$A:$F,6,FALSE)</f>
        <v>3월 2주</v>
      </c>
      <c r="N425" s="273" t="str">
        <f>IF(VLOOKUP($Z425,생산업체!$A:$C,2,FALSE)=1,"해외","국내")</f>
        <v>해외</v>
      </c>
      <c r="O425" s="12" t="str">
        <f>IF(VLOOKUP($U425,CODE!$K:$P,CODE!P$1,FALSE)="모자",T425,T425&amp;"-"&amp;VLOOKUP($U425,CODE!$K:$P,CODE!P$1,FALSE))</f>
        <v>POL</v>
      </c>
      <c r="P425" s="11" t="s">
        <v>1677</v>
      </c>
      <c r="R425" s="11">
        <v>60</v>
      </c>
      <c r="T425" s="8" t="s">
        <v>1677</v>
      </c>
      <c r="U425" s="8" t="s">
        <v>38</v>
      </c>
      <c r="V425" s="8" t="s">
        <v>43</v>
      </c>
      <c r="W425" s="8" t="s">
        <v>1779</v>
      </c>
      <c r="X425" s="8" t="s">
        <v>905</v>
      </c>
      <c r="Y425" s="9">
        <v>1</v>
      </c>
      <c r="Z425" s="8" t="s">
        <v>44</v>
      </c>
      <c r="AA425" s="10">
        <v>41703</v>
      </c>
      <c r="AB425" s="10">
        <v>41731</v>
      </c>
      <c r="AC425" s="10">
        <v>41740</v>
      </c>
      <c r="AD425" s="10">
        <v>41744</v>
      </c>
      <c r="AE425" s="8">
        <v>7</v>
      </c>
      <c r="AH425" s="8">
        <v>5</v>
      </c>
      <c r="AI425" s="8" t="s">
        <v>1959</v>
      </c>
      <c r="AJ425" s="8" t="s">
        <v>2190</v>
      </c>
    </row>
    <row r="426" spans="1:36">
      <c r="A426" s="7">
        <f t="shared" si="120"/>
        <v>1</v>
      </c>
      <c r="B426" s="7" t="str">
        <f t="shared" si="131"/>
        <v>14SS POLI 04_SNAP_PK_KIDS</v>
      </c>
      <c r="C426" s="7">
        <f t="shared" si="122"/>
        <v>1</v>
      </c>
      <c r="D426" s="7" t="str">
        <f t="shared" si="132"/>
        <v>동일모자14SS POLI 04_SNAP_PK_KIDS</v>
      </c>
      <c r="E426" s="12" t="str">
        <f t="shared" si="133"/>
        <v>201403</v>
      </c>
      <c r="F426" s="347" t="str">
        <f>VLOOKUP($AA426,[3]주!$A:$F,6,FALSE)</f>
        <v>3월 1주</v>
      </c>
      <c r="G426" s="7">
        <f t="shared" si="125"/>
        <v>1</v>
      </c>
      <c r="H426" s="7" t="str">
        <f t="shared" si="134"/>
        <v>14SS POLI 04_SNAP_PK_KIDS</v>
      </c>
      <c r="I426" s="7">
        <f t="shared" si="127"/>
        <v>1</v>
      </c>
      <c r="J426" s="7" t="str">
        <f t="shared" si="135"/>
        <v>동일모자14SS POLI 04_SNAP_PK_KIDS</v>
      </c>
      <c r="K426" s="17">
        <f t="shared" si="136"/>
        <v>41744</v>
      </c>
      <c r="L426" s="12" t="str">
        <f t="shared" si="137"/>
        <v>201404</v>
      </c>
      <c r="M426" s="347" t="str">
        <f>VLOOKUP($K426,[3]주!$A:$F,6,FALSE)</f>
        <v>3월 2주</v>
      </c>
      <c r="N426" s="273" t="str">
        <f>IF(VLOOKUP($Z426,생산업체!$A:$C,2,FALSE)=1,"해외","국내")</f>
        <v>해외</v>
      </c>
      <c r="O426" s="12" t="str">
        <f>IF(VLOOKUP($U426,CODE!$K:$P,CODE!P$1,FALSE)="모자",T426,T426&amp;"-"&amp;VLOOKUP($U426,CODE!$K:$P,CODE!P$1,FALSE))</f>
        <v>POL</v>
      </c>
      <c r="P426" s="11" t="s">
        <v>1677</v>
      </c>
      <c r="R426" s="11">
        <v>61</v>
      </c>
      <c r="T426" s="8" t="s">
        <v>1677</v>
      </c>
      <c r="U426" s="8" t="s">
        <v>38</v>
      </c>
      <c r="V426" s="8" t="s">
        <v>43</v>
      </c>
      <c r="W426" s="8" t="s">
        <v>1780</v>
      </c>
      <c r="X426" s="8" t="s">
        <v>905</v>
      </c>
      <c r="Y426" s="9">
        <v>1</v>
      </c>
      <c r="Z426" s="8" t="s">
        <v>44</v>
      </c>
      <c r="AA426" s="10">
        <v>41703</v>
      </c>
      <c r="AB426" s="10">
        <v>41731</v>
      </c>
      <c r="AC426" s="10">
        <v>41740</v>
      </c>
      <c r="AD426" s="10">
        <v>41744</v>
      </c>
      <c r="AE426" s="8">
        <v>6.75</v>
      </c>
      <c r="AH426" s="8">
        <v>6</v>
      </c>
      <c r="AI426" s="8" t="s">
        <v>1959</v>
      </c>
      <c r="AJ426" s="8" t="s">
        <v>2190</v>
      </c>
    </row>
    <row r="427" spans="1:36">
      <c r="A427" s="7">
        <f t="shared" si="120"/>
        <v>0.5</v>
      </c>
      <c r="B427" s="7" t="str">
        <f t="shared" si="131"/>
        <v>14FW BLACK MOOD_03_FLAT_BK</v>
      </c>
      <c r="C427" s="7">
        <f t="shared" si="122"/>
        <v>1</v>
      </c>
      <c r="D427" s="7" t="str">
        <f t="shared" si="132"/>
        <v>동일모자14FW BLACK MOOD_03_FLAT_BK</v>
      </c>
      <c r="E427" s="12" t="str">
        <f t="shared" si="133"/>
        <v>201403</v>
      </c>
      <c r="F427" s="347" t="str">
        <f>VLOOKUP($AA427,[3]주!$A:$F,6,FALSE)</f>
        <v>3월 1주</v>
      </c>
      <c r="G427" s="7">
        <f t="shared" si="125"/>
        <v>1</v>
      </c>
      <c r="H427" s="7" t="str">
        <f t="shared" si="134"/>
        <v>14FW BLACK MOOD_03_FLAT_BK</v>
      </c>
      <c r="I427" s="7">
        <f t="shared" si="127"/>
        <v>1</v>
      </c>
      <c r="J427" s="7" t="str">
        <f t="shared" si="135"/>
        <v>동일모자14FW BLACK MOOD_03_FLAT_BK</v>
      </c>
      <c r="K427" s="17">
        <f t="shared" si="136"/>
        <v>41736</v>
      </c>
      <c r="L427" s="12" t="str">
        <f t="shared" si="137"/>
        <v>201404</v>
      </c>
      <c r="M427" s="347" t="str">
        <f>VLOOKUP($K427,[3]주!$A:$F,6,FALSE)</f>
        <v>3월 2주</v>
      </c>
      <c r="N427" s="273" t="str">
        <f>IF(VLOOKUP($Z427,생산업체!$A:$C,2,FALSE)=1,"해외","국내")</f>
        <v>해외</v>
      </c>
      <c r="O427" s="12" t="str">
        <f>IF(VLOOKUP($U427,CODE!$K:$P,CODE!P$1,FALSE)="모자",T427,T427&amp;"-"&amp;VLOOKUP($U427,CODE!$K:$P,CODE!P$1,FALSE))</f>
        <v>BMD</v>
      </c>
      <c r="P427" s="11" t="s">
        <v>53</v>
      </c>
      <c r="R427" s="11">
        <v>62</v>
      </c>
      <c r="T427" s="8" t="s">
        <v>53</v>
      </c>
      <c r="U427" s="8" t="s">
        <v>38</v>
      </c>
      <c r="V427" s="8" t="s">
        <v>43</v>
      </c>
      <c r="W427" s="8" t="s">
        <v>1781</v>
      </c>
      <c r="X427" s="8" t="s">
        <v>900</v>
      </c>
      <c r="Y427" s="9">
        <v>0.5</v>
      </c>
      <c r="Z427" s="8" t="s">
        <v>44</v>
      </c>
      <c r="AA427" s="10">
        <v>41703</v>
      </c>
      <c r="AB427" s="10">
        <v>41731</v>
      </c>
      <c r="AC427" s="10">
        <v>41736</v>
      </c>
      <c r="AD427" s="10">
        <v>41736</v>
      </c>
      <c r="AE427" s="8">
        <v>5.55</v>
      </c>
      <c r="AH427" s="8">
        <v>3</v>
      </c>
      <c r="AI427" s="8">
        <v>3</v>
      </c>
    </row>
    <row r="428" spans="1:36">
      <c r="A428" s="7">
        <f t="shared" si="120"/>
        <v>1</v>
      </c>
      <c r="B428" s="7" t="str">
        <f t="shared" si="131"/>
        <v>14FW BLACK MOOD_04_FLAT_BK</v>
      </c>
      <c r="C428" s="7">
        <f t="shared" si="122"/>
        <v>1</v>
      </c>
      <c r="D428" s="7" t="str">
        <f t="shared" si="132"/>
        <v>동일모자14FW BLACK MOOD_04_FLAT_BK</v>
      </c>
      <c r="E428" s="12" t="str">
        <f t="shared" si="133"/>
        <v>201403</v>
      </c>
      <c r="F428" s="347" t="str">
        <f>VLOOKUP($AA428,[3]주!$A:$F,6,FALSE)</f>
        <v>3월 1주</v>
      </c>
      <c r="G428" s="7">
        <f t="shared" si="125"/>
        <v>1</v>
      </c>
      <c r="H428" s="7" t="str">
        <f t="shared" si="134"/>
        <v>14FW BLACK MOOD_04_FLAT_BK</v>
      </c>
      <c r="I428" s="7">
        <f t="shared" si="127"/>
        <v>1</v>
      </c>
      <c r="J428" s="7" t="str">
        <f t="shared" si="135"/>
        <v>동일모자14FW BLACK MOOD_04_FLAT_BK</v>
      </c>
      <c r="K428" s="17">
        <f t="shared" si="136"/>
        <v>41736</v>
      </c>
      <c r="L428" s="12" t="str">
        <f t="shared" si="137"/>
        <v>201404</v>
      </c>
      <c r="M428" s="347" t="str">
        <f>VLOOKUP($K428,[3]주!$A:$F,6,FALSE)</f>
        <v>3월 2주</v>
      </c>
      <c r="N428" s="273" t="str">
        <f>IF(VLOOKUP($Z428,생산업체!$A:$C,2,FALSE)=1,"해외","국내")</f>
        <v>해외</v>
      </c>
      <c r="O428" s="12" t="str">
        <f>IF(VLOOKUP($U428,CODE!$K:$P,CODE!P$1,FALSE)="모자",T428,T428&amp;"-"&amp;VLOOKUP($U428,CODE!$K:$P,CODE!P$1,FALSE))</f>
        <v>BMD</v>
      </c>
      <c r="P428" s="11" t="s">
        <v>53</v>
      </c>
      <c r="R428" s="11">
        <v>63</v>
      </c>
      <c r="T428" s="8" t="s">
        <v>53</v>
      </c>
      <c r="U428" s="8" t="s">
        <v>38</v>
      </c>
      <c r="V428" s="8" t="s">
        <v>43</v>
      </c>
      <c r="W428" s="8" t="s">
        <v>1782</v>
      </c>
      <c r="X428" s="8" t="s">
        <v>900</v>
      </c>
      <c r="Y428" s="9">
        <v>1</v>
      </c>
      <c r="Z428" s="8" t="s">
        <v>44</v>
      </c>
      <c r="AA428" s="10">
        <v>41703</v>
      </c>
      <c r="AB428" s="10">
        <v>41731</v>
      </c>
      <c r="AC428" s="10">
        <v>41736</v>
      </c>
      <c r="AD428" s="10">
        <v>41736</v>
      </c>
      <c r="AE428" s="8">
        <v>5.15</v>
      </c>
      <c r="AH428" s="8">
        <v>3</v>
      </c>
      <c r="AI428" s="8">
        <v>3</v>
      </c>
    </row>
    <row r="429" spans="1:36">
      <c r="A429" s="7">
        <f t="shared" si="120"/>
        <v>0.5</v>
      </c>
      <c r="B429" s="7" t="str">
        <f t="shared" si="131"/>
        <v>14FW NV 01_SOCKS_GY</v>
      </c>
      <c r="C429" s="7">
        <f t="shared" si="122"/>
        <v>1</v>
      </c>
      <c r="D429" s="7" t="str">
        <f t="shared" si="132"/>
        <v>FILL 2114FW NV 01_SOCKS_GY</v>
      </c>
      <c r="E429" s="12" t="str">
        <f t="shared" si="133"/>
        <v>201403</v>
      </c>
      <c r="F429" s="347" t="str">
        <f>VLOOKUP($AA429,[3]주!$A:$F,6,FALSE)</f>
        <v>3월 2주</v>
      </c>
      <c r="G429" s="7">
        <f t="shared" si="125"/>
        <v>0.5</v>
      </c>
      <c r="H429" s="7" t="str">
        <f t="shared" si="134"/>
        <v>14FW NV 01_SOCKS_GY</v>
      </c>
      <c r="I429" s="7">
        <f t="shared" si="127"/>
        <v>1</v>
      </c>
      <c r="J429" s="7" t="str">
        <f t="shared" si="135"/>
        <v>FILL 2114FW NV 01_SOCKS_GY</v>
      </c>
      <c r="K429" s="17">
        <f t="shared" si="136"/>
        <v>41730</v>
      </c>
      <c r="L429" s="12" t="str">
        <f t="shared" si="137"/>
        <v>201404</v>
      </c>
      <c r="M429" s="347" t="str">
        <f>VLOOKUP($K429,[3]주!$A:$F,6,FALSE)</f>
        <v>3월 2주</v>
      </c>
      <c r="N429" s="273" t="e">
        <f>IF(VLOOKUP($Z429,생산업체!$A:$C,2,FALSE)=1,"해외","국내")</f>
        <v>#N/A</v>
      </c>
      <c r="O429" s="12" t="str">
        <f>IF(VLOOKUP($U429,CODE!$K:$P,CODE!P$1,FALSE)="모자",T429,T429&amp;"-"&amp;VLOOKUP($U429,CODE!$K:$P,CODE!P$1,FALSE))</f>
        <v>NOV-ACC</v>
      </c>
      <c r="P429" s="11" t="s">
        <v>1828</v>
      </c>
      <c r="R429" s="11">
        <v>64</v>
      </c>
      <c r="T429" s="8" t="s">
        <v>40</v>
      </c>
      <c r="U429" s="8" t="s">
        <v>249</v>
      </c>
      <c r="V429" s="8" t="s">
        <v>43</v>
      </c>
      <c r="W429" s="8" t="s">
        <v>1829</v>
      </c>
      <c r="X429" s="8" t="s">
        <v>900</v>
      </c>
      <c r="Y429" s="9">
        <v>0.5</v>
      </c>
      <c r="Z429" s="8" t="s">
        <v>1830</v>
      </c>
      <c r="AA429" s="10">
        <v>41712</v>
      </c>
      <c r="AB429" s="10">
        <v>41740</v>
      </c>
      <c r="AC429" s="10">
        <v>41730</v>
      </c>
      <c r="AD429" s="10">
        <v>41730</v>
      </c>
      <c r="AF429" s="8">
        <v>1600</v>
      </c>
      <c r="AG429" s="8" t="s">
        <v>2004</v>
      </c>
      <c r="AH429" s="8" t="s">
        <v>1959</v>
      </c>
      <c r="AI429" s="8" t="s">
        <v>1959</v>
      </c>
      <c r="AJ429" s="8" t="s">
        <v>1831</v>
      </c>
    </row>
    <row r="430" spans="1:36">
      <c r="A430" s="7">
        <f t="shared" si="120"/>
        <v>0.5</v>
      </c>
      <c r="B430" s="7" t="str">
        <f t="shared" si="131"/>
        <v>14FW NV 02_SOCKS_NY</v>
      </c>
      <c r="C430" s="7">
        <f t="shared" si="122"/>
        <v>1</v>
      </c>
      <c r="D430" s="7" t="str">
        <f t="shared" si="132"/>
        <v>FILL 2114FW NV 02_SOCKS_NY</v>
      </c>
      <c r="E430" s="12" t="str">
        <f t="shared" si="133"/>
        <v>201403</v>
      </c>
      <c r="F430" s="347" t="str">
        <f>VLOOKUP($AA430,[3]주!$A:$F,6,FALSE)</f>
        <v>3월 2주</v>
      </c>
      <c r="G430" s="7">
        <f t="shared" si="125"/>
        <v>0.5</v>
      </c>
      <c r="H430" s="7" t="str">
        <f t="shared" si="134"/>
        <v>14FW NV 02_SOCKS_NY</v>
      </c>
      <c r="I430" s="7">
        <f t="shared" si="127"/>
        <v>1</v>
      </c>
      <c r="J430" s="7" t="str">
        <f t="shared" si="135"/>
        <v>FILL 2114FW NV 02_SOCKS_NY</v>
      </c>
      <c r="K430" s="17">
        <f t="shared" si="136"/>
        <v>41730</v>
      </c>
      <c r="L430" s="12" t="str">
        <f t="shared" si="137"/>
        <v>201404</v>
      </c>
      <c r="M430" s="347" t="str">
        <f>VLOOKUP($K430,[3]주!$A:$F,6,FALSE)</f>
        <v>3월 2주</v>
      </c>
      <c r="N430" s="273" t="e">
        <f>IF(VLOOKUP($Z430,생산업체!$A:$C,2,FALSE)=1,"해외","국내")</f>
        <v>#N/A</v>
      </c>
      <c r="O430" s="12" t="str">
        <f>IF(VLOOKUP($U430,CODE!$K:$P,CODE!P$1,FALSE)="모자",T430,T430&amp;"-"&amp;VLOOKUP($U430,CODE!$K:$P,CODE!P$1,FALSE))</f>
        <v>NOV-ACC</v>
      </c>
      <c r="P430" s="11" t="s">
        <v>1828</v>
      </c>
      <c r="R430" s="11">
        <v>65</v>
      </c>
      <c r="T430" s="8" t="s">
        <v>40</v>
      </c>
      <c r="U430" s="8" t="s">
        <v>249</v>
      </c>
      <c r="V430" s="8" t="s">
        <v>43</v>
      </c>
      <c r="W430" s="8" t="s">
        <v>1832</v>
      </c>
      <c r="X430" s="8" t="s">
        <v>900</v>
      </c>
      <c r="Y430" s="9">
        <v>0.5</v>
      </c>
      <c r="Z430" s="8" t="s">
        <v>1830</v>
      </c>
      <c r="AA430" s="10">
        <v>41712</v>
      </c>
      <c r="AB430" s="10">
        <v>41740</v>
      </c>
      <c r="AC430" s="10">
        <v>41730</v>
      </c>
      <c r="AD430" s="10">
        <v>41730</v>
      </c>
      <c r="AF430" s="8">
        <v>1600</v>
      </c>
      <c r="AH430" s="8" t="s">
        <v>1959</v>
      </c>
      <c r="AI430" s="8" t="s">
        <v>1959</v>
      </c>
      <c r="AJ430" s="8" t="s">
        <v>1831</v>
      </c>
    </row>
    <row r="431" spans="1:36">
      <c r="A431" s="7">
        <f t="shared" si="120"/>
        <v>0.5</v>
      </c>
      <c r="B431" s="7" t="str">
        <f t="shared" si="131"/>
        <v>14FW NV 03_SOCKS_GY</v>
      </c>
      <c r="C431" s="7">
        <f t="shared" si="122"/>
        <v>1</v>
      </c>
      <c r="D431" s="7" t="str">
        <f t="shared" si="132"/>
        <v>FILL 2114FW NV 03_SOCKS_GY</v>
      </c>
      <c r="E431" s="12" t="str">
        <f t="shared" si="133"/>
        <v>201403</v>
      </c>
      <c r="F431" s="347" t="str">
        <f>VLOOKUP($AA431,[3]주!$A:$F,6,FALSE)</f>
        <v>3월 2주</v>
      </c>
      <c r="G431" s="7">
        <f t="shared" si="125"/>
        <v>0.5</v>
      </c>
      <c r="H431" s="7" t="str">
        <f t="shared" si="134"/>
        <v>14FW NV 03_SOCKS_GY</v>
      </c>
      <c r="I431" s="7">
        <f t="shared" si="127"/>
        <v>1</v>
      </c>
      <c r="J431" s="7" t="str">
        <f t="shared" si="135"/>
        <v>FILL 2114FW NV 03_SOCKS_GY</v>
      </c>
      <c r="K431" s="17">
        <f t="shared" si="136"/>
        <v>41730</v>
      </c>
      <c r="L431" s="12" t="str">
        <f t="shared" si="137"/>
        <v>201404</v>
      </c>
      <c r="M431" s="347" t="str">
        <f>VLOOKUP($K431,[3]주!$A:$F,6,FALSE)</f>
        <v>3월 2주</v>
      </c>
      <c r="N431" s="273" t="e">
        <f>IF(VLOOKUP($Z431,생산업체!$A:$C,2,FALSE)=1,"해외","국내")</f>
        <v>#N/A</v>
      </c>
      <c r="O431" s="12" t="str">
        <f>IF(VLOOKUP($U431,CODE!$K:$P,CODE!P$1,FALSE)="모자",T431,T431&amp;"-"&amp;VLOOKUP($U431,CODE!$K:$P,CODE!P$1,FALSE))</f>
        <v>NOV-ACC</v>
      </c>
      <c r="P431" s="11" t="s">
        <v>1828</v>
      </c>
      <c r="R431" s="11">
        <v>66</v>
      </c>
      <c r="T431" s="8" t="s">
        <v>40</v>
      </c>
      <c r="U431" s="8" t="s">
        <v>249</v>
      </c>
      <c r="V431" s="8" t="s">
        <v>43</v>
      </c>
      <c r="W431" s="8" t="s">
        <v>1833</v>
      </c>
      <c r="X431" s="8" t="s">
        <v>900</v>
      </c>
      <c r="Y431" s="9">
        <v>0.5</v>
      </c>
      <c r="Z431" s="8" t="s">
        <v>1830</v>
      </c>
      <c r="AA431" s="10">
        <v>41712</v>
      </c>
      <c r="AB431" s="10">
        <v>41740</v>
      </c>
      <c r="AC431" s="10">
        <v>41730</v>
      </c>
      <c r="AD431" s="10">
        <v>41730</v>
      </c>
      <c r="AF431" s="8">
        <v>1600</v>
      </c>
      <c r="AH431" s="8" t="s">
        <v>1959</v>
      </c>
      <c r="AI431" s="8" t="s">
        <v>1959</v>
      </c>
      <c r="AJ431" s="8" t="s">
        <v>1831</v>
      </c>
    </row>
    <row r="432" spans="1:36">
      <c r="A432" s="7">
        <f t="shared" si="120"/>
        <v>0.5</v>
      </c>
      <c r="B432" s="7" t="str">
        <f t="shared" si="131"/>
        <v>14FW NV 04_SOCKS_NY</v>
      </c>
      <c r="C432" s="7">
        <f t="shared" si="122"/>
        <v>1</v>
      </c>
      <c r="D432" s="7" t="str">
        <f t="shared" si="132"/>
        <v>FILL 2114FW NV 04_SOCKS_NY</v>
      </c>
      <c r="E432" s="12" t="str">
        <f t="shared" si="133"/>
        <v>201403</v>
      </c>
      <c r="F432" s="347" t="str">
        <f>VLOOKUP($AA432,[3]주!$A:$F,6,FALSE)</f>
        <v>3월 2주</v>
      </c>
      <c r="G432" s="7">
        <f t="shared" si="125"/>
        <v>0.5</v>
      </c>
      <c r="H432" s="7" t="str">
        <f t="shared" si="134"/>
        <v>14FW NV 04_SOCKS_NY</v>
      </c>
      <c r="I432" s="7">
        <f t="shared" si="127"/>
        <v>1</v>
      </c>
      <c r="J432" s="7" t="str">
        <f t="shared" si="135"/>
        <v>FILL 2114FW NV 04_SOCKS_NY</v>
      </c>
      <c r="K432" s="17">
        <f t="shared" si="136"/>
        <v>41730</v>
      </c>
      <c r="L432" s="12" t="str">
        <f t="shared" si="137"/>
        <v>201404</v>
      </c>
      <c r="M432" s="347" t="str">
        <f>VLOOKUP($K432,[3]주!$A:$F,6,FALSE)</f>
        <v>3월 2주</v>
      </c>
      <c r="N432" s="273" t="e">
        <f>IF(VLOOKUP($Z432,생산업체!$A:$C,2,FALSE)=1,"해외","국내")</f>
        <v>#N/A</v>
      </c>
      <c r="O432" s="12" t="str">
        <f>IF(VLOOKUP($U432,CODE!$K:$P,CODE!P$1,FALSE)="모자",T432,T432&amp;"-"&amp;VLOOKUP($U432,CODE!$K:$P,CODE!P$1,FALSE))</f>
        <v>NOV-ACC</v>
      </c>
      <c r="P432" s="11" t="s">
        <v>1828</v>
      </c>
      <c r="R432" s="11">
        <v>67</v>
      </c>
      <c r="T432" s="8" t="s">
        <v>40</v>
      </c>
      <c r="U432" s="8" t="s">
        <v>249</v>
      </c>
      <c r="V432" s="8" t="s">
        <v>43</v>
      </c>
      <c r="W432" s="8" t="s">
        <v>1834</v>
      </c>
      <c r="X432" s="8" t="s">
        <v>900</v>
      </c>
      <c r="Y432" s="9">
        <v>0.5</v>
      </c>
      <c r="Z432" s="8" t="s">
        <v>1830</v>
      </c>
      <c r="AA432" s="10">
        <v>41712</v>
      </c>
      <c r="AB432" s="10">
        <v>41740</v>
      </c>
      <c r="AC432" s="10">
        <v>41730</v>
      </c>
      <c r="AD432" s="10">
        <v>41730</v>
      </c>
      <c r="AF432" s="8">
        <v>1600</v>
      </c>
      <c r="AH432" s="8" t="s">
        <v>1959</v>
      </c>
      <c r="AI432" s="8" t="s">
        <v>1959</v>
      </c>
      <c r="AJ432" s="8" t="s">
        <v>1831</v>
      </c>
    </row>
    <row r="433" spans="1:36">
      <c r="A433" s="7">
        <f t="shared" si="120"/>
        <v>1</v>
      </c>
      <c r="B433" s="7" t="str">
        <f t="shared" si="131"/>
        <v>14SS POLI 05_SNAP_PK_KIDS</v>
      </c>
      <c r="C433" s="7">
        <f t="shared" si="122"/>
        <v>1</v>
      </c>
      <c r="D433" s="7" t="str">
        <f t="shared" si="132"/>
        <v>동일모자14SS POLI 05_SNAP_PK_KIDS</v>
      </c>
      <c r="E433" s="12" t="str">
        <f t="shared" si="133"/>
        <v>201403</v>
      </c>
      <c r="F433" s="347" t="str">
        <f>VLOOKUP($AA433,[3]주!$A:$F,6,FALSE)</f>
        <v>3월 2주</v>
      </c>
      <c r="G433" s="7">
        <f t="shared" si="125"/>
        <v>1</v>
      </c>
      <c r="H433" s="7" t="str">
        <f t="shared" si="134"/>
        <v>14SS POLI 05_SNAP_PK_KIDS</v>
      </c>
      <c r="I433" s="7">
        <f t="shared" si="127"/>
        <v>1</v>
      </c>
      <c r="J433" s="7" t="str">
        <f t="shared" si="135"/>
        <v>동일모자14SS POLI 05_SNAP_PK_KIDS</v>
      </c>
      <c r="K433" s="17">
        <f t="shared" si="136"/>
        <v>41744</v>
      </c>
      <c r="L433" s="12" t="str">
        <f t="shared" si="137"/>
        <v>201404</v>
      </c>
      <c r="M433" s="347" t="str">
        <f>VLOOKUP($K433,[3]주!$A:$F,6,FALSE)</f>
        <v>3월 2주</v>
      </c>
      <c r="N433" s="273" t="str">
        <f>IF(VLOOKUP($Z433,생산업체!$A:$C,2,FALSE)=1,"해외","국내")</f>
        <v>해외</v>
      </c>
      <c r="O433" s="12" t="str">
        <f>IF(VLOOKUP($U433,CODE!$K:$P,CODE!P$1,FALSE)="모자",T433,T433&amp;"-"&amp;VLOOKUP($U433,CODE!$K:$P,CODE!P$1,FALSE))</f>
        <v>POL</v>
      </c>
      <c r="P433" s="11" t="s">
        <v>1677</v>
      </c>
      <c r="R433" s="11">
        <v>68</v>
      </c>
      <c r="T433" s="8" t="s">
        <v>1677</v>
      </c>
      <c r="U433" s="8" t="s">
        <v>38</v>
      </c>
      <c r="V433" s="8" t="s">
        <v>43</v>
      </c>
      <c r="W433" s="8" t="s">
        <v>1942</v>
      </c>
      <c r="X433" s="8" t="s">
        <v>905</v>
      </c>
      <c r="Y433" s="9">
        <v>1</v>
      </c>
      <c r="Z433" s="8" t="s">
        <v>44</v>
      </c>
      <c r="AA433" s="10">
        <v>41716</v>
      </c>
      <c r="AB433" s="10">
        <v>41744</v>
      </c>
      <c r="AC433" s="10">
        <v>41740</v>
      </c>
      <c r="AD433" s="10">
        <v>41744</v>
      </c>
      <c r="AE433" s="8">
        <v>6.45</v>
      </c>
      <c r="AH433" s="8">
        <v>2</v>
      </c>
      <c r="AI433" s="8" t="s">
        <v>1959</v>
      </c>
    </row>
    <row r="434" spans="1:36">
      <c r="A434" s="7">
        <f t="shared" si="120"/>
        <v>1</v>
      </c>
      <c r="B434" s="7" t="str">
        <f t="shared" si="131"/>
        <v>14SS POLI 06_SNAP_PK_KIDS</v>
      </c>
      <c r="C434" s="7">
        <f t="shared" si="122"/>
        <v>1</v>
      </c>
      <c r="D434" s="7" t="str">
        <f t="shared" si="132"/>
        <v>동일모자14SS POLI 06_SNAP_PK_KIDS</v>
      </c>
      <c r="E434" s="12" t="str">
        <f t="shared" si="133"/>
        <v>201403</v>
      </c>
      <c r="F434" s="347" t="str">
        <f>VLOOKUP($AA434,[3]주!$A:$F,6,FALSE)</f>
        <v>3월 2주</v>
      </c>
      <c r="G434" s="7">
        <f t="shared" si="125"/>
        <v>1</v>
      </c>
      <c r="H434" s="7" t="str">
        <f t="shared" si="134"/>
        <v>14SS POLI 06_SNAP_PK_KIDS</v>
      </c>
      <c r="I434" s="7">
        <f t="shared" si="127"/>
        <v>1</v>
      </c>
      <c r="J434" s="7" t="str">
        <f t="shared" si="135"/>
        <v>동일모자14SS POLI 06_SNAP_PK_KIDS</v>
      </c>
      <c r="K434" s="17">
        <f t="shared" si="136"/>
        <v>41744</v>
      </c>
      <c r="L434" s="12" t="str">
        <f t="shared" si="137"/>
        <v>201404</v>
      </c>
      <c r="M434" s="347" t="str">
        <f>VLOOKUP($K434,[3]주!$A:$F,6,FALSE)</f>
        <v>3월 2주</v>
      </c>
      <c r="N434" s="273" t="str">
        <f>IF(VLOOKUP($Z434,생산업체!$A:$C,2,FALSE)=1,"해외","국내")</f>
        <v>해외</v>
      </c>
      <c r="O434" s="12" t="str">
        <f>IF(VLOOKUP($U434,CODE!$K:$P,CODE!P$1,FALSE)="모자",T434,T434&amp;"-"&amp;VLOOKUP($U434,CODE!$K:$P,CODE!P$1,FALSE))</f>
        <v>POL</v>
      </c>
      <c r="P434" s="11" t="s">
        <v>1677</v>
      </c>
      <c r="R434" s="11">
        <v>69</v>
      </c>
      <c r="T434" s="8" t="s">
        <v>1677</v>
      </c>
      <c r="U434" s="8" t="s">
        <v>38</v>
      </c>
      <c r="V434" s="8" t="s">
        <v>43</v>
      </c>
      <c r="W434" s="8" t="s">
        <v>1943</v>
      </c>
      <c r="X434" s="8" t="s">
        <v>905</v>
      </c>
      <c r="Y434" s="9">
        <v>1</v>
      </c>
      <c r="Z434" s="8" t="s">
        <v>44</v>
      </c>
      <c r="AA434" s="10">
        <v>41716</v>
      </c>
      <c r="AB434" s="10">
        <v>41744</v>
      </c>
      <c r="AC434" s="10">
        <v>41740</v>
      </c>
      <c r="AD434" s="10">
        <v>41744</v>
      </c>
      <c r="AE434" s="8">
        <v>6.45</v>
      </c>
      <c r="AH434" s="8">
        <v>2</v>
      </c>
      <c r="AI434" s="8">
        <v>1</v>
      </c>
      <c r="AJ434" s="8" t="s">
        <v>1960</v>
      </c>
    </row>
    <row r="435" spans="1:36">
      <c r="A435" s="7">
        <f t="shared" si="120"/>
        <v>0.5</v>
      </c>
      <c r="B435" s="7" t="str">
        <f t="shared" si="131"/>
        <v>14FW JOIEBETE_SOCKS_02_BL</v>
      </c>
      <c r="C435" s="7">
        <f t="shared" si="122"/>
        <v>1</v>
      </c>
      <c r="D435" s="7" t="str">
        <f t="shared" si="132"/>
        <v>FOREMOST14FW JOIEBETE_SOCKS_02_BL</v>
      </c>
      <c r="E435" s="12" t="str">
        <f t="shared" si="133"/>
        <v>201403</v>
      </c>
      <c r="F435" s="347" t="str">
        <f>VLOOKUP($AA435,[3]주!$A:$F,6,FALSE)</f>
        <v>3월 2주</v>
      </c>
      <c r="G435" s="7">
        <f t="shared" si="125"/>
        <v>1</v>
      </c>
      <c r="H435" s="7" t="str">
        <f t="shared" si="134"/>
        <v>14FW JOIEBETE_SOCKS_02_BL</v>
      </c>
      <c r="I435" s="7">
        <f t="shared" si="127"/>
        <v>1</v>
      </c>
      <c r="J435" s="7" t="str">
        <f t="shared" si="135"/>
        <v>FOREMOST14FW JOIEBETE_SOCKS_02_BL</v>
      </c>
      <c r="K435" s="17">
        <f t="shared" si="136"/>
        <v>41768</v>
      </c>
      <c r="L435" s="12" t="str">
        <f t="shared" si="137"/>
        <v>201405</v>
      </c>
      <c r="M435" s="347" t="str">
        <f>VLOOKUP($K435,[3]주!$A:$F,6,FALSE)</f>
        <v>3월 2주</v>
      </c>
      <c r="N435" s="273" t="str">
        <f>IF(VLOOKUP($Z435,생산업체!$A:$C,2,FALSE)=1,"해외","국내")</f>
        <v>해외</v>
      </c>
      <c r="O435" s="12" t="str">
        <f>IF(VLOOKUP($U435,CODE!$K:$P,CODE!P$1,FALSE)="모자",T435,T435&amp;"-"&amp;VLOOKUP($U435,CODE!$K:$P,CODE!P$1,FALSE))</f>
        <v>JOI-ACC</v>
      </c>
      <c r="P435" s="11" t="s">
        <v>52</v>
      </c>
      <c r="R435" s="11">
        <v>70</v>
      </c>
      <c r="T435" s="8" t="s">
        <v>51</v>
      </c>
      <c r="U435" s="8" t="s">
        <v>249</v>
      </c>
      <c r="V435" s="8" t="s">
        <v>43</v>
      </c>
      <c r="W435" s="8" t="s">
        <v>1961</v>
      </c>
      <c r="X435" s="8" t="s">
        <v>905</v>
      </c>
      <c r="Y435" s="9">
        <v>0.5</v>
      </c>
      <c r="Z435" s="8" t="s">
        <v>6</v>
      </c>
      <c r="AA435" s="10">
        <v>41722</v>
      </c>
      <c r="AB435" s="10">
        <v>41750</v>
      </c>
      <c r="AC435" s="10">
        <v>41750</v>
      </c>
      <c r="AD435" s="10">
        <v>41768</v>
      </c>
      <c r="AE435" s="8">
        <v>5.0999999999999996</v>
      </c>
      <c r="AG435" s="8" t="s">
        <v>2005</v>
      </c>
      <c r="AH435" s="8">
        <v>4</v>
      </c>
      <c r="AI435" s="8">
        <v>4</v>
      </c>
    </row>
    <row r="436" spans="1:36">
      <c r="A436" s="7">
        <f t="shared" si="120"/>
        <v>0.5</v>
      </c>
      <c r="B436" s="7" t="str">
        <f t="shared" si="131"/>
        <v>14FW JOIEBETE_SOCKS_01_PK</v>
      </c>
      <c r="C436" s="7">
        <f t="shared" si="122"/>
        <v>1</v>
      </c>
      <c r="D436" s="7" t="str">
        <f t="shared" si="132"/>
        <v>FOREMOST14FW JOIEBETE_SOCKS_01_PK</v>
      </c>
      <c r="E436" s="12" t="str">
        <f t="shared" si="133"/>
        <v>201403</v>
      </c>
      <c r="F436" s="347" t="str">
        <f>VLOOKUP($AA436,[3]주!$A:$F,6,FALSE)</f>
        <v>3월 2주</v>
      </c>
      <c r="G436" s="7">
        <f t="shared" si="125"/>
        <v>1</v>
      </c>
      <c r="H436" s="7" t="str">
        <f t="shared" si="134"/>
        <v>14FW JOIEBETE_SOCKS_01_PK</v>
      </c>
      <c r="I436" s="7">
        <f t="shared" si="127"/>
        <v>1</v>
      </c>
      <c r="J436" s="7" t="str">
        <f t="shared" si="135"/>
        <v>FOREMOST14FW JOIEBETE_SOCKS_01_PK</v>
      </c>
      <c r="K436" s="17">
        <f t="shared" si="136"/>
        <v>41753</v>
      </c>
      <c r="L436" s="12" t="str">
        <f t="shared" si="137"/>
        <v>201404</v>
      </c>
      <c r="M436" s="347" t="str">
        <f>VLOOKUP($K436,[3]주!$A:$F,6,FALSE)</f>
        <v>3월 2주</v>
      </c>
      <c r="N436" s="273" t="str">
        <f>IF(VLOOKUP($Z436,생산업체!$A:$C,2,FALSE)=1,"해외","국내")</f>
        <v>해외</v>
      </c>
      <c r="O436" s="12" t="str">
        <f>IF(VLOOKUP($U436,CODE!$K:$P,CODE!P$1,FALSE)="모자",T436,T436&amp;"-"&amp;VLOOKUP($U436,CODE!$K:$P,CODE!P$1,FALSE))</f>
        <v>JOI-ACC</v>
      </c>
      <c r="P436" s="11" t="s">
        <v>52</v>
      </c>
      <c r="R436" s="11">
        <v>71</v>
      </c>
      <c r="T436" s="8" t="s">
        <v>51</v>
      </c>
      <c r="U436" s="8" t="s">
        <v>249</v>
      </c>
      <c r="V436" s="8" t="s">
        <v>43</v>
      </c>
      <c r="W436" s="8" t="s">
        <v>1962</v>
      </c>
      <c r="X436" s="8" t="s">
        <v>905</v>
      </c>
      <c r="Y436" s="9">
        <v>0.5</v>
      </c>
      <c r="Z436" s="8" t="s">
        <v>6</v>
      </c>
      <c r="AA436" s="10">
        <v>41722</v>
      </c>
      <c r="AB436" s="10">
        <v>41750</v>
      </c>
      <c r="AC436" s="10">
        <v>41750</v>
      </c>
      <c r="AD436" s="10">
        <v>41753</v>
      </c>
      <c r="AE436" s="8">
        <v>5.0999999999999996</v>
      </c>
      <c r="AH436" s="8">
        <v>4</v>
      </c>
      <c r="AI436" s="8">
        <v>4</v>
      </c>
    </row>
    <row r="437" spans="1:36">
      <c r="A437" s="7">
        <f t="shared" si="120"/>
        <v>0.5</v>
      </c>
      <c r="B437" s="7" t="str">
        <f t="shared" si="131"/>
        <v>14FW JOIEBETE_SOCKS_03_GY</v>
      </c>
      <c r="C437" s="7">
        <f t="shared" si="122"/>
        <v>1</v>
      </c>
      <c r="D437" s="7" t="str">
        <f t="shared" si="132"/>
        <v>FOREMOST14FW JOIEBETE_SOCKS_03_GY</v>
      </c>
      <c r="E437" s="12" t="str">
        <f t="shared" si="133"/>
        <v>201403</v>
      </c>
      <c r="F437" s="347" t="str">
        <f>VLOOKUP($AA437,[3]주!$A:$F,6,FALSE)</f>
        <v>3월 2주</v>
      </c>
      <c r="G437" s="7">
        <f t="shared" si="125"/>
        <v>1</v>
      </c>
      <c r="H437" s="7" t="str">
        <f t="shared" si="134"/>
        <v>14FW JOIEBETE_SOCKS_03_GY</v>
      </c>
      <c r="I437" s="7">
        <f t="shared" si="127"/>
        <v>1</v>
      </c>
      <c r="J437" s="7" t="str">
        <f t="shared" si="135"/>
        <v>FOREMOST14FW JOIEBETE_SOCKS_03_GY</v>
      </c>
      <c r="K437" s="17">
        <f t="shared" si="136"/>
        <v>41753</v>
      </c>
      <c r="L437" s="12" t="str">
        <f t="shared" si="137"/>
        <v>201404</v>
      </c>
      <c r="M437" s="347" t="str">
        <f>VLOOKUP($K437,[3]주!$A:$F,6,FALSE)</f>
        <v>3월 2주</v>
      </c>
      <c r="N437" s="273" t="str">
        <f>IF(VLOOKUP($Z437,생산업체!$A:$C,2,FALSE)=1,"해외","국내")</f>
        <v>해외</v>
      </c>
      <c r="O437" s="12" t="str">
        <f>IF(VLOOKUP($U437,CODE!$K:$P,CODE!P$1,FALSE)="모자",T437,T437&amp;"-"&amp;VLOOKUP($U437,CODE!$K:$P,CODE!P$1,FALSE))</f>
        <v>JOI-ACC</v>
      </c>
      <c r="P437" s="11" t="s">
        <v>52</v>
      </c>
      <c r="R437" s="11">
        <v>72</v>
      </c>
      <c r="T437" s="8" t="s">
        <v>51</v>
      </c>
      <c r="U437" s="8" t="s">
        <v>249</v>
      </c>
      <c r="V437" s="8" t="s">
        <v>43</v>
      </c>
      <c r="W437" s="8" t="s">
        <v>1963</v>
      </c>
      <c r="X437" s="8" t="s">
        <v>900</v>
      </c>
      <c r="Y437" s="9">
        <v>0.5</v>
      </c>
      <c r="Z437" s="8" t="s">
        <v>6</v>
      </c>
      <c r="AA437" s="10">
        <v>41722</v>
      </c>
      <c r="AB437" s="10">
        <v>41750</v>
      </c>
      <c r="AC437" s="10">
        <v>41750</v>
      </c>
      <c r="AD437" s="10">
        <v>41753</v>
      </c>
      <c r="AE437" s="8">
        <v>4.9000000000000004</v>
      </c>
      <c r="AG437" s="8" t="s">
        <v>2004</v>
      </c>
      <c r="AH437" s="8">
        <v>5</v>
      </c>
      <c r="AI437" s="8">
        <v>5</v>
      </c>
    </row>
    <row r="438" spans="1:36">
      <c r="A438" s="7">
        <f t="shared" si="120"/>
        <v>1</v>
      </c>
      <c r="B438" s="7" t="str">
        <f t="shared" si="131"/>
        <v>14FW JOIE BETE_22_BL_KIDS</v>
      </c>
      <c r="C438" s="7">
        <f t="shared" si="122"/>
        <v>1</v>
      </c>
      <c r="D438" s="7" t="str">
        <f t="shared" si="132"/>
        <v>KIDS FIRST TOYS14FW JOIE BETE_22_BL_KIDS</v>
      </c>
      <c r="E438" s="12" t="str">
        <f t="shared" si="133"/>
        <v>201403</v>
      </c>
      <c r="F438" s="347" t="str">
        <f>VLOOKUP($AA438,[3]주!$A:$F,6,FALSE)</f>
        <v>3월 2주</v>
      </c>
      <c r="G438" s="7">
        <f t="shared" si="125"/>
        <v>0</v>
      </c>
      <c r="H438" s="7" t="str">
        <f t="shared" si="134"/>
        <v/>
      </c>
      <c r="I438" s="7">
        <f t="shared" si="127"/>
        <v>0</v>
      </c>
      <c r="J438" s="7" t="str">
        <f t="shared" si="135"/>
        <v/>
      </c>
      <c r="K438" s="17">
        <f t="shared" si="136"/>
        <v>41779</v>
      </c>
      <c r="L438" s="12" t="str">
        <f t="shared" si="137"/>
        <v>201405</v>
      </c>
      <c r="M438" s="347" t="str">
        <f>VLOOKUP($K438,[3]주!$A:$F,6,FALSE)</f>
        <v>3월 2주</v>
      </c>
      <c r="N438" s="273" t="str">
        <f>IF(VLOOKUP($Z438,생산업체!$A:$C,2,FALSE)=1,"해외","국내")</f>
        <v>해외</v>
      </c>
      <c r="O438" s="12" t="str">
        <f>IF(VLOOKUP($U438,CODE!$K:$P,CODE!P$1,FALSE)="모자",T438,T438&amp;"-"&amp;VLOOKUP($U438,CODE!$K:$P,CODE!P$1,FALSE))</f>
        <v>JOI-ACC</v>
      </c>
      <c r="P438" s="11" t="s">
        <v>52</v>
      </c>
      <c r="R438" s="11">
        <v>73</v>
      </c>
      <c r="T438" s="8" t="s">
        <v>51</v>
      </c>
      <c r="U438" s="8" t="s">
        <v>249</v>
      </c>
      <c r="V438" s="8" t="s">
        <v>43</v>
      </c>
      <c r="W438" s="8" t="s">
        <v>1964</v>
      </c>
      <c r="X438" s="8" t="s">
        <v>905</v>
      </c>
      <c r="Y438" s="9">
        <v>1</v>
      </c>
      <c r="Z438" s="8" t="s">
        <v>1120</v>
      </c>
      <c r="AA438" s="10">
        <v>41722</v>
      </c>
      <c r="AB438" s="10">
        <v>41750</v>
      </c>
      <c r="AC438" s="10">
        <v>41779</v>
      </c>
      <c r="AG438" s="8" t="s">
        <v>2004</v>
      </c>
      <c r="AH438" s="8">
        <v>5</v>
      </c>
      <c r="AI438" s="8">
        <v>5</v>
      </c>
    </row>
    <row r="439" spans="1:36">
      <c r="A439" s="7">
        <f t="shared" si="120"/>
        <v>1</v>
      </c>
      <c r="B439" s="7" t="str">
        <f t="shared" si="131"/>
        <v>14FW JOIE BETE_22_PK_KIDS</v>
      </c>
      <c r="C439" s="7">
        <f t="shared" si="122"/>
        <v>1</v>
      </c>
      <c r="D439" s="7" t="str">
        <f t="shared" si="132"/>
        <v>KIDS FIRST TOYS14FW JOIE BETE_22_PK_KIDS</v>
      </c>
      <c r="E439" s="12" t="str">
        <f t="shared" si="133"/>
        <v>201403</v>
      </c>
      <c r="F439" s="347" t="str">
        <f>VLOOKUP($AA439,[3]주!$A:$F,6,FALSE)</f>
        <v>3월 2주</v>
      </c>
      <c r="G439" s="7">
        <f t="shared" si="125"/>
        <v>0</v>
      </c>
      <c r="H439" s="7" t="str">
        <f t="shared" si="134"/>
        <v/>
      </c>
      <c r="I439" s="7">
        <f t="shared" si="127"/>
        <v>0</v>
      </c>
      <c r="J439" s="7" t="str">
        <f t="shared" si="135"/>
        <v/>
      </c>
      <c r="K439" s="17">
        <f t="shared" si="136"/>
        <v>41779</v>
      </c>
      <c r="L439" s="12" t="str">
        <f t="shared" si="137"/>
        <v>201405</v>
      </c>
      <c r="M439" s="347" t="str">
        <f>VLOOKUP($K439,[3]주!$A:$F,6,FALSE)</f>
        <v>3월 2주</v>
      </c>
      <c r="N439" s="273" t="str">
        <f>IF(VLOOKUP($Z439,생산업체!$A:$C,2,FALSE)=1,"해외","국내")</f>
        <v>해외</v>
      </c>
      <c r="O439" s="12" t="str">
        <f>IF(VLOOKUP($U439,CODE!$K:$P,CODE!P$1,FALSE)="모자",T439,T439&amp;"-"&amp;VLOOKUP($U439,CODE!$K:$P,CODE!P$1,FALSE))</f>
        <v>JOI-ACC</v>
      </c>
      <c r="P439" s="11" t="s">
        <v>52</v>
      </c>
      <c r="R439" s="11">
        <v>74</v>
      </c>
      <c r="T439" s="8" t="s">
        <v>51</v>
      </c>
      <c r="U439" s="8" t="s">
        <v>249</v>
      </c>
      <c r="V439" s="8" t="s">
        <v>43</v>
      </c>
      <c r="W439" s="8" t="s">
        <v>1965</v>
      </c>
      <c r="X439" s="8" t="s">
        <v>905</v>
      </c>
      <c r="Y439" s="9">
        <v>1</v>
      </c>
      <c r="Z439" s="8" t="s">
        <v>1120</v>
      </c>
      <c r="AA439" s="10">
        <v>41722</v>
      </c>
      <c r="AB439" s="10">
        <v>41750</v>
      </c>
      <c r="AC439" s="10">
        <v>41779</v>
      </c>
      <c r="AH439" s="8">
        <v>4</v>
      </c>
      <c r="AI439" s="8">
        <v>4</v>
      </c>
    </row>
    <row r="440" spans="1:36">
      <c r="A440" s="7">
        <f t="shared" si="120"/>
        <v>1</v>
      </c>
      <c r="B440" s="7" t="str">
        <f t="shared" si="131"/>
        <v>14FW JOIE BETE_23_PK_KIDS</v>
      </c>
      <c r="C440" s="7">
        <f t="shared" si="122"/>
        <v>1</v>
      </c>
      <c r="D440" s="7" t="str">
        <f t="shared" si="132"/>
        <v>KIDS FIRST TOYS14FW JOIE BETE_23_PK_KIDS</v>
      </c>
      <c r="E440" s="12" t="str">
        <f t="shared" si="133"/>
        <v>201403</v>
      </c>
      <c r="F440" s="347" t="str">
        <f>VLOOKUP($AA440,[3]주!$A:$F,6,FALSE)</f>
        <v>3월 2주</v>
      </c>
      <c r="G440" s="7">
        <f t="shared" si="125"/>
        <v>0</v>
      </c>
      <c r="H440" s="7" t="str">
        <f t="shared" si="134"/>
        <v/>
      </c>
      <c r="I440" s="7">
        <f t="shared" si="127"/>
        <v>0</v>
      </c>
      <c r="J440" s="7" t="str">
        <f t="shared" si="135"/>
        <v/>
      </c>
      <c r="K440" s="17">
        <f t="shared" si="136"/>
        <v>41779</v>
      </c>
      <c r="L440" s="12" t="str">
        <f t="shared" si="137"/>
        <v>201405</v>
      </c>
      <c r="M440" s="347" t="str">
        <f>VLOOKUP($K440,[3]주!$A:$F,6,FALSE)</f>
        <v>3월 2주</v>
      </c>
      <c r="N440" s="273" t="str">
        <f>IF(VLOOKUP($Z440,생산업체!$A:$C,2,FALSE)=1,"해외","국내")</f>
        <v>해외</v>
      </c>
      <c r="O440" s="12" t="str">
        <f>IF(VLOOKUP($U440,CODE!$K:$P,CODE!P$1,FALSE)="모자",T440,T440&amp;"-"&amp;VLOOKUP($U440,CODE!$K:$P,CODE!P$1,FALSE))</f>
        <v>JOI-ACC</v>
      </c>
      <c r="P440" s="11" t="s">
        <v>52</v>
      </c>
      <c r="R440" s="11">
        <v>75</v>
      </c>
      <c r="T440" s="8" t="s">
        <v>51</v>
      </c>
      <c r="U440" s="8" t="s">
        <v>249</v>
      </c>
      <c r="V440" s="8" t="s">
        <v>43</v>
      </c>
      <c r="W440" s="8" t="s">
        <v>1966</v>
      </c>
      <c r="X440" s="8" t="s">
        <v>905</v>
      </c>
      <c r="Y440" s="9">
        <v>1</v>
      </c>
      <c r="Z440" s="8" t="s">
        <v>1120</v>
      </c>
      <c r="AA440" s="10">
        <v>41722</v>
      </c>
      <c r="AB440" s="10">
        <v>41750</v>
      </c>
      <c r="AC440" s="10">
        <v>41779</v>
      </c>
      <c r="AG440" s="8" t="s">
        <v>2004</v>
      </c>
      <c r="AH440" s="8">
        <v>5</v>
      </c>
      <c r="AI440" s="8">
        <v>4</v>
      </c>
    </row>
    <row r="441" spans="1:36">
      <c r="A441" s="7">
        <f t="shared" si="120"/>
        <v>1</v>
      </c>
      <c r="B441" s="7" t="str">
        <f t="shared" si="131"/>
        <v>14FW JOIE BETE_24_YL_KIDS</v>
      </c>
      <c r="C441" s="7">
        <f t="shared" si="122"/>
        <v>1</v>
      </c>
      <c r="D441" s="7" t="str">
        <f t="shared" si="132"/>
        <v>KIDS FIRST TOYS14FW JOIE BETE_24_YL_KIDS</v>
      </c>
      <c r="E441" s="12" t="str">
        <f t="shared" si="133"/>
        <v>201403</v>
      </c>
      <c r="F441" s="347" t="str">
        <f>VLOOKUP($AA441,[3]주!$A:$F,6,FALSE)</f>
        <v>3월 2주</v>
      </c>
      <c r="G441" s="7">
        <f t="shared" si="125"/>
        <v>0</v>
      </c>
      <c r="H441" s="7" t="str">
        <f t="shared" si="134"/>
        <v/>
      </c>
      <c r="I441" s="7">
        <f t="shared" si="127"/>
        <v>0</v>
      </c>
      <c r="J441" s="7" t="str">
        <f t="shared" si="135"/>
        <v/>
      </c>
      <c r="K441" s="17">
        <f t="shared" si="136"/>
        <v>41779</v>
      </c>
      <c r="L441" s="12" t="str">
        <f t="shared" si="137"/>
        <v>201405</v>
      </c>
      <c r="M441" s="347" t="str">
        <f>VLOOKUP($K441,[3]주!$A:$F,6,FALSE)</f>
        <v>3월 2주</v>
      </c>
      <c r="N441" s="273" t="str">
        <f>IF(VLOOKUP($Z441,생산업체!$A:$C,2,FALSE)=1,"해외","국내")</f>
        <v>해외</v>
      </c>
      <c r="O441" s="12" t="str">
        <f>IF(VLOOKUP($U441,CODE!$K:$P,CODE!P$1,FALSE)="모자",T441,T441&amp;"-"&amp;VLOOKUP($U441,CODE!$K:$P,CODE!P$1,FALSE))</f>
        <v>JOI-ACC</v>
      </c>
      <c r="P441" s="11" t="s">
        <v>52</v>
      </c>
      <c r="R441" s="11">
        <v>76</v>
      </c>
      <c r="T441" s="8" t="s">
        <v>51</v>
      </c>
      <c r="U441" s="8" t="s">
        <v>249</v>
      </c>
      <c r="V441" s="8" t="s">
        <v>43</v>
      </c>
      <c r="W441" s="8" t="s">
        <v>1967</v>
      </c>
      <c r="X441" s="8" t="s">
        <v>905</v>
      </c>
      <c r="Y441" s="9">
        <v>1</v>
      </c>
      <c r="Z441" s="8" t="s">
        <v>1120</v>
      </c>
      <c r="AA441" s="10">
        <v>41722</v>
      </c>
      <c r="AB441" s="10">
        <v>41750</v>
      </c>
      <c r="AC441" s="10">
        <v>41779</v>
      </c>
      <c r="AG441" s="8" t="s">
        <v>2004</v>
      </c>
      <c r="AH441" s="8">
        <v>5</v>
      </c>
      <c r="AI441" s="8">
        <v>5</v>
      </c>
    </row>
    <row r="442" spans="1:36">
      <c r="A442" s="7">
        <f t="shared" si="120"/>
        <v>1</v>
      </c>
      <c r="B442" s="7" t="str">
        <f t="shared" si="131"/>
        <v>14FW JOIE BETE_25_GR_KIDS</v>
      </c>
      <c r="C442" s="7">
        <f t="shared" si="122"/>
        <v>1</v>
      </c>
      <c r="D442" s="7" t="str">
        <f t="shared" si="132"/>
        <v>KIDS FIRST TOYS14FW JOIE BETE_25_GR_KIDS</v>
      </c>
      <c r="E442" s="12" t="str">
        <f t="shared" si="133"/>
        <v>201403</v>
      </c>
      <c r="F442" s="347" t="str">
        <f>VLOOKUP($AA442,[3]주!$A:$F,6,FALSE)</f>
        <v>3월 2주</v>
      </c>
      <c r="G442" s="7">
        <f t="shared" si="125"/>
        <v>0</v>
      </c>
      <c r="H442" s="7" t="str">
        <f t="shared" si="134"/>
        <v/>
      </c>
      <c r="I442" s="7">
        <f t="shared" si="127"/>
        <v>0</v>
      </c>
      <c r="J442" s="7" t="str">
        <f t="shared" si="135"/>
        <v/>
      </c>
      <c r="K442" s="17">
        <f t="shared" si="136"/>
        <v>41779</v>
      </c>
      <c r="L442" s="12" t="str">
        <f t="shared" si="137"/>
        <v>201405</v>
      </c>
      <c r="M442" s="347" t="str">
        <f>VLOOKUP($K442,[3]주!$A:$F,6,FALSE)</f>
        <v>3월 2주</v>
      </c>
      <c r="N442" s="273" t="str">
        <f>IF(VLOOKUP($Z442,생산업체!$A:$C,2,FALSE)=1,"해외","국내")</f>
        <v>해외</v>
      </c>
      <c r="O442" s="12" t="str">
        <f>IF(VLOOKUP($U442,CODE!$K:$P,CODE!P$1,FALSE)="모자",T442,T442&amp;"-"&amp;VLOOKUP($U442,CODE!$K:$P,CODE!P$1,FALSE))</f>
        <v>JOI-ACC</v>
      </c>
      <c r="P442" s="11" t="s">
        <v>52</v>
      </c>
      <c r="R442" s="11">
        <v>77</v>
      </c>
      <c r="T442" s="8" t="s">
        <v>51</v>
      </c>
      <c r="U442" s="8" t="s">
        <v>249</v>
      </c>
      <c r="V442" s="8" t="s">
        <v>43</v>
      </c>
      <c r="W442" s="8" t="s">
        <v>1968</v>
      </c>
      <c r="X442" s="8" t="s">
        <v>905</v>
      </c>
      <c r="Y442" s="9">
        <v>1</v>
      </c>
      <c r="Z442" s="8" t="s">
        <v>1120</v>
      </c>
      <c r="AA442" s="10">
        <v>41722</v>
      </c>
      <c r="AB442" s="10">
        <v>41750</v>
      </c>
      <c r="AC442" s="10">
        <v>41779</v>
      </c>
      <c r="AG442" s="8" t="s">
        <v>2004</v>
      </c>
      <c r="AH442" s="8">
        <v>4</v>
      </c>
      <c r="AI442" s="8">
        <v>4</v>
      </c>
    </row>
    <row r="443" spans="1:36">
      <c r="A443" s="7">
        <f t="shared" si="120"/>
        <v>1</v>
      </c>
      <c r="B443" s="7" t="str">
        <f t="shared" si="131"/>
        <v>14FW JOIE BETE_26_IV_KIDS</v>
      </c>
      <c r="C443" s="7">
        <f t="shared" si="122"/>
        <v>1</v>
      </c>
      <c r="D443" s="7" t="str">
        <f t="shared" si="132"/>
        <v>KIDS FIRST TOYS14FW JOIE BETE_26_IV_KIDS</v>
      </c>
      <c r="E443" s="12" t="str">
        <f t="shared" si="133"/>
        <v>201403</v>
      </c>
      <c r="F443" s="347" t="str">
        <f>VLOOKUP($AA443,[3]주!$A:$F,6,FALSE)</f>
        <v>3월 2주</v>
      </c>
      <c r="G443" s="7">
        <f t="shared" si="125"/>
        <v>0</v>
      </c>
      <c r="H443" s="7" t="str">
        <f t="shared" si="134"/>
        <v/>
      </c>
      <c r="I443" s="7">
        <f t="shared" si="127"/>
        <v>0</v>
      </c>
      <c r="J443" s="7" t="str">
        <f t="shared" si="135"/>
        <v/>
      </c>
      <c r="K443" s="17">
        <f t="shared" si="136"/>
        <v>41779</v>
      </c>
      <c r="L443" s="12" t="str">
        <f t="shared" si="137"/>
        <v>201405</v>
      </c>
      <c r="M443" s="347" t="str">
        <f>VLOOKUP($K443,[3]주!$A:$F,6,FALSE)</f>
        <v>3월 2주</v>
      </c>
      <c r="N443" s="273" t="str">
        <f>IF(VLOOKUP($Z443,생산업체!$A:$C,2,FALSE)=1,"해외","국내")</f>
        <v>해외</v>
      </c>
      <c r="O443" s="12" t="str">
        <f>IF(VLOOKUP($U443,CODE!$K:$P,CODE!P$1,FALSE)="모자",T443,T443&amp;"-"&amp;VLOOKUP($U443,CODE!$K:$P,CODE!P$1,FALSE))</f>
        <v>JOI-ACC</v>
      </c>
      <c r="P443" s="11" t="s">
        <v>52</v>
      </c>
      <c r="R443" s="11">
        <v>78</v>
      </c>
      <c r="T443" s="8" t="s">
        <v>51</v>
      </c>
      <c r="U443" s="8" t="s">
        <v>249</v>
      </c>
      <c r="V443" s="8" t="s">
        <v>43</v>
      </c>
      <c r="W443" s="8" t="s">
        <v>1969</v>
      </c>
      <c r="X443" s="8" t="s">
        <v>905</v>
      </c>
      <c r="Y443" s="9">
        <v>1</v>
      </c>
      <c r="Z443" s="8" t="s">
        <v>1120</v>
      </c>
      <c r="AA443" s="10">
        <v>41722</v>
      </c>
      <c r="AB443" s="10">
        <v>41750</v>
      </c>
      <c r="AC443" s="10">
        <v>41779</v>
      </c>
      <c r="AH443" s="8">
        <v>7</v>
      </c>
      <c r="AI443" s="8">
        <v>6</v>
      </c>
    </row>
    <row r="444" spans="1:36">
      <c r="A444" s="7">
        <f t="shared" si="120"/>
        <v>1</v>
      </c>
      <c r="B444" s="7" t="str">
        <f t="shared" si="131"/>
        <v>14FW JOIE BETE_27_GY_KIDS</v>
      </c>
      <c r="C444" s="7">
        <f t="shared" si="122"/>
        <v>1</v>
      </c>
      <c r="D444" s="7" t="str">
        <f t="shared" si="132"/>
        <v>KIDS FIRST TOYS14FW JOIE BETE_27_GY_KIDS</v>
      </c>
      <c r="E444" s="12" t="str">
        <f t="shared" si="133"/>
        <v>201403</v>
      </c>
      <c r="F444" s="347" t="str">
        <f>VLOOKUP($AA444,[3]주!$A:$F,6,FALSE)</f>
        <v>3월 2주</v>
      </c>
      <c r="G444" s="7">
        <f t="shared" si="125"/>
        <v>0</v>
      </c>
      <c r="H444" s="7" t="str">
        <f t="shared" si="134"/>
        <v/>
      </c>
      <c r="I444" s="7">
        <f t="shared" si="127"/>
        <v>0</v>
      </c>
      <c r="J444" s="7" t="str">
        <f t="shared" si="135"/>
        <v/>
      </c>
      <c r="K444" s="17">
        <f t="shared" si="136"/>
        <v>41779</v>
      </c>
      <c r="L444" s="12" t="str">
        <f t="shared" si="137"/>
        <v>201405</v>
      </c>
      <c r="M444" s="347" t="str">
        <f>VLOOKUP($K444,[3]주!$A:$F,6,FALSE)</f>
        <v>3월 2주</v>
      </c>
      <c r="N444" s="273" t="str">
        <f>IF(VLOOKUP($Z444,생산업체!$A:$C,2,FALSE)=1,"해외","국내")</f>
        <v>해외</v>
      </c>
      <c r="O444" s="12" t="str">
        <f>IF(VLOOKUP($U444,CODE!$K:$P,CODE!P$1,FALSE)="모자",T444,T444&amp;"-"&amp;VLOOKUP($U444,CODE!$K:$P,CODE!P$1,FALSE))</f>
        <v>JOI-ACC</v>
      </c>
      <c r="P444" s="11" t="s">
        <v>52</v>
      </c>
      <c r="R444" s="11">
        <v>79</v>
      </c>
      <c r="T444" s="8" t="s">
        <v>51</v>
      </c>
      <c r="U444" s="8" t="s">
        <v>249</v>
      </c>
      <c r="V444" s="8" t="s">
        <v>43</v>
      </c>
      <c r="W444" s="8" t="s">
        <v>1970</v>
      </c>
      <c r="X444" s="8" t="s">
        <v>905</v>
      </c>
      <c r="Y444" s="9">
        <v>1</v>
      </c>
      <c r="Z444" s="8" t="s">
        <v>1120</v>
      </c>
      <c r="AA444" s="10">
        <v>41722</v>
      </c>
      <c r="AB444" s="10">
        <v>41750</v>
      </c>
      <c r="AC444" s="10">
        <v>41779</v>
      </c>
      <c r="AG444" s="8" t="s">
        <v>2004</v>
      </c>
      <c r="AH444" s="8">
        <v>4</v>
      </c>
      <c r="AI444" s="8">
        <v>4</v>
      </c>
    </row>
    <row r="445" spans="1:36">
      <c r="A445" s="7">
        <f t="shared" si="120"/>
        <v>1</v>
      </c>
      <c r="B445" s="7" t="str">
        <f t="shared" si="131"/>
        <v>14FW JOIE BETE_28_GY_KIDS</v>
      </c>
      <c r="C445" s="7">
        <f t="shared" si="122"/>
        <v>1</v>
      </c>
      <c r="D445" s="7" t="str">
        <f t="shared" si="132"/>
        <v>KIDS FIRST TOYS14FW JOIE BETE_28_GY_KIDS</v>
      </c>
      <c r="E445" s="12" t="str">
        <f t="shared" si="133"/>
        <v>201403</v>
      </c>
      <c r="F445" s="347" t="str">
        <f>VLOOKUP($AA445,[3]주!$A:$F,6,FALSE)</f>
        <v>3월 2주</v>
      </c>
      <c r="G445" s="7">
        <f t="shared" si="125"/>
        <v>0</v>
      </c>
      <c r="H445" s="7" t="str">
        <f t="shared" si="134"/>
        <v/>
      </c>
      <c r="I445" s="7">
        <f t="shared" si="127"/>
        <v>0</v>
      </c>
      <c r="J445" s="7" t="str">
        <f t="shared" si="135"/>
        <v/>
      </c>
      <c r="K445" s="17">
        <f t="shared" si="136"/>
        <v>41779</v>
      </c>
      <c r="L445" s="12" t="str">
        <f t="shared" si="137"/>
        <v>201405</v>
      </c>
      <c r="M445" s="347" t="str">
        <f>VLOOKUP($K445,[3]주!$A:$F,6,FALSE)</f>
        <v>3월 2주</v>
      </c>
      <c r="N445" s="273" t="str">
        <f>IF(VLOOKUP($Z445,생산업체!$A:$C,2,FALSE)=1,"해외","국내")</f>
        <v>해외</v>
      </c>
      <c r="O445" s="12" t="str">
        <f>IF(VLOOKUP($U445,CODE!$K:$P,CODE!P$1,FALSE)="모자",T445,T445&amp;"-"&amp;VLOOKUP($U445,CODE!$K:$P,CODE!P$1,FALSE))</f>
        <v>JOI-ACC</v>
      </c>
      <c r="P445" s="11" t="s">
        <v>52</v>
      </c>
      <c r="R445" s="11">
        <v>80</v>
      </c>
      <c r="T445" s="8" t="s">
        <v>51</v>
      </c>
      <c r="U445" s="8" t="s">
        <v>358</v>
      </c>
      <c r="V445" s="8" t="s">
        <v>43</v>
      </c>
      <c r="W445" s="8" t="s">
        <v>1971</v>
      </c>
      <c r="X445" s="8" t="s">
        <v>905</v>
      </c>
      <c r="Y445" s="9">
        <v>1</v>
      </c>
      <c r="Z445" s="8" t="s">
        <v>1120</v>
      </c>
      <c r="AA445" s="10">
        <v>41722</v>
      </c>
      <c r="AB445" s="10">
        <v>41750</v>
      </c>
      <c r="AC445" s="10">
        <v>41779</v>
      </c>
      <c r="AG445" s="8" t="s">
        <v>2004</v>
      </c>
      <c r="AH445" s="8">
        <v>5</v>
      </c>
      <c r="AI445" s="8">
        <v>5</v>
      </c>
    </row>
    <row r="446" spans="1:36">
      <c r="A446" s="7">
        <f t="shared" si="120"/>
        <v>1</v>
      </c>
      <c r="B446" s="7" t="str">
        <f t="shared" si="131"/>
        <v>14FW JOIE BETE_29_BL_KIDS</v>
      </c>
      <c r="C446" s="7">
        <f t="shared" si="122"/>
        <v>1</v>
      </c>
      <c r="D446" s="7" t="str">
        <f t="shared" si="132"/>
        <v>KIDS FIRST TOYS14FW JOIE BETE_29_BL_KIDS</v>
      </c>
      <c r="E446" s="12" t="str">
        <f t="shared" si="133"/>
        <v>201403</v>
      </c>
      <c r="F446" s="347" t="str">
        <f>VLOOKUP($AA446,[3]주!$A:$F,6,FALSE)</f>
        <v>3월 2주</v>
      </c>
      <c r="G446" s="7">
        <f t="shared" si="125"/>
        <v>0</v>
      </c>
      <c r="H446" s="7" t="str">
        <f t="shared" si="134"/>
        <v/>
      </c>
      <c r="I446" s="7">
        <f t="shared" si="127"/>
        <v>0</v>
      </c>
      <c r="J446" s="7" t="str">
        <f t="shared" si="135"/>
        <v/>
      </c>
      <c r="K446" s="17">
        <f t="shared" si="136"/>
        <v>41779</v>
      </c>
      <c r="L446" s="12" t="str">
        <f t="shared" si="137"/>
        <v>201405</v>
      </c>
      <c r="M446" s="347" t="str">
        <f>VLOOKUP($K446,[3]주!$A:$F,6,FALSE)</f>
        <v>3월 2주</v>
      </c>
      <c r="N446" s="273" t="str">
        <f>IF(VLOOKUP($Z446,생산업체!$A:$C,2,FALSE)=1,"해외","국내")</f>
        <v>해외</v>
      </c>
      <c r="O446" s="12" t="str">
        <f>IF(VLOOKUP($U446,CODE!$K:$P,CODE!P$1,FALSE)="모자",T446,T446&amp;"-"&amp;VLOOKUP($U446,CODE!$K:$P,CODE!P$1,FALSE))</f>
        <v>JOI-가방</v>
      </c>
      <c r="P446" s="11" t="s">
        <v>1095</v>
      </c>
      <c r="R446" s="11">
        <v>81</v>
      </c>
      <c r="T446" s="8" t="s">
        <v>51</v>
      </c>
      <c r="U446" s="8" t="s">
        <v>31</v>
      </c>
      <c r="V446" s="8" t="s">
        <v>43</v>
      </c>
      <c r="W446" s="8" t="s">
        <v>1972</v>
      </c>
      <c r="X446" s="8" t="s">
        <v>905</v>
      </c>
      <c r="Y446" s="9">
        <v>1</v>
      </c>
      <c r="Z446" s="8" t="s">
        <v>1120</v>
      </c>
      <c r="AA446" s="10">
        <v>41722</v>
      </c>
      <c r="AB446" s="10">
        <v>41750</v>
      </c>
      <c r="AC446" s="10">
        <v>41779</v>
      </c>
      <c r="AG446" s="8" t="s">
        <v>2004</v>
      </c>
      <c r="AH446" s="8">
        <v>6</v>
      </c>
      <c r="AI446" s="8">
        <v>6</v>
      </c>
    </row>
    <row r="447" spans="1:36">
      <c r="A447" s="7">
        <f t="shared" si="120"/>
        <v>1</v>
      </c>
      <c r="B447" s="7" t="str">
        <f t="shared" si="131"/>
        <v>14FW JOIE BETE_30_GY_KIDS</v>
      </c>
      <c r="C447" s="7">
        <f t="shared" si="122"/>
        <v>1</v>
      </c>
      <c r="D447" s="7" t="str">
        <f t="shared" si="132"/>
        <v>KIDS FIRST TOYS14FW JOIE BETE_30_GY_KIDS</v>
      </c>
      <c r="E447" s="12" t="str">
        <f t="shared" si="133"/>
        <v>201403</v>
      </c>
      <c r="F447" s="347" t="str">
        <f>VLOOKUP($AA447,[3]주!$A:$F,6,FALSE)</f>
        <v>3월 2주</v>
      </c>
      <c r="G447" s="7">
        <f t="shared" si="125"/>
        <v>0</v>
      </c>
      <c r="H447" s="7" t="str">
        <f t="shared" si="134"/>
        <v/>
      </c>
      <c r="I447" s="7">
        <f t="shared" si="127"/>
        <v>0</v>
      </c>
      <c r="J447" s="7" t="str">
        <f t="shared" si="135"/>
        <v/>
      </c>
      <c r="K447" s="17">
        <f t="shared" si="136"/>
        <v>41779</v>
      </c>
      <c r="L447" s="12" t="str">
        <f t="shared" si="137"/>
        <v>201405</v>
      </c>
      <c r="M447" s="347" t="str">
        <f>VLOOKUP($K447,[3]주!$A:$F,6,FALSE)</f>
        <v>3월 2주</v>
      </c>
      <c r="N447" s="273" t="str">
        <f>IF(VLOOKUP($Z447,생산업체!$A:$C,2,FALSE)=1,"해외","국내")</f>
        <v>해외</v>
      </c>
      <c r="O447" s="12" t="str">
        <f>IF(VLOOKUP($U447,CODE!$K:$P,CODE!P$1,FALSE)="모자",T447,T447&amp;"-"&amp;VLOOKUP($U447,CODE!$K:$P,CODE!P$1,FALSE))</f>
        <v>JOI-가방</v>
      </c>
      <c r="P447" s="11" t="s">
        <v>1095</v>
      </c>
      <c r="R447" s="11">
        <v>82</v>
      </c>
      <c r="T447" s="8" t="s">
        <v>51</v>
      </c>
      <c r="U447" s="8" t="s">
        <v>31</v>
      </c>
      <c r="V447" s="8" t="s">
        <v>43</v>
      </c>
      <c r="W447" s="8" t="s">
        <v>1973</v>
      </c>
      <c r="X447" s="8" t="s">
        <v>905</v>
      </c>
      <c r="Y447" s="9">
        <v>1</v>
      </c>
      <c r="Z447" s="8" t="s">
        <v>1120</v>
      </c>
      <c r="AA447" s="10">
        <v>41722</v>
      </c>
      <c r="AB447" s="10">
        <v>41750</v>
      </c>
      <c r="AC447" s="10">
        <v>41779</v>
      </c>
      <c r="AH447" s="8">
        <v>6</v>
      </c>
      <c r="AI447" s="8">
        <v>6</v>
      </c>
    </row>
    <row r="448" spans="1:36">
      <c r="A448" s="7">
        <f t="shared" si="120"/>
        <v>1</v>
      </c>
      <c r="B448" s="7" t="str">
        <f t="shared" si="131"/>
        <v>14FW JOIE BETE_31_PK_KIDS</v>
      </c>
      <c r="C448" s="7">
        <f t="shared" si="122"/>
        <v>1</v>
      </c>
      <c r="D448" s="7" t="str">
        <f t="shared" si="132"/>
        <v>KIDS FIRST TOYS14FW JOIE BETE_31_PK_KIDS</v>
      </c>
      <c r="E448" s="12" t="str">
        <f t="shared" si="133"/>
        <v>201403</v>
      </c>
      <c r="F448" s="347" t="str">
        <f>VLOOKUP($AA448,[3]주!$A:$F,6,FALSE)</f>
        <v>3월 2주</v>
      </c>
      <c r="G448" s="7">
        <f t="shared" si="125"/>
        <v>0</v>
      </c>
      <c r="H448" s="7" t="str">
        <f t="shared" si="134"/>
        <v/>
      </c>
      <c r="I448" s="7">
        <f t="shared" si="127"/>
        <v>0</v>
      </c>
      <c r="J448" s="7" t="str">
        <f t="shared" si="135"/>
        <v/>
      </c>
      <c r="K448" s="17">
        <f t="shared" si="136"/>
        <v>41779</v>
      </c>
      <c r="L448" s="12" t="str">
        <f t="shared" si="137"/>
        <v>201405</v>
      </c>
      <c r="M448" s="347" t="str">
        <f>VLOOKUP($K448,[3]주!$A:$F,6,FALSE)</f>
        <v>3월 2주</v>
      </c>
      <c r="N448" s="273" t="str">
        <f>IF(VLOOKUP($Z448,생산업체!$A:$C,2,FALSE)=1,"해외","국내")</f>
        <v>해외</v>
      </c>
      <c r="O448" s="12" t="str">
        <f>IF(VLOOKUP($U448,CODE!$K:$P,CODE!P$1,FALSE)="모자",T448,T448&amp;"-"&amp;VLOOKUP($U448,CODE!$K:$P,CODE!P$1,FALSE))</f>
        <v>JOI-가방</v>
      </c>
      <c r="P448" s="11" t="s">
        <v>1095</v>
      </c>
      <c r="R448" s="11">
        <v>83</v>
      </c>
      <c r="T448" s="8" t="s">
        <v>51</v>
      </c>
      <c r="U448" s="8" t="s">
        <v>31</v>
      </c>
      <c r="V448" s="8" t="s">
        <v>43</v>
      </c>
      <c r="W448" s="8" t="s">
        <v>1974</v>
      </c>
      <c r="X448" s="8" t="s">
        <v>905</v>
      </c>
      <c r="Y448" s="9">
        <v>1</v>
      </c>
      <c r="Z448" s="8" t="s">
        <v>1120</v>
      </c>
      <c r="AA448" s="10">
        <v>41722</v>
      </c>
      <c r="AB448" s="10">
        <v>41750</v>
      </c>
      <c r="AC448" s="10">
        <v>41779</v>
      </c>
      <c r="AH448" s="8">
        <v>6</v>
      </c>
      <c r="AI448" s="8">
        <v>5</v>
      </c>
    </row>
    <row r="449" spans="1:38">
      <c r="A449" s="7">
        <f t="shared" si="120"/>
        <v>1</v>
      </c>
      <c r="B449" s="7" t="str">
        <f t="shared" si="131"/>
        <v>14FW JOIE BETE_32_IV_KIDS</v>
      </c>
      <c r="C449" s="7">
        <f t="shared" si="122"/>
        <v>1</v>
      </c>
      <c r="D449" s="7" t="str">
        <f t="shared" si="132"/>
        <v>KIDS FIRST TOYS14FW JOIE BETE_32_IV_KIDS</v>
      </c>
      <c r="E449" s="12" t="str">
        <f t="shared" si="133"/>
        <v>201403</v>
      </c>
      <c r="F449" s="347" t="str">
        <f>VLOOKUP($AA449,[3]주!$A:$F,6,FALSE)</f>
        <v>3월 2주</v>
      </c>
      <c r="G449" s="7">
        <f t="shared" si="125"/>
        <v>0</v>
      </c>
      <c r="H449" s="7" t="str">
        <f t="shared" si="134"/>
        <v/>
      </c>
      <c r="I449" s="7">
        <f t="shared" si="127"/>
        <v>0</v>
      </c>
      <c r="J449" s="7" t="str">
        <f t="shared" si="135"/>
        <v/>
      </c>
      <c r="K449" s="17">
        <f t="shared" si="136"/>
        <v>41779</v>
      </c>
      <c r="L449" s="12" t="str">
        <f t="shared" si="137"/>
        <v>201405</v>
      </c>
      <c r="M449" s="347" t="str">
        <f>VLOOKUP($K449,[3]주!$A:$F,6,FALSE)</f>
        <v>3월 2주</v>
      </c>
      <c r="N449" s="273" t="str">
        <f>IF(VLOOKUP($Z449,생산업체!$A:$C,2,FALSE)=1,"해외","국내")</f>
        <v>해외</v>
      </c>
      <c r="O449" s="12" t="str">
        <f>IF(VLOOKUP($U449,CODE!$K:$P,CODE!P$1,FALSE)="모자",T449,T449&amp;"-"&amp;VLOOKUP($U449,CODE!$K:$P,CODE!P$1,FALSE))</f>
        <v>JOI-ACC</v>
      </c>
      <c r="P449" s="11" t="s">
        <v>52</v>
      </c>
      <c r="R449" s="11">
        <v>84</v>
      </c>
      <c r="T449" s="8" t="s">
        <v>51</v>
      </c>
      <c r="U449" s="8" t="s">
        <v>249</v>
      </c>
      <c r="V449" s="8" t="s">
        <v>43</v>
      </c>
      <c r="W449" s="8" t="s">
        <v>1975</v>
      </c>
      <c r="X449" s="8" t="s">
        <v>905</v>
      </c>
      <c r="Y449" s="9">
        <v>1</v>
      </c>
      <c r="Z449" s="8" t="s">
        <v>1120</v>
      </c>
      <c r="AA449" s="10">
        <v>41722</v>
      </c>
      <c r="AB449" s="10">
        <v>41750</v>
      </c>
      <c r="AC449" s="10">
        <v>41779</v>
      </c>
      <c r="AG449" s="8" t="s">
        <v>2004</v>
      </c>
      <c r="AH449" s="8">
        <v>4</v>
      </c>
      <c r="AI449" s="8">
        <v>3</v>
      </c>
    </row>
    <row r="450" spans="1:38">
      <c r="A450" s="7">
        <f t="shared" ref="A450:A513" si="138">IF(B450="",0,1/COUNTIF(B:B,B450))</f>
        <v>0.5</v>
      </c>
      <c r="B450" s="7" t="str">
        <f t="shared" si="131"/>
        <v>14FW JOIEBETE_SOCKS_02_BL</v>
      </c>
      <c r="C450" s="7">
        <f t="shared" ref="C450:C513" si="139">IF(D450="",0,1/COUNTIF(D:D,D450))</f>
        <v>1</v>
      </c>
      <c r="D450" s="7" t="str">
        <f t="shared" si="132"/>
        <v>KIDS FIRST TOYS14FW JOIEBETE_SOCKS_02_BL</v>
      </c>
      <c r="E450" s="12" t="str">
        <f t="shared" si="133"/>
        <v>201403</v>
      </c>
      <c r="F450" s="347" t="str">
        <f>VLOOKUP($AA450,[3]주!$A:$F,6,FALSE)</f>
        <v>3월 2주</v>
      </c>
      <c r="G450" s="7">
        <f t="shared" ref="G450:G513" si="140">IF(H450="",0,1/COUNTIF(H:H,H450))</f>
        <v>0</v>
      </c>
      <c r="H450" s="7" t="str">
        <f t="shared" si="134"/>
        <v/>
      </c>
      <c r="I450" s="7">
        <f t="shared" ref="I450:I513" si="141">IF(J450="",0,1/COUNTIF(J:J,J450))</f>
        <v>0</v>
      </c>
      <c r="J450" s="7" t="str">
        <f t="shared" si="135"/>
        <v/>
      </c>
      <c r="K450" s="17">
        <f t="shared" si="136"/>
        <v>41779</v>
      </c>
      <c r="L450" s="12" t="str">
        <f t="shared" si="137"/>
        <v>201405</v>
      </c>
      <c r="M450" s="347" t="str">
        <f>VLOOKUP($K450,[3]주!$A:$F,6,FALSE)</f>
        <v>3월 2주</v>
      </c>
      <c r="N450" s="273" t="str">
        <f>IF(VLOOKUP($Z450,생산업체!$A:$C,2,FALSE)=1,"해외","국내")</f>
        <v>해외</v>
      </c>
      <c r="O450" s="12" t="str">
        <f>IF(VLOOKUP($U450,CODE!$K:$P,CODE!P$1,FALSE)="모자",T450,T450&amp;"-"&amp;VLOOKUP($U450,CODE!$K:$P,CODE!P$1,FALSE))</f>
        <v>JOI-ACC</v>
      </c>
      <c r="P450" s="11" t="s">
        <v>52</v>
      </c>
      <c r="R450" s="11">
        <v>85</v>
      </c>
      <c r="T450" s="8" t="s">
        <v>51</v>
      </c>
      <c r="U450" s="8" t="s">
        <v>249</v>
      </c>
      <c r="V450" s="8" t="s">
        <v>43</v>
      </c>
      <c r="W450" s="8" t="s">
        <v>1961</v>
      </c>
      <c r="X450" s="8" t="s">
        <v>905</v>
      </c>
      <c r="Y450" s="9">
        <v>0.5</v>
      </c>
      <c r="Z450" s="8" t="s">
        <v>1120</v>
      </c>
      <c r="AA450" s="10">
        <v>41724</v>
      </c>
      <c r="AB450" s="10">
        <v>41752</v>
      </c>
      <c r="AC450" s="10">
        <v>41779</v>
      </c>
      <c r="AG450" s="8" t="s">
        <v>2004</v>
      </c>
      <c r="AH450" s="8">
        <v>4</v>
      </c>
      <c r="AI450" s="8">
        <v>4</v>
      </c>
    </row>
    <row r="451" spans="1:38">
      <c r="A451" s="7">
        <f t="shared" si="138"/>
        <v>0.5</v>
      </c>
      <c r="B451" s="7" t="str">
        <f t="shared" si="131"/>
        <v>14FW JOIEBETE_SOCKS_01_PK</v>
      </c>
      <c r="C451" s="7">
        <f t="shared" si="139"/>
        <v>1</v>
      </c>
      <c r="D451" s="7" t="str">
        <f t="shared" si="132"/>
        <v>KIDS FIRST TOYS14FW JOIEBETE_SOCKS_01_PK</v>
      </c>
      <c r="E451" s="12" t="str">
        <f t="shared" si="133"/>
        <v>201403</v>
      </c>
      <c r="F451" s="347" t="str">
        <f>VLOOKUP($AA451,[3]주!$A:$F,6,FALSE)</f>
        <v>3월 2주</v>
      </c>
      <c r="G451" s="7">
        <f t="shared" si="140"/>
        <v>0</v>
      </c>
      <c r="H451" s="7" t="str">
        <f t="shared" si="134"/>
        <v/>
      </c>
      <c r="I451" s="7">
        <f t="shared" si="141"/>
        <v>0</v>
      </c>
      <c r="J451" s="7" t="str">
        <f t="shared" si="135"/>
        <v/>
      </c>
      <c r="K451" s="17">
        <f t="shared" si="136"/>
        <v>41779</v>
      </c>
      <c r="L451" s="12" t="str">
        <f t="shared" si="137"/>
        <v>201405</v>
      </c>
      <c r="M451" s="347" t="str">
        <f>VLOOKUP($K451,[3]주!$A:$F,6,FALSE)</f>
        <v>3월 2주</v>
      </c>
      <c r="N451" s="273" t="str">
        <f>IF(VLOOKUP($Z451,생산업체!$A:$C,2,FALSE)=1,"해외","국내")</f>
        <v>해외</v>
      </c>
      <c r="O451" s="12" t="str">
        <f>IF(VLOOKUP($U451,CODE!$K:$P,CODE!P$1,FALSE)="모자",T451,T451&amp;"-"&amp;VLOOKUP($U451,CODE!$K:$P,CODE!P$1,FALSE))</f>
        <v>JOI-ACC</v>
      </c>
      <c r="P451" s="11" t="s">
        <v>52</v>
      </c>
      <c r="R451" s="11">
        <v>86</v>
      </c>
      <c r="T451" s="8" t="s">
        <v>51</v>
      </c>
      <c r="U451" s="8" t="s">
        <v>249</v>
      </c>
      <c r="V451" s="8" t="s">
        <v>43</v>
      </c>
      <c r="W451" s="8" t="s">
        <v>1962</v>
      </c>
      <c r="X451" s="8" t="s">
        <v>905</v>
      </c>
      <c r="Y451" s="9">
        <v>0.5</v>
      </c>
      <c r="Z451" s="8" t="s">
        <v>1120</v>
      </c>
      <c r="AA451" s="10">
        <v>41724</v>
      </c>
      <c r="AB451" s="10">
        <v>41752</v>
      </c>
      <c r="AC451" s="10">
        <v>41779</v>
      </c>
      <c r="AH451" s="8">
        <v>4</v>
      </c>
      <c r="AI451" s="8">
        <v>4</v>
      </c>
    </row>
    <row r="452" spans="1:38">
      <c r="A452" s="7">
        <f t="shared" si="138"/>
        <v>0.5</v>
      </c>
      <c r="B452" s="7" t="str">
        <f t="shared" si="131"/>
        <v>14FW JOIEBETE_SOCKS_03_GY</v>
      </c>
      <c r="C452" s="7">
        <f t="shared" si="139"/>
        <v>1</v>
      </c>
      <c r="D452" s="7" t="str">
        <f t="shared" si="132"/>
        <v>KIDS FIRST TOYS14FW JOIEBETE_SOCKS_03_GY</v>
      </c>
      <c r="E452" s="12" t="str">
        <f t="shared" si="133"/>
        <v>201403</v>
      </c>
      <c r="F452" s="347" t="str">
        <f>VLOOKUP($AA452,[3]주!$A:$F,6,FALSE)</f>
        <v>3월 2주</v>
      </c>
      <c r="G452" s="7">
        <f t="shared" si="140"/>
        <v>0</v>
      </c>
      <c r="H452" s="7" t="str">
        <f t="shared" si="134"/>
        <v/>
      </c>
      <c r="I452" s="7">
        <f t="shared" si="141"/>
        <v>0</v>
      </c>
      <c r="J452" s="7" t="str">
        <f t="shared" si="135"/>
        <v/>
      </c>
      <c r="K452" s="17">
        <f t="shared" si="136"/>
        <v>41779</v>
      </c>
      <c r="L452" s="12" t="str">
        <f t="shared" si="137"/>
        <v>201405</v>
      </c>
      <c r="M452" s="347" t="str">
        <f>VLOOKUP($K452,[3]주!$A:$F,6,FALSE)</f>
        <v>3월 2주</v>
      </c>
      <c r="N452" s="273" t="str">
        <f>IF(VLOOKUP($Z452,생산업체!$A:$C,2,FALSE)=1,"해외","국내")</f>
        <v>해외</v>
      </c>
      <c r="O452" s="12" t="str">
        <f>IF(VLOOKUP($U452,CODE!$K:$P,CODE!P$1,FALSE)="모자",T452,T452&amp;"-"&amp;VLOOKUP($U452,CODE!$K:$P,CODE!P$1,FALSE))</f>
        <v>JOI-ACC</v>
      </c>
      <c r="P452" s="11" t="s">
        <v>52</v>
      </c>
      <c r="R452" s="11">
        <v>87</v>
      </c>
      <c r="T452" s="8" t="s">
        <v>51</v>
      </c>
      <c r="U452" s="8" t="s">
        <v>249</v>
      </c>
      <c r="V452" s="8" t="s">
        <v>43</v>
      </c>
      <c r="W452" s="8" t="s">
        <v>1963</v>
      </c>
      <c r="X452" s="8" t="s">
        <v>900</v>
      </c>
      <c r="Y452" s="9">
        <v>0.5</v>
      </c>
      <c r="Z452" s="8" t="s">
        <v>1120</v>
      </c>
      <c r="AA452" s="10">
        <v>41724</v>
      </c>
      <c r="AB452" s="10">
        <v>41752</v>
      </c>
      <c r="AC452" s="10">
        <v>41779</v>
      </c>
      <c r="AH452" s="8">
        <v>5</v>
      </c>
      <c r="AI452" s="8">
        <v>5</v>
      </c>
    </row>
    <row r="453" spans="1:38">
      <c r="A453" s="7">
        <f t="shared" si="138"/>
        <v>0.33333333333333331</v>
      </c>
      <c r="B453" s="7" t="str">
        <f t="shared" si="131"/>
        <v>14FW POLI-01_PK_KNIT-KIDS</v>
      </c>
      <c r="C453" s="7">
        <f t="shared" si="139"/>
        <v>1</v>
      </c>
      <c r="D453" s="7" t="str">
        <f t="shared" si="132"/>
        <v>KIDS FIRST TOYS14FW POLI-01_PK_KNIT-KIDS</v>
      </c>
      <c r="E453" s="12" t="str">
        <f t="shared" si="133"/>
        <v>201404</v>
      </c>
      <c r="F453" s="347" t="str">
        <f>VLOOKUP($AA453,[3]주!$A:$F,6,FALSE)</f>
        <v>3월 2주</v>
      </c>
      <c r="G453" s="7">
        <f t="shared" si="140"/>
        <v>0</v>
      </c>
      <c r="H453" s="7" t="str">
        <f t="shared" si="134"/>
        <v/>
      </c>
      <c r="I453" s="7">
        <f t="shared" si="141"/>
        <v>0</v>
      </c>
      <c r="J453" s="7" t="str">
        <f t="shared" si="135"/>
        <v/>
      </c>
      <c r="K453" s="17">
        <f t="shared" si="136"/>
        <v>38137</v>
      </c>
      <c r="L453" s="12" t="str">
        <f t="shared" si="137"/>
        <v>200405</v>
      </c>
      <c r="M453" s="347" t="e">
        <f>VLOOKUP($K453,[3]주!$A:$F,6,FALSE)</f>
        <v>#N/A</v>
      </c>
      <c r="N453" s="273" t="str">
        <f>IF(VLOOKUP($Z453,생산업체!$A:$C,2,FALSE)=1,"해외","국내")</f>
        <v>해외</v>
      </c>
      <c r="O453" s="12" t="str">
        <f>IF(VLOOKUP($U453,CODE!$K:$P,CODE!P$1,FALSE)="모자",T453,T453&amp;"-"&amp;VLOOKUP($U453,CODE!$K:$P,CODE!P$1,FALSE))</f>
        <v>POL</v>
      </c>
      <c r="P453" s="11" t="s">
        <v>1677</v>
      </c>
      <c r="R453" s="11">
        <v>88</v>
      </c>
      <c r="T453" s="8" t="s">
        <v>1677</v>
      </c>
      <c r="U453" s="8" t="s">
        <v>56</v>
      </c>
      <c r="V453" s="8" t="s">
        <v>43</v>
      </c>
      <c r="W453" s="8" t="s">
        <v>2058</v>
      </c>
      <c r="X453" s="8" t="s">
        <v>905</v>
      </c>
      <c r="Y453" s="9">
        <v>0.33333333333333331</v>
      </c>
      <c r="Z453" s="8" t="s">
        <v>1120</v>
      </c>
      <c r="AA453" s="10">
        <v>41736</v>
      </c>
      <c r="AB453" s="10">
        <v>41764</v>
      </c>
      <c r="AC453" s="10">
        <v>38137</v>
      </c>
      <c r="AG453" s="8" t="s">
        <v>2004</v>
      </c>
      <c r="AH453" s="8">
        <v>9</v>
      </c>
      <c r="AI453" s="8">
        <v>9</v>
      </c>
    </row>
    <row r="454" spans="1:38">
      <c r="A454" s="7">
        <f t="shared" si="138"/>
        <v>0.33333333333333331</v>
      </c>
      <c r="B454" s="7" t="str">
        <f t="shared" si="131"/>
        <v>14FW POLI-02_BL_KNIT-KIDS</v>
      </c>
      <c r="C454" s="7">
        <f t="shared" si="139"/>
        <v>1</v>
      </c>
      <c r="D454" s="7" t="str">
        <f t="shared" si="132"/>
        <v>KIDS FIRST TOYS14FW POLI-02_BL_KNIT-KIDS</v>
      </c>
      <c r="E454" s="12" t="str">
        <f t="shared" si="133"/>
        <v>201404</v>
      </c>
      <c r="F454" s="347" t="str">
        <f>VLOOKUP($AA454,[3]주!$A:$F,6,FALSE)</f>
        <v>3월 2주</v>
      </c>
      <c r="G454" s="7">
        <f t="shared" si="140"/>
        <v>0</v>
      </c>
      <c r="H454" s="7" t="str">
        <f t="shared" si="134"/>
        <v/>
      </c>
      <c r="I454" s="7">
        <f t="shared" si="141"/>
        <v>0</v>
      </c>
      <c r="J454" s="7" t="str">
        <f t="shared" si="135"/>
        <v/>
      </c>
      <c r="K454" s="17">
        <f t="shared" si="136"/>
        <v>38137</v>
      </c>
      <c r="L454" s="12" t="str">
        <f t="shared" si="137"/>
        <v>200405</v>
      </c>
      <c r="M454" s="347" t="e">
        <f>VLOOKUP($K454,[3]주!$A:$F,6,FALSE)</f>
        <v>#N/A</v>
      </c>
      <c r="N454" s="273" t="str">
        <f>IF(VLOOKUP($Z454,생산업체!$A:$C,2,FALSE)=1,"해외","국내")</f>
        <v>해외</v>
      </c>
      <c r="O454" s="12" t="str">
        <f>IF(VLOOKUP($U454,CODE!$K:$P,CODE!P$1,FALSE)="모자",T454,T454&amp;"-"&amp;VLOOKUP($U454,CODE!$K:$P,CODE!P$1,FALSE))</f>
        <v>POL</v>
      </c>
      <c r="P454" s="11" t="s">
        <v>1677</v>
      </c>
      <c r="R454" s="11">
        <v>89</v>
      </c>
      <c r="T454" s="8" t="s">
        <v>1677</v>
      </c>
      <c r="U454" s="8" t="s">
        <v>56</v>
      </c>
      <c r="V454" s="8" t="s">
        <v>43</v>
      </c>
      <c r="W454" s="8" t="s">
        <v>2059</v>
      </c>
      <c r="X454" s="8" t="s">
        <v>905</v>
      </c>
      <c r="Y454" s="9">
        <v>0.33333333333333331</v>
      </c>
      <c r="Z454" s="8" t="s">
        <v>1120</v>
      </c>
      <c r="AA454" s="10">
        <v>41736</v>
      </c>
      <c r="AB454" s="10">
        <v>41764</v>
      </c>
      <c r="AC454" s="10">
        <v>38137</v>
      </c>
      <c r="AH454" s="8">
        <v>7</v>
      </c>
      <c r="AI454" s="8">
        <v>7</v>
      </c>
      <c r="AK454" s="8" t="s">
        <v>1394</v>
      </c>
    </row>
    <row r="455" spans="1:38">
      <c r="A455" s="7">
        <f t="shared" si="138"/>
        <v>0.33333333333333331</v>
      </c>
      <c r="B455" s="7" t="str">
        <f t="shared" si="131"/>
        <v>14FW POLI-03_PK_KNIT-KIDS</v>
      </c>
      <c r="C455" s="7">
        <f t="shared" si="139"/>
        <v>1</v>
      </c>
      <c r="D455" s="7" t="str">
        <f t="shared" si="132"/>
        <v>KIDS FIRST TOYS14FW POLI-03_PK_KNIT-KIDS</v>
      </c>
      <c r="E455" s="12" t="str">
        <f t="shared" si="133"/>
        <v>201404</v>
      </c>
      <c r="F455" s="347" t="str">
        <f>VLOOKUP($AA455,[3]주!$A:$F,6,FALSE)</f>
        <v>3월 2주</v>
      </c>
      <c r="G455" s="7">
        <f t="shared" si="140"/>
        <v>0</v>
      </c>
      <c r="H455" s="7" t="str">
        <f t="shared" si="134"/>
        <v/>
      </c>
      <c r="I455" s="7">
        <f t="shared" si="141"/>
        <v>0</v>
      </c>
      <c r="J455" s="7" t="str">
        <f t="shared" si="135"/>
        <v/>
      </c>
      <c r="K455" s="17">
        <f t="shared" si="136"/>
        <v>38137</v>
      </c>
      <c r="L455" s="12" t="str">
        <f t="shared" si="137"/>
        <v>200405</v>
      </c>
      <c r="M455" s="347" t="e">
        <f>VLOOKUP($K455,[3]주!$A:$F,6,FALSE)</f>
        <v>#N/A</v>
      </c>
      <c r="N455" s="273" t="str">
        <f>IF(VLOOKUP($Z455,생산업체!$A:$C,2,FALSE)=1,"해외","국내")</f>
        <v>해외</v>
      </c>
      <c r="O455" s="12" t="str">
        <f>IF(VLOOKUP($U455,CODE!$K:$P,CODE!P$1,FALSE)="모자",T455,T455&amp;"-"&amp;VLOOKUP($U455,CODE!$K:$P,CODE!P$1,FALSE))</f>
        <v>POL</v>
      </c>
      <c r="P455" s="11" t="s">
        <v>1677</v>
      </c>
      <c r="R455" s="11">
        <v>90</v>
      </c>
      <c r="T455" s="8" t="s">
        <v>1677</v>
      </c>
      <c r="U455" s="8" t="s">
        <v>56</v>
      </c>
      <c r="V455" s="8" t="s">
        <v>43</v>
      </c>
      <c r="W455" s="8" t="s">
        <v>2060</v>
      </c>
      <c r="X455" s="8" t="s">
        <v>905</v>
      </c>
      <c r="Y455" s="9">
        <v>0.33333333333333331</v>
      </c>
      <c r="Z455" s="8" t="s">
        <v>1120</v>
      </c>
      <c r="AA455" s="10">
        <v>41736</v>
      </c>
      <c r="AB455" s="10">
        <v>41764</v>
      </c>
      <c r="AC455" s="10">
        <v>38137</v>
      </c>
      <c r="AG455" s="8" t="s">
        <v>2004</v>
      </c>
      <c r="AH455" s="8">
        <v>4</v>
      </c>
      <c r="AI455" s="8">
        <v>4</v>
      </c>
      <c r="AK455" s="8" t="s">
        <v>1394</v>
      </c>
    </row>
    <row r="456" spans="1:38">
      <c r="A456" s="7">
        <f t="shared" si="138"/>
        <v>0.33333333333333331</v>
      </c>
      <c r="B456" s="7" t="str">
        <f t="shared" si="131"/>
        <v>14FW POLI-04_BL_KNIT-KIDS</v>
      </c>
      <c r="C456" s="7">
        <f t="shared" si="139"/>
        <v>1</v>
      </c>
      <c r="D456" s="7" t="str">
        <f t="shared" si="132"/>
        <v>KIDS FIRST TOYS14FW POLI-04_BL_KNIT-KIDS</v>
      </c>
      <c r="E456" s="12" t="str">
        <f t="shared" si="133"/>
        <v>201404</v>
      </c>
      <c r="F456" s="347" t="str">
        <f>VLOOKUP($AA456,[3]주!$A:$F,6,FALSE)</f>
        <v>3월 2주</v>
      </c>
      <c r="G456" s="7">
        <f t="shared" si="140"/>
        <v>0</v>
      </c>
      <c r="H456" s="7" t="str">
        <f t="shared" si="134"/>
        <v/>
      </c>
      <c r="I456" s="7">
        <f t="shared" si="141"/>
        <v>0</v>
      </c>
      <c r="J456" s="7" t="str">
        <f t="shared" si="135"/>
        <v/>
      </c>
      <c r="K456" s="17">
        <f t="shared" si="136"/>
        <v>38137</v>
      </c>
      <c r="L456" s="12" t="str">
        <f t="shared" si="137"/>
        <v>200405</v>
      </c>
      <c r="M456" s="347" t="e">
        <f>VLOOKUP($K456,[3]주!$A:$F,6,FALSE)</f>
        <v>#N/A</v>
      </c>
      <c r="N456" s="273" t="str">
        <f>IF(VLOOKUP($Z456,생산업체!$A:$C,2,FALSE)=1,"해외","국내")</f>
        <v>해외</v>
      </c>
      <c r="O456" s="12" t="str">
        <f>IF(VLOOKUP($U456,CODE!$K:$P,CODE!P$1,FALSE)="모자",T456,T456&amp;"-"&amp;VLOOKUP($U456,CODE!$K:$P,CODE!P$1,FALSE))</f>
        <v>POL</v>
      </c>
      <c r="P456" s="11" t="s">
        <v>1677</v>
      </c>
      <c r="R456" s="11">
        <v>91</v>
      </c>
      <c r="T456" s="8" t="s">
        <v>1677</v>
      </c>
      <c r="U456" s="8" t="s">
        <v>56</v>
      </c>
      <c r="V456" s="8" t="s">
        <v>43</v>
      </c>
      <c r="W456" s="8" t="s">
        <v>2061</v>
      </c>
      <c r="X456" s="8" t="s">
        <v>905</v>
      </c>
      <c r="Y456" s="9">
        <v>0.33333333333333331</v>
      </c>
      <c r="Z456" s="8" t="s">
        <v>1120</v>
      </c>
      <c r="AA456" s="10">
        <v>41736</v>
      </c>
      <c r="AB456" s="10">
        <v>41764</v>
      </c>
      <c r="AC456" s="10">
        <v>38137</v>
      </c>
      <c r="AH456" s="8">
        <v>2</v>
      </c>
      <c r="AI456" s="8">
        <v>2</v>
      </c>
      <c r="AK456" s="8" t="s">
        <v>1394</v>
      </c>
    </row>
    <row r="457" spans="1:38">
      <c r="A457" s="7">
        <f t="shared" si="138"/>
        <v>0.33333333333333331</v>
      </c>
      <c r="B457" s="7" t="str">
        <f t="shared" si="131"/>
        <v>14FW POLI-01_PK_KNIT-KIDS</v>
      </c>
      <c r="C457" s="7">
        <f t="shared" si="139"/>
        <v>1</v>
      </c>
      <c r="D457" s="7" t="str">
        <f t="shared" si="132"/>
        <v>FOREMOST14FW POLI-01_PK_KNIT-KIDS</v>
      </c>
      <c r="E457" s="12" t="str">
        <f t="shared" si="133"/>
        <v>201404</v>
      </c>
      <c r="F457" s="347" t="str">
        <f>VLOOKUP($AA457,[3]주!$A:$F,6,FALSE)</f>
        <v>3월 2주</v>
      </c>
      <c r="G457" s="7">
        <f t="shared" si="140"/>
        <v>0.5</v>
      </c>
      <c r="H457" s="7" t="str">
        <f t="shared" si="134"/>
        <v>14FW POLI-01_PK_KNIT-KIDS</v>
      </c>
      <c r="I457" s="7">
        <f t="shared" si="141"/>
        <v>1</v>
      </c>
      <c r="J457" s="7" t="str">
        <f t="shared" si="135"/>
        <v>FOREMOST14FW POLI-01_PK_KNIT-KIDS</v>
      </c>
      <c r="K457" s="17">
        <f t="shared" si="136"/>
        <v>41761</v>
      </c>
      <c r="L457" s="12" t="str">
        <f t="shared" si="137"/>
        <v>201405</v>
      </c>
      <c r="M457" s="347" t="str">
        <f>VLOOKUP($K457,[3]주!$A:$F,6,FALSE)</f>
        <v>3월 2주</v>
      </c>
      <c r="N457" s="273" t="str">
        <f>IF(VLOOKUP($Z457,생산업체!$A:$C,2,FALSE)=1,"해외","국내")</f>
        <v>해외</v>
      </c>
      <c r="O457" s="12" t="str">
        <f>IF(VLOOKUP($U457,CODE!$K:$P,CODE!P$1,FALSE)="모자",T457,T457&amp;"-"&amp;VLOOKUP($U457,CODE!$K:$P,CODE!P$1,FALSE))</f>
        <v>POL</v>
      </c>
      <c r="P457" s="11" t="s">
        <v>1677</v>
      </c>
      <c r="R457" s="11">
        <v>92</v>
      </c>
      <c r="T457" s="8" t="s">
        <v>1677</v>
      </c>
      <c r="U457" s="8" t="s">
        <v>56</v>
      </c>
      <c r="V457" s="8" t="s">
        <v>43</v>
      </c>
      <c r="W457" s="8" t="s">
        <v>2058</v>
      </c>
      <c r="X457" s="8" t="s">
        <v>905</v>
      </c>
      <c r="Y457" s="9">
        <v>0.33333333333333331</v>
      </c>
      <c r="Z457" s="8" t="s">
        <v>6</v>
      </c>
      <c r="AA457" s="10">
        <v>41736</v>
      </c>
      <c r="AB457" s="10">
        <v>41764</v>
      </c>
      <c r="AC457" s="10">
        <v>38112</v>
      </c>
      <c r="AD457" s="10">
        <v>41761</v>
      </c>
      <c r="AH457" s="8">
        <v>9</v>
      </c>
      <c r="AI457" s="8">
        <v>9</v>
      </c>
      <c r="AK457" s="8" t="s">
        <v>1394</v>
      </c>
    </row>
    <row r="458" spans="1:38">
      <c r="A458" s="7">
        <f t="shared" si="138"/>
        <v>0.33333333333333331</v>
      </c>
      <c r="B458" s="7" t="str">
        <f t="shared" si="131"/>
        <v>14FW POLI-02_BL_KNIT-KIDS</v>
      </c>
      <c r="C458" s="7">
        <f t="shared" si="139"/>
        <v>1</v>
      </c>
      <c r="D458" s="7" t="str">
        <f t="shared" si="132"/>
        <v>FOREMOST14FW POLI-02_BL_KNIT-KIDS</v>
      </c>
      <c r="E458" s="12" t="str">
        <f t="shared" si="133"/>
        <v>201404</v>
      </c>
      <c r="F458" s="347" t="str">
        <f>VLOOKUP($AA458,[3]주!$A:$F,6,FALSE)</f>
        <v>3월 2주</v>
      </c>
      <c r="G458" s="7">
        <f t="shared" si="140"/>
        <v>0.5</v>
      </c>
      <c r="H458" s="7" t="str">
        <f t="shared" si="134"/>
        <v>14FW POLI-02_BL_KNIT-KIDS</v>
      </c>
      <c r="I458" s="7">
        <f t="shared" si="141"/>
        <v>1</v>
      </c>
      <c r="J458" s="7" t="str">
        <f t="shared" si="135"/>
        <v>FOREMOST14FW POLI-02_BL_KNIT-KIDS</v>
      </c>
      <c r="K458" s="17">
        <f t="shared" si="136"/>
        <v>41761</v>
      </c>
      <c r="L458" s="12" t="str">
        <f t="shared" si="137"/>
        <v>201405</v>
      </c>
      <c r="M458" s="347" t="str">
        <f>VLOOKUP($K458,[3]주!$A:$F,6,FALSE)</f>
        <v>3월 2주</v>
      </c>
      <c r="N458" s="273" t="str">
        <f>IF(VLOOKUP($Z458,생산업체!$A:$C,2,FALSE)=1,"해외","국내")</f>
        <v>해외</v>
      </c>
      <c r="O458" s="12" t="str">
        <f>IF(VLOOKUP($U458,CODE!$K:$P,CODE!P$1,FALSE)="모자",T458,T458&amp;"-"&amp;VLOOKUP($U458,CODE!$K:$P,CODE!P$1,FALSE))</f>
        <v>POL</v>
      </c>
      <c r="P458" s="11" t="s">
        <v>1677</v>
      </c>
      <c r="R458" s="11">
        <v>93</v>
      </c>
      <c r="T458" s="8" t="s">
        <v>1677</v>
      </c>
      <c r="U458" s="8" t="s">
        <v>56</v>
      </c>
      <c r="V458" s="8" t="s">
        <v>43</v>
      </c>
      <c r="W458" s="8" t="s">
        <v>2059</v>
      </c>
      <c r="X458" s="8" t="s">
        <v>905</v>
      </c>
      <c r="Y458" s="9">
        <v>0.33333333333333331</v>
      </c>
      <c r="Z458" s="8" t="s">
        <v>6</v>
      </c>
      <c r="AA458" s="10">
        <v>41736</v>
      </c>
      <c r="AB458" s="10">
        <v>41764</v>
      </c>
      <c r="AC458" s="10">
        <v>38112</v>
      </c>
      <c r="AD458" s="10">
        <v>41761</v>
      </c>
      <c r="AE458" s="8">
        <v>10.199999999999999</v>
      </c>
      <c r="AH458" s="8">
        <v>7</v>
      </c>
      <c r="AI458" s="8">
        <v>7</v>
      </c>
      <c r="AK458" s="8" t="s">
        <v>1394</v>
      </c>
    </row>
    <row r="459" spans="1:38">
      <c r="A459" s="7">
        <f t="shared" si="138"/>
        <v>0.33333333333333331</v>
      </c>
      <c r="B459" s="7" t="str">
        <f t="shared" si="131"/>
        <v>14FW POLI-03_PK_KNIT-KIDS</v>
      </c>
      <c r="C459" s="7">
        <f t="shared" si="139"/>
        <v>1</v>
      </c>
      <c r="D459" s="7" t="str">
        <f t="shared" si="132"/>
        <v>FOREMOST14FW POLI-03_PK_KNIT-KIDS</v>
      </c>
      <c r="E459" s="12" t="str">
        <f t="shared" si="133"/>
        <v>201404</v>
      </c>
      <c r="F459" s="347" t="str">
        <f>VLOOKUP($AA459,[3]주!$A:$F,6,FALSE)</f>
        <v>3월 2주</v>
      </c>
      <c r="G459" s="7">
        <f t="shared" si="140"/>
        <v>0.5</v>
      </c>
      <c r="H459" s="7" t="str">
        <f t="shared" si="134"/>
        <v>14FW POLI-03_PK_KNIT-KIDS</v>
      </c>
      <c r="I459" s="7">
        <f t="shared" si="141"/>
        <v>1</v>
      </c>
      <c r="J459" s="7" t="str">
        <f t="shared" si="135"/>
        <v>FOREMOST14FW POLI-03_PK_KNIT-KIDS</v>
      </c>
      <c r="K459" s="17">
        <f t="shared" si="136"/>
        <v>41768</v>
      </c>
      <c r="L459" s="12" t="str">
        <f t="shared" si="137"/>
        <v>201405</v>
      </c>
      <c r="M459" s="347" t="str">
        <f>VLOOKUP($K459,[3]주!$A:$F,6,FALSE)</f>
        <v>3월 2주</v>
      </c>
      <c r="N459" s="273" t="str">
        <f>IF(VLOOKUP($Z459,생산업체!$A:$C,2,FALSE)=1,"해외","국내")</f>
        <v>해외</v>
      </c>
      <c r="O459" s="12" t="str">
        <f>IF(VLOOKUP($U459,CODE!$K:$P,CODE!P$1,FALSE)="모자",T459,T459&amp;"-"&amp;VLOOKUP($U459,CODE!$K:$P,CODE!P$1,FALSE))</f>
        <v>POL</v>
      </c>
      <c r="P459" s="11" t="s">
        <v>1677</v>
      </c>
      <c r="R459" s="11">
        <v>94</v>
      </c>
      <c r="T459" s="8" t="s">
        <v>1677</v>
      </c>
      <c r="U459" s="8" t="s">
        <v>56</v>
      </c>
      <c r="V459" s="8" t="s">
        <v>43</v>
      </c>
      <c r="W459" s="8" t="s">
        <v>2060</v>
      </c>
      <c r="X459" s="8" t="s">
        <v>905</v>
      </c>
      <c r="Y459" s="9">
        <v>0.33333333333333331</v>
      </c>
      <c r="Z459" s="8" t="s">
        <v>6</v>
      </c>
      <c r="AA459" s="10">
        <v>41736</v>
      </c>
      <c r="AB459" s="10">
        <v>41764</v>
      </c>
      <c r="AC459" s="10">
        <v>38112</v>
      </c>
      <c r="AD459" s="10">
        <v>41768</v>
      </c>
      <c r="AE459" s="8">
        <v>10</v>
      </c>
      <c r="AH459" s="8">
        <v>4</v>
      </c>
      <c r="AI459" s="8">
        <v>4</v>
      </c>
      <c r="AK459" s="8" t="s">
        <v>1394</v>
      </c>
    </row>
    <row r="460" spans="1:38">
      <c r="A460" s="7">
        <f t="shared" si="138"/>
        <v>0.33333333333333331</v>
      </c>
      <c r="B460" s="7" t="str">
        <f t="shared" si="131"/>
        <v>14FW POLI-04_BL_KNIT-KIDS</v>
      </c>
      <c r="C460" s="7">
        <f t="shared" si="139"/>
        <v>1</v>
      </c>
      <c r="D460" s="7" t="str">
        <f t="shared" si="132"/>
        <v>FOREMOST14FW POLI-04_BL_KNIT-KIDS</v>
      </c>
      <c r="E460" s="12" t="str">
        <f t="shared" si="133"/>
        <v>201404</v>
      </c>
      <c r="F460" s="347" t="str">
        <f>VLOOKUP($AA460,[3]주!$A:$F,6,FALSE)</f>
        <v>3월 2주</v>
      </c>
      <c r="G460" s="7">
        <f t="shared" si="140"/>
        <v>0.5</v>
      </c>
      <c r="H460" s="7" t="str">
        <f t="shared" si="134"/>
        <v>14FW POLI-04_BL_KNIT-KIDS</v>
      </c>
      <c r="I460" s="7">
        <f t="shared" si="141"/>
        <v>1</v>
      </c>
      <c r="J460" s="7" t="str">
        <f t="shared" si="135"/>
        <v>FOREMOST14FW POLI-04_BL_KNIT-KIDS</v>
      </c>
      <c r="K460" s="17">
        <f t="shared" si="136"/>
        <v>41768</v>
      </c>
      <c r="L460" s="12" t="str">
        <f t="shared" si="137"/>
        <v>201405</v>
      </c>
      <c r="M460" s="347" t="str">
        <f>VLOOKUP($K460,[3]주!$A:$F,6,FALSE)</f>
        <v>3월 2주</v>
      </c>
      <c r="N460" s="273" t="str">
        <f>IF(VLOOKUP($Z460,생산업체!$A:$C,2,FALSE)=1,"해외","국내")</f>
        <v>해외</v>
      </c>
      <c r="O460" s="12" t="str">
        <f>IF(VLOOKUP($U460,CODE!$K:$P,CODE!P$1,FALSE)="모자",T460,T460&amp;"-"&amp;VLOOKUP($U460,CODE!$K:$P,CODE!P$1,FALSE))</f>
        <v>POL</v>
      </c>
      <c r="P460" s="11" t="s">
        <v>1677</v>
      </c>
      <c r="R460" s="11">
        <v>95</v>
      </c>
      <c r="T460" s="8" t="s">
        <v>1677</v>
      </c>
      <c r="U460" s="8" t="s">
        <v>56</v>
      </c>
      <c r="V460" s="8" t="s">
        <v>43</v>
      </c>
      <c r="W460" s="8" t="s">
        <v>2061</v>
      </c>
      <c r="X460" s="8" t="s">
        <v>905</v>
      </c>
      <c r="Y460" s="9">
        <v>0.33333333333333331</v>
      </c>
      <c r="Z460" s="8" t="s">
        <v>6</v>
      </c>
      <c r="AA460" s="10">
        <v>41736</v>
      </c>
      <c r="AB460" s="10">
        <v>41764</v>
      </c>
      <c r="AC460" s="10">
        <v>41764</v>
      </c>
      <c r="AD460" s="10">
        <v>41768</v>
      </c>
      <c r="AH460" s="8">
        <v>2</v>
      </c>
      <c r="AI460" s="8">
        <v>2</v>
      </c>
      <c r="AK460" s="8" t="s">
        <v>1394</v>
      </c>
    </row>
    <row r="461" spans="1:38">
      <c r="A461" s="7">
        <f t="shared" si="138"/>
        <v>1</v>
      </c>
      <c r="B461" s="7" t="str">
        <f t="shared" ref="B461:B471" si="142">IF(AA461="","",W461)</f>
        <v>14FW POLI 01_SNAP_WH_KIDS</v>
      </c>
      <c r="C461" s="7">
        <f t="shared" si="139"/>
        <v>1</v>
      </c>
      <c r="D461" s="7" t="str">
        <f t="shared" ref="D461:D471" si="143">IF(AA461="","",Z461&amp;W461)</f>
        <v>동일모자14FW POLI 01_SNAP_WH_KIDS</v>
      </c>
      <c r="E461" s="12" t="str">
        <f t="shared" ref="E461:E471" si="144">IF(YEAR(AA461)&lt;10,0&amp;YEAR(AA461),YEAR(AA461))&amp;IF(MONTH(AA461)&lt;10,0&amp;MONTH(AA461),MONTH(AA461))</f>
        <v>201404</v>
      </c>
      <c r="F461" s="347" t="str">
        <f>VLOOKUP($AA461,[3]주!$A:$F,6,FALSE)</f>
        <v>3월 2주</v>
      </c>
      <c r="G461" s="7">
        <f t="shared" si="140"/>
        <v>1</v>
      </c>
      <c r="H461" s="7" t="str">
        <f t="shared" ref="H461:H471" si="145">IF(AD461="","",W461)</f>
        <v>14FW POLI 01_SNAP_WH_KIDS</v>
      </c>
      <c r="I461" s="7">
        <f t="shared" si="141"/>
        <v>1</v>
      </c>
      <c r="J461" s="7" t="str">
        <f t="shared" ref="J461:J471" si="146">IF(AD461="","",Z461&amp;W461)</f>
        <v>동일모자14FW POLI 01_SNAP_WH_KIDS</v>
      </c>
      <c r="K461" s="17">
        <f t="shared" ref="K461:K471" si="147">IF(AD461="",AC461,AD461)</f>
        <v>41759</v>
      </c>
      <c r="L461" s="12" t="str">
        <f t="shared" ref="L461:L471" si="148">IF(YEAR(K461)&lt;10,0&amp;YEAR(K461),YEAR(K461))&amp;IF(MONTH(K461)&lt;10,0&amp;MONTH(K461),MONTH(K461))</f>
        <v>201404</v>
      </c>
      <c r="M461" s="347" t="str">
        <f>VLOOKUP($K461,[3]주!$A:$F,6,FALSE)</f>
        <v>3월 2주</v>
      </c>
      <c r="N461" s="273" t="str">
        <f>IF(VLOOKUP($Z461,생산업체!$A:$C,2,FALSE)=1,"해외","국내")</f>
        <v>해외</v>
      </c>
      <c r="O461" s="12" t="str">
        <f>IF(VLOOKUP($U461,CODE!$K:$P,CODE!P$1,FALSE)="모자",T461,T461&amp;"-"&amp;VLOOKUP($U461,CODE!$K:$P,CODE!P$1,FALSE))</f>
        <v>POL</v>
      </c>
      <c r="P461" s="11" t="s">
        <v>1677</v>
      </c>
      <c r="R461" s="11">
        <v>96</v>
      </c>
      <c r="T461" s="8" t="s">
        <v>1677</v>
      </c>
      <c r="U461" s="8" t="s">
        <v>35</v>
      </c>
      <c r="V461" s="8" t="s">
        <v>43</v>
      </c>
      <c r="W461" s="8" t="s">
        <v>2062</v>
      </c>
      <c r="X461" s="8" t="s">
        <v>905</v>
      </c>
      <c r="Y461" s="9">
        <v>1</v>
      </c>
      <c r="Z461" s="8" t="s">
        <v>44</v>
      </c>
      <c r="AA461" s="10">
        <v>41736</v>
      </c>
      <c r="AB461" s="10">
        <v>41764</v>
      </c>
      <c r="AC461" s="10">
        <v>41764</v>
      </c>
      <c r="AD461" s="10">
        <v>41759</v>
      </c>
      <c r="AH461" s="8">
        <v>5</v>
      </c>
      <c r="AJ461" s="8" t="s">
        <v>2191</v>
      </c>
      <c r="AK461" s="8" t="s">
        <v>1394</v>
      </c>
    </row>
    <row r="462" spans="1:38">
      <c r="A462" s="7">
        <f t="shared" si="138"/>
        <v>1</v>
      </c>
      <c r="B462" s="7" t="str">
        <f t="shared" si="142"/>
        <v>14FW POLI 02_SNAP_PK_KIDS</v>
      </c>
      <c r="C462" s="7">
        <f t="shared" si="139"/>
        <v>1</v>
      </c>
      <c r="D462" s="7" t="str">
        <f t="shared" si="143"/>
        <v>동일모자14FW POLI 02_SNAP_PK_KIDS</v>
      </c>
      <c r="E462" s="12" t="str">
        <f t="shared" si="144"/>
        <v>201404</v>
      </c>
      <c r="F462" s="347" t="str">
        <f>VLOOKUP($AA462,[3]주!$A:$F,6,FALSE)</f>
        <v>3월 2주</v>
      </c>
      <c r="G462" s="7">
        <f t="shared" si="140"/>
        <v>1</v>
      </c>
      <c r="H462" s="7" t="str">
        <f t="shared" si="145"/>
        <v>14FW POLI 02_SNAP_PK_KIDS</v>
      </c>
      <c r="I462" s="7">
        <f t="shared" si="141"/>
        <v>1</v>
      </c>
      <c r="J462" s="7" t="str">
        <f t="shared" si="146"/>
        <v>동일모자14FW POLI 02_SNAP_PK_KIDS</v>
      </c>
      <c r="K462" s="17">
        <f t="shared" si="147"/>
        <v>41759</v>
      </c>
      <c r="L462" s="12" t="str">
        <f t="shared" si="148"/>
        <v>201404</v>
      </c>
      <c r="M462" s="347" t="str">
        <f>VLOOKUP($K462,[3]주!$A:$F,6,FALSE)</f>
        <v>3월 2주</v>
      </c>
      <c r="N462" s="273" t="str">
        <f>IF(VLOOKUP($Z462,생산업체!$A:$C,2,FALSE)=1,"해외","국내")</f>
        <v>해외</v>
      </c>
      <c r="O462" s="12" t="str">
        <f>IF(VLOOKUP($U462,CODE!$K:$P,CODE!P$1,FALSE)="모자",T462,T462&amp;"-"&amp;VLOOKUP($U462,CODE!$K:$P,CODE!P$1,FALSE))</f>
        <v>POL</v>
      </c>
      <c r="P462" s="11" t="s">
        <v>1677</v>
      </c>
      <c r="R462" s="11">
        <v>97</v>
      </c>
      <c r="T462" s="8" t="s">
        <v>1677</v>
      </c>
      <c r="U462" s="8" t="s">
        <v>35</v>
      </c>
      <c r="V462" s="8" t="s">
        <v>43</v>
      </c>
      <c r="W462" s="8" t="s">
        <v>2063</v>
      </c>
      <c r="X462" s="8" t="s">
        <v>905</v>
      </c>
      <c r="Y462" s="9">
        <v>1</v>
      </c>
      <c r="Z462" s="8" t="s">
        <v>44</v>
      </c>
      <c r="AA462" s="10">
        <v>41736</v>
      </c>
      <c r="AB462" s="10">
        <v>41764</v>
      </c>
      <c r="AC462" s="10">
        <v>41764</v>
      </c>
      <c r="AD462" s="10">
        <v>41759</v>
      </c>
      <c r="AH462" s="8">
        <v>5</v>
      </c>
      <c r="AJ462" s="8" t="s">
        <v>2191</v>
      </c>
      <c r="AK462" s="8" t="s">
        <v>2016</v>
      </c>
      <c r="AL462" s="8" t="s">
        <v>1396</v>
      </c>
    </row>
    <row r="463" spans="1:38">
      <c r="A463" s="7">
        <f t="shared" si="138"/>
        <v>0.33333333333333331</v>
      </c>
      <c r="B463" s="7" t="str">
        <f t="shared" si="142"/>
        <v>14FW POLI-01_PK_KNIT-KIDS</v>
      </c>
      <c r="C463" s="7">
        <f t="shared" si="139"/>
        <v>1</v>
      </c>
      <c r="D463" s="7" t="str">
        <f t="shared" si="143"/>
        <v>NT SENHONG14FW POLI-01_PK_KNIT-KIDS</v>
      </c>
      <c r="E463" s="12" t="str">
        <f t="shared" si="144"/>
        <v>201404</v>
      </c>
      <c r="F463" s="347" t="str">
        <f>VLOOKUP($AA463,[3]주!$A:$F,6,FALSE)</f>
        <v>3월 2주</v>
      </c>
      <c r="G463" s="7">
        <f t="shared" si="140"/>
        <v>0.5</v>
      </c>
      <c r="H463" s="7" t="str">
        <f t="shared" si="145"/>
        <v>14FW POLI-01_PK_KNIT-KIDS</v>
      </c>
      <c r="I463" s="7">
        <f t="shared" si="141"/>
        <v>1</v>
      </c>
      <c r="J463" s="7" t="str">
        <f t="shared" si="146"/>
        <v>NT SENHONG14FW POLI-01_PK_KNIT-KIDS</v>
      </c>
      <c r="K463" s="17" t="str">
        <f t="shared" si="147"/>
        <v>X</v>
      </c>
      <c r="L463" s="12" t="e">
        <f t="shared" si="148"/>
        <v>#VALUE!</v>
      </c>
      <c r="M463" s="347" t="e">
        <f>VLOOKUP($K463,[3]주!$A:$F,6,FALSE)</f>
        <v>#N/A</v>
      </c>
      <c r="N463" s="273" t="str">
        <f>IF(VLOOKUP($Z463,생산업체!$A:$C,2,FALSE)=1,"해외","국내")</f>
        <v>해외</v>
      </c>
      <c r="O463" s="12" t="str">
        <f>IF(VLOOKUP($U463,CODE!$K:$P,CODE!P$1,FALSE)="모자",T463,T463&amp;"-"&amp;VLOOKUP($U463,CODE!$K:$P,CODE!P$1,FALSE))</f>
        <v>POL</v>
      </c>
      <c r="P463" s="11" t="s">
        <v>1677</v>
      </c>
      <c r="R463" s="11">
        <v>98</v>
      </c>
      <c r="T463" s="8" t="s">
        <v>1677</v>
      </c>
      <c r="U463" s="8" t="s">
        <v>56</v>
      </c>
      <c r="V463" s="8" t="s">
        <v>43</v>
      </c>
      <c r="W463" s="8" t="s">
        <v>2058</v>
      </c>
      <c r="X463" s="8" t="s">
        <v>905</v>
      </c>
      <c r="Y463" s="9">
        <v>0.33333333333333331</v>
      </c>
      <c r="Z463" s="8" t="s">
        <v>1434</v>
      </c>
      <c r="AA463" s="10">
        <v>41748</v>
      </c>
      <c r="AB463" s="10">
        <v>41776</v>
      </c>
      <c r="AC463" s="10">
        <v>41764</v>
      </c>
      <c r="AD463" s="10" t="s">
        <v>1959</v>
      </c>
      <c r="AE463" s="8" t="s">
        <v>1959</v>
      </c>
      <c r="AH463" s="8">
        <v>9</v>
      </c>
      <c r="AI463" s="8">
        <v>9</v>
      </c>
      <c r="AJ463" s="8" t="s">
        <v>2192</v>
      </c>
      <c r="AK463" s="8" t="s">
        <v>1395</v>
      </c>
      <c r="AL463" s="8" t="s">
        <v>1396</v>
      </c>
    </row>
    <row r="464" spans="1:38">
      <c r="A464" s="7">
        <f t="shared" si="138"/>
        <v>0.33333333333333331</v>
      </c>
      <c r="B464" s="7" t="str">
        <f t="shared" si="142"/>
        <v>14FW POLI-02_BL_KNIT-KIDS</v>
      </c>
      <c r="C464" s="7">
        <f t="shared" si="139"/>
        <v>1</v>
      </c>
      <c r="D464" s="7" t="str">
        <f t="shared" si="143"/>
        <v>NT SENHONG14FW POLI-02_BL_KNIT-KIDS</v>
      </c>
      <c r="E464" s="12" t="str">
        <f t="shared" si="144"/>
        <v>201404</v>
      </c>
      <c r="F464" s="347" t="str">
        <f>VLOOKUP($AA464,[3]주!$A:$F,6,FALSE)</f>
        <v>3월 2주</v>
      </c>
      <c r="G464" s="7">
        <f t="shared" si="140"/>
        <v>0.5</v>
      </c>
      <c r="H464" s="7" t="str">
        <f t="shared" si="145"/>
        <v>14FW POLI-02_BL_KNIT-KIDS</v>
      </c>
      <c r="I464" s="7">
        <f t="shared" si="141"/>
        <v>1</v>
      </c>
      <c r="J464" s="7" t="str">
        <f t="shared" si="146"/>
        <v>NT SENHONG14FW POLI-02_BL_KNIT-KIDS</v>
      </c>
      <c r="K464" s="17" t="str">
        <f t="shared" si="147"/>
        <v>X</v>
      </c>
      <c r="L464" s="12" t="e">
        <f t="shared" si="148"/>
        <v>#VALUE!</v>
      </c>
      <c r="M464" s="347" t="e">
        <f>VLOOKUP($K464,[3]주!$A:$F,6,FALSE)</f>
        <v>#N/A</v>
      </c>
      <c r="N464" s="273" t="str">
        <f>IF(VLOOKUP($Z464,생산업체!$A:$C,2,FALSE)=1,"해외","국내")</f>
        <v>해외</v>
      </c>
      <c r="O464" s="12" t="str">
        <f>IF(VLOOKUP($U464,CODE!$K:$P,CODE!P$1,FALSE)="모자",T464,T464&amp;"-"&amp;VLOOKUP($U464,CODE!$K:$P,CODE!P$1,FALSE))</f>
        <v>POL</v>
      </c>
      <c r="P464" s="11" t="s">
        <v>1677</v>
      </c>
      <c r="R464" s="11">
        <v>99</v>
      </c>
      <c r="T464" s="8" t="s">
        <v>1677</v>
      </c>
      <c r="U464" s="8" t="s">
        <v>56</v>
      </c>
      <c r="V464" s="8" t="s">
        <v>43</v>
      </c>
      <c r="W464" s="8" t="s">
        <v>2059</v>
      </c>
      <c r="X464" s="8" t="s">
        <v>905</v>
      </c>
      <c r="Y464" s="9">
        <v>0.33333333333333331</v>
      </c>
      <c r="Z464" s="8" t="s">
        <v>1434</v>
      </c>
      <c r="AA464" s="10">
        <v>41748</v>
      </c>
      <c r="AB464" s="10">
        <v>41776</v>
      </c>
      <c r="AC464" s="10">
        <v>41764</v>
      </c>
      <c r="AD464" s="10" t="s">
        <v>1959</v>
      </c>
      <c r="AE464" s="8" t="s">
        <v>1959</v>
      </c>
      <c r="AH464" s="8">
        <v>7</v>
      </c>
      <c r="AI464" s="8">
        <v>7</v>
      </c>
      <c r="AJ464" s="8" t="s">
        <v>2192</v>
      </c>
      <c r="AK464" s="8" t="s">
        <v>1395</v>
      </c>
      <c r="AL464" s="8" t="s">
        <v>1396</v>
      </c>
    </row>
    <row r="465" spans="1:39">
      <c r="A465" s="7">
        <f t="shared" si="138"/>
        <v>0.33333333333333331</v>
      </c>
      <c r="B465" s="7" t="str">
        <f t="shared" si="142"/>
        <v>14FW POLI-03_PK_KNIT-KIDS</v>
      </c>
      <c r="C465" s="7">
        <f t="shared" si="139"/>
        <v>1</v>
      </c>
      <c r="D465" s="7" t="str">
        <f t="shared" si="143"/>
        <v>NT SENHONG14FW POLI-03_PK_KNIT-KIDS</v>
      </c>
      <c r="E465" s="12" t="str">
        <f t="shared" si="144"/>
        <v>201404</v>
      </c>
      <c r="F465" s="347" t="str">
        <f>VLOOKUP($AA465,[3]주!$A:$F,6,FALSE)</f>
        <v>3월 2주</v>
      </c>
      <c r="G465" s="7">
        <f t="shared" si="140"/>
        <v>0.5</v>
      </c>
      <c r="H465" s="7" t="str">
        <f t="shared" si="145"/>
        <v>14FW POLI-03_PK_KNIT-KIDS</v>
      </c>
      <c r="I465" s="7">
        <f t="shared" si="141"/>
        <v>1</v>
      </c>
      <c r="J465" s="7" t="str">
        <f t="shared" si="146"/>
        <v>NT SENHONG14FW POLI-03_PK_KNIT-KIDS</v>
      </c>
      <c r="K465" s="17" t="str">
        <f t="shared" si="147"/>
        <v>X</v>
      </c>
      <c r="L465" s="12" t="e">
        <f t="shared" si="148"/>
        <v>#VALUE!</v>
      </c>
      <c r="M465" s="347" t="e">
        <f>VLOOKUP($K465,[3]주!$A:$F,6,FALSE)</f>
        <v>#N/A</v>
      </c>
      <c r="N465" s="273" t="str">
        <f>IF(VLOOKUP($Z465,생산업체!$A:$C,2,FALSE)=1,"해외","국내")</f>
        <v>해외</v>
      </c>
      <c r="O465" s="12" t="str">
        <f>IF(VLOOKUP($U465,CODE!$K:$P,CODE!P$1,FALSE)="모자",T465,T465&amp;"-"&amp;VLOOKUP($U465,CODE!$K:$P,CODE!P$1,FALSE))</f>
        <v>POL</v>
      </c>
      <c r="P465" s="11" t="s">
        <v>1677</v>
      </c>
      <c r="R465" s="11">
        <v>100</v>
      </c>
      <c r="T465" s="8" t="s">
        <v>1677</v>
      </c>
      <c r="U465" s="8" t="s">
        <v>56</v>
      </c>
      <c r="V465" s="8" t="s">
        <v>43</v>
      </c>
      <c r="W465" s="8" t="s">
        <v>2060</v>
      </c>
      <c r="X465" s="8" t="s">
        <v>905</v>
      </c>
      <c r="Y465" s="9">
        <v>0.33333333333333331</v>
      </c>
      <c r="Z465" s="8" t="s">
        <v>1434</v>
      </c>
      <c r="AA465" s="10">
        <v>41748</v>
      </c>
      <c r="AB465" s="10">
        <v>41776</v>
      </c>
      <c r="AC465" s="10">
        <v>41764</v>
      </c>
      <c r="AD465" s="10" t="s">
        <v>1959</v>
      </c>
      <c r="AE465" s="8" t="s">
        <v>1959</v>
      </c>
      <c r="AH465" s="8">
        <v>4</v>
      </c>
      <c r="AI465" s="8">
        <v>4</v>
      </c>
      <c r="AJ465" s="8" t="s">
        <v>2192</v>
      </c>
      <c r="AK465" s="8" t="s">
        <v>1395</v>
      </c>
      <c r="AL465" s="8" t="s">
        <v>1396</v>
      </c>
    </row>
    <row r="466" spans="1:39">
      <c r="A466" s="7">
        <f t="shared" si="138"/>
        <v>0.33333333333333331</v>
      </c>
      <c r="B466" s="7" t="str">
        <f t="shared" si="142"/>
        <v>14FW POLI-04_BL_KNIT-KIDS</v>
      </c>
      <c r="C466" s="7">
        <f t="shared" si="139"/>
        <v>1</v>
      </c>
      <c r="D466" s="7" t="str">
        <f t="shared" si="143"/>
        <v>NT SENHONG14FW POLI-04_BL_KNIT-KIDS</v>
      </c>
      <c r="E466" s="12" t="str">
        <f t="shared" si="144"/>
        <v>201404</v>
      </c>
      <c r="F466" s="347" t="str">
        <f>VLOOKUP($AA466,[3]주!$A:$F,6,FALSE)</f>
        <v>3월 2주</v>
      </c>
      <c r="G466" s="7">
        <f t="shared" si="140"/>
        <v>0.5</v>
      </c>
      <c r="H466" s="7" t="str">
        <f t="shared" si="145"/>
        <v>14FW POLI-04_BL_KNIT-KIDS</v>
      </c>
      <c r="I466" s="7">
        <f t="shared" si="141"/>
        <v>1</v>
      </c>
      <c r="J466" s="7" t="str">
        <f t="shared" si="146"/>
        <v>NT SENHONG14FW POLI-04_BL_KNIT-KIDS</v>
      </c>
      <c r="K466" s="17" t="str">
        <f t="shared" si="147"/>
        <v>X</v>
      </c>
      <c r="L466" s="12" t="e">
        <f t="shared" si="148"/>
        <v>#VALUE!</v>
      </c>
      <c r="M466" s="347" t="e">
        <f>VLOOKUP($K466,[3]주!$A:$F,6,FALSE)</f>
        <v>#N/A</v>
      </c>
      <c r="N466" s="273" t="str">
        <f>IF(VLOOKUP($Z466,생산업체!$A:$C,2,FALSE)=1,"해외","국내")</f>
        <v>해외</v>
      </c>
      <c r="O466" s="12" t="str">
        <f>IF(VLOOKUP($U466,CODE!$K:$P,CODE!P$1,FALSE)="모자",T466,T466&amp;"-"&amp;VLOOKUP($U466,CODE!$K:$P,CODE!P$1,FALSE))</f>
        <v>POL</v>
      </c>
      <c r="P466" s="11" t="s">
        <v>1677</v>
      </c>
      <c r="R466" s="11">
        <v>101</v>
      </c>
      <c r="T466" s="8" t="s">
        <v>1677</v>
      </c>
      <c r="U466" s="8" t="s">
        <v>56</v>
      </c>
      <c r="V466" s="8" t="s">
        <v>43</v>
      </c>
      <c r="W466" s="8" t="s">
        <v>2061</v>
      </c>
      <c r="X466" s="8" t="s">
        <v>905</v>
      </c>
      <c r="Y466" s="9">
        <v>0.33333333333333331</v>
      </c>
      <c r="Z466" s="8" t="s">
        <v>1434</v>
      </c>
      <c r="AA466" s="10">
        <v>41748</v>
      </c>
      <c r="AB466" s="10">
        <v>41776</v>
      </c>
      <c r="AC466" s="10">
        <v>41764</v>
      </c>
      <c r="AD466" s="10" t="s">
        <v>1959</v>
      </c>
      <c r="AE466" s="8" t="s">
        <v>1959</v>
      </c>
      <c r="AH466" s="8">
        <v>2</v>
      </c>
      <c r="AI466" s="8">
        <v>2</v>
      </c>
      <c r="AJ466" s="8" t="s">
        <v>2192</v>
      </c>
      <c r="AK466" s="8" t="s">
        <v>1395</v>
      </c>
      <c r="AL466" s="8" t="s">
        <v>1396</v>
      </c>
    </row>
    <row r="467" spans="1:39">
      <c r="A467" s="7">
        <f t="shared" si="138"/>
        <v>1</v>
      </c>
      <c r="B467" s="7" t="str">
        <f t="shared" si="142"/>
        <v>14FW JOIE BETE_33_BL_KIDS</v>
      </c>
      <c r="C467" s="7">
        <f t="shared" si="139"/>
        <v>1</v>
      </c>
      <c r="D467" s="7" t="str">
        <f t="shared" si="143"/>
        <v>동일모자14FW JOIE BETE_33_BL_KIDS</v>
      </c>
      <c r="E467" s="12" t="str">
        <f t="shared" si="144"/>
        <v>201404</v>
      </c>
      <c r="F467" s="347" t="str">
        <f>VLOOKUP($AA467,[3]주!$A:$F,6,FALSE)</f>
        <v>3월 2주</v>
      </c>
      <c r="G467" s="7">
        <f t="shared" si="140"/>
        <v>1</v>
      </c>
      <c r="H467" s="7" t="str">
        <f t="shared" si="145"/>
        <v>14FW JOIE BETE_33_BL_KIDS</v>
      </c>
      <c r="I467" s="7">
        <f t="shared" si="141"/>
        <v>1</v>
      </c>
      <c r="J467" s="7" t="str">
        <f t="shared" si="146"/>
        <v>동일모자14FW JOIE BETE_33_BL_KIDS</v>
      </c>
      <c r="K467" s="17">
        <f t="shared" si="147"/>
        <v>41775</v>
      </c>
      <c r="L467" s="12" t="str">
        <f t="shared" si="148"/>
        <v>201405</v>
      </c>
      <c r="M467" s="347" t="str">
        <f>VLOOKUP($K467,[3]주!$A:$F,6,FALSE)</f>
        <v>3월 2주</v>
      </c>
      <c r="N467" s="273" t="str">
        <f>IF(VLOOKUP($Z467,생산업체!$A:$C,2,FALSE)=1,"해외","국내")</f>
        <v>해외</v>
      </c>
      <c r="O467" s="12" t="str">
        <f>IF(VLOOKUP($U467,CODE!$K:$P,CODE!P$1,FALSE)="모자",T467,T467&amp;"-"&amp;VLOOKUP($U467,CODE!$K:$P,CODE!P$1,FALSE))</f>
        <v>JOI</v>
      </c>
      <c r="P467" s="11" t="s">
        <v>51</v>
      </c>
      <c r="R467" s="11">
        <v>102</v>
      </c>
      <c r="T467" s="8" t="s">
        <v>51</v>
      </c>
      <c r="U467" s="8" t="s">
        <v>38</v>
      </c>
      <c r="V467" s="8" t="s">
        <v>43</v>
      </c>
      <c r="W467" s="8" t="s">
        <v>2104</v>
      </c>
      <c r="X467" s="8" t="s">
        <v>905</v>
      </c>
      <c r="Y467" s="9">
        <v>1</v>
      </c>
      <c r="Z467" s="8" t="s">
        <v>44</v>
      </c>
      <c r="AA467" s="10">
        <v>41747</v>
      </c>
      <c r="AB467" s="10">
        <v>41775</v>
      </c>
      <c r="AC467" s="10">
        <v>41775</v>
      </c>
      <c r="AD467" s="10">
        <v>41775</v>
      </c>
      <c r="AH467" s="8">
        <v>6</v>
      </c>
      <c r="AI467" s="8">
        <v>2</v>
      </c>
      <c r="AK467" s="8" t="s">
        <v>1395</v>
      </c>
      <c r="AL467" s="8" t="s">
        <v>1396</v>
      </c>
    </row>
    <row r="468" spans="1:39">
      <c r="A468" s="7">
        <f t="shared" si="138"/>
        <v>1</v>
      </c>
      <c r="B468" s="7" t="str">
        <f t="shared" si="142"/>
        <v>14FW JOIE BETE_34_YL_KIDS</v>
      </c>
      <c r="C468" s="7">
        <f t="shared" si="139"/>
        <v>1</v>
      </c>
      <c r="D468" s="7" t="str">
        <f t="shared" si="143"/>
        <v>동일모자14FW JOIE BETE_34_YL_KIDS</v>
      </c>
      <c r="E468" s="12" t="str">
        <f t="shared" si="144"/>
        <v>201404</v>
      </c>
      <c r="F468" s="347" t="str">
        <f>VLOOKUP($AA468,[3]주!$A:$F,6,FALSE)</f>
        <v>3월 2주</v>
      </c>
      <c r="G468" s="7">
        <f t="shared" si="140"/>
        <v>1</v>
      </c>
      <c r="H468" s="7" t="str">
        <f t="shared" si="145"/>
        <v>14FW JOIE BETE_34_YL_KIDS</v>
      </c>
      <c r="I468" s="7">
        <f t="shared" si="141"/>
        <v>1</v>
      </c>
      <c r="J468" s="7" t="str">
        <f t="shared" si="146"/>
        <v>동일모자14FW JOIE BETE_34_YL_KIDS</v>
      </c>
      <c r="K468" s="17">
        <f t="shared" si="147"/>
        <v>41775</v>
      </c>
      <c r="L468" s="12" t="str">
        <f t="shared" si="148"/>
        <v>201405</v>
      </c>
      <c r="M468" s="347" t="str">
        <f>VLOOKUP($K468,[3]주!$A:$F,6,FALSE)</f>
        <v>3월 2주</v>
      </c>
      <c r="N468" s="273" t="str">
        <f>IF(VLOOKUP($Z468,생산업체!$A:$C,2,FALSE)=1,"해외","국내")</f>
        <v>해외</v>
      </c>
      <c r="O468" s="12" t="str">
        <f>IF(VLOOKUP($U468,CODE!$K:$P,CODE!P$1,FALSE)="모자",T468,T468&amp;"-"&amp;VLOOKUP($U468,CODE!$K:$P,CODE!P$1,FALSE))</f>
        <v>JOI</v>
      </c>
      <c r="P468" s="11" t="s">
        <v>51</v>
      </c>
      <c r="R468" s="11">
        <v>103</v>
      </c>
      <c r="T468" s="8" t="s">
        <v>51</v>
      </c>
      <c r="U468" s="8" t="s">
        <v>38</v>
      </c>
      <c r="V468" s="8" t="s">
        <v>43</v>
      </c>
      <c r="W468" s="8" t="s">
        <v>2105</v>
      </c>
      <c r="X468" s="8" t="s">
        <v>905</v>
      </c>
      <c r="Y468" s="9">
        <v>1</v>
      </c>
      <c r="Z468" s="8" t="s">
        <v>44</v>
      </c>
      <c r="AA468" s="10">
        <v>41747</v>
      </c>
      <c r="AB468" s="10">
        <v>41775</v>
      </c>
      <c r="AC468" s="10">
        <v>41775</v>
      </c>
      <c r="AD468" s="10">
        <v>41775</v>
      </c>
      <c r="AH468" s="8">
        <v>7</v>
      </c>
      <c r="AI468" s="8">
        <v>5</v>
      </c>
      <c r="AK468" s="8" t="s">
        <v>1395</v>
      </c>
      <c r="AL468" s="8" t="s">
        <v>1396</v>
      </c>
    </row>
    <row r="469" spans="1:39">
      <c r="A469" s="7">
        <f t="shared" si="138"/>
        <v>1</v>
      </c>
      <c r="B469" s="7" t="str">
        <f t="shared" si="142"/>
        <v>14FW JOIE BETE_35_GY_KIDS</v>
      </c>
      <c r="C469" s="7">
        <f t="shared" si="139"/>
        <v>1</v>
      </c>
      <c r="D469" s="7" t="str">
        <f t="shared" si="143"/>
        <v>동일모자14FW JOIE BETE_35_GY_KIDS</v>
      </c>
      <c r="E469" s="12" t="str">
        <f t="shared" si="144"/>
        <v>201404</v>
      </c>
      <c r="F469" s="347" t="str">
        <f>VLOOKUP($AA469,[3]주!$A:$F,6,FALSE)</f>
        <v>3월 2주</v>
      </c>
      <c r="G469" s="7">
        <f t="shared" si="140"/>
        <v>1</v>
      </c>
      <c r="H469" s="7" t="str">
        <f t="shared" si="145"/>
        <v>14FW JOIE BETE_35_GY_KIDS</v>
      </c>
      <c r="I469" s="7">
        <f t="shared" si="141"/>
        <v>1</v>
      </c>
      <c r="J469" s="7" t="str">
        <f t="shared" si="146"/>
        <v>동일모자14FW JOIE BETE_35_GY_KIDS</v>
      </c>
      <c r="K469" s="17">
        <f t="shared" si="147"/>
        <v>41775</v>
      </c>
      <c r="L469" s="12" t="str">
        <f t="shared" si="148"/>
        <v>201405</v>
      </c>
      <c r="M469" s="347" t="str">
        <f>VLOOKUP($K469,[3]주!$A:$F,6,FALSE)</f>
        <v>3월 2주</v>
      </c>
      <c r="N469" s="273" t="str">
        <f>IF(VLOOKUP($Z469,생산업체!$A:$C,2,FALSE)=1,"해외","국내")</f>
        <v>해외</v>
      </c>
      <c r="O469" s="12" t="str">
        <f>IF(VLOOKUP($U469,CODE!$K:$P,CODE!P$1,FALSE)="모자",T469,T469&amp;"-"&amp;VLOOKUP($U469,CODE!$K:$P,CODE!P$1,FALSE))</f>
        <v>JOI</v>
      </c>
      <c r="P469" s="11" t="s">
        <v>51</v>
      </c>
      <c r="R469" s="11">
        <v>104</v>
      </c>
      <c r="T469" s="8" t="s">
        <v>51</v>
      </c>
      <c r="U469" s="8" t="s">
        <v>38</v>
      </c>
      <c r="V469" s="8" t="s">
        <v>43</v>
      </c>
      <c r="W469" s="8" t="s">
        <v>2106</v>
      </c>
      <c r="X469" s="8" t="s">
        <v>905</v>
      </c>
      <c r="Y469" s="9">
        <v>1</v>
      </c>
      <c r="Z469" s="8" t="s">
        <v>44</v>
      </c>
      <c r="AA469" s="10">
        <v>41747</v>
      </c>
      <c r="AB469" s="10">
        <v>41775</v>
      </c>
      <c r="AC469" s="10">
        <v>41775</v>
      </c>
      <c r="AD469" s="10">
        <v>41775</v>
      </c>
      <c r="AH469" s="8">
        <v>7</v>
      </c>
      <c r="AI469" s="8">
        <v>4</v>
      </c>
      <c r="AK469" s="8" t="s">
        <v>1397</v>
      </c>
      <c r="AL469" s="8" t="s">
        <v>1396</v>
      </c>
      <c r="AM469" s="8" t="s">
        <v>1398</v>
      </c>
    </row>
    <row r="470" spans="1:39">
      <c r="A470" s="7">
        <f t="shared" si="138"/>
        <v>1</v>
      </c>
      <c r="B470" s="7" t="str">
        <f t="shared" si="142"/>
        <v>14FW JOIE BETE_36_PP_KIDS</v>
      </c>
      <c r="C470" s="7">
        <f t="shared" si="139"/>
        <v>1</v>
      </c>
      <c r="D470" s="7" t="str">
        <f t="shared" si="143"/>
        <v>동일모자14FW JOIE BETE_36_PP_KIDS</v>
      </c>
      <c r="E470" s="12" t="str">
        <f t="shared" si="144"/>
        <v>201404</v>
      </c>
      <c r="F470" s="347" t="str">
        <f>VLOOKUP($AA470,[3]주!$A:$F,6,FALSE)</f>
        <v>3월 2주</v>
      </c>
      <c r="G470" s="7">
        <f t="shared" si="140"/>
        <v>1</v>
      </c>
      <c r="H470" s="7" t="str">
        <f t="shared" si="145"/>
        <v>14FW JOIE BETE_36_PP_KIDS</v>
      </c>
      <c r="I470" s="7">
        <f t="shared" si="141"/>
        <v>1</v>
      </c>
      <c r="J470" s="7" t="str">
        <f t="shared" si="146"/>
        <v>동일모자14FW JOIE BETE_36_PP_KIDS</v>
      </c>
      <c r="K470" s="17">
        <f t="shared" si="147"/>
        <v>41775</v>
      </c>
      <c r="L470" s="12" t="str">
        <f t="shared" si="148"/>
        <v>201405</v>
      </c>
      <c r="M470" s="347" t="str">
        <f>VLOOKUP($K470,[3]주!$A:$F,6,FALSE)</f>
        <v>3월 2주</v>
      </c>
      <c r="N470" s="273" t="str">
        <f>IF(VLOOKUP($Z470,생산업체!$A:$C,2,FALSE)=1,"해외","국내")</f>
        <v>해외</v>
      </c>
      <c r="O470" s="12" t="str">
        <f>IF(VLOOKUP($U470,CODE!$K:$P,CODE!P$1,FALSE)="모자",T470,T470&amp;"-"&amp;VLOOKUP($U470,CODE!$K:$P,CODE!P$1,FALSE))</f>
        <v>JOI</v>
      </c>
      <c r="P470" s="11" t="s">
        <v>51</v>
      </c>
      <c r="R470" s="11">
        <v>105</v>
      </c>
      <c r="T470" s="8" t="s">
        <v>51</v>
      </c>
      <c r="U470" s="8" t="s">
        <v>38</v>
      </c>
      <c r="V470" s="8" t="s">
        <v>43</v>
      </c>
      <c r="W470" s="8" t="s">
        <v>2107</v>
      </c>
      <c r="X470" s="8" t="s">
        <v>905</v>
      </c>
      <c r="Y470" s="9">
        <v>1</v>
      </c>
      <c r="Z470" s="8" t="s">
        <v>44</v>
      </c>
      <c r="AA470" s="10">
        <v>41747</v>
      </c>
      <c r="AB470" s="10">
        <v>41775</v>
      </c>
      <c r="AC470" s="10">
        <v>41775</v>
      </c>
      <c r="AD470" s="10">
        <v>41775</v>
      </c>
      <c r="AH470" s="8">
        <v>8</v>
      </c>
      <c r="AI470" s="8">
        <v>4</v>
      </c>
      <c r="AK470" s="8" t="s">
        <v>1397</v>
      </c>
      <c r="AL470" s="8" t="s">
        <v>1396</v>
      </c>
      <c r="AM470" s="8" t="s">
        <v>1398</v>
      </c>
    </row>
    <row r="471" spans="1:39">
      <c r="A471" s="7">
        <f t="shared" si="138"/>
        <v>0.5</v>
      </c>
      <c r="B471" s="7" t="str">
        <f t="shared" si="142"/>
        <v>14FW JOIEBETE_KNIT_01_YL</v>
      </c>
      <c r="C471" s="7">
        <f t="shared" si="139"/>
        <v>1</v>
      </c>
      <c r="D471" s="7" t="str">
        <f t="shared" si="143"/>
        <v>FOREMOST14FW JOIEBETE_KNIT_01_YL</v>
      </c>
      <c r="E471" s="12" t="str">
        <f t="shared" si="144"/>
        <v>201404</v>
      </c>
      <c r="F471" s="347" t="str">
        <f>VLOOKUP($AA471,[3]주!$A:$F,6,FALSE)</f>
        <v>3월 2주</v>
      </c>
      <c r="G471" s="7">
        <f t="shared" si="140"/>
        <v>0</v>
      </c>
      <c r="H471" s="7" t="str">
        <f t="shared" si="145"/>
        <v/>
      </c>
      <c r="I471" s="7">
        <f t="shared" si="141"/>
        <v>0</v>
      </c>
      <c r="J471" s="7" t="str">
        <f t="shared" si="146"/>
        <v/>
      </c>
      <c r="K471" s="17">
        <f t="shared" si="147"/>
        <v>41789</v>
      </c>
      <c r="L471" s="12" t="str">
        <f t="shared" si="148"/>
        <v>201405</v>
      </c>
      <c r="M471" s="347" t="str">
        <f>VLOOKUP($K471,[3]주!$A:$F,6,FALSE)</f>
        <v>3월 2주</v>
      </c>
      <c r="N471" s="273" t="str">
        <f>IF(VLOOKUP($Z471,생산업체!$A:$C,2,FALSE)=1,"해외","국내")</f>
        <v>해외</v>
      </c>
      <c r="O471" s="12" t="str">
        <f>IF(VLOOKUP($U471,CODE!$K:$P,CODE!P$1,FALSE)="모자",T471,T471&amp;"-"&amp;VLOOKUP($U471,CODE!$K:$P,CODE!P$1,FALSE))</f>
        <v>JOI</v>
      </c>
      <c r="P471" s="11" t="s">
        <v>51</v>
      </c>
      <c r="R471" s="11">
        <v>106</v>
      </c>
      <c r="T471" s="8" t="s">
        <v>51</v>
      </c>
      <c r="U471" s="8" t="s">
        <v>56</v>
      </c>
      <c r="V471" s="8" t="s">
        <v>43</v>
      </c>
      <c r="W471" s="8" t="s">
        <v>2108</v>
      </c>
      <c r="X471" s="8" t="s">
        <v>905</v>
      </c>
      <c r="Y471" s="9">
        <v>0.5</v>
      </c>
      <c r="Z471" s="8" t="s">
        <v>6</v>
      </c>
      <c r="AA471" s="10">
        <v>41747</v>
      </c>
      <c r="AB471" s="10">
        <v>41775</v>
      </c>
      <c r="AC471" s="10">
        <v>41789</v>
      </c>
      <c r="AH471" s="8">
        <v>3</v>
      </c>
      <c r="AI471" s="8">
        <v>3</v>
      </c>
      <c r="AK471" s="8" t="s">
        <v>1685</v>
      </c>
      <c r="AL471" s="8" t="s">
        <v>1396</v>
      </c>
      <c r="AM471" s="8" t="s">
        <v>1399</v>
      </c>
    </row>
    <row r="472" spans="1:39">
      <c r="A472" s="7">
        <f t="shared" si="138"/>
        <v>0.5</v>
      </c>
      <c r="B472" s="7" t="str">
        <f t="shared" ref="B472:B487" si="149">IF(AA472="","",W472)</f>
        <v>14FW JOIEBETE_KNIT_02_MT</v>
      </c>
      <c r="C472" s="7">
        <f t="shared" si="139"/>
        <v>1</v>
      </c>
      <c r="D472" s="7" t="str">
        <f t="shared" ref="D472:D487" si="150">IF(AA472="","",Z472&amp;W472)</f>
        <v>FOREMOST14FW JOIEBETE_KNIT_02_MT</v>
      </c>
      <c r="E472" s="12" t="str">
        <f t="shared" ref="E472:E487" si="151">IF(YEAR(AA472)&lt;10,0&amp;YEAR(AA472),YEAR(AA472))&amp;IF(MONTH(AA472)&lt;10,0&amp;MONTH(AA472),MONTH(AA472))</f>
        <v>201404</v>
      </c>
      <c r="F472" s="347" t="str">
        <f>VLOOKUP($AA472,[3]주!$A:$F,6,FALSE)</f>
        <v>3월 2주</v>
      </c>
      <c r="G472" s="7">
        <f t="shared" si="140"/>
        <v>0</v>
      </c>
      <c r="H472" s="7" t="str">
        <f t="shared" ref="H472:H487" si="152">IF(AD472="","",W472)</f>
        <v/>
      </c>
      <c r="I472" s="7">
        <f t="shared" si="141"/>
        <v>0</v>
      </c>
      <c r="J472" s="7" t="str">
        <f t="shared" ref="J472:J487" si="153">IF(AD472="","",Z472&amp;W472)</f>
        <v/>
      </c>
      <c r="K472" s="17">
        <f t="shared" ref="K472:K487" si="154">IF(AD472="",AC472,AD472)</f>
        <v>41789</v>
      </c>
      <c r="L472" s="12" t="str">
        <f t="shared" ref="L472:L487" si="155">IF(YEAR(K472)&lt;10,0&amp;YEAR(K472),YEAR(K472))&amp;IF(MONTH(K472)&lt;10,0&amp;MONTH(K472),MONTH(K472))</f>
        <v>201405</v>
      </c>
      <c r="M472" s="347" t="str">
        <f>VLOOKUP($K472,[3]주!$A:$F,6,FALSE)</f>
        <v>3월 2주</v>
      </c>
      <c r="N472" s="273" t="str">
        <f>IF(VLOOKUP($Z472,생산업체!$A:$C,2,FALSE)=1,"해외","국내")</f>
        <v>해외</v>
      </c>
      <c r="O472" s="12" t="str">
        <f>IF(VLOOKUP($U472,CODE!$K:$P,CODE!P$1,FALSE)="모자",T472,T472&amp;"-"&amp;VLOOKUP($U472,CODE!$K:$P,CODE!P$1,FALSE))</f>
        <v>JOI</v>
      </c>
      <c r="P472" s="11" t="s">
        <v>51</v>
      </c>
      <c r="R472" s="11">
        <v>107</v>
      </c>
      <c r="T472" s="8" t="s">
        <v>51</v>
      </c>
      <c r="U472" s="8" t="s">
        <v>56</v>
      </c>
      <c r="V472" s="8" t="s">
        <v>43</v>
      </c>
      <c r="W472" s="8" t="s">
        <v>2109</v>
      </c>
      <c r="X472" s="8" t="s">
        <v>905</v>
      </c>
      <c r="Y472" s="9">
        <v>0.5</v>
      </c>
      <c r="Z472" s="8" t="s">
        <v>6</v>
      </c>
      <c r="AA472" s="10">
        <v>41747</v>
      </c>
      <c r="AB472" s="10">
        <v>41775</v>
      </c>
      <c r="AC472" s="10">
        <v>41789</v>
      </c>
      <c r="AH472" s="8">
        <v>3</v>
      </c>
      <c r="AI472" s="8">
        <v>3</v>
      </c>
      <c r="AK472" s="8" t="s">
        <v>1686</v>
      </c>
      <c r="AL472" s="8" t="s">
        <v>1396</v>
      </c>
      <c r="AM472" s="8" t="s">
        <v>1783</v>
      </c>
    </row>
    <row r="473" spans="1:39">
      <c r="A473" s="7">
        <f t="shared" si="138"/>
        <v>0.5</v>
      </c>
      <c r="B473" s="7" t="str">
        <f t="shared" si="149"/>
        <v>14FW JOIEBETE_KNIT_03_BL</v>
      </c>
      <c r="C473" s="7">
        <f t="shared" si="139"/>
        <v>1</v>
      </c>
      <c r="D473" s="7" t="str">
        <f t="shared" si="150"/>
        <v>FOREMOST14FW JOIEBETE_KNIT_03_BL</v>
      </c>
      <c r="E473" s="12" t="str">
        <f t="shared" si="151"/>
        <v>201404</v>
      </c>
      <c r="F473" s="347" t="str">
        <f>VLOOKUP($AA473,[3]주!$A:$F,6,FALSE)</f>
        <v>3월 2주</v>
      </c>
      <c r="G473" s="7">
        <f t="shared" si="140"/>
        <v>0</v>
      </c>
      <c r="H473" s="7" t="str">
        <f t="shared" si="152"/>
        <v/>
      </c>
      <c r="I473" s="7">
        <f t="shared" si="141"/>
        <v>0</v>
      </c>
      <c r="J473" s="7" t="str">
        <f t="shared" si="153"/>
        <v/>
      </c>
      <c r="K473" s="17">
        <f t="shared" si="154"/>
        <v>41789</v>
      </c>
      <c r="L473" s="12" t="str">
        <f t="shared" si="155"/>
        <v>201405</v>
      </c>
      <c r="M473" s="347" t="str">
        <f>VLOOKUP($K473,[3]주!$A:$F,6,FALSE)</f>
        <v>3월 2주</v>
      </c>
      <c r="N473" s="273" t="str">
        <f>IF(VLOOKUP($Z473,생산업체!$A:$C,2,FALSE)=1,"해외","국내")</f>
        <v>해외</v>
      </c>
      <c r="O473" s="12" t="str">
        <f>IF(VLOOKUP($U473,CODE!$K:$P,CODE!P$1,FALSE)="모자",T473,T473&amp;"-"&amp;VLOOKUP($U473,CODE!$K:$P,CODE!P$1,FALSE))</f>
        <v>JOI</v>
      </c>
      <c r="P473" s="11" t="s">
        <v>51</v>
      </c>
      <c r="R473" s="11">
        <v>108</v>
      </c>
      <c r="T473" s="8" t="s">
        <v>51</v>
      </c>
      <c r="U473" s="8" t="s">
        <v>56</v>
      </c>
      <c r="V473" s="8" t="s">
        <v>43</v>
      </c>
      <c r="W473" s="8" t="s">
        <v>2110</v>
      </c>
      <c r="X473" s="8" t="s">
        <v>905</v>
      </c>
      <c r="Y473" s="9">
        <v>0.5</v>
      </c>
      <c r="Z473" s="8" t="s">
        <v>6</v>
      </c>
      <c r="AA473" s="10">
        <v>41747</v>
      </c>
      <c r="AB473" s="10">
        <v>41775</v>
      </c>
      <c r="AC473" s="10">
        <v>41789</v>
      </c>
      <c r="AH473" s="8">
        <v>3</v>
      </c>
      <c r="AI473" s="8">
        <v>3</v>
      </c>
      <c r="AL473" s="8" t="s">
        <v>1396</v>
      </c>
      <c r="AM473" s="8" t="s">
        <v>1784</v>
      </c>
    </row>
    <row r="474" spans="1:39">
      <c r="A474" s="7">
        <f t="shared" si="138"/>
        <v>1</v>
      </c>
      <c r="B474" s="7" t="str">
        <f t="shared" si="149"/>
        <v>14FW JOIEBETE_KNIT_04_IV</v>
      </c>
      <c r="C474" s="7">
        <f t="shared" si="139"/>
        <v>1</v>
      </c>
      <c r="D474" s="7" t="str">
        <f t="shared" si="150"/>
        <v>FOREMOST14FW JOIEBETE_KNIT_04_IV</v>
      </c>
      <c r="E474" s="12" t="str">
        <f t="shared" si="151"/>
        <v>201404</v>
      </c>
      <c r="F474" s="347" t="str">
        <f>VLOOKUP($AA474,[3]주!$A:$F,6,FALSE)</f>
        <v>3월 2주</v>
      </c>
      <c r="G474" s="7">
        <f t="shared" si="140"/>
        <v>0</v>
      </c>
      <c r="H474" s="7" t="str">
        <f t="shared" si="152"/>
        <v/>
      </c>
      <c r="I474" s="7">
        <f t="shared" si="141"/>
        <v>0</v>
      </c>
      <c r="J474" s="7" t="str">
        <f t="shared" si="153"/>
        <v/>
      </c>
      <c r="K474" s="17">
        <f t="shared" si="154"/>
        <v>41789</v>
      </c>
      <c r="L474" s="12" t="str">
        <f t="shared" si="155"/>
        <v>201405</v>
      </c>
      <c r="M474" s="347" t="str">
        <f>VLOOKUP($K474,[3]주!$A:$F,6,FALSE)</f>
        <v>3월 2주</v>
      </c>
      <c r="N474" s="273" t="str">
        <f>IF(VLOOKUP($Z474,생산업체!$A:$C,2,FALSE)=1,"해외","국내")</f>
        <v>해외</v>
      </c>
      <c r="O474" s="12" t="str">
        <f>IF(VLOOKUP($U474,CODE!$K:$P,CODE!P$1,FALSE)="모자",T474,T474&amp;"-"&amp;VLOOKUP($U474,CODE!$K:$P,CODE!P$1,FALSE))</f>
        <v>JOI</v>
      </c>
      <c r="P474" s="11" t="s">
        <v>51</v>
      </c>
      <c r="R474" s="11">
        <v>109</v>
      </c>
      <c r="T474" s="8" t="s">
        <v>51</v>
      </c>
      <c r="U474" s="8" t="s">
        <v>56</v>
      </c>
      <c r="V474" s="8" t="s">
        <v>43</v>
      </c>
      <c r="W474" s="8" t="s">
        <v>2111</v>
      </c>
      <c r="X474" s="8" t="s">
        <v>905</v>
      </c>
      <c r="Y474" s="9">
        <v>1</v>
      </c>
      <c r="Z474" s="8" t="s">
        <v>6</v>
      </c>
      <c r="AA474" s="10">
        <v>41747</v>
      </c>
      <c r="AB474" s="10">
        <v>41775</v>
      </c>
      <c r="AC474" s="10">
        <v>41789</v>
      </c>
      <c r="AH474" s="8">
        <v>8</v>
      </c>
      <c r="AI474" s="8">
        <v>5</v>
      </c>
      <c r="AL474" s="8" t="s">
        <v>1396</v>
      </c>
      <c r="AM474" s="8" t="s">
        <v>1784</v>
      </c>
    </row>
    <row r="475" spans="1:39">
      <c r="A475" s="7">
        <f t="shared" si="138"/>
        <v>1</v>
      </c>
      <c r="B475" s="7" t="str">
        <f t="shared" si="149"/>
        <v>14FW JOIEBETE_KNIT_04_BL</v>
      </c>
      <c r="C475" s="7">
        <f t="shared" si="139"/>
        <v>1</v>
      </c>
      <c r="D475" s="7" t="str">
        <f t="shared" si="150"/>
        <v>FOREMOST14FW JOIEBETE_KNIT_04_BL</v>
      </c>
      <c r="E475" s="12" t="str">
        <f t="shared" si="151"/>
        <v>201404</v>
      </c>
      <c r="F475" s="347" t="str">
        <f>VLOOKUP($AA475,[3]주!$A:$F,6,FALSE)</f>
        <v>3월 2주</v>
      </c>
      <c r="G475" s="7">
        <f t="shared" si="140"/>
        <v>0</v>
      </c>
      <c r="H475" s="7" t="str">
        <f t="shared" si="152"/>
        <v/>
      </c>
      <c r="I475" s="7">
        <f t="shared" si="141"/>
        <v>0</v>
      </c>
      <c r="J475" s="7" t="str">
        <f t="shared" si="153"/>
        <v/>
      </c>
      <c r="K475" s="17">
        <f t="shared" si="154"/>
        <v>41789</v>
      </c>
      <c r="L475" s="12" t="str">
        <f t="shared" si="155"/>
        <v>201405</v>
      </c>
      <c r="M475" s="347" t="str">
        <f>VLOOKUP($K475,[3]주!$A:$F,6,FALSE)</f>
        <v>3월 2주</v>
      </c>
      <c r="N475" s="273" t="str">
        <f>IF(VLOOKUP($Z475,생산업체!$A:$C,2,FALSE)=1,"해외","국내")</f>
        <v>해외</v>
      </c>
      <c r="O475" s="12" t="str">
        <f>IF(VLOOKUP($U475,CODE!$K:$P,CODE!P$1,FALSE)="모자",T475,T475&amp;"-"&amp;VLOOKUP($U475,CODE!$K:$P,CODE!P$1,FALSE))</f>
        <v>JOI</v>
      </c>
      <c r="P475" s="11" t="s">
        <v>51</v>
      </c>
      <c r="R475" s="11">
        <v>110</v>
      </c>
      <c r="T475" s="8" t="s">
        <v>51</v>
      </c>
      <c r="U475" s="8" t="s">
        <v>56</v>
      </c>
      <c r="V475" s="8" t="s">
        <v>43</v>
      </c>
      <c r="W475" s="8" t="s">
        <v>2112</v>
      </c>
      <c r="X475" s="8" t="s">
        <v>905</v>
      </c>
      <c r="Y475" s="9">
        <v>1</v>
      </c>
      <c r="Z475" s="8" t="s">
        <v>6</v>
      </c>
      <c r="AA475" s="10">
        <v>41747</v>
      </c>
      <c r="AB475" s="10">
        <v>41775</v>
      </c>
      <c r="AC475" s="10">
        <v>41789</v>
      </c>
      <c r="AH475" s="8">
        <v>8</v>
      </c>
      <c r="AI475" s="8">
        <v>3</v>
      </c>
      <c r="AK475" s="8" t="s">
        <v>1688</v>
      </c>
      <c r="AL475" s="8" t="s">
        <v>1396</v>
      </c>
      <c r="AM475" s="8" t="s">
        <v>1784</v>
      </c>
    </row>
    <row r="476" spans="1:39">
      <c r="A476" s="7">
        <f t="shared" si="138"/>
        <v>0.5</v>
      </c>
      <c r="B476" s="7" t="str">
        <f t="shared" si="149"/>
        <v>14FW JOIEBETE_KNIT_01_YL</v>
      </c>
      <c r="C476" s="7">
        <f t="shared" si="139"/>
        <v>1</v>
      </c>
      <c r="D476" s="7" t="str">
        <f t="shared" si="150"/>
        <v>KIDS FIRST TOYS14FW JOIEBETE_KNIT_01_YL</v>
      </c>
      <c r="E476" s="12" t="str">
        <f t="shared" si="151"/>
        <v>201404</v>
      </c>
      <c r="F476" s="347" t="str">
        <f>VLOOKUP($AA476,[3]주!$A:$F,6,FALSE)</f>
        <v>3월 2주</v>
      </c>
      <c r="G476" s="7">
        <f t="shared" si="140"/>
        <v>0</v>
      </c>
      <c r="H476" s="7" t="str">
        <f t="shared" si="152"/>
        <v/>
      </c>
      <c r="I476" s="7">
        <f t="shared" si="141"/>
        <v>0</v>
      </c>
      <c r="J476" s="7" t="str">
        <f t="shared" si="153"/>
        <v/>
      </c>
      <c r="K476" s="17">
        <f t="shared" si="154"/>
        <v>41789</v>
      </c>
      <c r="L476" s="12" t="str">
        <f t="shared" si="155"/>
        <v>201405</v>
      </c>
      <c r="M476" s="347" t="str">
        <f>VLOOKUP($K476,[3]주!$A:$F,6,FALSE)</f>
        <v>3월 2주</v>
      </c>
      <c r="N476" s="273" t="str">
        <f>IF(VLOOKUP($Z476,생산업체!$A:$C,2,FALSE)=1,"해외","국내")</f>
        <v>해외</v>
      </c>
      <c r="O476" s="12" t="str">
        <f>IF(VLOOKUP($U476,CODE!$K:$P,CODE!P$1,FALSE)="모자",T476,T476&amp;"-"&amp;VLOOKUP($U476,CODE!$K:$P,CODE!P$1,FALSE))</f>
        <v>JOI</v>
      </c>
      <c r="P476" s="11" t="s">
        <v>51</v>
      </c>
      <c r="R476" s="11">
        <v>111</v>
      </c>
      <c r="T476" s="8" t="s">
        <v>51</v>
      </c>
      <c r="U476" s="8" t="s">
        <v>56</v>
      </c>
      <c r="V476" s="8" t="s">
        <v>43</v>
      </c>
      <c r="W476" s="8" t="s">
        <v>2108</v>
      </c>
      <c r="X476" s="8" t="s">
        <v>905</v>
      </c>
      <c r="Y476" s="9">
        <v>0.5</v>
      </c>
      <c r="Z476" s="8" t="s">
        <v>1120</v>
      </c>
      <c r="AA476" s="10">
        <v>41747</v>
      </c>
      <c r="AB476" s="10">
        <v>41775</v>
      </c>
      <c r="AC476" s="10">
        <v>41789</v>
      </c>
      <c r="AH476" s="8">
        <v>3</v>
      </c>
      <c r="AI476" s="8">
        <v>3</v>
      </c>
      <c r="AK476" s="8" t="s">
        <v>1394</v>
      </c>
    </row>
    <row r="477" spans="1:39">
      <c r="A477" s="7">
        <f t="shared" si="138"/>
        <v>0.5</v>
      </c>
      <c r="B477" s="7" t="str">
        <f t="shared" si="149"/>
        <v>14FW JOIEBETE_KNIT_02_MT</v>
      </c>
      <c r="C477" s="7">
        <f t="shared" si="139"/>
        <v>1</v>
      </c>
      <c r="D477" s="7" t="str">
        <f t="shared" si="150"/>
        <v>KIDS FIRST TOYS14FW JOIEBETE_KNIT_02_MT</v>
      </c>
      <c r="E477" s="12" t="str">
        <f t="shared" si="151"/>
        <v>201404</v>
      </c>
      <c r="F477" s="347" t="str">
        <f>VLOOKUP($AA477,[3]주!$A:$F,6,FALSE)</f>
        <v>3월 2주</v>
      </c>
      <c r="G477" s="7">
        <f t="shared" si="140"/>
        <v>0</v>
      </c>
      <c r="H477" s="7" t="str">
        <f t="shared" si="152"/>
        <v/>
      </c>
      <c r="I477" s="7">
        <f t="shared" si="141"/>
        <v>0</v>
      </c>
      <c r="J477" s="7" t="str">
        <f t="shared" si="153"/>
        <v/>
      </c>
      <c r="K477" s="17">
        <f t="shared" si="154"/>
        <v>41789</v>
      </c>
      <c r="L477" s="12" t="str">
        <f t="shared" si="155"/>
        <v>201405</v>
      </c>
      <c r="M477" s="347" t="str">
        <f>VLOOKUP($K477,[3]주!$A:$F,6,FALSE)</f>
        <v>3월 2주</v>
      </c>
      <c r="N477" s="273" t="str">
        <f>IF(VLOOKUP($Z477,생산업체!$A:$C,2,FALSE)=1,"해외","국내")</f>
        <v>해외</v>
      </c>
      <c r="O477" s="12" t="str">
        <f>IF(VLOOKUP($U477,CODE!$K:$P,CODE!P$1,FALSE)="모자",T477,T477&amp;"-"&amp;VLOOKUP($U477,CODE!$K:$P,CODE!P$1,FALSE))</f>
        <v>JOI</v>
      </c>
      <c r="P477" s="11" t="s">
        <v>51</v>
      </c>
      <c r="R477" s="11">
        <v>112</v>
      </c>
      <c r="T477" s="8" t="s">
        <v>51</v>
      </c>
      <c r="U477" s="8" t="s">
        <v>56</v>
      </c>
      <c r="V477" s="8" t="s">
        <v>43</v>
      </c>
      <c r="W477" s="8" t="s">
        <v>2109</v>
      </c>
      <c r="X477" s="8" t="s">
        <v>905</v>
      </c>
      <c r="Y477" s="9">
        <v>0.5</v>
      </c>
      <c r="Z477" s="8" t="s">
        <v>1120</v>
      </c>
      <c r="AA477" s="10">
        <v>41747</v>
      </c>
      <c r="AB477" s="10">
        <v>41775</v>
      </c>
      <c r="AC477" s="10">
        <v>41789</v>
      </c>
      <c r="AH477" s="8">
        <v>3</v>
      </c>
      <c r="AI477" s="8">
        <v>3</v>
      </c>
      <c r="AK477" s="8" t="s">
        <v>1394</v>
      </c>
    </row>
    <row r="478" spans="1:39">
      <c r="A478" s="7">
        <f t="shared" si="138"/>
        <v>0.5</v>
      </c>
      <c r="B478" s="7" t="str">
        <f t="shared" si="149"/>
        <v>14FW JOIEBETE_KNIT_03_BL</v>
      </c>
      <c r="C478" s="7">
        <f t="shared" si="139"/>
        <v>1</v>
      </c>
      <c r="D478" s="7" t="str">
        <f t="shared" si="150"/>
        <v>KIDS FIRST TOYS14FW JOIEBETE_KNIT_03_BL</v>
      </c>
      <c r="E478" s="12" t="str">
        <f t="shared" si="151"/>
        <v>201404</v>
      </c>
      <c r="F478" s="347" t="str">
        <f>VLOOKUP($AA478,[3]주!$A:$F,6,FALSE)</f>
        <v>3월 2주</v>
      </c>
      <c r="G478" s="7">
        <f t="shared" si="140"/>
        <v>0</v>
      </c>
      <c r="H478" s="7" t="str">
        <f t="shared" si="152"/>
        <v/>
      </c>
      <c r="I478" s="7">
        <f t="shared" si="141"/>
        <v>0</v>
      </c>
      <c r="J478" s="7" t="str">
        <f t="shared" si="153"/>
        <v/>
      </c>
      <c r="K478" s="17">
        <f t="shared" si="154"/>
        <v>41789</v>
      </c>
      <c r="L478" s="12" t="str">
        <f t="shared" si="155"/>
        <v>201405</v>
      </c>
      <c r="M478" s="347" t="str">
        <f>VLOOKUP($K478,[3]주!$A:$F,6,FALSE)</f>
        <v>3월 2주</v>
      </c>
      <c r="N478" s="273" t="str">
        <f>IF(VLOOKUP($Z478,생산업체!$A:$C,2,FALSE)=1,"해외","국내")</f>
        <v>해외</v>
      </c>
      <c r="O478" s="12" t="str">
        <f>IF(VLOOKUP($U478,CODE!$K:$P,CODE!P$1,FALSE)="모자",T478,T478&amp;"-"&amp;VLOOKUP($U478,CODE!$K:$P,CODE!P$1,FALSE))</f>
        <v>JOI</v>
      </c>
      <c r="P478" s="11" t="s">
        <v>51</v>
      </c>
      <c r="R478" s="11">
        <v>113</v>
      </c>
      <c r="T478" s="8" t="s">
        <v>51</v>
      </c>
      <c r="U478" s="8" t="s">
        <v>56</v>
      </c>
      <c r="V478" s="8" t="s">
        <v>43</v>
      </c>
      <c r="W478" s="8" t="s">
        <v>2110</v>
      </c>
      <c r="X478" s="8" t="s">
        <v>905</v>
      </c>
      <c r="Y478" s="9">
        <v>0.5</v>
      </c>
      <c r="Z478" s="8" t="s">
        <v>1120</v>
      </c>
      <c r="AA478" s="10">
        <v>41747</v>
      </c>
      <c r="AB478" s="10">
        <v>41775</v>
      </c>
      <c r="AC478" s="10">
        <v>41789</v>
      </c>
      <c r="AH478" s="8">
        <v>3</v>
      </c>
      <c r="AI478" s="8">
        <v>3</v>
      </c>
      <c r="AK478" s="8" t="s">
        <v>1394</v>
      </c>
    </row>
    <row r="479" spans="1:39">
      <c r="A479" s="7">
        <f t="shared" si="138"/>
        <v>0.5</v>
      </c>
      <c r="B479" s="7" t="str">
        <f t="shared" si="149"/>
        <v>14FW NV 01_SOCKS_GY</v>
      </c>
      <c r="C479" s="7">
        <f t="shared" si="139"/>
        <v>1</v>
      </c>
      <c r="D479" s="7" t="str">
        <f t="shared" si="150"/>
        <v>HADSOCK14FW NV 01_SOCKS_GY</v>
      </c>
      <c r="E479" s="12" t="str">
        <f t="shared" si="151"/>
        <v>201403</v>
      </c>
      <c r="F479" s="347" t="str">
        <f>VLOOKUP($AA479,[3]주!$A:$F,6,FALSE)</f>
        <v>3월 2주</v>
      </c>
      <c r="G479" s="7">
        <f t="shared" si="140"/>
        <v>0.5</v>
      </c>
      <c r="H479" s="7" t="str">
        <f t="shared" si="152"/>
        <v>14FW NV 01_SOCKS_GY</v>
      </c>
      <c r="I479" s="7">
        <f t="shared" si="141"/>
        <v>1</v>
      </c>
      <c r="J479" s="7" t="str">
        <f t="shared" si="153"/>
        <v>HADSOCK14FW NV 01_SOCKS_GY</v>
      </c>
      <c r="K479" s="17">
        <f t="shared" si="154"/>
        <v>41751</v>
      </c>
      <c r="L479" s="12" t="str">
        <f t="shared" si="155"/>
        <v>201404</v>
      </c>
      <c r="M479" s="347" t="str">
        <f>VLOOKUP($K479,[3]주!$A:$F,6,FALSE)</f>
        <v>3월 2주</v>
      </c>
      <c r="N479" s="273" t="e">
        <f>IF(VLOOKUP($Z479,생산업체!$A:$C,2,FALSE)=1,"해외","국내")</f>
        <v>#N/A</v>
      </c>
      <c r="O479" s="12" t="str">
        <f>IF(VLOOKUP($U479,CODE!$K:$P,CODE!P$1,FALSE)="모자",T479,T479&amp;"-"&amp;VLOOKUP($U479,CODE!$K:$P,CODE!P$1,FALSE))</f>
        <v>NOV-ACC</v>
      </c>
      <c r="P479" s="11" t="s">
        <v>1828</v>
      </c>
      <c r="R479" s="11">
        <v>114</v>
      </c>
      <c r="T479" s="8" t="s">
        <v>40</v>
      </c>
      <c r="U479" s="8" t="s">
        <v>249</v>
      </c>
      <c r="V479" s="8" t="s">
        <v>43</v>
      </c>
      <c r="W479" s="8" t="s">
        <v>1829</v>
      </c>
      <c r="X479" s="8" t="s">
        <v>900</v>
      </c>
      <c r="Y479" s="9">
        <v>0.5</v>
      </c>
      <c r="Z479" s="8" t="s">
        <v>2113</v>
      </c>
      <c r="AA479" s="10">
        <v>41718</v>
      </c>
      <c r="AB479" s="10">
        <v>41746</v>
      </c>
      <c r="AC479" s="10">
        <v>41751</v>
      </c>
      <c r="AD479" s="10">
        <v>41751</v>
      </c>
      <c r="AE479" s="8">
        <v>0.77</v>
      </c>
    </row>
    <row r="480" spans="1:39">
      <c r="A480" s="7">
        <f t="shared" si="138"/>
        <v>0.5</v>
      </c>
      <c r="B480" s="7" t="str">
        <f t="shared" si="149"/>
        <v>14FW NV 02_SOCKS_NY</v>
      </c>
      <c r="C480" s="7">
        <f t="shared" si="139"/>
        <v>1</v>
      </c>
      <c r="D480" s="7" t="str">
        <f t="shared" si="150"/>
        <v>HADSOCK14FW NV 02_SOCKS_NY</v>
      </c>
      <c r="E480" s="12" t="str">
        <f t="shared" si="151"/>
        <v>201403</v>
      </c>
      <c r="F480" s="347" t="str">
        <f>VLOOKUP($AA480,[3]주!$A:$F,6,FALSE)</f>
        <v>3월 2주</v>
      </c>
      <c r="G480" s="7">
        <f t="shared" si="140"/>
        <v>0.5</v>
      </c>
      <c r="H480" s="7" t="str">
        <f t="shared" si="152"/>
        <v>14FW NV 02_SOCKS_NY</v>
      </c>
      <c r="I480" s="7">
        <f t="shared" si="141"/>
        <v>1</v>
      </c>
      <c r="J480" s="7" t="str">
        <f t="shared" si="153"/>
        <v>HADSOCK14FW NV 02_SOCKS_NY</v>
      </c>
      <c r="K480" s="17">
        <f t="shared" si="154"/>
        <v>41751</v>
      </c>
      <c r="L480" s="12" t="str">
        <f t="shared" si="155"/>
        <v>201404</v>
      </c>
      <c r="M480" s="347" t="str">
        <f>VLOOKUP($K480,[3]주!$A:$F,6,FALSE)</f>
        <v>3월 2주</v>
      </c>
      <c r="N480" s="273" t="e">
        <f>IF(VLOOKUP($Z480,생산업체!$A:$C,2,FALSE)=1,"해외","국내")</f>
        <v>#N/A</v>
      </c>
      <c r="O480" s="12" t="str">
        <f>IF(VLOOKUP($U480,CODE!$K:$P,CODE!P$1,FALSE)="모자",T480,T480&amp;"-"&amp;VLOOKUP($U480,CODE!$K:$P,CODE!P$1,FALSE))</f>
        <v>NOV-ACC</v>
      </c>
      <c r="P480" s="11" t="s">
        <v>1828</v>
      </c>
      <c r="R480" s="11">
        <v>115</v>
      </c>
      <c r="T480" s="8" t="s">
        <v>40</v>
      </c>
      <c r="U480" s="8" t="s">
        <v>249</v>
      </c>
      <c r="V480" s="8" t="s">
        <v>43</v>
      </c>
      <c r="W480" s="8" t="s">
        <v>1832</v>
      </c>
      <c r="X480" s="8" t="s">
        <v>900</v>
      </c>
      <c r="Y480" s="9">
        <v>0.5</v>
      </c>
      <c r="Z480" s="8" t="s">
        <v>2113</v>
      </c>
      <c r="AA480" s="10">
        <v>41718</v>
      </c>
      <c r="AB480" s="10">
        <v>41746</v>
      </c>
      <c r="AC480" s="10">
        <v>41751</v>
      </c>
      <c r="AD480" s="10">
        <v>41751</v>
      </c>
      <c r="AE480" s="8">
        <v>0.91</v>
      </c>
    </row>
    <row r="481" spans="1:36">
      <c r="A481" s="7">
        <f t="shared" si="138"/>
        <v>0.5</v>
      </c>
      <c r="B481" s="7" t="str">
        <f t="shared" si="149"/>
        <v>14FW NV 03_SOCKS_GY</v>
      </c>
      <c r="C481" s="7">
        <f t="shared" si="139"/>
        <v>1</v>
      </c>
      <c r="D481" s="7" t="str">
        <f t="shared" si="150"/>
        <v>HADSOCK14FW NV 03_SOCKS_GY</v>
      </c>
      <c r="E481" s="12" t="str">
        <f t="shared" si="151"/>
        <v>201403</v>
      </c>
      <c r="F481" s="347" t="str">
        <f>VLOOKUP($AA481,[3]주!$A:$F,6,FALSE)</f>
        <v>3월 2주</v>
      </c>
      <c r="G481" s="7">
        <f t="shared" si="140"/>
        <v>0.5</v>
      </c>
      <c r="H481" s="7" t="str">
        <f t="shared" si="152"/>
        <v>14FW NV 03_SOCKS_GY</v>
      </c>
      <c r="I481" s="7">
        <f t="shared" si="141"/>
        <v>1</v>
      </c>
      <c r="J481" s="7" t="str">
        <f t="shared" si="153"/>
        <v>HADSOCK14FW NV 03_SOCKS_GY</v>
      </c>
      <c r="K481" s="17">
        <f t="shared" si="154"/>
        <v>41751</v>
      </c>
      <c r="L481" s="12" t="str">
        <f t="shared" si="155"/>
        <v>201404</v>
      </c>
      <c r="M481" s="347" t="str">
        <f>VLOOKUP($K481,[3]주!$A:$F,6,FALSE)</f>
        <v>3월 2주</v>
      </c>
      <c r="N481" s="273" t="e">
        <f>IF(VLOOKUP($Z481,생산업체!$A:$C,2,FALSE)=1,"해외","국내")</f>
        <v>#N/A</v>
      </c>
      <c r="O481" s="12" t="str">
        <f>IF(VLOOKUP($U481,CODE!$K:$P,CODE!P$1,FALSE)="모자",T481,T481&amp;"-"&amp;VLOOKUP($U481,CODE!$K:$P,CODE!P$1,FALSE))</f>
        <v>NOV-ACC</v>
      </c>
      <c r="P481" s="11" t="s">
        <v>1828</v>
      </c>
      <c r="R481" s="11">
        <v>116</v>
      </c>
      <c r="T481" s="8" t="s">
        <v>40</v>
      </c>
      <c r="U481" s="8" t="s">
        <v>249</v>
      </c>
      <c r="V481" s="8" t="s">
        <v>43</v>
      </c>
      <c r="W481" s="8" t="s">
        <v>1833</v>
      </c>
      <c r="X481" s="8" t="s">
        <v>900</v>
      </c>
      <c r="Y481" s="9">
        <v>0.5</v>
      </c>
      <c r="Z481" s="8" t="s">
        <v>2113</v>
      </c>
      <c r="AA481" s="10">
        <v>41718</v>
      </c>
      <c r="AB481" s="10">
        <v>41746</v>
      </c>
      <c r="AC481" s="10">
        <v>41751</v>
      </c>
      <c r="AD481" s="10">
        <v>41751</v>
      </c>
      <c r="AE481" s="8">
        <v>0.86</v>
      </c>
    </row>
    <row r="482" spans="1:36">
      <c r="A482" s="7">
        <f t="shared" si="138"/>
        <v>0.5</v>
      </c>
      <c r="B482" s="7" t="str">
        <f t="shared" si="149"/>
        <v>14FW NV 04_SOCKS_NY</v>
      </c>
      <c r="C482" s="7">
        <f t="shared" si="139"/>
        <v>1</v>
      </c>
      <c r="D482" s="7" t="str">
        <f t="shared" si="150"/>
        <v>HADSOCK14FW NV 04_SOCKS_NY</v>
      </c>
      <c r="E482" s="12" t="str">
        <f t="shared" si="151"/>
        <v>201403</v>
      </c>
      <c r="F482" s="347" t="str">
        <f>VLOOKUP($AA482,[3]주!$A:$F,6,FALSE)</f>
        <v>3월 2주</v>
      </c>
      <c r="G482" s="7">
        <f t="shared" si="140"/>
        <v>0.5</v>
      </c>
      <c r="H482" s="7" t="str">
        <f t="shared" si="152"/>
        <v>14FW NV 04_SOCKS_NY</v>
      </c>
      <c r="I482" s="7">
        <f t="shared" si="141"/>
        <v>1</v>
      </c>
      <c r="J482" s="7" t="str">
        <f t="shared" si="153"/>
        <v>HADSOCK14FW NV 04_SOCKS_NY</v>
      </c>
      <c r="K482" s="17">
        <f t="shared" si="154"/>
        <v>41751</v>
      </c>
      <c r="L482" s="12" t="str">
        <f t="shared" si="155"/>
        <v>201404</v>
      </c>
      <c r="M482" s="347" t="str">
        <f>VLOOKUP($K482,[3]주!$A:$F,6,FALSE)</f>
        <v>3월 2주</v>
      </c>
      <c r="N482" s="273" t="e">
        <f>IF(VLOOKUP($Z482,생산업체!$A:$C,2,FALSE)=1,"해외","국내")</f>
        <v>#N/A</v>
      </c>
      <c r="O482" s="12" t="str">
        <f>IF(VLOOKUP($U482,CODE!$K:$P,CODE!P$1,FALSE)="모자",T482,T482&amp;"-"&amp;VLOOKUP($U482,CODE!$K:$P,CODE!P$1,FALSE))</f>
        <v>NOV-ACC</v>
      </c>
      <c r="P482" s="11" t="s">
        <v>1828</v>
      </c>
      <c r="R482" s="11">
        <v>117</v>
      </c>
      <c r="T482" s="8" t="s">
        <v>40</v>
      </c>
      <c r="U482" s="8" t="s">
        <v>249</v>
      </c>
      <c r="V482" s="8" t="s">
        <v>43</v>
      </c>
      <c r="W482" s="8" t="s">
        <v>1834</v>
      </c>
      <c r="X482" s="8" t="s">
        <v>900</v>
      </c>
      <c r="Y482" s="9">
        <v>0.5</v>
      </c>
      <c r="Z482" s="8" t="s">
        <v>2113</v>
      </c>
      <c r="AA482" s="10">
        <v>41718</v>
      </c>
      <c r="AB482" s="10">
        <v>41746</v>
      </c>
      <c r="AC482" s="10">
        <v>41751</v>
      </c>
      <c r="AD482" s="10">
        <v>41751</v>
      </c>
      <c r="AE482" s="8">
        <v>0.86</v>
      </c>
    </row>
    <row r="483" spans="1:36">
      <c r="A483" s="7">
        <f t="shared" si="138"/>
        <v>0.33333333333333331</v>
      </c>
      <c r="B483" s="7" t="str">
        <f t="shared" si="149"/>
        <v>14FW JOIEBETE_KNIT_05_GY</v>
      </c>
      <c r="C483" s="7">
        <f t="shared" si="139"/>
        <v>1</v>
      </c>
      <c r="D483" s="7" t="str">
        <f t="shared" si="150"/>
        <v>NT SENHONG14FW JOIEBETE_KNIT_05_GY</v>
      </c>
      <c r="E483" s="12" t="str">
        <f t="shared" si="151"/>
        <v>201404</v>
      </c>
      <c r="F483" s="347" t="str">
        <f>VLOOKUP($AA483,[3]주!$A:$F,6,FALSE)</f>
        <v>3월 2주</v>
      </c>
      <c r="G483" s="7">
        <f t="shared" si="140"/>
        <v>0.5</v>
      </c>
      <c r="H483" s="7" t="str">
        <f t="shared" si="152"/>
        <v>14FW JOIEBETE_KNIT_05_GY</v>
      </c>
      <c r="I483" s="7">
        <f t="shared" si="141"/>
        <v>1</v>
      </c>
      <c r="J483" s="7" t="str">
        <f t="shared" si="153"/>
        <v>NT SENHONG14FW JOIEBETE_KNIT_05_GY</v>
      </c>
      <c r="K483" s="17" t="str">
        <f t="shared" si="154"/>
        <v>X</v>
      </c>
      <c r="L483" s="12" t="e">
        <f t="shared" si="155"/>
        <v>#VALUE!</v>
      </c>
      <c r="M483" s="347" t="e">
        <f>VLOOKUP($K483,[3]주!$A:$F,6,FALSE)</f>
        <v>#N/A</v>
      </c>
      <c r="N483" s="273" t="str">
        <f>IF(VLOOKUP($Z483,생산업체!$A:$C,2,FALSE)=1,"해외","국내")</f>
        <v>해외</v>
      </c>
      <c r="O483" s="12" t="str">
        <f>IF(VLOOKUP($U483,CODE!$K:$P,CODE!P$1,FALSE)="모자",T483,T483&amp;"-"&amp;VLOOKUP($U483,CODE!$K:$P,CODE!P$1,FALSE))</f>
        <v>JOI</v>
      </c>
      <c r="P483" s="11" t="s">
        <v>51</v>
      </c>
      <c r="R483" s="11">
        <v>118</v>
      </c>
      <c r="T483" s="8" t="s">
        <v>51</v>
      </c>
      <c r="U483" s="8" t="s">
        <v>56</v>
      </c>
      <c r="V483" s="8" t="s">
        <v>43</v>
      </c>
      <c r="W483" s="8" t="s">
        <v>2193</v>
      </c>
      <c r="X483" s="8" t="s">
        <v>905</v>
      </c>
      <c r="Y483" s="9">
        <v>0.33333333333333331</v>
      </c>
      <c r="Z483" s="8" t="s">
        <v>1434</v>
      </c>
      <c r="AA483" s="10">
        <v>41752</v>
      </c>
      <c r="AB483" s="10">
        <v>41780</v>
      </c>
      <c r="AC483" s="10">
        <v>41780</v>
      </c>
      <c r="AD483" s="10" t="s">
        <v>1959</v>
      </c>
      <c r="AE483" s="8" t="s">
        <v>1959</v>
      </c>
      <c r="AJ483" s="8" t="s">
        <v>2192</v>
      </c>
    </row>
    <row r="484" spans="1:36">
      <c r="A484" s="7">
        <f t="shared" si="138"/>
        <v>0.33333333333333331</v>
      </c>
      <c r="B484" s="7" t="str">
        <f t="shared" si="149"/>
        <v>14FW JOIEBETE_KNIT_05_RD</v>
      </c>
      <c r="C484" s="7">
        <f t="shared" si="139"/>
        <v>1</v>
      </c>
      <c r="D484" s="7" t="str">
        <f t="shared" si="150"/>
        <v>NT SENHONG14FW JOIEBETE_KNIT_05_RD</v>
      </c>
      <c r="E484" s="12" t="str">
        <f t="shared" si="151"/>
        <v>201404</v>
      </c>
      <c r="F484" s="347" t="str">
        <f>VLOOKUP($AA484,[3]주!$A:$F,6,FALSE)</f>
        <v>3월 2주</v>
      </c>
      <c r="G484" s="7">
        <f t="shared" si="140"/>
        <v>0.5</v>
      </c>
      <c r="H484" s="7" t="str">
        <f t="shared" si="152"/>
        <v>14FW JOIEBETE_KNIT_05_RD</v>
      </c>
      <c r="I484" s="7">
        <f t="shared" si="141"/>
        <v>1</v>
      </c>
      <c r="J484" s="7" t="str">
        <f t="shared" si="153"/>
        <v>NT SENHONG14FW JOIEBETE_KNIT_05_RD</v>
      </c>
      <c r="K484" s="17" t="str">
        <f t="shared" si="154"/>
        <v>X</v>
      </c>
      <c r="L484" s="12" t="e">
        <f t="shared" si="155"/>
        <v>#VALUE!</v>
      </c>
      <c r="M484" s="347" t="e">
        <f>VLOOKUP($K484,[3]주!$A:$F,6,FALSE)</f>
        <v>#N/A</v>
      </c>
      <c r="N484" s="273" t="str">
        <f>IF(VLOOKUP($Z484,생산업체!$A:$C,2,FALSE)=1,"해외","국내")</f>
        <v>해외</v>
      </c>
      <c r="O484" s="12" t="str">
        <f>IF(VLOOKUP($U484,CODE!$K:$P,CODE!P$1,FALSE)="모자",T484,T484&amp;"-"&amp;VLOOKUP($U484,CODE!$K:$P,CODE!P$1,FALSE))</f>
        <v>JOI</v>
      </c>
      <c r="P484" s="11" t="s">
        <v>51</v>
      </c>
      <c r="R484" s="11">
        <v>119</v>
      </c>
      <c r="T484" s="8" t="s">
        <v>51</v>
      </c>
      <c r="U484" s="8" t="s">
        <v>56</v>
      </c>
      <c r="V484" s="8" t="s">
        <v>43</v>
      </c>
      <c r="W484" s="8" t="s">
        <v>2194</v>
      </c>
      <c r="X484" s="8" t="s">
        <v>905</v>
      </c>
      <c r="Y484" s="9">
        <v>0.33333333333333331</v>
      </c>
      <c r="Z484" s="8" t="s">
        <v>1434</v>
      </c>
      <c r="AA484" s="10">
        <v>41752</v>
      </c>
      <c r="AB484" s="10">
        <v>41780</v>
      </c>
      <c r="AC484" s="10">
        <v>41780</v>
      </c>
      <c r="AD484" s="10" t="s">
        <v>1959</v>
      </c>
      <c r="AE484" s="8" t="s">
        <v>1959</v>
      </c>
      <c r="AJ484" s="8" t="s">
        <v>2192</v>
      </c>
    </row>
    <row r="485" spans="1:36">
      <c r="A485" s="7">
        <f t="shared" si="138"/>
        <v>0.33333333333333331</v>
      </c>
      <c r="B485" s="7" t="str">
        <f t="shared" si="149"/>
        <v>14FW JOIEBETE_KNIT_05_GY</v>
      </c>
      <c r="C485" s="7">
        <f t="shared" si="139"/>
        <v>1</v>
      </c>
      <c r="D485" s="7" t="str">
        <f t="shared" si="150"/>
        <v>FOREMOST14FW JOIEBETE_KNIT_05_GY</v>
      </c>
      <c r="E485" s="12" t="str">
        <f t="shared" si="151"/>
        <v>201404</v>
      </c>
      <c r="F485" s="347" t="str">
        <f>VLOOKUP($AA485,[3]주!$A:$F,6,FALSE)</f>
        <v>3월 2주</v>
      </c>
      <c r="G485" s="7">
        <f t="shared" si="140"/>
        <v>0.5</v>
      </c>
      <c r="H485" s="7" t="str">
        <f t="shared" si="152"/>
        <v>14FW JOIEBETE_KNIT_05_GY</v>
      </c>
      <c r="I485" s="7">
        <f t="shared" si="141"/>
        <v>1</v>
      </c>
      <c r="J485" s="7" t="str">
        <f t="shared" si="153"/>
        <v>FOREMOST14FW JOIEBETE_KNIT_05_GY</v>
      </c>
      <c r="K485" s="17">
        <f t="shared" si="154"/>
        <v>41775</v>
      </c>
      <c r="L485" s="12" t="str">
        <f t="shared" si="155"/>
        <v>201405</v>
      </c>
      <c r="M485" s="347" t="str">
        <f>VLOOKUP($K485,[3]주!$A:$F,6,FALSE)</f>
        <v>3월 2주</v>
      </c>
      <c r="N485" s="273" t="str">
        <f>IF(VLOOKUP($Z485,생산업체!$A:$C,2,FALSE)=1,"해외","국내")</f>
        <v>해외</v>
      </c>
      <c r="O485" s="12" t="str">
        <f>IF(VLOOKUP($U485,CODE!$K:$P,CODE!P$1,FALSE)="모자",T485,T485&amp;"-"&amp;VLOOKUP($U485,CODE!$K:$P,CODE!P$1,FALSE))</f>
        <v>JOI</v>
      </c>
      <c r="P485" s="11" t="s">
        <v>51</v>
      </c>
      <c r="R485" s="11">
        <v>120</v>
      </c>
      <c r="T485" s="8" t="s">
        <v>51</v>
      </c>
      <c r="U485" s="8" t="s">
        <v>56</v>
      </c>
      <c r="V485" s="8" t="s">
        <v>43</v>
      </c>
      <c r="W485" s="8" t="s">
        <v>2193</v>
      </c>
      <c r="X485" s="8" t="s">
        <v>905</v>
      </c>
      <c r="Y485" s="9">
        <v>0.33333333333333331</v>
      </c>
      <c r="Z485" s="8" t="s">
        <v>6</v>
      </c>
      <c r="AA485" s="10">
        <v>41752</v>
      </c>
      <c r="AB485" s="10">
        <v>41780</v>
      </c>
      <c r="AC485" s="10">
        <v>41780</v>
      </c>
      <c r="AD485" s="10">
        <v>41775</v>
      </c>
    </row>
    <row r="486" spans="1:36">
      <c r="A486" s="7">
        <f t="shared" si="138"/>
        <v>0.33333333333333331</v>
      </c>
      <c r="B486" s="7" t="str">
        <f t="shared" si="149"/>
        <v>14FW JOIEBETE_KNIT_05_RD</v>
      </c>
      <c r="C486" s="7">
        <f t="shared" si="139"/>
        <v>1</v>
      </c>
      <c r="D486" s="7" t="str">
        <f t="shared" si="150"/>
        <v>FOREMOST14FW JOIEBETE_KNIT_05_RD</v>
      </c>
      <c r="E486" s="12" t="str">
        <f t="shared" si="151"/>
        <v>201404</v>
      </c>
      <c r="F486" s="347" t="str">
        <f>VLOOKUP($AA486,[3]주!$A:$F,6,FALSE)</f>
        <v>3월 2주</v>
      </c>
      <c r="G486" s="7">
        <f t="shared" si="140"/>
        <v>0.5</v>
      </c>
      <c r="H486" s="7" t="str">
        <f t="shared" si="152"/>
        <v>14FW JOIEBETE_KNIT_05_RD</v>
      </c>
      <c r="I486" s="7">
        <f t="shared" si="141"/>
        <v>1</v>
      </c>
      <c r="J486" s="7" t="str">
        <f t="shared" si="153"/>
        <v>FOREMOST14FW JOIEBETE_KNIT_05_RD</v>
      </c>
      <c r="K486" s="17">
        <f t="shared" si="154"/>
        <v>41775</v>
      </c>
      <c r="L486" s="12" t="str">
        <f t="shared" si="155"/>
        <v>201405</v>
      </c>
      <c r="M486" s="347" t="str">
        <f>VLOOKUP($K486,[3]주!$A:$F,6,FALSE)</f>
        <v>3월 2주</v>
      </c>
      <c r="N486" s="273" t="str">
        <f>IF(VLOOKUP($Z486,생산업체!$A:$C,2,FALSE)=1,"해외","국내")</f>
        <v>해외</v>
      </c>
      <c r="O486" s="12" t="str">
        <f>IF(VLOOKUP($U486,CODE!$K:$P,CODE!P$1,FALSE)="모자",T486,T486&amp;"-"&amp;VLOOKUP($U486,CODE!$K:$P,CODE!P$1,FALSE))</f>
        <v>JOI</v>
      </c>
      <c r="P486" s="11" t="s">
        <v>51</v>
      </c>
      <c r="R486" s="11">
        <v>121</v>
      </c>
      <c r="T486" s="8" t="s">
        <v>51</v>
      </c>
      <c r="U486" s="8" t="s">
        <v>56</v>
      </c>
      <c r="V486" s="8" t="s">
        <v>43</v>
      </c>
      <c r="W486" s="8" t="s">
        <v>2194</v>
      </c>
      <c r="X486" s="8" t="s">
        <v>905</v>
      </c>
      <c r="Y486" s="9">
        <v>0.33333333333333331</v>
      </c>
      <c r="Z486" s="8" t="s">
        <v>6</v>
      </c>
      <c r="AA486" s="10">
        <v>41752</v>
      </c>
      <c r="AB486" s="10">
        <v>41780</v>
      </c>
      <c r="AC486" s="10">
        <v>41780</v>
      </c>
      <c r="AD486" s="10">
        <v>41775</v>
      </c>
    </row>
    <row r="487" spans="1:36">
      <c r="A487" s="7">
        <f t="shared" si="138"/>
        <v>0.33333333333333331</v>
      </c>
      <c r="B487" s="7" t="str">
        <f t="shared" si="149"/>
        <v>14FW JOIEBETE_KNIT_05_GY</v>
      </c>
      <c r="C487" s="7">
        <f t="shared" si="139"/>
        <v>1</v>
      </c>
      <c r="D487" s="7" t="str">
        <f t="shared" si="150"/>
        <v>EVERRICH TEXTILE 14FW JOIEBETE_KNIT_05_GY</v>
      </c>
      <c r="E487" s="12" t="str">
        <f t="shared" si="151"/>
        <v>201404</v>
      </c>
      <c r="F487" s="347" t="str">
        <f>VLOOKUP($AA487,[3]주!$A:$F,6,FALSE)</f>
        <v>3월 2주</v>
      </c>
      <c r="G487" s="7">
        <f t="shared" si="140"/>
        <v>0</v>
      </c>
      <c r="H487" s="7" t="str">
        <f t="shared" si="152"/>
        <v/>
      </c>
      <c r="I487" s="7">
        <f t="shared" si="141"/>
        <v>0</v>
      </c>
      <c r="J487" s="7" t="str">
        <f t="shared" si="153"/>
        <v/>
      </c>
      <c r="K487" s="17">
        <f t="shared" si="154"/>
        <v>41780</v>
      </c>
      <c r="L487" s="12" t="str">
        <f t="shared" si="155"/>
        <v>201405</v>
      </c>
      <c r="M487" s="347" t="str">
        <f>VLOOKUP($K487,[3]주!$A:$F,6,FALSE)</f>
        <v>3월 2주</v>
      </c>
      <c r="N487" s="273" t="e">
        <f>IF(VLOOKUP($Z487,생산업체!$A:$C,2,FALSE)=1,"해외","국내")</f>
        <v>#N/A</v>
      </c>
      <c r="O487" s="12" t="str">
        <f>IF(VLOOKUP($U487,CODE!$K:$P,CODE!P$1,FALSE)="모자",T487,T487&amp;"-"&amp;VLOOKUP($U487,CODE!$K:$P,CODE!P$1,FALSE))</f>
        <v>JOI</v>
      </c>
      <c r="P487" s="11" t="s">
        <v>51</v>
      </c>
      <c r="R487" s="11">
        <v>122</v>
      </c>
      <c r="T487" s="8" t="s">
        <v>51</v>
      </c>
      <c r="U487" s="8" t="s">
        <v>56</v>
      </c>
      <c r="V487" s="8" t="s">
        <v>43</v>
      </c>
      <c r="W487" s="8" t="s">
        <v>2193</v>
      </c>
      <c r="X487" s="8" t="s">
        <v>905</v>
      </c>
      <c r="Y487" s="9">
        <v>0.33333333333333331</v>
      </c>
      <c r="Z487" s="8" t="s">
        <v>2195</v>
      </c>
      <c r="AA487" s="10">
        <v>41752</v>
      </c>
      <c r="AB487" s="10">
        <v>41780</v>
      </c>
      <c r="AC487" s="10">
        <v>41780</v>
      </c>
    </row>
    <row r="488" spans="1:36">
      <c r="A488" s="7">
        <f t="shared" si="138"/>
        <v>0.33333333333333331</v>
      </c>
      <c r="B488" s="7" t="str">
        <f t="shared" ref="B488:B551" si="156">IF(AA488="","",W488)</f>
        <v>14FW JOIEBETE_KNIT_05_RD</v>
      </c>
      <c r="C488" s="7">
        <f t="shared" si="139"/>
        <v>1</v>
      </c>
      <c r="D488" s="7" t="str">
        <f t="shared" ref="D488:D551" si="157">IF(AA488="","",Z488&amp;W488)</f>
        <v>EVERRICH TEXTILE 14FW JOIEBETE_KNIT_05_RD</v>
      </c>
      <c r="E488" s="12" t="str">
        <f t="shared" ref="E488:E551" si="158">IF(YEAR(AA488)&lt;10,0&amp;YEAR(AA488),YEAR(AA488))&amp;IF(MONTH(AA488)&lt;10,0&amp;MONTH(AA488),MONTH(AA488))</f>
        <v>201404</v>
      </c>
      <c r="F488" s="347" t="str">
        <f>VLOOKUP($AA488,[3]주!$A:$F,6,FALSE)</f>
        <v>3월 2주</v>
      </c>
      <c r="G488" s="7">
        <f t="shared" si="140"/>
        <v>0</v>
      </c>
      <c r="H488" s="7" t="str">
        <f t="shared" ref="H488:H551" si="159">IF(AD488="","",W488)</f>
        <v/>
      </c>
      <c r="I488" s="7">
        <f t="shared" si="141"/>
        <v>0</v>
      </c>
      <c r="J488" s="7" t="str">
        <f t="shared" ref="J488:J551" si="160">IF(AD488="","",Z488&amp;W488)</f>
        <v/>
      </c>
      <c r="K488" s="17">
        <f t="shared" ref="K488:K551" si="161">IF(AD488="",AC488,AD488)</f>
        <v>41780</v>
      </c>
      <c r="L488" s="12" t="str">
        <f t="shared" ref="L488:L551" si="162">IF(YEAR(K488)&lt;10,0&amp;YEAR(K488),YEAR(K488))&amp;IF(MONTH(K488)&lt;10,0&amp;MONTH(K488),MONTH(K488))</f>
        <v>201405</v>
      </c>
      <c r="M488" s="347" t="str">
        <f>VLOOKUP($K488,[3]주!$A:$F,6,FALSE)</f>
        <v>3월 2주</v>
      </c>
      <c r="N488" s="273" t="e">
        <f>IF(VLOOKUP($Z488,생산업체!$A:$C,2,FALSE)=1,"해외","국내")</f>
        <v>#N/A</v>
      </c>
      <c r="O488" s="12" t="str">
        <f>IF(VLOOKUP($U488,CODE!$K:$P,CODE!P$1,FALSE)="모자",T488,T488&amp;"-"&amp;VLOOKUP($U488,CODE!$K:$P,CODE!P$1,FALSE))</f>
        <v>JOI</v>
      </c>
      <c r="P488" s="11" t="s">
        <v>51</v>
      </c>
      <c r="R488" s="11">
        <v>123</v>
      </c>
      <c r="T488" s="8" t="s">
        <v>51</v>
      </c>
      <c r="U488" s="8" t="s">
        <v>56</v>
      </c>
      <c r="V488" s="8" t="s">
        <v>43</v>
      </c>
      <c r="W488" s="8" t="s">
        <v>2194</v>
      </c>
      <c r="X488" s="8" t="s">
        <v>905</v>
      </c>
      <c r="Y488" s="9">
        <v>0.33333333333333331</v>
      </c>
      <c r="Z488" s="8" t="s">
        <v>2195</v>
      </c>
      <c r="AA488" s="10">
        <v>41752</v>
      </c>
      <c r="AB488" s="10">
        <v>41780</v>
      </c>
      <c r="AC488" s="10">
        <v>41780</v>
      </c>
    </row>
    <row r="489" spans="1:36">
      <c r="A489" s="7">
        <f t="shared" si="138"/>
        <v>1</v>
      </c>
      <c r="B489" s="7" t="str">
        <f t="shared" si="156"/>
        <v>14FW DISNEY_BP_01_WH</v>
      </c>
      <c r="C489" s="7">
        <f t="shared" si="139"/>
        <v>1</v>
      </c>
      <c r="D489" s="7" t="str">
        <f t="shared" si="157"/>
        <v>바이칼14FW DISNEY_BP_01_WH</v>
      </c>
      <c r="E489" s="12" t="str">
        <f t="shared" si="158"/>
        <v>201404</v>
      </c>
      <c r="F489" s="347" t="str">
        <f>VLOOKUP($AA489,[3]주!$A:$F,6,FALSE)</f>
        <v>3월 2주</v>
      </c>
      <c r="G489" s="7">
        <f t="shared" si="140"/>
        <v>0</v>
      </c>
      <c r="H489" s="7" t="str">
        <f t="shared" si="159"/>
        <v/>
      </c>
      <c r="I489" s="7">
        <f t="shared" si="141"/>
        <v>0</v>
      </c>
      <c r="J489" s="7" t="str">
        <f t="shared" si="160"/>
        <v/>
      </c>
      <c r="K489" s="17">
        <f t="shared" si="161"/>
        <v>41779</v>
      </c>
      <c r="L489" s="12" t="str">
        <f t="shared" si="162"/>
        <v>201405</v>
      </c>
      <c r="M489" s="347" t="str">
        <f>VLOOKUP($K489,[3]주!$A:$F,6,FALSE)</f>
        <v>3월 2주</v>
      </c>
      <c r="N489" s="273" t="str">
        <f>IF(VLOOKUP($Z489,생산업체!$A:$C,2,FALSE)=1,"해외","국내")</f>
        <v>해외</v>
      </c>
      <c r="O489" s="12" t="str">
        <f>IF(VLOOKUP($U489,CODE!$K:$P,CODE!P$1,FALSE)="모자",T489,T489&amp;"-"&amp;VLOOKUP($U489,CODE!$K:$P,CODE!P$1,FALSE))</f>
        <v>DPS-가방</v>
      </c>
      <c r="P489" s="11" t="s">
        <v>2196</v>
      </c>
      <c r="R489" s="11">
        <v>124</v>
      </c>
      <c r="T489" s="8" t="s">
        <v>1772</v>
      </c>
      <c r="U489" s="8" t="s">
        <v>31</v>
      </c>
      <c r="V489" s="8" t="s">
        <v>43</v>
      </c>
      <c r="W489" s="8" t="s">
        <v>2197</v>
      </c>
      <c r="X489" s="8" t="s">
        <v>900</v>
      </c>
      <c r="Y489" s="9">
        <v>1</v>
      </c>
      <c r="Z489" s="8" t="s">
        <v>1837</v>
      </c>
      <c r="AA489" s="10">
        <v>41759</v>
      </c>
      <c r="AB489" s="10">
        <v>41787</v>
      </c>
      <c r="AC489" s="10">
        <v>41779</v>
      </c>
    </row>
    <row r="490" spans="1:36">
      <c r="A490" s="7">
        <f t="shared" si="138"/>
        <v>1</v>
      </c>
      <c r="B490" s="7" t="str">
        <f t="shared" si="156"/>
        <v>14FW DISNEY_BP_02_BK</v>
      </c>
      <c r="C490" s="7">
        <f t="shared" si="139"/>
        <v>1</v>
      </c>
      <c r="D490" s="7" t="str">
        <f t="shared" si="157"/>
        <v>바이칼14FW DISNEY_BP_02_BK</v>
      </c>
      <c r="E490" s="12" t="str">
        <f t="shared" si="158"/>
        <v>201404</v>
      </c>
      <c r="F490" s="347" t="str">
        <f>VLOOKUP($AA490,[3]주!$A:$F,6,FALSE)</f>
        <v>3월 2주</v>
      </c>
      <c r="G490" s="7">
        <f t="shared" si="140"/>
        <v>0</v>
      </c>
      <c r="H490" s="7" t="str">
        <f t="shared" si="159"/>
        <v/>
      </c>
      <c r="I490" s="7">
        <f t="shared" si="141"/>
        <v>0</v>
      </c>
      <c r="J490" s="7" t="str">
        <f t="shared" si="160"/>
        <v/>
      </c>
      <c r="K490" s="17">
        <f t="shared" si="161"/>
        <v>41779</v>
      </c>
      <c r="L490" s="12" t="str">
        <f t="shared" si="162"/>
        <v>201405</v>
      </c>
      <c r="M490" s="347" t="str">
        <f>VLOOKUP($K490,[3]주!$A:$F,6,FALSE)</f>
        <v>3월 2주</v>
      </c>
      <c r="N490" s="273" t="str">
        <f>IF(VLOOKUP($Z490,생산업체!$A:$C,2,FALSE)=1,"해외","국내")</f>
        <v>해외</v>
      </c>
      <c r="O490" s="12" t="str">
        <f>IF(VLOOKUP($U490,CODE!$K:$P,CODE!P$1,FALSE)="모자",T490,T490&amp;"-"&amp;VLOOKUP($U490,CODE!$K:$P,CODE!P$1,FALSE))</f>
        <v>DPS-가방</v>
      </c>
      <c r="P490" s="11" t="s">
        <v>2196</v>
      </c>
      <c r="R490" s="11">
        <v>125</v>
      </c>
      <c r="T490" s="8" t="s">
        <v>1772</v>
      </c>
      <c r="U490" s="8" t="s">
        <v>31</v>
      </c>
      <c r="V490" s="8" t="s">
        <v>43</v>
      </c>
      <c r="W490" s="8" t="s">
        <v>2198</v>
      </c>
      <c r="X490" s="8" t="s">
        <v>900</v>
      </c>
      <c r="Y490" s="9">
        <v>1</v>
      </c>
      <c r="Z490" s="8" t="s">
        <v>1837</v>
      </c>
      <c r="AA490" s="10">
        <v>41759</v>
      </c>
      <c r="AB490" s="10">
        <v>41787</v>
      </c>
      <c r="AC490" s="10">
        <v>41779</v>
      </c>
    </row>
    <row r="491" spans="1:36">
      <c r="A491" s="7">
        <f t="shared" si="138"/>
        <v>1</v>
      </c>
      <c r="B491" s="7" t="str">
        <f t="shared" si="156"/>
        <v>14FW DISNEY_BP_03_KH</v>
      </c>
      <c r="C491" s="7">
        <f t="shared" si="139"/>
        <v>1</v>
      </c>
      <c r="D491" s="7" t="str">
        <f t="shared" si="157"/>
        <v>바이칼14FW DISNEY_BP_03_KH</v>
      </c>
      <c r="E491" s="12" t="str">
        <f t="shared" si="158"/>
        <v>201404</v>
      </c>
      <c r="F491" s="347" t="str">
        <f>VLOOKUP($AA491,[3]주!$A:$F,6,FALSE)</f>
        <v>3월 2주</v>
      </c>
      <c r="G491" s="7">
        <f t="shared" si="140"/>
        <v>0</v>
      </c>
      <c r="H491" s="7" t="str">
        <f t="shared" si="159"/>
        <v/>
      </c>
      <c r="I491" s="7">
        <f t="shared" si="141"/>
        <v>0</v>
      </c>
      <c r="J491" s="7" t="str">
        <f t="shared" si="160"/>
        <v/>
      </c>
      <c r="K491" s="17">
        <f t="shared" si="161"/>
        <v>41779</v>
      </c>
      <c r="L491" s="12" t="str">
        <f t="shared" si="162"/>
        <v>201405</v>
      </c>
      <c r="M491" s="347" t="str">
        <f>VLOOKUP($K491,[3]주!$A:$F,6,FALSE)</f>
        <v>3월 2주</v>
      </c>
      <c r="N491" s="273" t="str">
        <f>IF(VLOOKUP($Z491,생산업체!$A:$C,2,FALSE)=1,"해외","국내")</f>
        <v>해외</v>
      </c>
      <c r="O491" s="12" t="str">
        <f>IF(VLOOKUP($U491,CODE!$K:$P,CODE!P$1,FALSE)="모자",T491,T491&amp;"-"&amp;VLOOKUP($U491,CODE!$K:$P,CODE!P$1,FALSE))</f>
        <v>DPS-가방</v>
      </c>
      <c r="P491" s="11" t="s">
        <v>2196</v>
      </c>
      <c r="R491" s="11">
        <v>126</v>
      </c>
      <c r="T491" s="8" t="s">
        <v>1772</v>
      </c>
      <c r="U491" s="8" t="s">
        <v>31</v>
      </c>
      <c r="V491" s="8" t="s">
        <v>43</v>
      </c>
      <c r="W491" s="8" t="s">
        <v>2199</v>
      </c>
      <c r="X491" s="8" t="s">
        <v>900</v>
      </c>
      <c r="Y491" s="9">
        <v>1</v>
      </c>
      <c r="Z491" s="8" t="s">
        <v>1837</v>
      </c>
      <c r="AA491" s="10">
        <v>41759</v>
      </c>
      <c r="AB491" s="10">
        <v>41787</v>
      </c>
      <c r="AC491" s="10">
        <v>41779</v>
      </c>
    </row>
    <row r="492" spans="1:36">
      <c r="A492" s="7">
        <f t="shared" si="138"/>
        <v>1</v>
      </c>
      <c r="B492" s="7" t="str">
        <f t="shared" si="156"/>
        <v>14FW DISNEY_BP_04_BK</v>
      </c>
      <c r="C492" s="7">
        <f t="shared" si="139"/>
        <v>1</v>
      </c>
      <c r="D492" s="7" t="str">
        <f t="shared" si="157"/>
        <v>바이칼14FW DISNEY_BP_04_BK</v>
      </c>
      <c r="E492" s="12" t="str">
        <f t="shared" si="158"/>
        <v>201404</v>
      </c>
      <c r="F492" s="347" t="str">
        <f>VLOOKUP($AA492,[3]주!$A:$F,6,FALSE)</f>
        <v>3월 2주</v>
      </c>
      <c r="G492" s="7">
        <f t="shared" si="140"/>
        <v>0</v>
      </c>
      <c r="H492" s="7" t="str">
        <f t="shared" si="159"/>
        <v/>
      </c>
      <c r="I492" s="7">
        <f t="shared" si="141"/>
        <v>0</v>
      </c>
      <c r="J492" s="7" t="str">
        <f t="shared" si="160"/>
        <v/>
      </c>
      <c r="K492" s="17">
        <f t="shared" si="161"/>
        <v>41779</v>
      </c>
      <c r="L492" s="12" t="str">
        <f t="shared" si="162"/>
        <v>201405</v>
      </c>
      <c r="M492" s="347" t="str">
        <f>VLOOKUP($K492,[3]주!$A:$F,6,FALSE)</f>
        <v>3월 2주</v>
      </c>
      <c r="N492" s="273" t="str">
        <f>IF(VLOOKUP($Z492,생산업체!$A:$C,2,FALSE)=1,"해외","국내")</f>
        <v>해외</v>
      </c>
      <c r="O492" s="12" t="str">
        <f>IF(VLOOKUP($U492,CODE!$K:$P,CODE!P$1,FALSE)="모자",T492,T492&amp;"-"&amp;VLOOKUP($U492,CODE!$K:$P,CODE!P$1,FALSE))</f>
        <v>DPS-가방</v>
      </c>
      <c r="P492" s="11" t="s">
        <v>2196</v>
      </c>
      <c r="R492" s="11">
        <v>127</v>
      </c>
      <c r="T492" s="8" t="s">
        <v>1772</v>
      </c>
      <c r="U492" s="8" t="s">
        <v>31</v>
      </c>
      <c r="V492" s="8" t="s">
        <v>43</v>
      </c>
      <c r="W492" s="8" t="s">
        <v>2200</v>
      </c>
      <c r="X492" s="8" t="s">
        <v>900</v>
      </c>
      <c r="Y492" s="9">
        <v>1</v>
      </c>
      <c r="Z492" s="8" t="s">
        <v>1837</v>
      </c>
      <c r="AA492" s="10">
        <v>41759</v>
      </c>
      <c r="AB492" s="10">
        <v>41787</v>
      </c>
      <c r="AC492" s="10">
        <v>41779</v>
      </c>
    </row>
    <row r="493" spans="1:36">
      <c r="A493" s="7">
        <f t="shared" si="138"/>
        <v>1</v>
      </c>
      <c r="B493" s="7" t="str">
        <f t="shared" si="156"/>
        <v>14FW DISNEY_BP_05_BK</v>
      </c>
      <c r="C493" s="7">
        <f t="shared" si="139"/>
        <v>1</v>
      </c>
      <c r="D493" s="7" t="str">
        <f t="shared" si="157"/>
        <v>바이칼14FW DISNEY_BP_05_BK</v>
      </c>
      <c r="E493" s="12" t="str">
        <f t="shared" si="158"/>
        <v>201404</v>
      </c>
      <c r="F493" s="347" t="str">
        <f>VLOOKUP($AA493,[3]주!$A:$F,6,FALSE)</f>
        <v>3월 2주</v>
      </c>
      <c r="G493" s="7">
        <f t="shared" si="140"/>
        <v>0</v>
      </c>
      <c r="H493" s="7" t="str">
        <f t="shared" si="159"/>
        <v/>
      </c>
      <c r="I493" s="7">
        <f t="shared" si="141"/>
        <v>0</v>
      </c>
      <c r="J493" s="7" t="str">
        <f t="shared" si="160"/>
        <v/>
      </c>
      <c r="K493" s="17">
        <f t="shared" si="161"/>
        <v>41779</v>
      </c>
      <c r="L493" s="12" t="str">
        <f t="shared" si="162"/>
        <v>201405</v>
      </c>
      <c r="M493" s="347" t="str">
        <f>VLOOKUP($K493,[3]주!$A:$F,6,FALSE)</f>
        <v>3월 2주</v>
      </c>
      <c r="N493" s="273" t="str">
        <f>IF(VLOOKUP($Z493,생산업체!$A:$C,2,FALSE)=1,"해외","국내")</f>
        <v>해외</v>
      </c>
      <c r="O493" s="12" t="str">
        <f>IF(VLOOKUP($U493,CODE!$K:$P,CODE!P$1,FALSE)="모자",T493,T493&amp;"-"&amp;VLOOKUP($U493,CODE!$K:$P,CODE!P$1,FALSE))</f>
        <v>DPS-가방</v>
      </c>
      <c r="P493" s="11" t="s">
        <v>2196</v>
      </c>
      <c r="R493" s="11">
        <v>128</v>
      </c>
      <c r="T493" s="8" t="s">
        <v>1772</v>
      </c>
      <c r="U493" s="8" t="s">
        <v>31</v>
      </c>
      <c r="V493" s="8" t="s">
        <v>43</v>
      </c>
      <c r="W493" s="8" t="s">
        <v>2201</v>
      </c>
      <c r="X493" s="8" t="s">
        <v>900</v>
      </c>
      <c r="Y493" s="9">
        <v>1</v>
      </c>
      <c r="Z493" s="8" t="s">
        <v>1837</v>
      </c>
      <c r="AA493" s="10">
        <v>41759</v>
      </c>
      <c r="AB493" s="10">
        <v>41787</v>
      </c>
      <c r="AC493" s="10">
        <v>41779</v>
      </c>
    </row>
    <row r="494" spans="1:36">
      <c r="A494" s="7">
        <f t="shared" si="138"/>
        <v>1</v>
      </c>
      <c r="B494" s="7" t="str">
        <f t="shared" si="156"/>
        <v>14FW DISNEY_BP_06_PP_KIDS</v>
      </c>
      <c r="C494" s="7">
        <f t="shared" si="139"/>
        <v>1</v>
      </c>
      <c r="D494" s="7" t="str">
        <f t="shared" si="157"/>
        <v>바이칼14FW DISNEY_BP_06_PP_KIDS</v>
      </c>
      <c r="E494" s="12" t="str">
        <f t="shared" si="158"/>
        <v>201404</v>
      </c>
      <c r="F494" s="347" t="str">
        <f>VLOOKUP($AA494,[3]주!$A:$F,6,FALSE)</f>
        <v>3월 2주</v>
      </c>
      <c r="G494" s="7">
        <f t="shared" si="140"/>
        <v>0</v>
      </c>
      <c r="H494" s="7" t="str">
        <f t="shared" si="159"/>
        <v/>
      </c>
      <c r="I494" s="7">
        <f t="shared" si="141"/>
        <v>0</v>
      </c>
      <c r="J494" s="7" t="str">
        <f t="shared" si="160"/>
        <v/>
      </c>
      <c r="K494" s="17">
        <f t="shared" si="161"/>
        <v>41789</v>
      </c>
      <c r="L494" s="12" t="str">
        <f t="shared" si="162"/>
        <v>201405</v>
      </c>
      <c r="M494" s="347" t="str">
        <f>VLOOKUP($K494,[3]주!$A:$F,6,FALSE)</f>
        <v>3월 2주</v>
      </c>
      <c r="N494" s="273" t="str">
        <f>IF(VLOOKUP($Z494,생산업체!$A:$C,2,FALSE)=1,"해외","국내")</f>
        <v>해외</v>
      </c>
      <c r="O494" s="12" t="str">
        <f>IF(VLOOKUP($U494,CODE!$K:$P,CODE!P$1,FALSE)="모자",T494,T494&amp;"-"&amp;VLOOKUP($U494,CODE!$K:$P,CODE!P$1,FALSE))</f>
        <v>DPS-가방</v>
      </c>
      <c r="P494" s="11" t="s">
        <v>2196</v>
      </c>
      <c r="R494" s="11">
        <v>129</v>
      </c>
      <c r="T494" s="8" t="s">
        <v>1772</v>
      </c>
      <c r="U494" s="8" t="s">
        <v>31</v>
      </c>
      <c r="V494" s="8" t="s">
        <v>43</v>
      </c>
      <c r="W494" s="8" t="s">
        <v>2202</v>
      </c>
      <c r="X494" s="8" t="s">
        <v>905</v>
      </c>
      <c r="Y494" s="9">
        <v>1</v>
      </c>
      <c r="Z494" s="8" t="s">
        <v>1837</v>
      </c>
      <c r="AA494" s="10">
        <v>41759</v>
      </c>
      <c r="AB494" s="10">
        <v>41787</v>
      </c>
      <c r="AC494" s="10">
        <v>41789</v>
      </c>
    </row>
    <row r="495" spans="1:36">
      <c r="A495" s="7">
        <f t="shared" si="138"/>
        <v>1</v>
      </c>
      <c r="B495" s="7" t="str">
        <f t="shared" si="156"/>
        <v>14FW DISNEY_BP_07_PK_KIDS</v>
      </c>
      <c r="C495" s="7">
        <f t="shared" si="139"/>
        <v>1</v>
      </c>
      <c r="D495" s="7" t="str">
        <f t="shared" si="157"/>
        <v>바이칼14FW DISNEY_BP_07_PK_KIDS</v>
      </c>
      <c r="E495" s="12" t="str">
        <f t="shared" si="158"/>
        <v>201404</v>
      </c>
      <c r="F495" s="347" t="str">
        <f>VLOOKUP($AA495,[3]주!$A:$F,6,FALSE)</f>
        <v>3월 2주</v>
      </c>
      <c r="G495" s="7">
        <f t="shared" si="140"/>
        <v>0</v>
      </c>
      <c r="H495" s="7" t="str">
        <f t="shared" si="159"/>
        <v/>
      </c>
      <c r="I495" s="7">
        <f t="shared" si="141"/>
        <v>0</v>
      </c>
      <c r="J495" s="7" t="str">
        <f t="shared" si="160"/>
        <v/>
      </c>
      <c r="K495" s="17">
        <f t="shared" si="161"/>
        <v>41789</v>
      </c>
      <c r="L495" s="12" t="str">
        <f t="shared" si="162"/>
        <v>201405</v>
      </c>
      <c r="M495" s="347" t="str">
        <f>VLOOKUP($K495,[3]주!$A:$F,6,FALSE)</f>
        <v>3월 2주</v>
      </c>
      <c r="N495" s="273" t="str">
        <f>IF(VLOOKUP($Z495,생산업체!$A:$C,2,FALSE)=1,"해외","국내")</f>
        <v>해외</v>
      </c>
      <c r="O495" s="12" t="str">
        <f>IF(VLOOKUP($U495,CODE!$K:$P,CODE!P$1,FALSE)="모자",T495,T495&amp;"-"&amp;VLOOKUP($U495,CODE!$K:$P,CODE!P$1,FALSE))</f>
        <v>DPS-가방</v>
      </c>
      <c r="P495" s="11" t="s">
        <v>2196</v>
      </c>
      <c r="R495" s="11">
        <v>130</v>
      </c>
      <c r="T495" s="8" t="s">
        <v>1772</v>
      </c>
      <c r="U495" s="8" t="s">
        <v>31</v>
      </c>
      <c r="V495" s="8" t="s">
        <v>43</v>
      </c>
      <c r="W495" s="8" t="s">
        <v>2203</v>
      </c>
      <c r="X495" s="8" t="s">
        <v>905</v>
      </c>
      <c r="Y495" s="9">
        <v>1</v>
      </c>
      <c r="Z495" s="8" t="s">
        <v>1837</v>
      </c>
      <c r="AA495" s="10">
        <v>41759</v>
      </c>
      <c r="AB495" s="10">
        <v>41787</v>
      </c>
      <c r="AC495" s="10">
        <v>41789</v>
      </c>
    </row>
    <row r="496" spans="1:36">
      <c r="A496" s="7">
        <f t="shared" si="138"/>
        <v>1</v>
      </c>
      <c r="B496" s="7" t="str">
        <f t="shared" si="156"/>
        <v>14FW DISNEY_BP_08_PK_KIDS</v>
      </c>
      <c r="C496" s="7">
        <f t="shared" si="139"/>
        <v>1</v>
      </c>
      <c r="D496" s="7" t="str">
        <f t="shared" si="157"/>
        <v>바이칼14FW DISNEY_BP_08_PK_KIDS</v>
      </c>
      <c r="E496" s="12" t="str">
        <f t="shared" si="158"/>
        <v>201404</v>
      </c>
      <c r="F496" s="347" t="str">
        <f>VLOOKUP($AA496,[3]주!$A:$F,6,FALSE)</f>
        <v>3월 2주</v>
      </c>
      <c r="G496" s="7">
        <f t="shared" si="140"/>
        <v>0</v>
      </c>
      <c r="H496" s="7" t="str">
        <f t="shared" si="159"/>
        <v/>
      </c>
      <c r="I496" s="7">
        <f t="shared" si="141"/>
        <v>0</v>
      </c>
      <c r="J496" s="7" t="str">
        <f t="shared" si="160"/>
        <v/>
      </c>
      <c r="K496" s="17">
        <f t="shared" si="161"/>
        <v>41789</v>
      </c>
      <c r="L496" s="12" t="str">
        <f t="shared" si="162"/>
        <v>201405</v>
      </c>
      <c r="M496" s="347" t="str">
        <f>VLOOKUP($K496,[3]주!$A:$F,6,FALSE)</f>
        <v>3월 2주</v>
      </c>
      <c r="N496" s="273" t="str">
        <f>IF(VLOOKUP($Z496,생산업체!$A:$C,2,FALSE)=1,"해외","국내")</f>
        <v>해외</v>
      </c>
      <c r="O496" s="12" t="str">
        <f>IF(VLOOKUP($U496,CODE!$K:$P,CODE!P$1,FALSE)="모자",T496,T496&amp;"-"&amp;VLOOKUP($U496,CODE!$K:$P,CODE!P$1,FALSE))</f>
        <v>DPS-가방</v>
      </c>
      <c r="P496" s="11" t="s">
        <v>2196</v>
      </c>
      <c r="R496" s="11">
        <v>131</v>
      </c>
      <c r="T496" s="8" t="s">
        <v>1772</v>
      </c>
      <c r="U496" s="8" t="s">
        <v>31</v>
      </c>
      <c r="V496" s="8" t="s">
        <v>43</v>
      </c>
      <c r="W496" s="8" t="s">
        <v>2204</v>
      </c>
      <c r="X496" s="8" t="s">
        <v>905</v>
      </c>
      <c r="Y496" s="9">
        <v>1</v>
      </c>
      <c r="Z496" s="8" t="s">
        <v>1837</v>
      </c>
      <c r="AA496" s="10">
        <v>41759</v>
      </c>
      <c r="AB496" s="10">
        <v>41787</v>
      </c>
      <c r="AC496" s="10">
        <v>41789</v>
      </c>
    </row>
    <row r="497" spans="1:37">
      <c r="A497" s="7">
        <f t="shared" si="138"/>
        <v>1</v>
      </c>
      <c r="B497" s="7" t="str">
        <f t="shared" si="156"/>
        <v>14FW DISNEY_BP_09_NV_KIDS</v>
      </c>
      <c r="C497" s="7">
        <f t="shared" si="139"/>
        <v>1</v>
      </c>
      <c r="D497" s="7" t="str">
        <f t="shared" si="157"/>
        <v>바이칼14FW DISNEY_BP_09_NV_KIDS</v>
      </c>
      <c r="E497" s="12" t="str">
        <f t="shared" si="158"/>
        <v>201404</v>
      </c>
      <c r="F497" s="347" t="str">
        <f>VLOOKUP($AA497,[3]주!$A:$F,6,FALSE)</f>
        <v>3월 2주</v>
      </c>
      <c r="G497" s="7">
        <f t="shared" si="140"/>
        <v>0</v>
      </c>
      <c r="H497" s="7" t="str">
        <f t="shared" si="159"/>
        <v/>
      </c>
      <c r="I497" s="7">
        <f t="shared" si="141"/>
        <v>0</v>
      </c>
      <c r="J497" s="7" t="str">
        <f t="shared" si="160"/>
        <v/>
      </c>
      <c r="K497" s="17">
        <f t="shared" si="161"/>
        <v>41789</v>
      </c>
      <c r="L497" s="12" t="str">
        <f t="shared" si="162"/>
        <v>201405</v>
      </c>
      <c r="M497" s="347" t="str">
        <f>VLOOKUP($K497,[3]주!$A:$F,6,FALSE)</f>
        <v>3월 2주</v>
      </c>
      <c r="N497" s="273" t="str">
        <f>IF(VLOOKUP($Z497,생산업체!$A:$C,2,FALSE)=1,"해외","국내")</f>
        <v>해외</v>
      </c>
      <c r="O497" s="12" t="str">
        <f>IF(VLOOKUP($U497,CODE!$K:$P,CODE!P$1,FALSE)="모자",T497,T497&amp;"-"&amp;VLOOKUP($U497,CODE!$K:$P,CODE!P$1,FALSE))</f>
        <v>DPS-가방</v>
      </c>
      <c r="P497" s="11" t="s">
        <v>2196</v>
      </c>
      <c r="R497" s="11">
        <v>132</v>
      </c>
      <c r="T497" s="8" t="s">
        <v>1772</v>
      </c>
      <c r="U497" s="8" t="s">
        <v>31</v>
      </c>
      <c r="V497" s="8" t="s">
        <v>43</v>
      </c>
      <c r="W497" s="8" t="s">
        <v>2205</v>
      </c>
      <c r="X497" s="8" t="s">
        <v>905</v>
      </c>
      <c r="Y497" s="9">
        <v>1</v>
      </c>
      <c r="Z497" s="8" t="s">
        <v>1837</v>
      </c>
      <c r="AA497" s="10">
        <v>41759</v>
      </c>
      <c r="AB497" s="10">
        <v>41787</v>
      </c>
      <c r="AC497" s="10">
        <v>41789</v>
      </c>
    </row>
    <row r="498" spans="1:37">
      <c r="A498" s="7">
        <f t="shared" si="138"/>
        <v>0.5</v>
      </c>
      <c r="B498" s="7" t="str">
        <f t="shared" si="156"/>
        <v>14FW BLACK MOOD_03_FLAT_BK</v>
      </c>
      <c r="C498" s="7">
        <f t="shared" si="139"/>
        <v>1</v>
      </c>
      <c r="D498" s="7" t="str">
        <f t="shared" si="157"/>
        <v>FOREMOST14FW BLACK MOOD_03_FLAT_BK</v>
      </c>
      <c r="E498" s="12" t="str">
        <f t="shared" si="158"/>
        <v>201405</v>
      </c>
      <c r="F498" s="347" t="str">
        <f>VLOOKUP($AA498,[3]주!$A:$F,6,FALSE)</f>
        <v>3월 2주</v>
      </c>
      <c r="G498" s="7">
        <f t="shared" si="140"/>
        <v>0</v>
      </c>
      <c r="H498" s="7" t="str">
        <f t="shared" si="159"/>
        <v/>
      </c>
      <c r="I498" s="7">
        <f t="shared" si="141"/>
        <v>0</v>
      </c>
      <c r="J498" s="7" t="str">
        <f t="shared" si="160"/>
        <v/>
      </c>
      <c r="K498" s="17">
        <f t="shared" si="161"/>
        <v>41803</v>
      </c>
      <c r="L498" s="12" t="str">
        <f t="shared" si="162"/>
        <v>201406</v>
      </c>
      <c r="M498" s="347" t="str">
        <f>VLOOKUP($K498,[3]주!$A:$F,6,FALSE)</f>
        <v>3월 2주</v>
      </c>
      <c r="N498" s="273" t="str">
        <f>IF(VLOOKUP($Z498,생산업체!$A:$C,2,FALSE)=1,"해외","국내")</f>
        <v>해외</v>
      </c>
      <c r="O498" s="12" t="str">
        <f>IF(VLOOKUP($U498,CODE!$K:$P,CODE!P$1,FALSE)="모자",T498,T498&amp;"-"&amp;VLOOKUP($U498,CODE!$K:$P,CODE!P$1,FALSE))</f>
        <v>BMD</v>
      </c>
      <c r="P498" s="11" t="s">
        <v>53</v>
      </c>
      <c r="R498" s="11">
        <v>133</v>
      </c>
      <c r="T498" s="8" t="s">
        <v>53</v>
      </c>
      <c r="U498" s="8" t="s">
        <v>33</v>
      </c>
      <c r="V498" s="8" t="s">
        <v>43</v>
      </c>
      <c r="W498" s="8" t="s">
        <v>1781</v>
      </c>
      <c r="X498" s="8" t="s">
        <v>900</v>
      </c>
      <c r="Y498" s="9">
        <v>0.5</v>
      </c>
      <c r="Z498" s="8" t="s">
        <v>6</v>
      </c>
      <c r="AA498" s="10">
        <v>41775</v>
      </c>
      <c r="AB498" s="10">
        <v>41803</v>
      </c>
      <c r="AC498" s="10">
        <v>41803</v>
      </c>
    </row>
    <row r="499" spans="1:37">
      <c r="A499" s="7">
        <f t="shared" si="138"/>
        <v>1</v>
      </c>
      <c r="B499" s="7" t="str">
        <f t="shared" si="156"/>
        <v>14FW BLACK MOOD_04_CURVED_BK</v>
      </c>
      <c r="C499" s="7">
        <f t="shared" si="139"/>
        <v>1</v>
      </c>
      <c r="D499" s="7" t="str">
        <f t="shared" si="157"/>
        <v>FOREMOST14FW BLACK MOOD_04_CURVED_BK</v>
      </c>
      <c r="E499" s="12" t="str">
        <f t="shared" si="158"/>
        <v>201405</v>
      </c>
      <c r="F499" s="347" t="str">
        <f>VLOOKUP($AA499,[3]주!$A:$F,6,FALSE)</f>
        <v>3월 2주</v>
      </c>
      <c r="G499" s="7">
        <f t="shared" si="140"/>
        <v>0</v>
      </c>
      <c r="H499" s="7" t="str">
        <f t="shared" si="159"/>
        <v/>
      </c>
      <c r="I499" s="7">
        <f t="shared" si="141"/>
        <v>0</v>
      </c>
      <c r="J499" s="7" t="str">
        <f t="shared" si="160"/>
        <v/>
      </c>
      <c r="K499" s="17">
        <f>IF(AD499="",AC499,AD499)</f>
        <v>41803</v>
      </c>
      <c r="L499" s="12" t="str">
        <f>IF(YEAR(K499)&lt;10,0&amp;YEAR(K499),YEAR(K499))&amp;IF(MONTH(K499)&lt;10,0&amp;MONTH(K499),MONTH(K499))</f>
        <v>201406</v>
      </c>
      <c r="M499" s="347" t="str">
        <f>VLOOKUP($K499,[3]주!$A:$F,6,FALSE)</f>
        <v>3월 2주</v>
      </c>
      <c r="N499" s="273" t="str">
        <f>IF(VLOOKUP($Z499,생산업체!$A:$C,2,FALSE)=1,"해외","국내")</f>
        <v>해외</v>
      </c>
      <c r="O499" s="12" t="str">
        <f>IF(VLOOKUP($U499,CODE!$K:$P,CODE!P$1,FALSE)="모자",T499,T499&amp;"-"&amp;VLOOKUP($U499,CODE!$K:$P,CODE!P$1,FALSE))</f>
        <v>BMD</v>
      </c>
      <c r="P499" s="11" t="s">
        <v>53</v>
      </c>
      <c r="R499" s="11">
        <v>134</v>
      </c>
      <c r="T499" s="8" t="s">
        <v>53</v>
      </c>
      <c r="U499" s="8" t="s">
        <v>38</v>
      </c>
      <c r="V499" s="8" t="s">
        <v>43</v>
      </c>
      <c r="W499" s="8" t="s">
        <v>2206</v>
      </c>
      <c r="X499" s="8" t="s">
        <v>900</v>
      </c>
      <c r="Y499" s="9">
        <v>1</v>
      </c>
      <c r="Z499" s="8" t="s">
        <v>6</v>
      </c>
      <c r="AA499" s="10">
        <v>41775</v>
      </c>
      <c r="AB499" s="10">
        <v>41803</v>
      </c>
      <c r="AC499" s="10">
        <v>41803</v>
      </c>
    </row>
    <row r="500" spans="1:37">
      <c r="A500" s="7">
        <f t="shared" si="138"/>
        <v>1</v>
      </c>
      <c r="B500" s="7" t="str">
        <f t="shared" si="156"/>
        <v>14FW BLACK MOOD_05_BK</v>
      </c>
      <c r="C500" s="7">
        <f t="shared" si="139"/>
        <v>1</v>
      </c>
      <c r="D500" s="7" t="str">
        <f t="shared" si="157"/>
        <v>FOREMOST14FW BLACK MOOD_05_BK</v>
      </c>
      <c r="E500" s="12" t="str">
        <f t="shared" si="158"/>
        <v>201405</v>
      </c>
      <c r="F500" s="347" t="str">
        <f>VLOOKUP($AA500,[3]주!$A:$F,6,FALSE)</f>
        <v>3월 2주</v>
      </c>
      <c r="G500" s="7">
        <f t="shared" si="140"/>
        <v>0</v>
      </c>
      <c r="H500" s="7" t="str">
        <f t="shared" si="159"/>
        <v/>
      </c>
      <c r="I500" s="7">
        <f t="shared" si="141"/>
        <v>0</v>
      </c>
      <c r="J500" s="7" t="str">
        <f t="shared" si="160"/>
        <v/>
      </c>
      <c r="K500" s="17">
        <f t="shared" si="161"/>
        <v>41803</v>
      </c>
      <c r="L500" s="12" t="str">
        <f t="shared" si="162"/>
        <v>201406</v>
      </c>
      <c r="M500" s="347" t="str">
        <f>VLOOKUP($K500,[3]주!$A:$F,6,FALSE)</f>
        <v>3월 2주</v>
      </c>
      <c r="N500" s="273" t="str">
        <f>IF(VLOOKUP($Z500,생산업체!$A:$C,2,FALSE)=1,"해외","국내")</f>
        <v>해외</v>
      </c>
      <c r="O500" s="12" t="str">
        <f>IF(VLOOKUP($U500,CODE!$K:$P,CODE!P$1,FALSE)="모자",T500,T500&amp;"-"&amp;VLOOKUP($U500,CODE!$K:$P,CODE!P$1,FALSE))</f>
        <v>BMD</v>
      </c>
      <c r="P500" s="11" t="s">
        <v>53</v>
      </c>
      <c r="R500" s="11">
        <v>135</v>
      </c>
      <c r="T500" s="8" t="s">
        <v>53</v>
      </c>
      <c r="U500" s="8" t="s">
        <v>33</v>
      </c>
      <c r="V500" s="8" t="s">
        <v>43</v>
      </c>
      <c r="W500" s="8" t="s">
        <v>2207</v>
      </c>
      <c r="X500" s="8" t="s">
        <v>900</v>
      </c>
      <c r="Y500" s="9">
        <v>1</v>
      </c>
      <c r="Z500" s="8" t="s">
        <v>6</v>
      </c>
      <c r="AA500" s="10">
        <v>41775</v>
      </c>
      <c r="AB500" s="10">
        <v>41803</v>
      </c>
      <c r="AC500" s="10">
        <v>41803</v>
      </c>
    </row>
    <row r="501" spans="1:37">
      <c r="A501" s="7">
        <f t="shared" si="138"/>
        <v>1</v>
      </c>
      <c r="B501" s="7" t="str">
        <f t="shared" si="156"/>
        <v>14FW BLACK MOOD_06_BK</v>
      </c>
      <c r="C501" s="7">
        <f t="shared" si="139"/>
        <v>1</v>
      </c>
      <c r="D501" s="7" t="str">
        <f t="shared" si="157"/>
        <v>FOREMOST14FW BLACK MOOD_06_BK</v>
      </c>
      <c r="E501" s="12" t="str">
        <f t="shared" si="158"/>
        <v>201405</v>
      </c>
      <c r="F501" s="347" t="str">
        <f>VLOOKUP($AA501,[3]주!$A:$F,6,FALSE)</f>
        <v>3월 2주</v>
      </c>
      <c r="G501" s="7">
        <f t="shared" si="140"/>
        <v>0</v>
      </c>
      <c r="H501" s="7" t="str">
        <f t="shared" si="159"/>
        <v/>
      </c>
      <c r="I501" s="7">
        <f t="shared" si="141"/>
        <v>0</v>
      </c>
      <c r="J501" s="7" t="str">
        <f t="shared" si="160"/>
        <v/>
      </c>
      <c r="K501" s="17">
        <f t="shared" si="161"/>
        <v>41803</v>
      </c>
      <c r="L501" s="12" t="str">
        <f t="shared" si="162"/>
        <v>201406</v>
      </c>
      <c r="M501" s="347" t="str">
        <f>VLOOKUP($K501,[3]주!$A:$F,6,FALSE)</f>
        <v>3월 2주</v>
      </c>
      <c r="N501" s="273" t="str">
        <f>IF(VLOOKUP($Z501,생산업체!$A:$C,2,FALSE)=1,"해외","국내")</f>
        <v>해외</v>
      </c>
      <c r="O501" s="12" t="str">
        <f>IF(VLOOKUP($U501,CODE!$K:$P,CODE!P$1,FALSE)="모자",T501,T501&amp;"-"&amp;VLOOKUP($U501,CODE!$K:$P,CODE!P$1,FALSE))</f>
        <v>BMD</v>
      </c>
      <c r="P501" s="11" t="s">
        <v>53</v>
      </c>
      <c r="R501" s="11">
        <v>136</v>
      </c>
      <c r="T501" s="8" t="s">
        <v>53</v>
      </c>
      <c r="U501" s="8" t="s">
        <v>38</v>
      </c>
      <c r="V501" s="8" t="s">
        <v>43</v>
      </c>
      <c r="W501" s="8" t="s">
        <v>2208</v>
      </c>
      <c r="X501" s="8" t="s">
        <v>900</v>
      </c>
      <c r="Y501" s="9">
        <v>1</v>
      </c>
      <c r="Z501" s="8" t="s">
        <v>6</v>
      </c>
      <c r="AA501" s="10">
        <v>41775</v>
      </c>
      <c r="AB501" s="10">
        <v>41803</v>
      </c>
      <c r="AC501" s="10">
        <v>41803</v>
      </c>
    </row>
    <row r="502" spans="1:37">
      <c r="A502" s="7">
        <f t="shared" si="138"/>
        <v>1</v>
      </c>
      <c r="B502" s="7" t="str">
        <f t="shared" si="156"/>
        <v>14FW BLACK MOOD_07_BK</v>
      </c>
      <c r="C502" s="7">
        <f t="shared" si="139"/>
        <v>1</v>
      </c>
      <c r="D502" s="7" t="str">
        <f t="shared" si="157"/>
        <v>FOREMOST14FW BLACK MOOD_07_BK</v>
      </c>
      <c r="E502" s="12" t="str">
        <f t="shared" si="158"/>
        <v>201405</v>
      </c>
      <c r="F502" s="347" t="str">
        <f>VLOOKUP($AA502,[3]주!$A:$F,6,FALSE)</f>
        <v>3월 2주</v>
      </c>
      <c r="G502" s="7">
        <f t="shared" si="140"/>
        <v>0</v>
      </c>
      <c r="H502" s="7" t="str">
        <f t="shared" si="159"/>
        <v/>
      </c>
      <c r="I502" s="7">
        <f t="shared" si="141"/>
        <v>0</v>
      </c>
      <c r="J502" s="7" t="str">
        <f t="shared" si="160"/>
        <v/>
      </c>
      <c r="K502" s="17">
        <f t="shared" si="161"/>
        <v>41803</v>
      </c>
      <c r="L502" s="12" t="str">
        <f t="shared" si="162"/>
        <v>201406</v>
      </c>
      <c r="M502" s="347" t="str">
        <f>VLOOKUP($K502,[3]주!$A:$F,6,FALSE)</f>
        <v>3월 2주</v>
      </c>
      <c r="N502" s="273" t="str">
        <f>IF(VLOOKUP($Z502,생산업체!$A:$C,2,FALSE)=1,"해외","국내")</f>
        <v>해외</v>
      </c>
      <c r="O502" s="12" t="str">
        <f>IF(VLOOKUP($U502,CODE!$K:$P,CODE!P$1,FALSE)="모자",T502,T502&amp;"-"&amp;VLOOKUP($U502,CODE!$K:$P,CODE!P$1,FALSE))</f>
        <v>BMD</v>
      </c>
      <c r="P502" s="11" t="s">
        <v>53</v>
      </c>
      <c r="R502" s="11">
        <v>137</v>
      </c>
      <c r="T502" s="8" t="s">
        <v>53</v>
      </c>
      <c r="U502" s="8" t="s">
        <v>38</v>
      </c>
      <c r="V502" s="8" t="s">
        <v>43</v>
      </c>
      <c r="W502" s="8" t="s">
        <v>2209</v>
      </c>
      <c r="X502" s="8" t="s">
        <v>900</v>
      </c>
      <c r="Y502" s="9">
        <v>1</v>
      </c>
      <c r="Z502" s="8" t="s">
        <v>6</v>
      </c>
      <c r="AA502" s="10">
        <v>41775</v>
      </c>
      <c r="AB502" s="10">
        <v>41803</v>
      </c>
      <c r="AC502" s="10">
        <v>41803</v>
      </c>
    </row>
    <row r="503" spans="1:37">
      <c r="A503" s="7">
        <f t="shared" si="138"/>
        <v>0.5</v>
      </c>
      <c r="B503" s="7" t="str">
        <f t="shared" si="156"/>
        <v>14SS MRGM_01_BK</v>
      </c>
      <c r="C503" s="7">
        <f t="shared" si="139"/>
        <v>0.5</v>
      </c>
      <c r="D503" s="7" t="str">
        <f t="shared" si="157"/>
        <v>캡보이14SS MRGM_01_BK</v>
      </c>
      <c r="E503" s="12" t="str">
        <f t="shared" si="158"/>
        <v>201401</v>
      </c>
      <c r="F503" s="347" t="str">
        <f>VLOOKUP($AA503,[3]주!$A:$F,6,FALSE)</f>
        <v>1월 3주</v>
      </c>
      <c r="G503" s="7">
        <f t="shared" si="140"/>
        <v>0.5</v>
      </c>
      <c r="H503" s="7" t="str">
        <f t="shared" si="159"/>
        <v>14SS MRGM_01_BK</v>
      </c>
      <c r="I503" s="7">
        <f t="shared" si="141"/>
        <v>0.5</v>
      </c>
      <c r="J503" s="7" t="str">
        <f t="shared" si="160"/>
        <v>캡보이14SS MRGM_01_BK</v>
      </c>
      <c r="K503" s="17">
        <f t="shared" si="161"/>
        <v>41697</v>
      </c>
      <c r="L503" s="12" t="str">
        <f t="shared" si="162"/>
        <v>201402</v>
      </c>
      <c r="M503" s="347" t="str">
        <f>VLOOKUP($K503,[3]주!$A:$F,6,FALSE)</f>
        <v>2월 4주</v>
      </c>
      <c r="N503" s="273" t="str">
        <f>IF(VLOOKUP($Z503,생산업체!$A:$C,2,FALSE)=1,"해외","국내")</f>
        <v>국내</v>
      </c>
      <c r="O503" s="12" t="str">
        <f>IF(VLOOKUP($U503,CODE!$K:$P,CODE!P$1,FALSE)="모자",T503,T503&amp;"-"&amp;VLOOKUP($U503,CODE!$K:$P,CODE!P$1,FALSE))</f>
        <v>MR.REAL GOODMAN</v>
      </c>
      <c r="P503" s="11" t="s">
        <v>2006</v>
      </c>
      <c r="R503" s="11">
        <v>1</v>
      </c>
      <c r="T503" s="8" t="s">
        <v>2006</v>
      </c>
      <c r="U503" s="8" t="s">
        <v>50</v>
      </c>
      <c r="V503" s="8" t="s">
        <v>43</v>
      </c>
      <c r="W503" s="8" t="s">
        <v>2007</v>
      </c>
      <c r="X503" s="8" t="s">
        <v>900</v>
      </c>
      <c r="Y503" s="9">
        <v>0.5</v>
      </c>
      <c r="Z503" s="8" t="s">
        <v>49</v>
      </c>
      <c r="AA503" s="10">
        <v>41656</v>
      </c>
      <c r="AB503" s="10">
        <v>41677</v>
      </c>
      <c r="AC503" s="10">
        <v>41695</v>
      </c>
      <c r="AD503" s="10">
        <v>41697</v>
      </c>
      <c r="AK503" s="8" t="s">
        <v>1394</v>
      </c>
    </row>
    <row r="504" spans="1:37">
      <c r="A504" s="7">
        <f t="shared" si="138"/>
        <v>0.5</v>
      </c>
      <c r="B504" s="7" t="str">
        <f t="shared" si="156"/>
        <v>14SS MRGM_02_GY</v>
      </c>
      <c r="C504" s="7">
        <f t="shared" si="139"/>
        <v>0.5</v>
      </c>
      <c r="D504" s="7" t="str">
        <f t="shared" si="157"/>
        <v>캡보이14SS MRGM_02_GY</v>
      </c>
      <c r="E504" s="12" t="str">
        <f t="shared" si="158"/>
        <v>201401</v>
      </c>
      <c r="F504" s="347" t="str">
        <f>VLOOKUP($AA504,[3]주!$A:$F,6,FALSE)</f>
        <v>1월 3주</v>
      </c>
      <c r="G504" s="7">
        <f t="shared" si="140"/>
        <v>0.5</v>
      </c>
      <c r="H504" s="7" t="str">
        <f t="shared" si="159"/>
        <v>14SS MRGM_02_GY</v>
      </c>
      <c r="I504" s="7">
        <f t="shared" si="141"/>
        <v>0.5</v>
      </c>
      <c r="J504" s="7" t="str">
        <f t="shared" si="160"/>
        <v>캡보이14SS MRGM_02_GY</v>
      </c>
      <c r="K504" s="17">
        <f t="shared" si="161"/>
        <v>41697</v>
      </c>
      <c r="L504" s="12" t="str">
        <f t="shared" si="162"/>
        <v>201402</v>
      </c>
      <c r="M504" s="347" t="str">
        <f>VLOOKUP($K504,[3]주!$A:$F,6,FALSE)</f>
        <v>2월 4주</v>
      </c>
      <c r="N504" s="273" t="str">
        <f>IF(VLOOKUP($Z504,생산업체!$A:$C,2,FALSE)=1,"해외","국내")</f>
        <v>국내</v>
      </c>
      <c r="O504" s="12" t="str">
        <f>IF(VLOOKUP($U504,CODE!$K:$P,CODE!P$1,FALSE)="모자",T504,T504&amp;"-"&amp;VLOOKUP($U504,CODE!$K:$P,CODE!P$1,FALSE))</f>
        <v>MR.REAL GOODMAN</v>
      </c>
      <c r="P504" s="11" t="s">
        <v>2006</v>
      </c>
      <c r="R504" s="11">
        <v>2</v>
      </c>
      <c r="T504" s="8" t="s">
        <v>2006</v>
      </c>
      <c r="U504" s="8" t="s">
        <v>50</v>
      </c>
      <c r="V504" s="8" t="s">
        <v>43</v>
      </c>
      <c r="W504" s="8" t="s">
        <v>2008</v>
      </c>
      <c r="X504" s="8" t="s">
        <v>900</v>
      </c>
      <c r="Y504" s="9">
        <v>0.5</v>
      </c>
      <c r="Z504" s="8" t="s">
        <v>49</v>
      </c>
      <c r="AA504" s="10">
        <v>41656</v>
      </c>
      <c r="AB504" s="10">
        <v>41677</v>
      </c>
      <c r="AC504" s="10">
        <v>41695</v>
      </c>
      <c r="AD504" s="10">
        <v>41697</v>
      </c>
      <c r="AK504" s="8" t="s">
        <v>1394</v>
      </c>
    </row>
    <row r="505" spans="1:37">
      <c r="A505" s="7">
        <f t="shared" si="138"/>
        <v>1</v>
      </c>
      <c r="B505" s="7" t="str">
        <f t="shared" si="156"/>
        <v>14SS MRGM_06_BG</v>
      </c>
      <c r="C505" s="7">
        <f t="shared" si="139"/>
        <v>1</v>
      </c>
      <c r="D505" s="7" t="str">
        <f t="shared" si="157"/>
        <v>캡보이14SS MRGM_06_BG</v>
      </c>
      <c r="E505" s="12" t="str">
        <f t="shared" si="158"/>
        <v>201401</v>
      </c>
      <c r="F505" s="347" t="str">
        <f>VLOOKUP($AA505,[3]주!$A:$F,6,FALSE)</f>
        <v>1월 3주</v>
      </c>
      <c r="G505" s="7">
        <f t="shared" si="140"/>
        <v>1</v>
      </c>
      <c r="H505" s="7" t="str">
        <f t="shared" si="159"/>
        <v>14SS MRGM_06_BG</v>
      </c>
      <c r="I505" s="7">
        <f t="shared" si="141"/>
        <v>1</v>
      </c>
      <c r="J505" s="7" t="str">
        <f t="shared" si="160"/>
        <v>캡보이14SS MRGM_06_BG</v>
      </c>
      <c r="K505" s="17">
        <f t="shared" si="161"/>
        <v>41697</v>
      </c>
      <c r="L505" s="12" t="str">
        <f t="shared" si="162"/>
        <v>201402</v>
      </c>
      <c r="M505" s="347" t="str">
        <f>VLOOKUP($K505,[3]주!$A:$F,6,FALSE)</f>
        <v>2월 4주</v>
      </c>
      <c r="N505" s="273" t="str">
        <f>IF(VLOOKUP($Z505,생산업체!$A:$C,2,FALSE)=1,"해외","국내")</f>
        <v>국내</v>
      </c>
      <c r="O505" s="12" t="str">
        <f>IF(VLOOKUP($U505,CODE!$K:$P,CODE!P$1,FALSE)="모자",T505,T505&amp;"-"&amp;VLOOKUP($U505,CODE!$K:$P,CODE!P$1,FALSE))</f>
        <v>MR.REAL GOODMAN</v>
      </c>
      <c r="P505" s="11" t="s">
        <v>2006</v>
      </c>
      <c r="R505" s="11">
        <v>3</v>
      </c>
      <c r="T505" s="8" t="s">
        <v>2006</v>
      </c>
      <c r="U505" s="8" t="s">
        <v>50</v>
      </c>
      <c r="V505" s="8" t="s">
        <v>43</v>
      </c>
      <c r="W505" s="8" t="s">
        <v>2009</v>
      </c>
      <c r="X505" s="8" t="s">
        <v>900</v>
      </c>
      <c r="Y505" s="9">
        <v>1</v>
      </c>
      <c r="Z505" s="8" t="s">
        <v>49</v>
      </c>
      <c r="AA505" s="10">
        <v>41656</v>
      </c>
      <c r="AB505" s="10">
        <v>41677</v>
      </c>
      <c r="AC505" s="10">
        <v>41695</v>
      </c>
      <c r="AD505" s="10">
        <v>41697</v>
      </c>
      <c r="AE505" s="8">
        <v>6.95</v>
      </c>
      <c r="AK505" s="8" t="s">
        <v>1394</v>
      </c>
    </row>
    <row r="506" spans="1:37">
      <c r="A506" s="7">
        <f t="shared" si="138"/>
        <v>1</v>
      </c>
      <c r="B506" s="7" t="str">
        <f t="shared" si="156"/>
        <v>14SS MRGM_07_GY</v>
      </c>
      <c r="C506" s="7">
        <f t="shared" si="139"/>
        <v>1</v>
      </c>
      <c r="D506" s="7" t="str">
        <f t="shared" si="157"/>
        <v>캡보이14SS MRGM_07_GY</v>
      </c>
      <c r="E506" s="12" t="str">
        <f t="shared" si="158"/>
        <v>201401</v>
      </c>
      <c r="F506" s="347" t="str">
        <f>VLOOKUP($AA506,[3]주!$A:$F,6,FALSE)</f>
        <v>1월 3주</v>
      </c>
      <c r="G506" s="7">
        <f t="shared" si="140"/>
        <v>1</v>
      </c>
      <c r="H506" s="7" t="str">
        <f t="shared" si="159"/>
        <v>14SS MRGM_07_GY</v>
      </c>
      <c r="I506" s="7">
        <f t="shared" si="141"/>
        <v>1</v>
      </c>
      <c r="J506" s="7" t="str">
        <f t="shared" si="160"/>
        <v>캡보이14SS MRGM_07_GY</v>
      </c>
      <c r="K506" s="17">
        <f t="shared" si="161"/>
        <v>41697</v>
      </c>
      <c r="L506" s="12" t="str">
        <f t="shared" si="162"/>
        <v>201402</v>
      </c>
      <c r="M506" s="347" t="str">
        <f>VLOOKUP($K506,[3]주!$A:$F,6,FALSE)</f>
        <v>2월 4주</v>
      </c>
      <c r="N506" s="273" t="str">
        <f>IF(VLOOKUP($Z506,생산업체!$A:$C,2,FALSE)=1,"해외","국내")</f>
        <v>국내</v>
      </c>
      <c r="O506" s="12" t="str">
        <f>IF(VLOOKUP($U506,CODE!$K:$P,CODE!P$1,FALSE)="모자",T506,T506&amp;"-"&amp;VLOOKUP($U506,CODE!$K:$P,CODE!P$1,FALSE))</f>
        <v>MR.REAL GOODMAN</v>
      </c>
      <c r="P506" s="11" t="s">
        <v>2006</v>
      </c>
      <c r="R506" s="11">
        <v>4</v>
      </c>
      <c r="T506" s="8" t="s">
        <v>2006</v>
      </c>
      <c r="U506" s="8" t="s">
        <v>50</v>
      </c>
      <c r="V506" s="8" t="s">
        <v>43</v>
      </c>
      <c r="W506" s="8" t="s">
        <v>2010</v>
      </c>
      <c r="X506" s="8" t="s">
        <v>900</v>
      </c>
      <c r="Y506" s="9">
        <v>1</v>
      </c>
      <c r="Z506" s="8" t="s">
        <v>49</v>
      </c>
      <c r="AA506" s="10">
        <v>41656</v>
      </c>
      <c r="AB506" s="10">
        <v>41677</v>
      </c>
      <c r="AC506" s="10">
        <v>41695</v>
      </c>
      <c r="AD506" s="10">
        <v>41697</v>
      </c>
      <c r="AE506" s="8">
        <v>7.2</v>
      </c>
      <c r="AK506" s="8" t="s">
        <v>1394</v>
      </c>
    </row>
    <row r="507" spans="1:37">
      <c r="A507" s="7">
        <f t="shared" si="138"/>
        <v>1</v>
      </c>
      <c r="B507" s="7" t="str">
        <f t="shared" si="156"/>
        <v>14SS MRGM_10_BK</v>
      </c>
      <c r="C507" s="7">
        <f t="shared" si="139"/>
        <v>1</v>
      </c>
      <c r="D507" s="7" t="str">
        <f t="shared" si="157"/>
        <v>캡보이14SS MRGM_10_BK</v>
      </c>
      <c r="E507" s="12" t="str">
        <f t="shared" si="158"/>
        <v>201401</v>
      </c>
      <c r="F507" s="347" t="str">
        <f>VLOOKUP($AA507,[3]주!$A:$F,6,FALSE)</f>
        <v>1월 3주</v>
      </c>
      <c r="G507" s="7">
        <f t="shared" si="140"/>
        <v>1</v>
      </c>
      <c r="H507" s="7" t="str">
        <f t="shared" si="159"/>
        <v>14SS MRGM_10_BK</v>
      </c>
      <c r="I507" s="7">
        <f t="shared" si="141"/>
        <v>1</v>
      </c>
      <c r="J507" s="7" t="str">
        <f t="shared" si="160"/>
        <v>캡보이14SS MRGM_10_BK</v>
      </c>
      <c r="K507" s="17">
        <f t="shared" si="161"/>
        <v>41697</v>
      </c>
      <c r="L507" s="12" t="str">
        <f t="shared" si="162"/>
        <v>201402</v>
      </c>
      <c r="M507" s="347" t="str">
        <f>VLOOKUP($K507,[3]주!$A:$F,6,FALSE)</f>
        <v>2월 4주</v>
      </c>
      <c r="N507" s="273" t="str">
        <f>IF(VLOOKUP($Z507,생산업체!$A:$C,2,FALSE)=1,"해외","국내")</f>
        <v>국내</v>
      </c>
      <c r="O507" s="12" t="str">
        <f>IF(VLOOKUP($U507,CODE!$K:$P,CODE!P$1,FALSE)="모자",T507,T507&amp;"-"&amp;VLOOKUP($U507,CODE!$K:$P,CODE!P$1,FALSE))</f>
        <v>MR.REAL GOODMAN</v>
      </c>
      <c r="P507" s="11" t="s">
        <v>2006</v>
      </c>
      <c r="R507" s="11">
        <v>5</v>
      </c>
      <c r="T507" s="8" t="s">
        <v>2006</v>
      </c>
      <c r="U507" s="8" t="s">
        <v>50</v>
      </c>
      <c r="V507" s="8" t="s">
        <v>43</v>
      </c>
      <c r="W507" s="8" t="s">
        <v>2011</v>
      </c>
      <c r="X507" s="8" t="s">
        <v>900</v>
      </c>
      <c r="Y507" s="9">
        <v>1</v>
      </c>
      <c r="Z507" s="8" t="s">
        <v>49</v>
      </c>
      <c r="AA507" s="10">
        <v>41656</v>
      </c>
      <c r="AB507" s="10">
        <v>41677</v>
      </c>
      <c r="AC507" s="10">
        <v>41695</v>
      </c>
      <c r="AD507" s="10">
        <v>41697</v>
      </c>
      <c r="AE507" s="8">
        <v>6.65</v>
      </c>
      <c r="AK507" s="8" t="s">
        <v>1394</v>
      </c>
    </row>
    <row r="508" spans="1:37">
      <c r="A508" s="7">
        <f t="shared" si="138"/>
        <v>0.5</v>
      </c>
      <c r="B508" s="7" t="str">
        <f t="shared" si="156"/>
        <v>14SS MRGM_11_CHA</v>
      </c>
      <c r="C508" s="7">
        <f t="shared" si="139"/>
        <v>0.5</v>
      </c>
      <c r="D508" s="7" t="str">
        <f t="shared" si="157"/>
        <v>캡보이14SS MRGM_11_CHA</v>
      </c>
      <c r="E508" s="12" t="str">
        <f t="shared" si="158"/>
        <v>201401</v>
      </c>
      <c r="F508" s="347" t="str">
        <f>VLOOKUP($AA508,[3]주!$A:$F,6,FALSE)</f>
        <v>1월 3주</v>
      </c>
      <c r="G508" s="7">
        <f t="shared" si="140"/>
        <v>0.5</v>
      </c>
      <c r="H508" s="7" t="str">
        <f t="shared" si="159"/>
        <v>14SS MRGM_11_CHA</v>
      </c>
      <c r="I508" s="7">
        <f t="shared" si="141"/>
        <v>0.5</v>
      </c>
      <c r="J508" s="7" t="str">
        <f t="shared" si="160"/>
        <v>캡보이14SS MRGM_11_CHA</v>
      </c>
      <c r="K508" s="17">
        <f t="shared" si="161"/>
        <v>41697</v>
      </c>
      <c r="L508" s="12" t="str">
        <f t="shared" si="162"/>
        <v>201402</v>
      </c>
      <c r="M508" s="347" t="str">
        <f>VLOOKUP($K508,[3]주!$A:$F,6,FALSE)</f>
        <v>2월 4주</v>
      </c>
      <c r="N508" s="273" t="str">
        <f>IF(VLOOKUP($Z508,생산업체!$A:$C,2,FALSE)=1,"해외","국내")</f>
        <v>국내</v>
      </c>
      <c r="O508" s="12" t="str">
        <f>IF(VLOOKUP($U508,CODE!$K:$P,CODE!P$1,FALSE)="모자",T508,T508&amp;"-"&amp;VLOOKUP($U508,CODE!$K:$P,CODE!P$1,FALSE))</f>
        <v>MR.REAL GOODMAN</v>
      </c>
      <c r="P508" s="11" t="s">
        <v>2006</v>
      </c>
      <c r="R508" s="11">
        <v>6</v>
      </c>
      <c r="T508" s="8" t="s">
        <v>2006</v>
      </c>
      <c r="U508" s="8" t="s">
        <v>50</v>
      </c>
      <c r="V508" s="8" t="s">
        <v>43</v>
      </c>
      <c r="W508" s="8" t="s">
        <v>2012</v>
      </c>
      <c r="X508" s="8" t="s">
        <v>900</v>
      </c>
      <c r="Y508" s="9">
        <v>0.5</v>
      </c>
      <c r="Z508" s="8" t="s">
        <v>49</v>
      </c>
      <c r="AA508" s="10">
        <v>41656</v>
      </c>
      <c r="AB508" s="10">
        <v>41677</v>
      </c>
      <c r="AC508" s="10">
        <v>41695</v>
      </c>
      <c r="AD508" s="10">
        <v>41697</v>
      </c>
      <c r="AK508" s="8" t="s">
        <v>1394</v>
      </c>
    </row>
    <row r="509" spans="1:37">
      <c r="A509" s="7">
        <f t="shared" si="138"/>
        <v>1</v>
      </c>
      <c r="B509" s="7" t="str">
        <f t="shared" si="156"/>
        <v>14SS MRGM_12_WH</v>
      </c>
      <c r="C509" s="7">
        <f t="shared" si="139"/>
        <v>1</v>
      </c>
      <c r="D509" s="7" t="str">
        <f t="shared" si="157"/>
        <v>캡보이14SS MRGM_12_WH</v>
      </c>
      <c r="E509" s="12" t="str">
        <f t="shared" si="158"/>
        <v>201401</v>
      </c>
      <c r="F509" s="347" t="str">
        <f>VLOOKUP($AA509,[3]주!$A:$F,6,FALSE)</f>
        <v>1월 3주</v>
      </c>
      <c r="G509" s="7">
        <f t="shared" si="140"/>
        <v>1</v>
      </c>
      <c r="H509" s="7" t="str">
        <f t="shared" si="159"/>
        <v>14SS MRGM_12_WH</v>
      </c>
      <c r="I509" s="7">
        <f t="shared" si="141"/>
        <v>1</v>
      </c>
      <c r="J509" s="7" t="str">
        <f t="shared" si="160"/>
        <v>캡보이14SS MRGM_12_WH</v>
      </c>
      <c r="K509" s="17">
        <f t="shared" si="161"/>
        <v>41697</v>
      </c>
      <c r="L509" s="12" t="str">
        <f t="shared" si="162"/>
        <v>201402</v>
      </c>
      <c r="M509" s="347" t="str">
        <f>VLOOKUP($K509,[3]주!$A:$F,6,FALSE)</f>
        <v>2월 4주</v>
      </c>
      <c r="N509" s="273" t="str">
        <f>IF(VLOOKUP($Z509,생산업체!$A:$C,2,FALSE)=1,"해외","국내")</f>
        <v>국내</v>
      </c>
      <c r="O509" s="12" t="str">
        <f>IF(VLOOKUP($U509,CODE!$K:$P,CODE!P$1,FALSE)="모자",T509,T509&amp;"-"&amp;VLOOKUP($U509,CODE!$K:$P,CODE!P$1,FALSE))</f>
        <v>MR.REAL GOODMAN</v>
      </c>
      <c r="P509" s="11" t="s">
        <v>2006</v>
      </c>
      <c r="R509" s="11">
        <v>7</v>
      </c>
      <c r="T509" s="8" t="s">
        <v>2006</v>
      </c>
      <c r="U509" s="8" t="s">
        <v>50</v>
      </c>
      <c r="V509" s="8" t="s">
        <v>43</v>
      </c>
      <c r="W509" s="8" t="s">
        <v>2013</v>
      </c>
      <c r="X509" s="8" t="s">
        <v>900</v>
      </c>
      <c r="Y509" s="9">
        <v>1</v>
      </c>
      <c r="Z509" s="8" t="s">
        <v>49</v>
      </c>
      <c r="AA509" s="10">
        <v>41656</v>
      </c>
      <c r="AB509" s="10">
        <v>41677</v>
      </c>
      <c r="AC509" s="10">
        <v>41695</v>
      </c>
      <c r="AD509" s="10">
        <v>41697</v>
      </c>
      <c r="AE509" s="8">
        <v>6.45</v>
      </c>
      <c r="AF509" s="8">
        <v>10622</v>
      </c>
      <c r="AK509" s="8" t="s">
        <v>1394</v>
      </c>
    </row>
    <row r="510" spans="1:37">
      <c r="A510" s="7">
        <f t="shared" si="138"/>
        <v>1</v>
      </c>
      <c r="B510" s="7" t="str">
        <f t="shared" si="156"/>
        <v>14SS MRGM_18_GY</v>
      </c>
      <c r="C510" s="7">
        <f t="shared" si="139"/>
        <v>1</v>
      </c>
      <c r="D510" s="7" t="str">
        <f t="shared" si="157"/>
        <v>캡보이14SS MRGM_18_GY</v>
      </c>
      <c r="E510" s="12" t="str">
        <f t="shared" si="158"/>
        <v>201401</v>
      </c>
      <c r="F510" s="347" t="str">
        <f>VLOOKUP($AA510,[3]주!$A:$F,6,FALSE)</f>
        <v>1월 3주</v>
      </c>
      <c r="G510" s="7">
        <f t="shared" si="140"/>
        <v>1</v>
      </c>
      <c r="H510" s="7" t="str">
        <f t="shared" si="159"/>
        <v>14SS MRGM_18_GY</v>
      </c>
      <c r="I510" s="7">
        <f t="shared" si="141"/>
        <v>1</v>
      </c>
      <c r="J510" s="7" t="str">
        <f t="shared" si="160"/>
        <v>캡보이14SS MRGM_18_GY</v>
      </c>
      <c r="K510" s="17">
        <f t="shared" si="161"/>
        <v>41697</v>
      </c>
      <c r="L510" s="12" t="str">
        <f t="shared" si="162"/>
        <v>201402</v>
      </c>
      <c r="M510" s="347" t="str">
        <f>VLOOKUP($K510,[3]주!$A:$F,6,FALSE)</f>
        <v>2월 4주</v>
      </c>
      <c r="N510" s="273" t="str">
        <f>IF(VLOOKUP($Z510,생산업체!$A:$C,2,FALSE)=1,"해외","국내")</f>
        <v>국내</v>
      </c>
      <c r="O510" s="12" t="str">
        <f>IF(VLOOKUP($U510,CODE!$K:$P,CODE!P$1,FALSE)="모자",T510,T510&amp;"-"&amp;VLOOKUP($U510,CODE!$K:$P,CODE!P$1,FALSE))</f>
        <v>MR.REAL GOODMAN</v>
      </c>
      <c r="P510" s="11" t="s">
        <v>2006</v>
      </c>
      <c r="R510" s="11">
        <v>8</v>
      </c>
      <c r="T510" s="8" t="s">
        <v>2006</v>
      </c>
      <c r="U510" s="8" t="s">
        <v>50</v>
      </c>
      <c r="V510" s="8" t="s">
        <v>43</v>
      </c>
      <c r="W510" s="8" t="s">
        <v>2014</v>
      </c>
      <c r="X510" s="8" t="s">
        <v>900</v>
      </c>
      <c r="Y510" s="9">
        <v>1</v>
      </c>
      <c r="Z510" s="8" t="s">
        <v>49</v>
      </c>
      <c r="AA510" s="10">
        <v>41656</v>
      </c>
      <c r="AB510" s="10">
        <v>41677</v>
      </c>
      <c r="AC510" s="10">
        <v>41695</v>
      </c>
      <c r="AD510" s="10">
        <v>41697</v>
      </c>
      <c r="AF510" s="8">
        <v>12254</v>
      </c>
      <c r="AK510" s="8" t="s">
        <v>1394</v>
      </c>
    </row>
    <row r="511" spans="1:37">
      <c r="A511" s="7">
        <f t="shared" si="138"/>
        <v>0.5</v>
      </c>
      <c r="B511" s="7" t="str">
        <f t="shared" si="156"/>
        <v>14SS MRGM_05_D.GR</v>
      </c>
      <c r="C511" s="7">
        <f t="shared" si="139"/>
        <v>0.5</v>
      </c>
      <c r="D511" s="7" t="str">
        <f t="shared" si="157"/>
        <v>동일모자14SS MRGM_05_D.GR</v>
      </c>
      <c r="E511" s="12" t="str">
        <f t="shared" si="158"/>
        <v>201402</v>
      </c>
      <c r="F511" s="347" t="str">
        <f>VLOOKUP($AA511,[3]주!$A:$F,6,FALSE)</f>
        <v>2월 2주</v>
      </c>
      <c r="G511" s="7">
        <f t="shared" si="140"/>
        <v>0.5</v>
      </c>
      <c r="H511" s="7" t="str">
        <f t="shared" si="159"/>
        <v>14SS MRGM_05_D.GR</v>
      </c>
      <c r="I511" s="7">
        <f t="shared" si="141"/>
        <v>0.5</v>
      </c>
      <c r="J511" s="7" t="str">
        <f t="shared" si="160"/>
        <v>동일모자14SS MRGM_05_D.GR</v>
      </c>
      <c r="K511" s="17">
        <f t="shared" si="161"/>
        <v>41691</v>
      </c>
      <c r="L511" s="12" t="str">
        <f t="shared" si="162"/>
        <v>201402</v>
      </c>
      <c r="M511" s="347" t="str">
        <f>VLOOKUP($K511,[3]주!$A:$F,6,FALSE)</f>
        <v>2월 3주</v>
      </c>
      <c r="N511" s="273" t="str">
        <f>IF(VLOOKUP($Z511,생산업체!$A:$C,2,FALSE)=1,"해외","국내")</f>
        <v>해외</v>
      </c>
      <c r="O511" s="12" t="str">
        <f>IF(VLOOKUP($U511,CODE!$K:$P,CODE!P$1,FALSE)="모자",T511,T511&amp;"-"&amp;VLOOKUP($U511,CODE!$K:$P,CODE!P$1,FALSE))</f>
        <v>MR.REAL GOODMAN</v>
      </c>
      <c r="P511" s="11" t="s">
        <v>2006</v>
      </c>
      <c r="R511" s="11">
        <v>9</v>
      </c>
      <c r="T511" s="8" t="s">
        <v>2006</v>
      </c>
      <c r="U511" s="8" t="s">
        <v>50</v>
      </c>
      <c r="V511" s="8" t="s">
        <v>43</v>
      </c>
      <c r="W511" s="8" t="s">
        <v>2015</v>
      </c>
      <c r="X511" s="8" t="s">
        <v>900</v>
      </c>
      <c r="Y511" s="9">
        <v>0.5</v>
      </c>
      <c r="Z511" s="8" t="s">
        <v>44</v>
      </c>
      <c r="AA511" s="10">
        <v>41680</v>
      </c>
      <c r="AB511" s="10">
        <v>41708</v>
      </c>
      <c r="AC511" s="10">
        <v>41698</v>
      </c>
      <c r="AD511" s="10">
        <v>41691</v>
      </c>
      <c r="AH511" s="8">
        <v>2</v>
      </c>
      <c r="AI511" s="8" t="s">
        <v>87</v>
      </c>
      <c r="AK511" s="8" t="s">
        <v>2016</v>
      </c>
    </row>
    <row r="512" spans="1:37">
      <c r="A512" s="7">
        <f t="shared" si="138"/>
        <v>1</v>
      </c>
      <c r="B512" s="7" t="str">
        <f t="shared" si="156"/>
        <v>14SS MRGM_08_D.GY</v>
      </c>
      <c r="C512" s="7">
        <f t="shared" si="139"/>
        <v>1</v>
      </c>
      <c r="D512" s="7" t="str">
        <f t="shared" si="157"/>
        <v>동일모자14SS MRGM_08_D.GY</v>
      </c>
      <c r="E512" s="12" t="str">
        <f t="shared" si="158"/>
        <v>201402</v>
      </c>
      <c r="F512" s="347" t="str">
        <f>VLOOKUP($AA512,[3]주!$A:$F,6,FALSE)</f>
        <v>2월 2주</v>
      </c>
      <c r="G512" s="7">
        <f t="shared" si="140"/>
        <v>1</v>
      </c>
      <c r="H512" s="7" t="str">
        <f t="shared" si="159"/>
        <v>14SS MRGM_08_D.GY</v>
      </c>
      <c r="I512" s="7">
        <f t="shared" si="141"/>
        <v>1</v>
      </c>
      <c r="J512" s="7" t="str">
        <f t="shared" si="160"/>
        <v>동일모자14SS MRGM_08_D.GY</v>
      </c>
      <c r="K512" s="17">
        <f t="shared" si="161"/>
        <v>41691</v>
      </c>
      <c r="L512" s="12" t="str">
        <f t="shared" si="162"/>
        <v>201402</v>
      </c>
      <c r="M512" s="347" t="str">
        <f>VLOOKUP($K512,[3]주!$A:$F,6,FALSE)</f>
        <v>2월 3주</v>
      </c>
      <c r="N512" s="273" t="str">
        <f>IF(VLOOKUP($Z512,생산업체!$A:$C,2,FALSE)=1,"해외","국내")</f>
        <v>해외</v>
      </c>
      <c r="O512" s="12" t="str">
        <f>IF(VLOOKUP($U512,CODE!$K:$P,CODE!P$1,FALSE)="모자",T512,T512&amp;"-"&amp;VLOOKUP($U512,CODE!$K:$P,CODE!P$1,FALSE))</f>
        <v>MR.REAL GOODMAN</v>
      </c>
      <c r="P512" s="11" t="s">
        <v>2006</v>
      </c>
      <c r="R512" s="11">
        <v>10</v>
      </c>
      <c r="T512" s="8" t="s">
        <v>2006</v>
      </c>
      <c r="U512" s="8" t="s">
        <v>50</v>
      </c>
      <c r="V512" s="8" t="s">
        <v>43</v>
      </c>
      <c r="W512" s="8" t="s">
        <v>2017</v>
      </c>
      <c r="X512" s="8" t="s">
        <v>900</v>
      </c>
      <c r="Y512" s="9">
        <v>1</v>
      </c>
      <c r="Z512" s="8" t="s">
        <v>44</v>
      </c>
      <c r="AA512" s="10">
        <v>41680</v>
      </c>
      <c r="AB512" s="10">
        <v>41708</v>
      </c>
      <c r="AC512" s="10">
        <v>41698</v>
      </c>
      <c r="AD512" s="10">
        <v>41691</v>
      </c>
      <c r="AE512" s="8">
        <v>4.5</v>
      </c>
      <c r="AH512" s="8">
        <v>2</v>
      </c>
      <c r="AI512" s="8" t="s">
        <v>87</v>
      </c>
      <c r="AK512" s="8" t="s">
        <v>1395</v>
      </c>
    </row>
    <row r="513" spans="1:37">
      <c r="A513" s="7">
        <f t="shared" si="138"/>
        <v>1</v>
      </c>
      <c r="B513" s="7" t="str">
        <f t="shared" si="156"/>
        <v>14SS MRGM_09_KH</v>
      </c>
      <c r="C513" s="7">
        <f t="shared" si="139"/>
        <v>1</v>
      </c>
      <c r="D513" s="7" t="str">
        <f t="shared" si="157"/>
        <v>동일모자14SS MRGM_09_KH</v>
      </c>
      <c r="E513" s="12" t="str">
        <f t="shared" si="158"/>
        <v>201402</v>
      </c>
      <c r="F513" s="347" t="str">
        <f>VLOOKUP($AA513,[3]주!$A:$F,6,FALSE)</f>
        <v>2월 2주</v>
      </c>
      <c r="G513" s="7">
        <f t="shared" si="140"/>
        <v>1</v>
      </c>
      <c r="H513" s="7" t="str">
        <f t="shared" si="159"/>
        <v>14SS MRGM_09_KH</v>
      </c>
      <c r="I513" s="7">
        <f t="shared" si="141"/>
        <v>1</v>
      </c>
      <c r="J513" s="7" t="str">
        <f t="shared" si="160"/>
        <v>동일모자14SS MRGM_09_KH</v>
      </c>
      <c r="K513" s="17">
        <f t="shared" si="161"/>
        <v>41691</v>
      </c>
      <c r="L513" s="12" t="str">
        <f t="shared" si="162"/>
        <v>201402</v>
      </c>
      <c r="M513" s="347" t="str">
        <f>VLOOKUP($K513,[3]주!$A:$F,6,FALSE)</f>
        <v>2월 3주</v>
      </c>
      <c r="N513" s="273" t="str">
        <f>IF(VLOOKUP($Z513,생산업체!$A:$C,2,FALSE)=1,"해외","국내")</f>
        <v>해외</v>
      </c>
      <c r="O513" s="12" t="str">
        <f>IF(VLOOKUP($U513,CODE!$K:$P,CODE!P$1,FALSE)="모자",T513,T513&amp;"-"&amp;VLOOKUP($U513,CODE!$K:$P,CODE!P$1,FALSE))</f>
        <v>MR.REAL GOODMAN</v>
      </c>
      <c r="P513" s="11" t="s">
        <v>2006</v>
      </c>
      <c r="R513" s="11">
        <v>11</v>
      </c>
      <c r="T513" s="8" t="s">
        <v>2006</v>
      </c>
      <c r="U513" s="8" t="s">
        <v>50</v>
      </c>
      <c r="V513" s="8" t="s">
        <v>43</v>
      </c>
      <c r="W513" s="8" t="s">
        <v>2018</v>
      </c>
      <c r="X513" s="8" t="s">
        <v>900</v>
      </c>
      <c r="Y513" s="9">
        <v>1</v>
      </c>
      <c r="Z513" s="8" t="s">
        <v>44</v>
      </c>
      <c r="AA513" s="10">
        <v>41680</v>
      </c>
      <c r="AB513" s="10">
        <v>41708</v>
      </c>
      <c r="AC513" s="10">
        <v>41698</v>
      </c>
      <c r="AD513" s="10">
        <v>41691</v>
      </c>
      <c r="AH513" s="8">
        <v>3</v>
      </c>
      <c r="AI513" s="8" t="s">
        <v>87</v>
      </c>
      <c r="AK513" s="8" t="s">
        <v>1395</v>
      </c>
    </row>
    <row r="514" spans="1:37">
      <c r="A514" s="7">
        <f t="shared" ref="A514:A577" si="163">IF(B514="",0,1/COUNTIF(B:B,B514))</f>
        <v>1</v>
      </c>
      <c r="B514" s="7" t="str">
        <f t="shared" si="156"/>
        <v>14SS MRGM_13_BL</v>
      </c>
      <c r="C514" s="7">
        <f t="shared" ref="C514:C577" si="164">IF(D514="",0,1/COUNTIF(D:D,D514))</f>
        <v>1</v>
      </c>
      <c r="D514" s="7" t="str">
        <f t="shared" si="157"/>
        <v>동일모자14SS MRGM_13_BL</v>
      </c>
      <c r="E514" s="12" t="str">
        <f t="shared" si="158"/>
        <v>201402</v>
      </c>
      <c r="F514" s="347" t="str">
        <f>VLOOKUP($AA514,[3]주!$A:$F,6,FALSE)</f>
        <v>2월 2주</v>
      </c>
      <c r="G514" s="7">
        <f t="shared" ref="G514:G577" si="165">IF(H514="",0,1/COUNTIF(H:H,H514))</f>
        <v>1</v>
      </c>
      <c r="H514" s="7" t="str">
        <f t="shared" si="159"/>
        <v>14SS MRGM_13_BL</v>
      </c>
      <c r="I514" s="7">
        <f t="shared" ref="I514:I577" si="166">IF(J514="",0,1/COUNTIF(J:J,J514))</f>
        <v>1</v>
      </c>
      <c r="J514" s="7" t="str">
        <f t="shared" si="160"/>
        <v>동일모자14SS MRGM_13_BL</v>
      </c>
      <c r="K514" s="17">
        <f t="shared" si="161"/>
        <v>41691</v>
      </c>
      <c r="L514" s="12" t="str">
        <f t="shared" si="162"/>
        <v>201402</v>
      </c>
      <c r="M514" s="347" t="str">
        <f>VLOOKUP($K514,[3]주!$A:$F,6,FALSE)</f>
        <v>2월 3주</v>
      </c>
      <c r="N514" s="273" t="str">
        <f>IF(VLOOKUP($Z514,생산업체!$A:$C,2,FALSE)=1,"해외","국내")</f>
        <v>해외</v>
      </c>
      <c r="O514" s="12" t="str">
        <f>IF(VLOOKUP($U514,CODE!$K:$P,CODE!P$1,FALSE)="모자",T514,T514&amp;"-"&amp;VLOOKUP($U514,CODE!$K:$P,CODE!P$1,FALSE))</f>
        <v>MR.REAL GOODMAN</v>
      </c>
      <c r="P514" s="11" t="s">
        <v>2006</v>
      </c>
      <c r="R514" s="11">
        <v>12</v>
      </c>
      <c r="T514" s="8" t="s">
        <v>2006</v>
      </c>
      <c r="U514" s="8" t="s">
        <v>50</v>
      </c>
      <c r="V514" s="8" t="s">
        <v>43</v>
      </c>
      <c r="W514" s="8" t="s">
        <v>2019</v>
      </c>
      <c r="X514" s="8" t="s">
        <v>900</v>
      </c>
      <c r="Y514" s="9">
        <v>1</v>
      </c>
      <c r="Z514" s="8" t="s">
        <v>44</v>
      </c>
      <c r="AA514" s="10">
        <v>41680</v>
      </c>
      <c r="AB514" s="10">
        <v>41708</v>
      </c>
      <c r="AC514" s="10">
        <v>41698</v>
      </c>
      <c r="AD514" s="10">
        <v>41691</v>
      </c>
      <c r="AE514" s="8">
        <v>4.6500000000000004</v>
      </c>
      <c r="AH514" s="8">
        <v>3</v>
      </c>
      <c r="AI514" s="8" t="s">
        <v>87</v>
      </c>
      <c r="AK514" s="8" t="s">
        <v>1395</v>
      </c>
    </row>
    <row r="515" spans="1:37">
      <c r="A515" s="7">
        <f t="shared" si="163"/>
        <v>0.5</v>
      </c>
      <c r="B515" s="7" t="str">
        <f t="shared" si="156"/>
        <v>14SS MRGM_14_GY</v>
      </c>
      <c r="C515" s="7">
        <f t="shared" si="164"/>
        <v>0.5</v>
      </c>
      <c r="D515" s="7" t="str">
        <f t="shared" si="157"/>
        <v>동일모자14SS MRGM_14_GY</v>
      </c>
      <c r="E515" s="12" t="str">
        <f t="shared" si="158"/>
        <v>201402</v>
      </c>
      <c r="F515" s="347" t="str">
        <f>VLOOKUP($AA515,[3]주!$A:$F,6,FALSE)</f>
        <v>2월 2주</v>
      </c>
      <c r="G515" s="7">
        <f t="shared" si="165"/>
        <v>0.5</v>
      </c>
      <c r="H515" s="7" t="str">
        <f t="shared" si="159"/>
        <v>14SS MRGM_14_GY</v>
      </c>
      <c r="I515" s="7">
        <f t="shared" si="166"/>
        <v>0.5</v>
      </c>
      <c r="J515" s="7" t="str">
        <f t="shared" si="160"/>
        <v>동일모자14SS MRGM_14_GY</v>
      </c>
      <c r="K515" s="17">
        <f t="shared" si="161"/>
        <v>41691</v>
      </c>
      <c r="L515" s="12" t="str">
        <f t="shared" si="162"/>
        <v>201402</v>
      </c>
      <c r="M515" s="347" t="str">
        <f>VLOOKUP($K515,[3]주!$A:$F,6,FALSE)</f>
        <v>2월 3주</v>
      </c>
      <c r="N515" s="273" t="str">
        <f>IF(VLOOKUP($Z515,생산업체!$A:$C,2,FALSE)=1,"해외","국내")</f>
        <v>해외</v>
      </c>
      <c r="O515" s="12" t="str">
        <f>IF(VLOOKUP($U515,CODE!$K:$P,CODE!P$1,FALSE)="모자",T515,T515&amp;"-"&amp;VLOOKUP($U515,CODE!$K:$P,CODE!P$1,FALSE))</f>
        <v>MR.REAL GOODMAN</v>
      </c>
      <c r="P515" s="11" t="s">
        <v>2006</v>
      </c>
      <c r="R515" s="11">
        <v>13</v>
      </c>
      <c r="T515" s="8" t="s">
        <v>2006</v>
      </c>
      <c r="U515" s="8" t="s">
        <v>50</v>
      </c>
      <c r="V515" s="8" t="s">
        <v>43</v>
      </c>
      <c r="W515" s="8" t="s">
        <v>2020</v>
      </c>
      <c r="X515" s="8" t="s">
        <v>900</v>
      </c>
      <c r="Y515" s="9">
        <v>0.5</v>
      </c>
      <c r="Z515" s="8" t="s">
        <v>44</v>
      </c>
      <c r="AA515" s="10">
        <v>41680</v>
      </c>
      <c r="AB515" s="10">
        <v>41708</v>
      </c>
      <c r="AC515" s="10">
        <v>41698</v>
      </c>
      <c r="AD515" s="10">
        <v>41691</v>
      </c>
      <c r="AH515" s="8">
        <v>4</v>
      </c>
      <c r="AI515" s="8" t="s">
        <v>87</v>
      </c>
      <c r="AK515" s="8" t="s">
        <v>1395</v>
      </c>
    </row>
    <row r="516" spans="1:37">
      <c r="A516" s="7">
        <f t="shared" si="163"/>
        <v>0.5</v>
      </c>
      <c r="B516" s="7" t="str">
        <f t="shared" si="156"/>
        <v>14SS MRGM_16_GR</v>
      </c>
      <c r="C516" s="7">
        <f t="shared" si="164"/>
        <v>0.5</v>
      </c>
      <c r="D516" s="7" t="str">
        <f t="shared" si="157"/>
        <v>동일모자14SS MRGM_16_GR</v>
      </c>
      <c r="E516" s="12" t="str">
        <f t="shared" si="158"/>
        <v>201402</v>
      </c>
      <c r="F516" s="347" t="str">
        <f>VLOOKUP($AA516,[3]주!$A:$F,6,FALSE)</f>
        <v>2월 2주</v>
      </c>
      <c r="G516" s="7">
        <f t="shared" si="165"/>
        <v>0.5</v>
      </c>
      <c r="H516" s="7" t="str">
        <f t="shared" si="159"/>
        <v>14SS MRGM_16_GR</v>
      </c>
      <c r="I516" s="7">
        <f t="shared" si="166"/>
        <v>0.5</v>
      </c>
      <c r="J516" s="7" t="str">
        <f t="shared" si="160"/>
        <v>동일모자14SS MRGM_16_GR</v>
      </c>
      <c r="K516" s="17">
        <f t="shared" si="161"/>
        <v>41691</v>
      </c>
      <c r="L516" s="12" t="str">
        <f t="shared" si="162"/>
        <v>201402</v>
      </c>
      <c r="M516" s="347" t="str">
        <f>VLOOKUP($K516,[3]주!$A:$F,6,FALSE)</f>
        <v>2월 3주</v>
      </c>
      <c r="N516" s="273" t="str">
        <f>IF(VLOOKUP($Z516,생산업체!$A:$C,2,FALSE)=1,"해외","국내")</f>
        <v>해외</v>
      </c>
      <c r="O516" s="12" t="str">
        <f>IF(VLOOKUP($U516,CODE!$K:$P,CODE!P$1,FALSE)="모자",T516,T516&amp;"-"&amp;VLOOKUP($U516,CODE!$K:$P,CODE!P$1,FALSE))</f>
        <v>MR.REAL GOODMAN</v>
      </c>
      <c r="P516" s="11" t="s">
        <v>2006</v>
      </c>
      <c r="R516" s="11">
        <v>14</v>
      </c>
      <c r="T516" s="8" t="s">
        <v>2006</v>
      </c>
      <c r="U516" s="8" t="s">
        <v>50</v>
      </c>
      <c r="V516" s="8" t="s">
        <v>43</v>
      </c>
      <c r="W516" s="8" t="s">
        <v>2021</v>
      </c>
      <c r="X516" s="8" t="s">
        <v>900</v>
      </c>
      <c r="Y516" s="9">
        <v>0.5</v>
      </c>
      <c r="Z516" s="8" t="s">
        <v>44</v>
      </c>
      <c r="AA516" s="10">
        <v>41680</v>
      </c>
      <c r="AB516" s="10">
        <v>41708</v>
      </c>
      <c r="AC516" s="10">
        <v>41698</v>
      </c>
      <c r="AD516" s="10">
        <v>41691</v>
      </c>
      <c r="AH516" s="8">
        <v>2</v>
      </c>
      <c r="AI516" s="8" t="s">
        <v>87</v>
      </c>
      <c r="AK516" s="8" t="s">
        <v>1395</v>
      </c>
    </row>
    <row r="517" spans="1:37">
      <c r="A517" s="7">
        <f t="shared" si="163"/>
        <v>0.5</v>
      </c>
      <c r="B517" s="7" t="str">
        <f t="shared" si="156"/>
        <v>14SS MRGM_17_GY</v>
      </c>
      <c r="C517" s="7">
        <f t="shared" si="164"/>
        <v>0.5</v>
      </c>
      <c r="D517" s="7" t="str">
        <f t="shared" si="157"/>
        <v>동일모자14SS MRGM_17_GY</v>
      </c>
      <c r="E517" s="12" t="str">
        <f t="shared" si="158"/>
        <v>201402</v>
      </c>
      <c r="F517" s="347" t="str">
        <f>VLOOKUP($AA517,[3]주!$A:$F,6,FALSE)</f>
        <v>2월 2주</v>
      </c>
      <c r="G517" s="7">
        <f t="shared" si="165"/>
        <v>0.5</v>
      </c>
      <c r="H517" s="7" t="str">
        <f t="shared" si="159"/>
        <v>14SS MRGM_17_GY</v>
      </c>
      <c r="I517" s="7">
        <f t="shared" si="166"/>
        <v>0.5</v>
      </c>
      <c r="J517" s="7" t="str">
        <f t="shared" si="160"/>
        <v>동일모자14SS MRGM_17_GY</v>
      </c>
      <c r="K517" s="17">
        <f t="shared" si="161"/>
        <v>41691</v>
      </c>
      <c r="L517" s="12" t="str">
        <f t="shared" si="162"/>
        <v>201402</v>
      </c>
      <c r="M517" s="347" t="str">
        <f>VLOOKUP($K517,[3]주!$A:$F,6,FALSE)</f>
        <v>2월 3주</v>
      </c>
      <c r="N517" s="273" t="str">
        <f>IF(VLOOKUP($Z517,생산업체!$A:$C,2,FALSE)=1,"해외","국내")</f>
        <v>해외</v>
      </c>
      <c r="O517" s="12" t="str">
        <f>IF(VLOOKUP($U517,CODE!$K:$P,CODE!P$1,FALSE)="모자",T517,T517&amp;"-"&amp;VLOOKUP($U517,CODE!$K:$P,CODE!P$1,FALSE))</f>
        <v>MR.REAL GOODMAN</v>
      </c>
      <c r="P517" s="11" t="s">
        <v>2006</v>
      </c>
      <c r="R517" s="11">
        <v>15</v>
      </c>
      <c r="T517" s="8" t="s">
        <v>2006</v>
      </c>
      <c r="U517" s="8" t="s">
        <v>50</v>
      </c>
      <c r="V517" s="8" t="s">
        <v>43</v>
      </c>
      <c r="W517" s="8" t="s">
        <v>2022</v>
      </c>
      <c r="X517" s="8" t="s">
        <v>900</v>
      </c>
      <c r="Y517" s="9">
        <v>0.5</v>
      </c>
      <c r="Z517" s="8" t="s">
        <v>44</v>
      </c>
      <c r="AA517" s="10">
        <v>41680</v>
      </c>
      <c r="AB517" s="10">
        <v>41708</v>
      </c>
      <c r="AC517" s="10">
        <v>41698</v>
      </c>
      <c r="AD517" s="10">
        <v>41691</v>
      </c>
      <c r="AH517" s="8">
        <v>2</v>
      </c>
      <c r="AI517" s="8" t="s">
        <v>87</v>
      </c>
      <c r="AK517" s="8" t="s">
        <v>1395</v>
      </c>
    </row>
    <row r="518" spans="1:37">
      <c r="A518" s="7">
        <f t="shared" si="163"/>
        <v>1</v>
      </c>
      <c r="B518" s="7" t="str">
        <f t="shared" si="156"/>
        <v>14SS MRGM_03_NV</v>
      </c>
      <c r="C518" s="7">
        <f t="shared" si="164"/>
        <v>1</v>
      </c>
      <c r="D518" s="7" t="str">
        <f t="shared" si="157"/>
        <v>J&amp;F14SS MRGM_03_NV</v>
      </c>
      <c r="E518" s="12" t="str">
        <f t="shared" si="158"/>
        <v>201402</v>
      </c>
      <c r="F518" s="347" t="str">
        <f>VLOOKUP($AA518,[3]주!$A:$F,6,FALSE)</f>
        <v>2월 2주</v>
      </c>
      <c r="G518" s="7">
        <f t="shared" si="165"/>
        <v>1</v>
      </c>
      <c r="H518" s="7" t="str">
        <f t="shared" si="159"/>
        <v>14SS MRGM_03_NV</v>
      </c>
      <c r="I518" s="7">
        <f t="shared" si="166"/>
        <v>1</v>
      </c>
      <c r="J518" s="7" t="str">
        <f t="shared" si="160"/>
        <v>J&amp;F14SS MRGM_03_NV</v>
      </c>
      <c r="K518" s="17">
        <f t="shared" si="161"/>
        <v>41698</v>
      </c>
      <c r="L518" s="12" t="str">
        <f t="shared" si="162"/>
        <v>201402</v>
      </c>
      <c r="M518" s="347" t="str">
        <f>VLOOKUP($K518,[3]주!$A:$F,6,FALSE)</f>
        <v>2월 4주</v>
      </c>
      <c r="N518" s="273" t="str">
        <f>IF(VLOOKUP($Z518,생산업체!$A:$C,2,FALSE)=1,"해외","국내")</f>
        <v>해외</v>
      </c>
      <c r="O518" s="12" t="str">
        <f>IF(VLOOKUP($U518,CODE!$K:$P,CODE!P$1,FALSE)="모자",T518,T518&amp;"-"&amp;VLOOKUP($U518,CODE!$K:$P,CODE!P$1,FALSE))</f>
        <v>MR.REAL GOODMAN</v>
      </c>
      <c r="P518" s="11" t="s">
        <v>2006</v>
      </c>
      <c r="R518" s="11">
        <v>16</v>
      </c>
      <c r="T518" s="8" t="s">
        <v>2006</v>
      </c>
      <c r="U518" s="8" t="s">
        <v>50</v>
      </c>
      <c r="V518" s="8" t="s">
        <v>43</v>
      </c>
      <c r="W518" s="8" t="s">
        <v>2023</v>
      </c>
      <c r="X518" s="8" t="s">
        <v>900</v>
      </c>
      <c r="Y518" s="9">
        <v>1</v>
      </c>
      <c r="Z518" s="8" t="s">
        <v>1365</v>
      </c>
      <c r="AA518" s="10">
        <v>41680</v>
      </c>
      <c r="AB518" s="10">
        <v>41708</v>
      </c>
      <c r="AC518" s="10">
        <v>41701</v>
      </c>
      <c r="AD518" s="10">
        <v>41698</v>
      </c>
      <c r="AE518" s="8">
        <v>3.2</v>
      </c>
      <c r="AH518" s="8">
        <v>1</v>
      </c>
      <c r="AI518" s="8">
        <v>1</v>
      </c>
      <c r="AK518" s="8" t="s">
        <v>1397</v>
      </c>
    </row>
    <row r="519" spans="1:37">
      <c r="A519" s="7">
        <f t="shared" si="163"/>
        <v>1</v>
      </c>
      <c r="B519" s="7" t="str">
        <f t="shared" si="156"/>
        <v>14SS MRGM_04_D.GR</v>
      </c>
      <c r="C519" s="7">
        <f t="shared" si="164"/>
        <v>1</v>
      </c>
      <c r="D519" s="7" t="str">
        <f t="shared" si="157"/>
        <v>J&amp;F14SS MRGM_04_D.GR</v>
      </c>
      <c r="E519" s="12" t="str">
        <f t="shared" si="158"/>
        <v>201402</v>
      </c>
      <c r="F519" s="347" t="str">
        <f>VLOOKUP($AA519,[3]주!$A:$F,6,FALSE)</f>
        <v>2월 2주</v>
      </c>
      <c r="G519" s="7">
        <f t="shared" si="165"/>
        <v>1</v>
      </c>
      <c r="H519" s="7" t="str">
        <f t="shared" si="159"/>
        <v>14SS MRGM_04_D.GR</v>
      </c>
      <c r="I519" s="7">
        <f t="shared" si="166"/>
        <v>1</v>
      </c>
      <c r="J519" s="7" t="str">
        <f t="shared" si="160"/>
        <v>J&amp;F14SS MRGM_04_D.GR</v>
      </c>
      <c r="K519" s="17">
        <f t="shared" si="161"/>
        <v>41698</v>
      </c>
      <c r="L519" s="12" t="str">
        <f t="shared" si="162"/>
        <v>201402</v>
      </c>
      <c r="M519" s="347" t="str">
        <f>VLOOKUP($K519,[3]주!$A:$F,6,FALSE)</f>
        <v>2월 4주</v>
      </c>
      <c r="N519" s="273" t="str">
        <f>IF(VLOOKUP($Z519,생산업체!$A:$C,2,FALSE)=1,"해외","국내")</f>
        <v>해외</v>
      </c>
      <c r="O519" s="12" t="str">
        <f>IF(VLOOKUP($U519,CODE!$K:$P,CODE!P$1,FALSE)="모자",T519,T519&amp;"-"&amp;VLOOKUP($U519,CODE!$K:$P,CODE!P$1,FALSE))</f>
        <v>MR.REAL GOODMAN</v>
      </c>
      <c r="P519" s="11" t="s">
        <v>2006</v>
      </c>
      <c r="R519" s="11">
        <v>17</v>
      </c>
      <c r="T519" s="8" t="s">
        <v>2006</v>
      </c>
      <c r="U519" s="8" t="s">
        <v>50</v>
      </c>
      <c r="V519" s="8" t="s">
        <v>43</v>
      </c>
      <c r="W519" s="8" t="s">
        <v>2024</v>
      </c>
      <c r="X519" s="8" t="s">
        <v>900</v>
      </c>
      <c r="Y519" s="9">
        <v>1</v>
      </c>
      <c r="Z519" s="8" t="s">
        <v>1365</v>
      </c>
      <c r="AA519" s="10">
        <v>41680</v>
      </c>
      <c r="AB519" s="10">
        <v>41708</v>
      </c>
      <c r="AC519" s="10">
        <v>41701</v>
      </c>
      <c r="AD519" s="10">
        <v>41698</v>
      </c>
      <c r="AE519" s="8">
        <v>2.5499999999999998</v>
      </c>
      <c r="AH519" s="8">
        <v>1</v>
      </c>
      <c r="AI519" s="8" t="s">
        <v>87</v>
      </c>
      <c r="AK519" s="8" t="s">
        <v>1397</v>
      </c>
    </row>
    <row r="520" spans="1:37">
      <c r="A520" s="7">
        <f t="shared" si="163"/>
        <v>1</v>
      </c>
      <c r="B520" s="7" t="str">
        <f t="shared" si="156"/>
        <v>14SS MRGM_15_BK</v>
      </c>
      <c r="C520" s="7">
        <f t="shared" si="164"/>
        <v>1</v>
      </c>
      <c r="D520" s="7" t="str">
        <f t="shared" si="157"/>
        <v>J&amp;F14SS MRGM_15_BK</v>
      </c>
      <c r="E520" s="12" t="str">
        <f t="shared" si="158"/>
        <v>201402</v>
      </c>
      <c r="F520" s="347" t="str">
        <f>VLOOKUP($AA520,[3]주!$A:$F,6,FALSE)</f>
        <v>2월 2주</v>
      </c>
      <c r="G520" s="7">
        <f t="shared" si="165"/>
        <v>1</v>
      </c>
      <c r="H520" s="7" t="str">
        <f t="shared" si="159"/>
        <v>14SS MRGM_15_BK</v>
      </c>
      <c r="I520" s="7">
        <f t="shared" si="166"/>
        <v>1</v>
      </c>
      <c r="J520" s="7" t="str">
        <f t="shared" si="160"/>
        <v>J&amp;F14SS MRGM_15_BK</v>
      </c>
      <c r="K520" s="17">
        <f t="shared" si="161"/>
        <v>41698</v>
      </c>
      <c r="L520" s="12" t="str">
        <f t="shared" si="162"/>
        <v>201402</v>
      </c>
      <c r="M520" s="347" t="str">
        <f>VLOOKUP($K520,[3]주!$A:$F,6,FALSE)</f>
        <v>2월 4주</v>
      </c>
      <c r="N520" s="273" t="str">
        <f>IF(VLOOKUP($Z520,생산업체!$A:$C,2,FALSE)=1,"해외","국내")</f>
        <v>해외</v>
      </c>
      <c r="O520" s="12" t="str">
        <f>IF(VLOOKUP($U520,CODE!$K:$P,CODE!P$1,FALSE)="모자",T520,T520&amp;"-"&amp;VLOOKUP($U520,CODE!$K:$P,CODE!P$1,FALSE))</f>
        <v>MR.REAL GOODMAN</v>
      </c>
      <c r="P520" s="11" t="s">
        <v>2006</v>
      </c>
      <c r="R520" s="11">
        <v>18</v>
      </c>
      <c r="T520" s="8" t="s">
        <v>2006</v>
      </c>
      <c r="U520" s="8" t="s">
        <v>50</v>
      </c>
      <c r="V520" s="8" t="s">
        <v>43</v>
      </c>
      <c r="W520" s="8" t="s">
        <v>2025</v>
      </c>
      <c r="X520" s="8" t="s">
        <v>900</v>
      </c>
      <c r="Y520" s="9">
        <v>1</v>
      </c>
      <c r="Z520" s="8" t="s">
        <v>1365</v>
      </c>
      <c r="AA520" s="10">
        <v>41680</v>
      </c>
      <c r="AB520" s="10">
        <v>41708</v>
      </c>
      <c r="AC520" s="10">
        <v>41701</v>
      </c>
      <c r="AD520" s="10">
        <v>41698</v>
      </c>
      <c r="AE520" s="8">
        <v>2.2000000000000002</v>
      </c>
      <c r="AH520" s="8">
        <v>2</v>
      </c>
      <c r="AI520" s="8">
        <v>2</v>
      </c>
      <c r="AK520" s="8" t="s">
        <v>1685</v>
      </c>
    </row>
    <row r="521" spans="1:37">
      <c r="A521" s="7">
        <f t="shared" si="163"/>
        <v>0.5</v>
      </c>
      <c r="B521" s="7" t="str">
        <f t="shared" si="156"/>
        <v>14SS MRGM_05_D.GR</v>
      </c>
      <c r="C521" s="7">
        <f t="shared" si="164"/>
        <v>0.5</v>
      </c>
      <c r="D521" s="7" t="str">
        <f t="shared" si="157"/>
        <v>동일모자14SS MRGM_05_D.GR</v>
      </c>
      <c r="E521" s="12" t="str">
        <f t="shared" si="158"/>
        <v>201402</v>
      </c>
      <c r="F521" s="347" t="str">
        <f>VLOOKUP($AA521,[3]주!$A:$F,6,FALSE)</f>
        <v>2월 4주</v>
      </c>
      <c r="G521" s="7">
        <f t="shared" si="165"/>
        <v>0.5</v>
      </c>
      <c r="H521" s="7" t="str">
        <f t="shared" si="159"/>
        <v>14SS MRGM_05_D.GR</v>
      </c>
      <c r="I521" s="7">
        <f t="shared" si="166"/>
        <v>0.5</v>
      </c>
      <c r="J521" s="7" t="str">
        <f t="shared" si="160"/>
        <v>동일모자14SS MRGM_05_D.GR</v>
      </c>
      <c r="K521" s="17">
        <f t="shared" si="161"/>
        <v>41712</v>
      </c>
      <c r="L521" s="12" t="str">
        <f t="shared" si="162"/>
        <v>201403</v>
      </c>
      <c r="M521" s="347" t="str">
        <f>VLOOKUP($K521,[3]주!$A:$F,6,FALSE)</f>
        <v>3월 2주</v>
      </c>
      <c r="N521" s="273" t="str">
        <f>IF(VLOOKUP($Z521,생산업체!$A:$C,2,FALSE)=1,"해외","국내")</f>
        <v>해외</v>
      </c>
      <c r="O521" s="12" t="str">
        <f>IF(VLOOKUP($U521,CODE!$K:$P,CODE!P$1,FALSE)="모자",T521,T521&amp;"-"&amp;VLOOKUP($U521,CODE!$K:$P,CODE!P$1,FALSE))</f>
        <v>MR.REAL GOODMAN</v>
      </c>
      <c r="P521" s="11" t="s">
        <v>2006</v>
      </c>
      <c r="R521" s="11">
        <v>19</v>
      </c>
      <c r="T521" s="8" t="s">
        <v>2006</v>
      </c>
      <c r="U521" s="8" t="s">
        <v>50</v>
      </c>
      <c r="V521" s="8" t="s">
        <v>43</v>
      </c>
      <c r="W521" s="8" t="s">
        <v>2015</v>
      </c>
      <c r="X521" s="8" t="s">
        <v>900</v>
      </c>
      <c r="Y521" s="9">
        <v>0.5</v>
      </c>
      <c r="Z521" s="8" t="s">
        <v>44</v>
      </c>
      <c r="AA521" s="10">
        <v>41695</v>
      </c>
      <c r="AB521" s="10">
        <v>41723</v>
      </c>
      <c r="AC521" s="10">
        <v>41715</v>
      </c>
      <c r="AD521" s="10">
        <v>41712</v>
      </c>
      <c r="AE521" s="8">
        <v>4.25</v>
      </c>
      <c r="AH521" s="8">
        <v>2</v>
      </c>
      <c r="AI521" s="8" t="s">
        <v>87</v>
      </c>
      <c r="AK521" s="8" t="s">
        <v>1686</v>
      </c>
    </row>
    <row r="522" spans="1:37">
      <c r="A522" s="7">
        <f t="shared" si="163"/>
        <v>0.5</v>
      </c>
      <c r="B522" s="7" t="str">
        <f t="shared" si="156"/>
        <v>14SS MRGM_14_GY</v>
      </c>
      <c r="C522" s="7">
        <f t="shared" si="164"/>
        <v>0.5</v>
      </c>
      <c r="D522" s="7" t="str">
        <f t="shared" si="157"/>
        <v>동일모자14SS MRGM_14_GY</v>
      </c>
      <c r="E522" s="12" t="str">
        <f t="shared" si="158"/>
        <v>201402</v>
      </c>
      <c r="F522" s="347" t="str">
        <f>VLOOKUP($AA522,[3]주!$A:$F,6,FALSE)</f>
        <v>2월 4주</v>
      </c>
      <c r="G522" s="7">
        <f t="shared" si="165"/>
        <v>0.5</v>
      </c>
      <c r="H522" s="7" t="str">
        <f t="shared" si="159"/>
        <v>14SS MRGM_14_GY</v>
      </c>
      <c r="I522" s="7">
        <f t="shared" si="166"/>
        <v>0.5</v>
      </c>
      <c r="J522" s="7" t="str">
        <f t="shared" si="160"/>
        <v>동일모자14SS MRGM_14_GY</v>
      </c>
      <c r="K522" s="17">
        <f t="shared" si="161"/>
        <v>41712</v>
      </c>
      <c r="L522" s="12" t="str">
        <f t="shared" si="162"/>
        <v>201403</v>
      </c>
      <c r="M522" s="347" t="str">
        <f>VLOOKUP($K522,[3]주!$A:$F,6,FALSE)</f>
        <v>3월 2주</v>
      </c>
      <c r="N522" s="273" t="str">
        <f>IF(VLOOKUP($Z522,생산업체!$A:$C,2,FALSE)=1,"해외","국내")</f>
        <v>해외</v>
      </c>
      <c r="O522" s="12" t="str">
        <f>IF(VLOOKUP($U522,CODE!$K:$P,CODE!P$1,FALSE)="모자",T522,T522&amp;"-"&amp;VLOOKUP($U522,CODE!$K:$P,CODE!P$1,FALSE))</f>
        <v>MR.REAL GOODMAN</v>
      </c>
      <c r="P522" s="11" t="s">
        <v>2006</v>
      </c>
      <c r="R522" s="11">
        <v>20</v>
      </c>
      <c r="T522" s="8" t="s">
        <v>2006</v>
      </c>
      <c r="U522" s="8" t="s">
        <v>50</v>
      </c>
      <c r="V522" s="8" t="s">
        <v>43</v>
      </c>
      <c r="W522" s="8" t="s">
        <v>2020</v>
      </c>
      <c r="X522" s="8" t="s">
        <v>900</v>
      </c>
      <c r="Y522" s="9">
        <v>0.5</v>
      </c>
      <c r="Z522" s="8" t="s">
        <v>44</v>
      </c>
      <c r="AA522" s="10">
        <v>41695</v>
      </c>
      <c r="AB522" s="10">
        <v>41723</v>
      </c>
      <c r="AC522" s="10">
        <v>41715</v>
      </c>
      <c r="AD522" s="10">
        <v>41712</v>
      </c>
      <c r="AE522" s="8">
        <v>4.5</v>
      </c>
      <c r="AH522" s="8">
        <v>4</v>
      </c>
      <c r="AI522" s="8" t="s">
        <v>87</v>
      </c>
    </row>
    <row r="523" spans="1:37">
      <c r="A523" s="7">
        <f t="shared" si="163"/>
        <v>0.5</v>
      </c>
      <c r="B523" s="7" t="str">
        <f t="shared" si="156"/>
        <v>14SS MRGM_16_GR</v>
      </c>
      <c r="C523" s="7">
        <f t="shared" si="164"/>
        <v>0.5</v>
      </c>
      <c r="D523" s="7" t="str">
        <f t="shared" si="157"/>
        <v>동일모자14SS MRGM_16_GR</v>
      </c>
      <c r="E523" s="12" t="str">
        <f t="shared" si="158"/>
        <v>201402</v>
      </c>
      <c r="F523" s="347" t="str">
        <f>VLOOKUP($AA523,[3]주!$A:$F,6,FALSE)</f>
        <v>2월 4주</v>
      </c>
      <c r="G523" s="7">
        <f t="shared" si="165"/>
        <v>0.5</v>
      </c>
      <c r="H523" s="7" t="str">
        <f t="shared" si="159"/>
        <v>14SS MRGM_16_GR</v>
      </c>
      <c r="I523" s="7">
        <f t="shared" si="166"/>
        <v>0.5</v>
      </c>
      <c r="J523" s="7" t="str">
        <f t="shared" si="160"/>
        <v>동일모자14SS MRGM_16_GR</v>
      </c>
      <c r="K523" s="17">
        <f t="shared" si="161"/>
        <v>41712</v>
      </c>
      <c r="L523" s="12" t="str">
        <f t="shared" si="162"/>
        <v>201403</v>
      </c>
      <c r="M523" s="347" t="str">
        <f>VLOOKUP($K523,[3]주!$A:$F,6,FALSE)</f>
        <v>3월 2주</v>
      </c>
      <c r="N523" s="273" t="str">
        <f>IF(VLOOKUP($Z523,생산업체!$A:$C,2,FALSE)=1,"해외","국내")</f>
        <v>해외</v>
      </c>
      <c r="O523" s="12" t="str">
        <f>IF(VLOOKUP($U523,CODE!$K:$P,CODE!P$1,FALSE)="모자",T523,T523&amp;"-"&amp;VLOOKUP($U523,CODE!$K:$P,CODE!P$1,FALSE))</f>
        <v>MR.REAL GOODMAN</v>
      </c>
      <c r="P523" s="11" t="s">
        <v>2006</v>
      </c>
      <c r="R523" s="11">
        <v>21</v>
      </c>
      <c r="T523" s="8" t="s">
        <v>2006</v>
      </c>
      <c r="U523" s="8" t="s">
        <v>50</v>
      </c>
      <c r="V523" s="8" t="s">
        <v>43</v>
      </c>
      <c r="W523" s="8" t="s">
        <v>2021</v>
      </c>
      <c r="X523" s="8" t="s">
        <v>900</v>
      </c>
      <c r="Y523" s="9">
        <v>0.5</v>
      </c>
      <c r="Z523" s="8" t="s">
        <v>44</v>
      </c>
      <c r="AA523" s="10">
        <v>41695</v>
      </c>
      <c r="AB523" s="10">
        <v>41723</v>
      </c>
      <c r="AC523" s="10">
        <v>41715</v>
      </c>
      <c r="AD523" s="10">
        <v>41712</v>
      </c>
      <c r="AE523" s="8">
        <v>4.25</v>
      </c>
      <c r="AH523" s="8">
        <v>2</v>
      </c>
      <c r="AI523" s="8" t="s">
        <v>87</v>
      </c>
    </row>
    <row r="524" spans="1:37">
      <c r="A524" s="7">
        <f t="shared" si="163"/>
        <v>0.5</v>
      </c>
      <c r="B524" s="7" t="str">
        <f t="shared" si="156"/>
        <v>14SS MRGM_17_GY</v>
      </c>
      <c r="C524" s="7">
        <f t="shared" si="164"/>
        <v>0.5</v>
      </c>
      <c r="D524" s="7" t="str">
        <f t="shared" si="157"/>
        <v>동일모자14SS MRGM_17_GY</v>
      </c>
      <c r="E524" s="12" t="str">
        <f t="shared" si="158"/>
        <v>201402</v>
      </c>
      <c r="F524" s="347" t="str">
        <f>VLOOKUP($AA524,[3]주!$A:$F,6,FALSE)</f>
        <v>2월 4주</v>
      </c>
      <c r="G524" s="7">
        <f t="shared" si="165"/>
        <v>0.5</v>
      </c>
      <c r="H524" s="7" t="str">
        <f t="shared" si="159"/>
        <v>14SS MRGM_17_GY</v>
      </c>
      <c r="I524" s="7">
        <f t="shared" si="166"/>
        <v>0.5</v>
      </c>
      <c r="J524" s="7" t="str">
        <f t="shared" si="160"/>
        <v>동일모자14SS MRGM_17_GY</v>
      </c>
      <c r="K524" s="17">
        <f t="shared" si="161"/>
        <v>41712</v>
      </c>
      <c r="L524" s="12" t="str">
        <f t="shared" si="162"/>
        <v>201403</v>
      </c>
      <c r="M524" s="347" t="str">
        <f>VLOOKUP($K524,[3]주!$A:$F,6,FALSE)</f>
        <v>3월 2주</v>
      </c>
      <c r="N524" s="273" t="str">
        <f>IF(VLOOKUP($Z524,생산업체!$A:$C,2,FALSE)=1,"해외","국내")</f>
        <v>해외</v>
      </c>
      <c r="O524" s="12" t="str">
        <f>IF(VLOOKUP($U524,CODE!$K:$P,CODE!P$1,FALSE)="모자",T524,T524&amp;"-"&amp;VLOOKUP($U524,CODE!$K:$P,CODE!P$1,FALSE))</f>
        <v>MR.REAL GOODMAN</v>
      </c>
      <c r="P524" s="11" t="s">
        <v>2006</v>
      </c>
      <c r="R524" s="11">
        <v>22</v>
      </c>
      <c r="T524" s="8" t="s">
        <v>2006</v>
      </c>
      <c r="U524" s="8" t="s">
        <v>50</v>
      </c>
      <c r="V524" s="8" t="s">
        <v>43</v>
      </c>
      <c r="W524" s="8" t="s">
        <v>2022</v>
      </c>
      <c r="X524" s="8" t="s">
        <v>900</v>
      </c>
      <c r="Y524" s="9">
        <v>0.5</v>
      </c>
      <c r="Z524" s="8" t="s">
        <v>44</v>
      </c>
      <c r="AA524" s="10">
        <v>41695</v>
      </c>
      <c r="AB524" s="10">
        <v>41723</v>
      </c>
      <c r="AC524" s="10">
        <v>41715</v>
      </c>
      <c r="AD524" s="10">
        <v>41712</v>
      </c>
      <c r="AE524" s="8">
        <v>4.5</v>
      </c>
      <c r="AH524" s="8">
        <v>2</v>
      </c>
      <c r="AI524" s="8" t="s">
        <v>87</v>
      </c>
      <c r="AK524" s="8" t="s">
        <v>1688</v>
      </c>
    </row>
    <row r="525" spans="1:37">
      <c r="A525" s="7">
        <f t="shared" si="163"/>
        <v>0.5</v>
      </c>
      <c r="B525" s="7" t="str">
        <f t="shared" si="156"/>
        <v>14SS MRGM_01_BK</v>
      </c>
      <c r="C525" s="7">
        <f t="shared" si="164"/>
        <v>0.5</v>
      </c>
      <c r="D525" s="7" t="str">
        <f t="shared" si="157"/>
        <v>캡보이14SS MRGM_01_BK</v>
      </c>
      <c r="E525" s="12" t="str">
        <f t="shared" si="158"/>
        <v>201403</v>
      </c>
      <c r="F525" s="347" t="str">
        <f>VLOOKUP($AA525,[3]주!$A:$F,6,FALSE)</f>
        <v>3월 1주</v>
      </c>
      <c r="G525" s="7">
        <f t="shared" si="165"/>
        <v>0.5</v>
      </c>
      <c r="H525" s="7" t="str">
        <f t="shared" si="159"/>
        <v>14SS MRGM_01_BK</v>
      </c>
      <c r="I525" s="7">
        <f t="shared" si="166"/>
        <v>0.5</v>
      </c>
      <c r="J525" s="7" t="str">
        <f t="shared" si="160"/>
        <v>캡보이14SS MRGM_01_BK</v>
      </c>
      <c r="K525" s="17">
        <f t="shared" si="161"/>
        <v>41716</v>
      </c>
      <c r="L525" s="12" t="str">
        <f t="shared" si="162"/>
        <v>201403</v>
      </c>
      <c r="M525" s="347" t="str">
        <f>VLOOKUP($K525,[3]주!$A:$F,6,FALSE)</f>
        <v>3월 2주</v>
      </c>
      <c r="N525" s="273" t="str">
        <f>IF(VLOOKUP($Z525,생산업체!$A:$C,2,FALSE)=1,"해외","국내")</f>
        <v>국내</v>
      </c>
      <c r="O525" s="12" t="str">
        <f>IF(VLOOKUP($U525,CODE!$K:$P,CODE!P$1,FALSE)="모자",T525,T525&amp;"-"&amp;VLOOKUP($U525,CODE!$K:$P,CODE!P$1,FALSE))</f>
        <v>MR.REAL GOODMAN</v>
      </c>
      <c r="P525" s="11" t="s">
        <v>2006</v>
      </c>
      <c r="R525" s="11">
        <v>23</v>
      </c>
      <c r="T525" s="8" t="s">
        <v>2006</v>
      </c>
      <c r="U525" s="8" t="s">
        <v>50</v>
      </c>
      <c r="V525" s="8" t="s">
        <v>43</v>
      </c>
      <c r="W525" s="8" t="s">
        <v>2007</v>
      </c>
      <c r="X525" s="8" t="s">
        <v>900</v>
      </c>
      <c r="Y525" s="9">
        <v>0.5</v>
      </c>
      <c r="Z525" s="8" t="s">
        <v>49</v>
      </c>
      <c r="AA525" s="10">
        <v>41701</v>
      </c>
      <c r="AB525" s="10">
        <v>41722</v>
      </c>
      <c r="AC525" s="10">
        <v>41715</v>
      </c>
      <c r="AD525" s="10">
        <v>41716</v>
      </c>
      <c r="AE525" s="8">
        <v>6.95</v>
      </c>
      <c r="AK525" s="8" t="s">
        <v>1394</v>
      </c>
    </row>
    <row r="526" spans="1:37">
      <c r="A526" s="7">
        <f t="shared" si="163"/>
        <v>0.5</v>
      </c>
      <c r="B526" s="7" t="str">
        <f t="shared" si="156"/>
        <v>14SS MRGM_02_GY</v>
      </c>
      <c r="C526" s="7">
        <f t="shared" si="164"/>
        <v>0.5</v>
      </c>
      <c r="D526" s="7" t="str">
        <f t="shared" si="157"/>
        <v>캡보이14SS MRGM_02_GY</v>
      </c>
      <c r="E526" s="12" t="str">
        <f t="shared" si="158"/>
        <v>201403</v>
      </c>
      <c r="F526" s="347" t="str">
        <f>VLOOKUP($AA526,[3]주!$A:$F,6,FALSE)</f>
        <v>3월 1주</v>
      </c>
      <c r="G526" s="7">
        <f t="shared" si="165"/>
        <v>0.5</v>
      </c>
      <c r="H526" s="7" t="str">
        <f t="shared" si="159"/>
        <v>14SS MRGM_02_GY</v>
      </c>
      <c r="I526" s="7">
        <f t="shared" si="166"/>
        <v>0.5</v>
      </c>
      <c r="J526" s="7" t="str">
        <f t="shared" si="160"/>
        <v>캡보이14SS MRGM_02_GY</v>
      </c>
      <c r="K526" s="17">
        <f t="shared" si="161"/>
        <v>41716</v>
      </c>
      <c r="L526" s="12" t="str">
        <f t="shared" si="162"/>
        <v>201403</v>
      </c>
      <c r="M526" s="347" t="str">
        <f>VLOOKUP($K526,[3]주!$A:$F,6,FALSE)</f>
        <v>3월 2주</v>
      </c>
      <c r="N526" s="273" t="str">
        <f>IF(VLOOKUP($Z526,생산업체!$A:$C,2,FALSE)=1,"해외","국내")</f>
        <v>국내</v>
      </c>
      <c r="O526" s="12" t="str">
        <f>IF(VLOOKUP($U526,CODE!$K:$P,CODE!P$1,FALSE)="모자",T526,T526&amp;"-"&amp;VLOOKUP($U526,CODE!$K:$P,CODE!P$1,FALSE))</f>
        <v>MR.REAL GOODMAN</v>
      </c>
      <c r="P526" s="11" t="s">
        <v>2006</v>
      </c>
      <c r="R526" s="11">
        <v>24</v>
      </c>
      <c r="T526" s="8" t="s">
        <v>2006</v>
      </c>
      <c r="U526" s="8" t="s">
        <v>50</v>
      </c>
      <c r="V526" s="8" t="s">
        <v>43</v>
      </c>
      <c r="W526" s="8" t="s">
        <v>2008</v>
      </c>
      <c r="X526" s="8" t="s">
        <v>900</v>
      </c>
      <c r="Y526" s="9">
        <v>0.5</v>
      </c>
      <c r="Z526" s="8" t="s">
        <v>49</v>
      </c>
      <c r="AA526" s="10">
        <v>41701</v>
      </c>
      <c r="AB526" s="10">
        <v>41722</v>
      </c>
      <c r="AC526" s="10">
        <v>41715</v>
      </c>
      <c r="AD526" s="10">
        <v>41716</v>
      </c>
      <c r="AF526" s="8">
        <v>12145</v>
      </c>
      <c r="AK526" s="8" t="s">
        <v>1394</v>
      </c>
    </row>
    <row r="527" spans="1:37">
      <c r="A527" s="7">
        <f t="shared" si="163"/>
        <v>0.5</v>
      </c>
      <c r="B527" s="7" t="str">
        <f t="shared" si="156"/>
        <v>14SS MRGM_11_CHA</v>
      </c>
      <c r="C527" s="7">
        <f t="shared" si="164"/>
        <v>0.5</v>
      </c>
      <c r="D527" s="7" t="str">
        <f t="shared" si="157"/>
        <v>캡보이14SS MRGM_11_CHA</v>
      </c>
      <c r="E527" s="12" t="str">
        <f t="shared" si="158"/>
        <v>201403</v>
      </c>
      <c r="F527" s="347" t="str">
        <f>VLOOKUP($AA527,[3]주!$A:$F,6,FALSE)</f>
        <v>3월 1주</v>
      </c>
      <c r="G527" s="7">
        <f t="shared" si="165"/>
        <v>0.5</v>
      </c>
      <c r="H527" s="7" t="str">
        <f t="shared" si="159"/>
        <v>14SS MRGM_11_CHA</v>
      </c>
      <c r="I527" s="7">
        <f t="shared" si="166"/>
        <v>0.5</v>
      </c>
      <c r="J527" s="7" t="str">
        <f t="shared" si="160"/>
        <v>캡보이14SS MRGM_11_CHA</v>
      </c>
      <c r="K527" s="17">
        <f t="shared" si="161"/>
        <v>41716</v>
      </c>
      <c r="L527" s="12" t="str">
        <f t="shared" si="162"/>
        <v>201403</v>
      </c>
      <c r="M527" s="347" t="str">
        <f>VLOOKUP($K527,[3]주!$A:$F,6,FALSE)</f>
        <v>3월 2주</v>
      </c>
      <c r="N527" s="273" t="str">
        <f>IF(VLOOKUP($Z527,생산업체!$A:$C,2,FALSE)=1,"해외","국내")</f>
        <v>국내</v>
      </c>
      <c r="O527" s="12" t="str">
        <f>IF(VLOOKUP($U527,CODE!$K:$P,CODE!P$1,FALSE)="모자",T527,T527&amp;"-"&amp;VLOOKUP($U527,CODE!$K:$P,CODE!P$1,FALSE))</f>
        <v>MR.REAL GOODMAN</v>
      </c>
      <c r="P527" s="11" t="s">
        <v>2006</v>
      </c>
      <c r="R527" s="11">
        <v>25</v>
      </c>
      <c r="T527" s="8" t="s">
        <v>2006</v>
      </c>
      <c r="U527" s="8" t="s">
        <v>50</v>
      </c>
      <c r="V527" s="8" t="s">
        <v>43</v>
      </c>
      <c r="W527" s="8" t="s">
        <v>2012</v>
      </c>
      <c r="X527" s="8" t="s">
        <v>900</v>
      </c>
      <c r="Y527" s="9">
        <v>0.5</v>
      </c>
      <c r="Z527" s="8" t="s">
        <v>49</v>
      </c>
      <c r="AA527" s="10">
        <v>41701</v>
      </c>
      <c r="AB527" s="10">
        <v>41722</v>
      </c>
      <c r="AC527" s="10">
        <v>41715</v>
      </c>
      <c r="AD527" s="10">
        <v>41716</v>
      </c>
      <c r="AE527" s="8">
        <v>6.45</v>
      </c>
      <c r="AK527" s="8" t="s">
        <v>1394</v>
      </c>
    </row>
    <row r="528" spans="1:37">
      <c r="A528" s="7">
        <f t="shared" si="163"/>
        <v>1</v>
      </c>
      <c r="B528" s="7" t="str">
        <f t="shared" si="156"/>
        <v>14FW VB 01_CAMP_BK</v>
      </c>
      <c r="C528" s="7">
        <f t="shared" si="164"/>
        <v>1</v>
      </c>
      <c r="D528" s="7" t="str">
        <f t="shared" si="157"/>
        <v>FOREMOST14FW VB 01_CAMP_BK</v>
      </c>
      <c r="E528" s="12" t="str">
        <f t="shared" si="158"/>
        <v>201401</v>
      </c>
      <c r="F528" s="347" t="str">
        <f>VLOOKUP($AA528,[3]주!$A:$F,6,FALSE)</f>
        <v>1월 4주</v>
      </c>
      <c r="G528" s="7">
        <f t="shared" si="165"/>
        <v>1</v>
      </c>
      <c r="H528" s="7" t="str">
        <f t="shared" si="159"/>
        <v>14FW VB 01_CAMP_BK</v>
      </c>
      <c r="I528" s="7">
        <f t="shared" si="166"/>
        <v>1</v>
      </c>
      <c r="J528" s="7" t="str">
        <f t="shared" si="160"/>
        <v>FOREMOST14FW VB 01_CAMP_BK</v>
      </c>
      <c r="K528" s="17">
        <f t="shared" si="161"/>
        <v>41717</v>
      </c>
      <c r="L528" s="12" t="str">
        <f t="shared" si="162"/>
        <v>201403</v>
      </c>
      <c r="M528" s="347" t="str">
        <f>VLOOKUP($K528,[3]주!$A:$F,6,FALSE)</f>
        <v>3월 2주</v>
      </c>
      <c r="N528" s="273" t="str">
        <f>IF(VLOOKUP($Z528,생산업체!$A:$C,2,FALSE)=1,"해외","국내")</f>
        <v>해외</v>
      </c>
      <c r="O528" s="12" t="str">
        <f>IF(VLOOKUP($U528,CODE!$K:$P,CODE!P$1,FALSE)="모자",T528,T528&amp;"-"&amp;VLOOKUP($U528,CODE!$K:$P,CODE!P$1,FALSE))</f>
        <v>VBL</v>
      </c>
      <c r="P528" s="11" t="s">
        <v>39</v>
      </c>
      <c r="R528" s="11">
        <v>1</v>
      </c>
      <c r="T528" s="8" t="s">
        <v>39</v>
      </c>
      <c r="U528" s="8" t="s">
        <v>38</v>
      </c>
      <c r="V528" s="8" t="s">
        <v>43</v>
      </c>
      <c r="W528" s="8" t="s">
        <v>1441</v>
      </c>
      <c r="X528" s="8" t="s">
        <v>900</v>
      </c>
      <c r="Y528" s="9">
        <v>1</v>
      </c>
      <c r="Z528" s="8" t="s">
        <v>6</v>
      </c>
      <c r="AA528" s="10">
        <v>41663</v>
      </c>
      <c r="AB528" s="10">
        <v>41691</v>
      </c>
      <c r="AC528" s="10">
        <v>41710</v>
      </c>
      <c r="AD528" s="10">
        <v>41717</v>
      </c>
      <c r="AH528" s="8">
        <v>4</v>
      </c>
      <c r="AI528" s="8">
        <v>4</v>
      </c>
      <c r="AK528" s="8" t="s">
        <v>1394</v>
      </c>
    </row>
    <row r="529" spans="1:39">
      <c r="A529" s="7">
        <f t="shared" si="163"/>
        <v>1</v>
      </c>
      <c r="B529" s="7" t="str">
        <f t="shared" si="156"/>
        <v>14FW VB 02_WIRE_BK</v>
      </c>
      <c r="C529" s="7">
        <f t="shared" si="164"/>
        <v>1</v>
      </c>
      <c r="D529" s="7" t="str">
        <f t="shared" si="157"/>
        <v>FOREMOST14FW VB 02_WIRE_BK</v>
      </c>
      <c r="E529" s="12" t="str">
        <f t="shared" si="158"/>
        <v>201401</v>
      </c>
      <c r="F529" s="347" t="str">
        <f>VLOOKUP($AA529,[3]주!$A:$F,6,FALSE)</f>
        <v>1월 4주</v>
      </c>
      <c r="G529" s="7">
        <f t="shared" si="165"/>
        <v>1</v>
      </c>
      <c r="H529" s="7" t="str">
        <f t="shared" si="159"/>
        <v>14FW VB 02_WIRE_BK</v>
      </c>
      <c r="I529" s="7">
        <f t="shared" si="166"/>
        <v>1</v>
      </c>
      <c r="J529" s="7" t="str">
        <f t="shared" si="160"/>
        <v>FOREMOST14FW VB 02_WIRE_BK</v>
      </c>
      <c r="K529" s="17">
        <f t="shared" si="161"/>
        <v>41722</v>
      </c>
      <c r="L529" s="12" t="str">
        <f t="shared" si="162"/>
        <v>201403</v>
      </c>
      <c r="M529" s="347" t="str">
        <f>VLOOKUP($K529,[3]주!$A:$F,6,FALSE)</f>
        <v>3월 2주</v>
      </c>
      <c r="N529" s="273" t="str">
        <f>IF(VLOOKUP($Z529,생산업체!$A:$C,2,FALSE)=1,"해외","국내")</f>
        <v>해외</v>
      </c>
      <c r="O529" s="12" t="str">
        <f>IF(VLOOKUP($U529,CODE!$K:$P,CODE!P$1,FALSE)="모자",T529,T529&amp;"-"&amp;VLOOKUP($U529,CODE!$K:$P,CODE!P$1,FALSE))</f>
        <v>VBL</v>
      </c>
      <c r="P529" s="11" t="s">
        <v>39</v>
      </c>
      <c r="R529" s="11">
        <v>2</v>
      </c>
      <c r="T529" s="8" t="s">
        <v>39</v>
      </c>
      <c r="U529" s="8" t="s">
        <v>38</v>
      </c>
      <c r="V529" s="8" t="s">
        <v>43</v>
      </c>
      <c r="W529" s="8" t="s">
        <v>1442</v>
      </c>
      <c r="X529" s="8" t="s">
        <v>900</v>
      </c>
      <c r="Y529" s="9">
        <v>1</v>
      </c>
      <c r="Z529" s="8" t="s">
        <v>6</v>
      </c>
      <c r="AA529" s="10">
        <v>41663</v>
      </c>
      <c r="AB529" s="10">
        <v>41691</v>
      </c>
      <c r="AC529" s="10">
        <v>41710</v>
      </c>
      <c r="AD529" s="10">
        <v>41722</v>
      </c>
      <c r="AH529" s="8">
        <v>4</v>
      </c>
      <c r="AI529" s="8">
        <v>4</v>
      </c>
      <c r="AK529" s="8" t="s">
        <v>1394</v>
      </c>
    </row>
    <row r="530" spans="1:39">
      <c r="A530" s="7">
        <f t="shared" si="163"/>
        <v>1</v>
      </c>
      <c r="B530" s="7" t="str">
        <f t="shared" si="156"/>
        <v>14FW VB 03_WIRE_BK</v>
      </c>
      <c r="C530" s="7">
        <f t="shared" si="164"/>
        <v>1</v>
      </c>
      <c r="D530" s="7" t="str">
        <f t="shared" si="157"/>
        <v>FOREMOST14FW VB 03_WIRE_BK</v>
      </c>
      <c r="E530" s="12" t="str">
        <f t="shared" si="158"/>
        <v>201401</v>
      </c>
      <c r="F530" s="347" t="str">
        <f>VLOOKUP($AA530,[3]주!$A:$F,6,FALSE)</f>
        <v>1월 4주</v>
      </c>
      <c r="G530" s="7">
        <f t="shared" si="165"/>
        <v>1</v>
      </c>
      <c r="H530" s="7" t="str">
        <f t="shared" si="159"/>
        <v>14FW VB 03_WIRE_BK</v>
      </c>
      <c r="I530" s="7">
        <f t="shared" si="166"/>
        <v>1</v>
      </c>
      <c r="J530" s="7" t="str">
        <f t="shared" si="160"/>
        <v>FOREMOST14FW VB 03_WIRE_BK</v>
      </c>
      <c r="K530" s="17">
        <f t="shared" si="161"/>
        <v>41718</v>
      </c>
      <c r="L530" s="12" t="str">
        <f t="shared" si="162"/>
        <v>201403</v>
      </c>
      <c r="M530" s="347" t="str">
        <f>VLOOKUP($K530,[3]주!$A:$F,6,FALSE)</f>
        <v>3월 2주</v>
      </c>
      <c r="N530" s="273" t="str">
        <f>IF(VLOOKUP($Z530,생산업체!$A:$C,2,FALSE)=1,"해외","국내")</f>
        <v>해외</v>
      </c>
      <c r="O530" s="12" t="str">
        <f>IF(VLOOKUP($U530,CODE!$K:$P,CODE!P$1,FALSE)="모자",T530,T530&amp;"-"&amp;VLOOKUP($U530,CODE!$K:$P,CODE!P$1,FALSE))</f>
        <v>VBL</v>
      </c>
      <c r="P530" s="11" t="s">
        <v>39</v>
      </c>
      <c r="R530" s="11">
        <v>3</v>
      </c>
      <c r="T530" s="8" t="s">
        <v>39</v>
      </c>
      <c r="U530" s="8" t="s">
        <v>28</v>
      </c>
      <c r="V530" s="8" t="s">
        <v>43</v>
      </c>
      <c r="W530" s="8" t="s">
        <v>1443</v>
      </c>
      <c r="X530" s="8" t="s">
        <v>900</v>
      </c>
      <c r="Y530" s="9">
        <v>1</v>
      </c>
      <c r="Z530" s="8" t="s">
        <v>6</v>
      </c>
      <c r="AA530" s="10">
        <v>41663</v>
      </c>
      <c r="AB530" s="10">
        <v>41691</v>
      </c>
      <c r="AC530" s="10">
        <v>41710</v>
      </c>
      <c r="AD530" s="10">
        <v>41718</v>
      </c>
      <c r="AH530" s="8">
        <v>3</v>
      </c>
      <c r="AI530" s="8">
        <v>2</v>
      </c>
      <c r="AK530" s="8" t="s">
        <v>1394</v>
      </c>
    </row>
    <row r="531" spans="1:39">
      <c r="A531" s="7">
        <f t="shared" si="163"/>
        <v>1</v>
      </c>
      <c r="B531" s="7" t="str">
        <f t="shared" si="156"/>
        <v>14FW VB 04_WIRE_GY</v>
      </c>
      <c r="C531" s="7">
        <f t="shared" si="164"/>
        <v>1</v>
      </c>
      <c r="D531" s="7" t="str">
        <f t="shared" si="157"/>
        <v>FOREMOST14FW VB 04_WIRE_GY</v>
      </c>
      <c r="E531" s="12" t="str">
        <f t="shared" si="158"/>
        <v>201401</v>
      </c>
      <c r="F531" s="347" t="str">
        <f>VLOOKUP($AA531,[3]주!$A:$F,6,FALSE)</f>
        <v>1월 4주</v>
      </c>
      <c r="G531" s="7">
        <f t="shared" si="165"/>
        <v>1</v>
      </c>
      <c r="H531" s="7" t="str">
        <f t="shared" si="159"/>
        <v>14FW VB 04_WIRE_GY</v>
      </c>
      <c r="I531" s="7">
        <f t="shared" si="166"/>
        <v>1</v>
      </c>
      <c r="J531" s="7" t="str">
        <f t="shared" si="160"/>
        <v>FOREMOST14FW VB 04_WIRE_GY</v>
      </c>
      <c r="K531" s="17">
        <f t="shared" si="161"/>
        <v>41718</v>
      </c>
      <c r="L531" s="12" t="str">
        <f t="shared" si="162"/>
        <v>201403</v>
      </c>
      <c r="M531" s="347" t="str">
        <f>VLOOKUP($K531,[3]주!$A:$F,6,FALSE)</f>
        <v>3월 2주</v>
      </c>
      <c r="N531" s="273" t="str">
        <f>IF(VLOOKUP($Z531,생산업체!$A:$C,2,FALSE)=1,"해외","국내")</f>
        <v>해외</v>
      </c>
      <c r="O531" s="12" t="str">
        <f>IF(VLOOKUP($U531,CODE!$K:$P,CODE!P$1,FALSE)="모자",T531,T531&amp;"-"&amp;VLOOKUP($U531,CODE!$K:$P,CODE!P$1,FALSE))</f>
        <v>VBL</v>
      </c>
      <c r="P531" s="11" t="s">
        <v>39</v>
      </c>
      <c r="R531" s="11">
        <v>4</v>
      </c>
      <c r="T531" s="8" t="s">
        <v>39</v>
      </c>
      <c r="U531" s="8" t="s">
        <v>28</v>
      </c>
      <c r="V531" s="8" t="s">
        <v>43</v>
      </c>
      <c r="W531" s="8" t="s">
        <v>1444</v>
      </c>
      <c r="X531" s="8" t="s">
        <v>900</v>
      </c>
      <c r="Y531" s="9">
        <v>1</v>
      </c>
      <c r="Z531" s="8" t="s">
        <v>6</v>
      </c>
      <c r="AA531" s="10">
        <v>41663</v>
      </c>
      <c r="AB531" s="10">
        <v>41691</v>
      </c>
      <c r="AC531" s="10">
        <v>41710</v>
      </c>
      <c r="AD531" s="10">
        <v>41718</v>
      </c>
      <c r="AH531" s="8">
        <v>4</v>
      </c>
      <c r="AI531" s="8">
        <v>3</v>
      </c>
      <c r="AK531" s="8" t="s">
        <v>1394</v>
      </c>
    </row>
    <row r="532" spans="1:39">
      <c r="A532" s="7">
        <f t="shared" si="163"/>
        <v>1</v>
      </c>
      <c r="B532" s="7" t="str">
        <f t="shared" si="156"/>
        <v>14FW VB 05_CAMP_GY</v>
      </c>
      <c r="C532" s="7">
        <f t="shared" si="164"/>
        <v>1</v>
      </c>
      <c r="D532" s="7" t="str">
        <f t="shared" si="157"/>
        <v>FOREMOST14FW VB 05_CAMP_GY</v>
      </c>
      <c r="E532" s="12" t="str">
        <f t="shared" si="158"/>
        <v>201401</v>
      </c>
      <c r="F532" s="347" t="str">
        <f>VLOOKUP($AA532,[3]주!$A:$F,6,FALSE)</f>
        <v>1월 4주</v>
      </c>
      <c r="G532" s="7">
        <f t="shared" si="165"/>
        <v>1</v>
      </c>
      <c r="H532" s="7" t="str">
        <f t="shared" si="159"/>
        <v>14FW VB 05_CAMP_GY</v>
      </c>
      <c r="I532" s="7">
        <f t="shared" si="166"/>
        <v>1</v>
      </c>
      <c r="J532" s="7" t="str">
        <f t="shared" si="160"/>
        <v>FOREMOST14FW VB 05_CAMP_GY</v>
      </c>
      <c r="K532" s="17">
        <f t="shared" si="161"/>
        <v>41710</v>
      </c>
      <c r="L532" s="12" t="str">
        <f t="shared" si="162"/>
        <v>201403</v>
      </c>
      <c r="M532" s="347" t="str">
        <f>VLOOKUP($K532,[3]주!$A:$F,6,FALSE)</f>
        <v>3월 2주</v>
      </c>
      <c r="N532" s="273" t="str">
        <f>IF(VLOOKUP($Z532,생산업체!$A:$C,2,FALSE)=1,"해외","국내")</f>
        <v>해외</v>
      </c>
      <c r="O532" s="12" t="str">
        <f>IF(VLOOKUP($U532,CODE!$K:$P,CODE!P$1,FALSE)="모자",T532,T532&amp;"-"&amp;VLOOKUP($U532,CODE!$K:$P,CODE!P$1,FALSE))</f>
        <v>VBL</v>
      </c>
      <c r="P532" s="11" t="s">
        <v>39</v>
      </c>
      <c r="R532" s="11">
        <v>5</v>
      </c>
      <c r="T532" s="8" t="s">
        <v>39</v>
      </c>
      <c r="U532" s="8" t="s">
        <v>38</v>
      </c>
      <c r="V532" s="8" t="s">
        <v>43</v>
      </c>
      <c r="W532" s="8" t="s">
        <v>1445</v>
      </c>
      <c r="X532" s="8" t="s">
        <v>900</v>
      </c>
      <c r="Y532" s="9">
        <v>1</v>
      </c>
      <c r="Z532" s="8" t="s">
        <v>6</v>
      </c>
      <c r="AA532" s="10">
        <v>41663</v>
      </c>
      <c r="AB532" s="10">
        <v>41691</v>
      </c>
      <c r="AC532" s="10">
        <v>41710</v>
      </c>
      <c r="AD532" s="10">
        <v>41710</v>
      </c>
      <c r="AH532" s="8">
        <v>3</v>
      </c>
      <c r="AI532" s="8">
        <v>3</v>
      </c>
      <c r="AK532" s="8" t="s">
        <v>1394</v>
      </c>
    </row>
    <row r="533" spans="1:39">
      <c r="A533" s="7">
        <f t="shared" si="163"/>
        <v>1</v>
      </c>
      <c r="B533" s="7" t="str">
        <f t="shared" si="156"/>
        <v>14FW VB 06_CAMP_BK</v>
      </c>
      <c r="C533" s="7">
        <f t="shared" si="164"/>
        <v>1</v>
      </c>
      <c r="D533" s="7" t="str">
        <f t="shared" si="157"/>
        <v>FOREMOST14FW VB 06_CAMP_BK</v>
      </c>
      <c r="E533" s="12" t="str">
        <f t="shared" si="158"/>
        <v>201401</v>
      </c>
      <c r="F533" s="347" t="str">
        <f>VLOOKUP($AA533,[3]주!$A:$F,6,FALSE)</f>
        <v>1월 4주</v>
      </c>
      <c r="G533" s="7">
        <f t="shared" si="165"/>
        <v>1</v>
      </c>
      <c r="H533" s="7" t="str">
        <f t="shared" si="159"/>
        <v>14FW VB 06_CAMP_BK</v>
      </c>
      <c r="I533" s="7">
        <f t="shared" si="166"/>
        <v>1</v>
      </c>
      <c r="J533" s="7" t="str">
        <f t="shared" si="160"/>
        <v>FOREMOST14FW VB 06_CAMP_BK</v>
      </c>
      <c r="K533" s="17">
        <f t="shared" si="161"/>
        <v>41730</v>
      </c>
      <c r="L533" s="12" t="str">
        <f t="shared" si="162"/>
        <v>201404</v>
      </c>
      <c r="M533" s="347" t="str">
        <f>VLOOKUP($K533,[3]주!$A:$F,6,FALSE)</f>
        <v>3월 2주</v>
      </c>
      <c r="N533" s="273" t="str">
        <f>IF(VLOOKUP($Z533,생산업체!$A:$C,2,FALSE)=1,"해외","국내")</f>
        <v>해외</v>
      </c>
      <c r="O533" s="12" t="str">
        <f>IF(VLOOKUP($U533,CODE!$K:$P,CODE!P$1,FALSE)="모자",T533,T533&amp;"-"&amp;VLOOKUP($U533,CODE!$K:$P,CODE!P$1,FALSE))</f>
        <v>VBL</v>
      </c>
      <c r="P533" s="11" t="s">
        <v>39</v>
      </c>
      <c r="R533" s="11">
        <v>6</v>
      </c>
      <c r="T533" s="8" t="s">
        <v>39</v>
      </c>
      <c r="U533" s="8" t="s">
        <v>28</v>
      </c>
      <c r="V533" s="8" t="s">
        <v>43</v>
      </c>
      <c r="W533" s="8" t="s">
        <v>1446</v>
      </c>
      <c r="X533" s="8" t="s">
        <v>900</v>
      </c>
      <c r="Y533" s="9">
        <v>1</v>
      </c>
      <c r="Z533" s="8" t="s">
        <v>6</v>
      </c>
      <c r="AA533" s="10">
        <v>41663</v>
      </c>
      <c r="AB533" s="10">
        <v>41691</v>
      </c>
      <c r="AC533" s="10">
        <v>41710</v>
      </c>
      <c r="AD533" s="10">
        <v>41730</v>
      </c>
      <c r="AH533" s="8">
        <v>2</v>
      </c>
      <c r="AI533" s="8">
        <v>1</v>
      </c>
      <c r="AK533" s="8" t="s">
        <v>1394</v>
      </c>
    </row>
    <row r="534" spans="1:39">
      <c r="A534" s="7">
        <f t="shared" si="163"/>
        <v>1</v>
      </c>
      <c r="B534" s="7" t="str">
        <f t="shared" si="156"/>
        <v>14FW VB 07_CAMP_GR</v>
      </c>
      <c r="C534" s="7">
        <f t="shared" si="164"/>
        <v>1</v>
      </c>
      <c r="D534" s="7" t="str">
        <f t="shared" si="157"/>
        <v>FOREMOST14FW VB 07_CAMP_GR</v>
      </c>
      <c r="E534" s="12" t="str">
        <f t="shared" si="158"/>
        <v>201401</v>
      </c>
      <c r="F534" s="347" t="str">
        <f>VLOOKUP($AA534,[3]주!$A:$F,6,FALSE)</f>
        <v>1월 4주</v>
      </c>
      <c r="G534" s="7">
        <f t="shared" si="165"/>
        <v>1</v>
      </c>
      <c r="H534" s="7" t="str">
        <f t="shared" si="159"/>
        <v>14FW VB 07_CAMP_GR</v>
      </c>
      <c r="I534" s="7">
        <f t="shared" si="166"/>
        <v>1</v>
      </c>
      <c r="J534" s="7" t="str">
        <f t="shared" si="160"/>
        <v>FOREMOST14FW VB 07_CAMP_GR</v>
      </c>
      <c r="K534" s="17">
        <f t="shared" si="161"/>
        <v>41710</v>
      </c>
      <c r="L534" s="12" t="str">
        <f t="shared" si="162"/>
        <v>201403</v>
      </c>
      <c r="M534" s="347" t="str">
        <f>VLOOKUP($K534,[3]주!$A:$F,6,FALSE)</f>
        <v>3월 2주</v>
      </c>
      <c r="N534" s="273" t="str">
        <f>IF(VLOOKUP($Z534,생산업체!$A:$C,2,FALSE)=1,"해외","국내")</f>
        <v>해외</v>
      </c>
      <c r="O534" s="12" t="str">
        <f>IF(VLOOKUP($U534,CODE!$K:$P,CODE!P$1,FALSE)="모자",T534,T534&amp;"-"&amp;VLOOKUP($U534,CODE!$K:$P,CODE!P$1,FALSE))</f>
        <v>VBL</v>
      </c>
      <c r="P534" s="11" t="s">
        <v>39</v>
      </c>
      <c r="R534" s="11">
        <v>7</v>
      </c>
      <c r="T534" s="8" t="s">
        <v>39</v>
      </c>
      <c r="U534" s="8" t="s">
        <v>28</v>
      </c>
      <c r="V534" s="8" t="s">
        <v>43</v>
      </c>
      <c r="W534" s="8" t="s">
        <v>1447</v>
      </c>
      <c r="X534" s="8" t="s">
        <v>900</v>
      </c>
      <c r="Y534" s="9">
        <v>1</v>
      </c>
      <c r="Z534" s="8" t="s">
        <v>6</v>
      </c>
      <c r="AA534" s="10">
        <v>41663</v>
      </c>
      <c r="AB534" s="10">
        <v>41691</v>
      </c>
      <c r="AC534" s="10">
        <v>41710</v>
      </c>
      <c r="AD534" s="10">
        <v>41710</v>
      </c>
      <c r="AH534" s="8">
        <v>5</v>
      </c>
      <c r="AI534" s="8">
        <v>2</v>
      </c>
      <c r="AK534" s="8" t="s">
        <v>1394</v>
      </c>
    </row>
    <row r="535" spans="1:39">
      <c r="A535" s="7">
        <f t="shared" si="163"/>
        <v>1</v>
      </c>
      <c r="B535" s="7" t="str">
        <f t="shared" si="156"/>
        <v>14FW VB 07_CAMP_YE</v>
      </c>
      <c r="C535" s="7">
        <f t="shared" si="164"/>
        <v>1</v>
      </c>
      <c r="D535" s="7" t="str">
        <f t="shared" si="157"/>
        <v>FOREMOST14FW VB 07_CAMP_YE</v>
      </c>
      <c r="E535" s="12" t="str">
        <f t="shared" si="158"/>
        <v>201401</v>
      </c>
      <c r="F535" s="347" t="str">
        <f>VLOOKUP($AA535,[3]주!$A:$F,6,FALSE)</f>
        <v>1월 4주</v>
      </c>
      <c r="G535" s="7">
        <f t="shared" si="165"/>
        <v>1</v>
      </c>
      <c r="H535" s="7" t="str">
        <f t="shared" si="159"/>
        <v>14FW VB 07_CAMP_YE</v>
      </c>
      <c r="I535" s="7">
        <f t="shared" si="166"/>
        <v>1</v>
      </c>
      <c r="J535" s="7" t="str">
        <f t="shared" si="160"/>
        <v>FOREMOST14FW VB 07_CAMP_YE</v>
      </c>
      <c r="K535" s="17">
        <f t="shared" si="161"/>
        <v>41710</v>
      </c>
      <c r="L535" s="12" t="str">
        <f t="shared" si="162"/>
        <v>201403</v>
      </c>
      <c r="M535" s="347" t="str">
        <f>VLOOKUP($K535,[3]주!$A:$F,6,FALSE)</f>
        <v>3월 2주</v>
      </c>
      <c r="N535" s="273" t="str">
        <f>IF(VLOOKUP($Z535,생산업체!$A:$C,2,FALSE)=1,"해외","국내")</f>
        <v>해외</v>
      </c>
      <c r="O535" s="12" t="str">
        <f>IF(VLOOKUP($U535,CODE!$K:$P,CODE!P$1,FALSE)="모자",T535,T535&amp;"-"&amp;VLOOKUP($U535,CODE!$K:$P,CODE!P$1,FALSE))</f>
        <v>VBL</v>
      </c>
      <c r="P535" s="11" t="s">
        <v>39</v>
      </c>
      <c r="R535" s="11">
        <v>8</v>
      </c>
      <c r="T535" s="8" t="s">
        <v>39</v>
      </c>
      <c r="U535" s="8" t="s">
        <v>28</v>
      </c>
      <c r="V535" s="8" t="s">
        <v>43</v>
      </c>
      <c r="W535" s="8" t="s">
        <v>1448</v>
      </c>
      <c r="X535" s="8" t="s">
        <v>900</v>
      </c>
      <c r="Y535" s="9">
        <v>1</v>
      </c>
      <c r="Z535" s="8" t="s">
        <v>6</v>
      </c>
      <c r="AA535" s="10">
        <v>41663</v>
      </c>
      <c r="AB535" s="10">
        <v>41691</v>
      </c>
      <c r="AC535" s="10">
        <v>41710</v>
      </c>
      <c r="AD535" s="10">
        <v>41710</v>
      </c>
      <c r="AH535" s="8">
        <v>5</v>
      </c>
      <c r="AI535" s="8">
        <v>2</v>
      </c>
      <c r="AK535" s="8" t="s">
        <v>2016</v>
      </c>
      <c r="AL535" s="8" t="s">
        <v>1396</v>
      </c>
    </row>
    <row r="536" spans="1:39">
      <c r="A536" s="7">
        <f t="shared" si="163"/>
        <v>1</v>
      </c>
      <c r="B536" s="7" t="str">
        <f t="shared" si="156"/>
        <v>14FW VB 08_CAMP_BK</v>
      </c>
      <c r="C536" s="7">
        <f t="shared" si="164"/>
        <v>1</v>
      </c>
      <c r="D536" s="7" t="str">
        <f t="shared" si="157"/>
        <v>FOREMOST14FW VB 08_CAMP_BK</v>
      </c>
      <c r="E536" s="12" t="str">
        <f t="shared" si="158"/>
        <v>201401</v>
      </c>
      <c r="F536" s="347" t="str">
        <f>VLOOKUP($AA536,[3]주!$A:$F,6,FALSE)</f>
        <v>1월 4주</v>
      </c>
      <c r="G536" s="7">
        <f t="shared" si="165"/>
        <v>1</v>
      </c>
      <c r="H536" s="7" t="str">
        <f t="shared" si="159"/>
        <v>14FW VB 08_CAMP_BK</v>
      </c>
      <c r="I536" s="7">
        <f t="shared" si="166"/>
        <v>1</v>
      </c>
      <c r="J536" s="7" t="str">
        <f t="shared" si="160"/>
        <v>FOREMOST14FW VB 08_CAMP_BK</v>
      </c>
      <c r="K536" s="17">
        <f t="shared" si="161"/>
        <v>41716</v>
      </c>
      <c r="L536" s="12" t="str">
        <f t="shared" si="162"/>
        <v>201403</v>
      </c>
      <c r="M536" s="347" t="str">
        <f>VLOOKUP($K536,[3]주!$A:$F,6,FALSE)</f>
        <v>3월 2주</v>
      </c>
      <c r="N536" s="273" t="str">
        <f>IF(VLOOKUP($Z536,생산업체!$A:$C,2,FALSE)=1,"해외","국내")</f>
        <v>해외</v>
      </c>
      <c r="O536" s="12" t="str">
        <f>IF(VLOOKUP($U536,CODE!$K:$P,CODE!P$1,FALSE)="모자",T536,T536&amp;"-"&amp;VLOOKUP($U536,CODE!$K:$P,CODE!P$1,FALSE))</f>
        <v>VBL</v>
      </c>
      <c r="P536" s="11" t="s">
        <v>39</v>
      </c>
      <c r="R536" s="11">
        <v>9</v>
      </c>
      <c r="T536" s="8" t="s">
        <v>39</v>
      </c>
      <c r="U536" s="8" t="s">
        <v>38</v>
      </c>
      <c r="V536" s="8" t="s">
        <v>43</v>
      </c>
      <c r="W536" s="8" t="s">
        <v>1449</v>
      </c>
      <c r="X536" s="8" t="s">
        <v>900</v>
      </c>
      <c r="Y536" s="9">
        <v>1</v>
      </c>
      <c r="Z536" s="8" t="s">
        <v>6</v>
      </c>
      <c r="AA536" s="10">
        <v>41663</v>
      </c>
      <c r="AB536" s="10">
        <v>41691</v>
      </c>
      <c r="AC536" s="10">
        <v>41710</v>
      </c>
      <c r="AD536" s="10">
        <v>41716</v>
      </c>
      <c r="AH536" s="8">
        <v>2</v>
      </c>
      <c r="AI536" s="8">
        <v>2</v>
      </c>
      <c r="AK536" s="8" t="s">
        <v>1395</v>
      </c>
      <c r="AL536" s="8" t="s">
        <v>1396</v>
      </c>
    </row>
    <row r="537" spans="1:39">
      <c r="A537" s="7">
        <f t="shared" si="163"/>
        <v>1</v>
      </c>
      <c r="B537" s="7" t="str">
        <f t="shared" si="156"/>
        <v>14FW VB 09_CAMP_BL</v>
      </c>
      <c r="C537" s="7">
        <f t="shared" si="164"/>
        <v>1</v>
      </c>
      <c r="D537" s="7" t="str">
        <f t="shared" si="157"/>
        <v>FOREMOST14FW VB 09_CAMP_BL</v>
      </c>
      <c r="E537" s="12" t="str">
        <f t="shared" si="158"/>
        <v>201401</v>
      </c>
      <c r="F537" s="347" t="str">
        <f>VLOOKUP($AA537,[3]주!$A:$F,6,FALSE)</f>
        <v>1월 4주</v>
      </c>
      <c r="G537" s="7">
        <f t="shared" si="165"/>
        <v>1</v>
      </c>
      <c r="H537" s="7" t="str">
        <f t="shared" si="159"/>
        <v>14FW VB 09_CAMP_BL</v>
      </c>
      <c r="I537" s="7">
        <f t="shared" si="166"/>
        <v>1</v>
      </c>
      <c r="J537" s="7" t="str">
        <f t="shared" si="160"/>
        <v>FOREMOST14FW VB 09_CAMP_BL</v>
      </c>
      <c r="K537" s="17">
        <f t="shared" si="161"/>
        <v>41715</v>
      </c>
      <c r="L537" s="12" t="str">
        <f t="shared" si="162"/>
        <v>201403</v>
      </c>
      <c r="M537" s="347" t="str">
        <f>VLOOKUP($K537,[3]주!$A:$F,6,FALSE)</f>
        <v>3월 2주</v>
      </c>
      <c r="N537" s="273" t="str">
        <f>IF(VLOOKUP($Z537,생산업체!$A:$C,2,FALSE)=1,"해외","국내")</f>
        <v>해외</v>
      </c>
      <c r="O537" s="12" t="str">
        <f>IF(VLOOKUP($U537,CODE!$K:$P,CODE!P$1,FALSE)="모자",T537,T537&amp;"-"&amp;VLOOKUP($U537,CODE!$K:$P,CODE!P$1,FALSE))</f>
        <v>VBL</v>
      </c>
      <c r="P537" s="11" t="s">
        <v>39</v>
      </c>
      <c r="R537" s="11">
        <v>10</v>
      </c>
      <c r="T537" s="8" t="s">
        <v>39</v>
      </c>
      <c r="U537" s="8" t="s">
        <v>38</v>
      </c>
      <c r="V537" s="8" t="s">
        <v>43</v>
      </c>
      <c r="W537" s="8" t="s">
        <v>1450</v>
      </c>
      <c r="X537" s="8" t="s">
        <v>900</v>
      </c>
      <c r="Y537" s="9">
        <v>1</v>
      </c>
      <c r="Z537" s="8" t="s">
        <v>6</v>
      </c>
      <c r="AA537" s="10">
        <v>41663</v>
      </c>
      <c r="AB537" s="10">
        <v>41691</v>
      </c>
      <c r="AC537" s="10">
        <v>41710</v>
      </c>
      <c r="AD537" s="10">
        <v>41715</v>
      </c>
      <c r="AH537" s="8">
        <v>2</v>
      </c>
      <c r="AI537" s="8">
        <v>2</v>
      </c>
      <c r="AK537" s="8" t="s">
        <v>1395</v>
      </c>
      <c r="AL537" s="8" t="s">
        <v>1396</v>
      </c>
    </row>
    <row r="538" spans="1:39">
      <c r="A538" s="7">
        <f t="shared" si="163"/>
        <v>1</v>
      </c>
      <c r="B538" s="7" t="str">
        <f t="shared" si="156"/>
        <v>14FW VB 10_CAMP_WN</v>
      </c>
      <c r="C538" s="7">
        <f t="shared" si="164"/>
        <v>1</v>
      </c>
      <c r="D538" s="7" t="str">
        <f t="shared" si="157"/>
        <v>FOREMOST14FW VB 10_CAMP_WN</v>
      </c>
      <c r="E538" s="12" t="str">
        <f t="shared" si="158"/>
        <v>201401</v>
      </c>
      <c r="F538" s="347" t="str">
        <f>VLOOKUP($AA538,[3]주!$A:$F,6,FALSE)</f>
        <v>1월 4주</v>
      </c>
      <c r="G538" s="7">
        <f t="shared" si="165"/>
        <v>1</v>
      </c>
      <c r="H538" s="7" t="str">
        <f t="shared" si="159"/>
        <v>14FW VB 10_CAMP_WN</v>
      </c>
      <c r="I538" s="7">
        <f t="shared" si="166"/>
        <v>1</v>
      </c>
      <c r="J538" s="7" t="str">
        <f t="shared" si="160"/>
        <v>FOREMOST14FW VB 10_CAMP_WN</v>
      </c>
      <c r="K538" s="17">
        <f t="shared" si="161"/>
        <v>41716</v>
      </c>
      <c r="L538" s="12" t="str">
        <f t="shared" si="162"/>
        <v>201403</v>
      </c>
      <c r="M538" s="347" t="str">
        <f>VLOOKUP($K538,[3]주!$A:$F,6,FALSE)</f>
        <v>3월 2주</v>
      </c>
      <c r="N538" s="273" t="str">
        <f>IF(VLOOKUP($Z538,생산업체!$A:$C,2,FALSE)=1,"해외","국내")</f>
        <v>해외</v>
      </c>
      <c r="O538" s="12" t="str">
        <f>IF(VLOOKUP($U538,CODE!$K:$P,CODE!P$1,FALSE)="모자",T538,T538&amp;"-"&amp;VLOOKUP($U538,CODE!$K:$P,CODE!P$1,FALSE))</f>
        <v>VBL</v>
      </c>
      <c r="P538" s="11" t="s">
        <v>39</v>
      </c>
      <c r="R538" s="11">
        <v>11</v>
      </c>
      <c r="T538" s="8" t="s">
        <v>39</v>
      </c>
      <c r="U538" s="8" t="s">
        <v>38</v>
      </c>
      <c r="V538" s="8" t="s">
        <v>43</v>
      </c>
      <c r="W538" s="8" t="s">
        <v>1451</v>
      </c>
      <c r="X538" s="8" t="s">
        <v>900</v>
      </c>
      <c r="Y538" s="9">
        <v>1</v>
      </c>
      <c r="Z538" s="8" t="s">
        <v>6</v>
      </c>
      <c r="AA538" s="10">
        <v>41663</v>
      </c>
      <c r="AB538" s="10">
        <v>41691</v>
      </c>
      <c r="AC538" s="10">
        <v>41710</v>
      </c>
      <c r="AD538" s="10">
        <v>41716</v>
      </c>
      <c r="AH538" s="8">
        <v>2</v>
      </c>
      <c r="AI538" s="8">
        <v>2</v>
      </c>
      <c r="AK538" s="8" t="s">
        <v>1395</v>
      </c>
      <c r="AL538" s="8" t="s">
        <v>1396</v>
      </c>
    </row>
    <row r="539" spans="1:39">
      <c r="A539" s="7">
        <f t="shared" si="163"/>
        <v>1</v>
      </c>
      <c r="B539" s="7" t="str">
        <f t="shared" si="156"/>
        <v>14FW VB 11_CAMP_GY</v>
      </c>
      <c r="C539" s="7">
        <f t="shared" si="164"/>
        <v>1</v>
      </c>
      <c r="D539" s="7" t="str">
        <f t="shared" si="157"/>
        <v>FOREMOST14FW VB 11_CAMP_GY</v>
      </c>
      <c r="E539" s="12" t="str">
        <f t="shared" si="158"/>
        <v>201401</v>
      </c>
      <c r="F539" s="347" t="str">
        <f>VLOOKUP($AA539,[3]주!$A:$F,6,FALSE)</f>
        <v>1월 4주</v>
      </c>
      <c r="G539" s="7">
        <f t="shared" si="165"/>
        <v>1</v>
      </c>
      <c r="H539" s="7" t="str">
        <f t="shared" si="159"/>
        <v>14FW VB 11_CAMP_GY</v>
      </c>
      <c r="I539" s="7">
        <f t="shared" si="166"/>
        <v>1</v>
      </c>
      <c r="J539" s="7" t="str">
        <f t="shared" si="160"/>
        <v>FOREMOST14FW VB 11_CAMP_GY</v>
      </c>
      <c r="K539" s="17">
        <f t="shared" si="161"/>
        <v>41715</v>
      </c>
      <c r="L539" s="12" t="str">
        <f t="shared" si="162"/>
        <v>201403</v>
      </c>
      <c r="M539" s="347" t="str">
        <f>VLOOKUP($K539,[3]주!$A:$F,6,FALSE)</f>
        <v>3월 2주</v>
      </c>
      <c r="N539" s="273" t="str">
        <f>IF(VLOOKUP($Z539,생산업체!$A:$C,2,FALSE)=1,"해외","국내")</f>
        <v>해외</v>
      </c>
      <c r="O539" s="12" t="str">
        <f>IF(VLOOKUP($U539,CODE!$K:$P,CODE!P$1,FALSE)="모자",T539,T539&amp;"-"&amp;VLOOKUP($U539,CODE!$K:$P,CODE!P$1,FALSE))</f>
        <v>VBL</v>
      </c>
      <c r="P539" s="11" t="s">
        <v>39</v>
      </c>
      <c r="R539" s="11">
        <v>12</v>
      </c>
      <c r="T539" s="8" t="s">
        <v>39</v>
      </c>
      <c r="U539" s="8" t="s">
        <v>28</v>
      </c>
      <c r="V539" s="8" t="s">
        <v>43</v>
      </c>
      <c r="W539" s="8" t="s">
        <v>1452</v>
      </c>
      <c r="X539" s="8" t="s">
        <v>900</v>
      </c>
      <c r="Y539" s="9">
        <v>1</v>
      </c>
      <c r="Z539" s="8" t="s">
        <v>6</v>
      </c>
      <c r="AA539" s="10">
        <v>41663</v>
      </c>
      <c r="AB539" s="10">
        <v>41691</v>
      </c>
      <c r="AC539" s="10">
        <v>41710</v>
      </c>
      <c r="AD539" s="10">
        <v>41715</v>
      </c>
      <c r="AH539" s="8">
        <v>3</v>
      </c>
      <c r="AI539" s="8">
        <v>3</v>
      </c>
      <c r="AK539" s="8" t="s">
        <v>1395</v>
      </c>
      <c r="AL539" s="8" t="s">
        <v>1396</v>
      </c>
    </row>
    <row r="540" spans="1:39">
      <c r="A540" s="7">
        <f t="shared" si="163"/>
        <v>1</v>
      </c>
      <c r="B540" s="7" t="str">
        <f t="shared" si="156"/>
        <v>14FW VB 12_CAMP_BK</v>
      </c>
      <c r="C540" s="7">
        <f t="shared" si="164"/>
        <v>1</v>
      </c>
      <c r="D540" s="7" t="str">
        <f t="shared" si="157"/>
        <v>FOREMOST14FW VB 12_CAMP_BK</v>
      </c>
      <c r="E540" s="12" t="str">
        <f t="shared" si="158"/>
        <v>201401</v>
      </c>
      <c r="F540" s="347" t="str">
        <f>VLOOKUP($AA540,[3]주!$A:$F,6,FALSE)</f>
        <v>1월 4주</v>
      </c>
      <c r="G540" s="7">
        <f t="shared" si="165"/>
        <v>1</v>
      </c>
      <c r="H540" s="7" t="str">
        <f t="shared" si="159"/>
        <v>14FW VB 12_CAMP_BK</v>
      </c>
      <c r="I540" s="7">
        <f t="shared" si="166"/>
        <v>1</v>
      </c>
      <c r="J540" s="7" t="str">
        <f t="shared" si="160"/>
        <v>FOREMOST14FW VB 12_CAMP_BK</v>
      </c>
      <c r="K540" s="17">
        <f t="shared" si="161"/>
        <v>41717</v>
      </c>
      <c r="L540" s="12" t="str">
        <f t="shared" si="162"/>
        <v>201403</v>
      </c>
      <c r="M540" s="347" t="str">
        <f>VLOOKUP($K540,[3]주!$A:$F,6,FALSE)</f>
        <v>3월 2주</v>
      </c>
      <c r="N540" s="273" t="str">
        <f>IF(VLOOKUP($Z540,생산업체!$A:$C,2,FALSE)=1,"해외","국내")</f>
        <v>해외</v>
      </c>
      <c r="O540" s="12" t="str">
        <f>IF(VLOOKUP($U540,CODE!$K:$P,CODE!P$1,FALSE)="모자",T540,T540&amp;"-"&amp;VLOOKUP($U540,CODE!$K:$P,CODE!P$1,FALSE))</f>
        <v>VBL</v>
      </c>
      <c r="P540" s="11" t="s">
        <v>39</v>
      </c>
      <c r="R540" s="11">
        <v>13</v>
      </c>
      <c r="T540" s="8" t="s">
        <v>39</v>
      </c>
      <c r="U540" s="8" t="s">
        <v>28</v>
      </c>
      <c r="V540" s="8" t="s">
        <v>43</v>
      </c>
      <c r="W540" s="8" t="s">
        <v>1453</v>
      </c>
      <c r="X540" s="8" t="s">
        <v>900</v>
      </c>
      <c r="Y540" s="9">
        <v>1</v>
      </c>
      <c r="Z540" s="8" t="s">
        <v>6</v>
      </c>
      <c r="AA540" s="10">
        <v>41663</v>
      </c>
      <c r="AB540" s="10">
        <v>41691</v>
      </c>
      <c r="AC540" s="10">
        <v>41710</v>
      </c>
      <c r="AD540" s="10">
        <v>41717</v>
      </c>
      <c r="AH540" s="8">
        <v>3</v>
      </c>
      <c r="AI540" s="8">
        <v>2</v>
      </c>
      <c r="AK540" s="8" t="s">
        <v>1395</v>
      </c>
      <c r="AL540" s="8" t="s">
        <v>1396</v>
      </c>
    </row>
    <row r="541" spans="1:39">
      <c r="A541" s="7">
        <f t="shared" si="163"/>
        <v>0.5</v>
      </c>
      <c r="B541" s="7" t="str">
        <f t="shared" si="156"/>
        <v>14FW_URBAN SWAGGER_01_FLAT_BK</v>
      </c>
      <c r="C541" s="7">
        <f t="shared" si="164"/>
        <v>1</v>
      </c>
      <c r="D541" s="7" t="str">
        <f t="shared" si="157"/>
        <v>QF14FW_URBAN SWAGGER_01_FLAT_BK</v>
      </c>
      <c r="E541" s="12" t="str">
        <f t="shared" si="158"/>
        <v>201402</v>
      </c>
      <c r="F541" s="347" t="str">
        <f>VLOOKUP($AA541,[3]주!$A:$F,6,FALSE)</f>
        <v>2월 3주</v>
      </c>
      <c r="G541" s="7">
        <f t="shared" si="165"/>
        <v>0.5</v>
      </c>
      <c r="H541" s="7" t="str">
        <f t="shared" si="159"/>
        <v>14FW_URBAN SWAGGER_01_FLAT_BK</v>
      </c>
      <c r="I541" s="7">
        <f t="shared" si="166"/>
        <v>1</v>
      </c>
      <c r="J541" s="7" t="str">
        <f t="shared" si="160"/>
        <v>QF14FW_URBAN SWAGGER_01_FLAT_BK</v>
      </c>
      <c r="K541" s="17">
        <f t="shared" si="161"/>
        <v>41718</v>
      </c>
      <c r="L541" s="12" t="str">
        <f t="shared" si="162"/>
        <v>201403</v>
      </c>
      <c r="M541" s="347" t="str">
        <f>VLOOKUP($K541,[3]주!$A:$F,6,FALSE)</f>
        <v>3월 2주</v>
      </c>
      <c r="N541" s="273" t="str">
        <f>IF(VLOOKUP($Z541,생산업체!$A:$C,2,FALSE)=1,"해외","국내")</f>
        <v>해외</v>
      </c>
      <c r="O541" s="12" t="str">
        <f>IF(VLOOKUP($U541,CODE!$K:$P,CODE!P$1,FALSE)="모자",T541,T541&amp;"-"&amp;VLOOKUP($U541,CODE!$K:$P,CODE!P$1,FALSE))</f>
        <v>URB</v>
      </c>
      <c r="P541" s="11" t="s">
        <v>1101</v>
      </c>
      <c r="R541" s="11">
        <v>14</v>
      </c>
      <c r="T541" s="8" t="s">
        <v>1101</v>
      </c>
      <c r="U541" s="8" t="s">
        <v>50</v>
      </c>
      <c r="V541" s="8" t="s">
        <v>43</v>
      </c>
      <c r="W541" s="8" t="s">
        <v>1519</v>
      </c>
      <c r="X541" s="8" t="s">
        <v>900</v>
      </c>
      <c r="Y541" s="9">
        <v>0.5</v>
      </c>
      <c r="Z541" s="8" t="s">
        <v>792</v>
      </c>
      <c r="AA541" s="10">
        <v>41687</v>
      </c>
      <c r="AB541" s="10">
        <v>41715</v>
      </c>
      <c r="AC541" s="10">
        <v>41715</v>
      </c>
      <c r="AD541" s="10">
        <v>41718</v>
      </c>
      <c r="AH541" s="8">
        <v>3</v>
      </c>
      <c r="AI541" s="8">
        <v>2</v>
      </c>
      <c r="AK541" s="8" t="s">
        <v>1395</v>
      </c>
      <c r="AL541" s="8" t="s">
        <v>1396</v>
      </c>
    </row>
    <row r="542" spans="1:39">
      <c r="A542" s="7">
        <f t="shared" si="163"/>
        <v>0.5</v>
      </c>
      <c r="B542" s="7" t="str">
        <f t="shared" si="156"/>
        <v>14FW_URBAN SWAGGER_02_FLAT_GY</v>
      </c>
      <c r="C542" s="7">
        <f t="shared" si="164"/>
        <v>1</v>
      </c>
      <c r="D542" s="7" t="str">
        <f t="shared" si="157"/>
        <v>QF14FW_URBAN SWAGGER_02_FLAT_GY</v>
      </c>
      <c r="E542" s="12" t="str">
        <f t="shared" si="158"/>
        <v>201402</v>
      </c>
      <c r="F542" s="347" t="str">
        <f>VLOOKUP($AA542,[3]주!$A:$F,6,FALSE)</f>
        <v>2월 3주</v>
      </c>
      <c r="G542" s="7">
        <f t="shared" si="165"/>
        <v>0.5</v>
      </c>
      <c r="H542" s="7" t="str">
        <f t="shared" si="159"/>
        <v>14FW_URBAN SWAGGER_02_FLAT_GY</v>
      </c>
      <c r="I542" s="7">
        <f t="shared" si="166"/>
        <v>1</v>
      </c>
      <c r="J542" s="7" t="str">
        <f t="shared" si="160"/>
        <v>QF14FW_URBAN SWAGGER_02_FLAT_GY</v>
      </c>
      <c r="K542" s="17">
        <f t="shared" si="161"/>
        <v>41718</v>
      </c>
      <c r="L542" s="12" t="str">
        <f t="shared" si="162"/>
        <v>201403</v>
      </c>
      <c r="M542" s="347" t="str">
        <f>VLOOKUP($K542,[3]주!$A:$F,6,FALSE)</f>
        <v>3월 2주</v>
      </c>
      <c r="N542" s="273" t="str">
        <f>IF(VLOOKUP($Z542,생산업체!$A:$C,2,FALSE)=1,"해외","국내")</f>
        <v>해외</v>
      </c>
      <c r="O542" s="12" t="str">
        <f>IF(VLOOKUP($U542,CODE!$K:$P,CODE!P$1,FALSE)="모자",T542,T542&amp;"-"&amp;VLOOKUP($U542,CODE!$K:$P,CODE!P$1,FALSE))</f>
        <v>URB</v>
      </c>
      <c r="P542" s="11" t="s">
        <v>1101</v>
      </c>
      <c r="R542" s="11">
        <v>15</v>
      </c>
      <c r="T542" s="8" t="s">
        <v>1101</v>
      </c>
      <c r="U542" s="8" t="s">
        <v>50</v>
      </c>
      <c r="V542" s="8" t="s">
        <v>43</v>
      </c>
      <c r="W542" s="8" t="s">
        <v>1520</v>
      </c>
      <c r="X542" s="8" t="s">
        <v>900</v>
      </c>
      <c r="Y542" s="9">
        <v>0.5</v>
      </c>
      <c r="Z542" s="8" t="s">
        <v>792</v>
      </c>
      <c r="AA542" s="10">
        <v>41687</v>
      </c>
      <c r="AB542" s="10">
        <v>41715</v>
      </c>
      <c r="AC542" s="10">
        <v>41715</v>
      </c>
      <c r="AD542" s="10">
        <v>41718</v>
      </c>
      <c r="AH542" s="8">
        <v>2</v>
      </c>
      <c r="AI542" s="8">
        <v>2</v>
      </c>
      <c r="AK542" s="8" t="s">
        <v>1397</v>
      </c>
      <c r="AL542" s="8" t="s">
        <v>1396</v>
      </c>
      <c r="AM542" s="8" t="s">
        <v>1398</v>
      </c>
    </row>
    <row r="543" spans="1:39">
      <c r="A543" s="7">
        <f t="shared" si="163"/>
        <v>0.5</v>
      </c>
      <c r="B543" s="7" t="str">
        <f t="shared" si="156"/>
        <v>14FW_URBAN SWAGGER_03_FLAT_BK</v>
      </c>
      <c r="C543" s="7">
        <f t="shared" si="164"/>
        <v>1</v>
      </c>
      <c r="D543" s="7" t="str">
        <f t="shared" si="157"/>
        <v>QF14FW_URBAN SWAGGER_03_FLAT_BK</v>
      </c>
      <c r="E543" s="12" t="str">
        <f t="shared" si="158"/>
        <v>201402</v>
      </c>
      <c r="F543" s="347" t="str">
        <f>VLOOKUP($AA543,[3]주!$A:$F,6,FALSE)</f>
        <v>2월 3주</v>
      </c>
      <c r="G543" s="7">
        <f t="shared" si="165"/>
        <v>0.5</v>
      </c>
      <c r="H543" s="7" t="str">
        <f t="shared" si="159"/>
        <v>14FW_URBAN SWAGGER_03_FLAT_BK</v>
      </c>
      <c r="I543" s="7">
        <f t="shared" si="166"/>
        <v>1</v>
      </c>
      <c r="J543" s="7" t="str">
        <f t="shared" si="160"/>
        <v>QF14FW_URBAN SWAGGER_03_FLAT_BK</v>
      </c>
      <c r="K543" s="17">
        <f t="shared" si="161"/>
        <v>41718</v>
      </c>
      <c r="L543" s="12" t="str">
        <f t="shared" si="162"/>
        <v>201403</v>
      </c>
      <c r="M543" s="347" t="str">
        <f>VLOOKUP($K543,[3]주!$A:$F,6,FALSE)</f>
        <v>3월 2주</v>
      </c>
      <c r="N543" s="273" t="str">
        <f>IF(VLOOKUP($Z543,생산업체!$A:$C,2,FALSE)=1,"해외","국내")</f>
        <v>해외</v>
      </c>
      <c r="O543" s="12" t="str">
        <f>IF(VLOOKUP($U543,CODE!$K:$P,CODE!P$1,FALSE)="모자",T543,T543&amp;"-"&amp;VLOOKUP($U543,CODE!$K:$P,CODE!P$1,FALSE))</f>
        <v>URB</v>
      </c>
      <c r="P543" s="11" t="s">
        <v>1101</v>
      </c>
      <c r="R543" s="11">
        <v>16</v>
      </c>
      <c r="T543" s="8" t="s">
        <v>1101</v>
      </c>
      <c r="U543" s="8" t="s">
        <v>50</v>
      </c>
      <c r="V543" s="8" t="s">
        <v>43</v>
      </c>
      <c r="W543" s="8" t="s">
        <v>1521</v>
      </c>
      <c r="X543" s="8" t="s">
        <v>900</v>
      </c>
      <c r="Y543" s="9">
        <v>0.5</v>
      </c>
      <c r="Z543" s="8" t="s">
        <v>792</v>
      </c>
      <c r="AA543" s="10">
        <v>41687</v>
      </c>
      <c r="AB543" s="10">
        <v>41715</v>
      </c>
      <c r="AC543" s="10">
        <v>41715</v>
      </c>
      <c r="AD543" s="10">
        <v>41718</v>
      </c>
      <c r="AH543" s="8">
        <v>2</v>
      </c>
      <c r="AI543" s="8">
        <v>1</v>
      </c>
      <c r="AK543" s="8" t="s">
        <v>1397</v>
      </c>
      <c r="AL543" s="8" t="s">
        <v>1396</v>
      </c>
      <c r="AM543" s="8" t="s">
        <v>1398</v>
      </c>
    </row>
    <row r="544" spans="1:39">
      <c r="A544" s="7">
        <f t="shared" si="163"/>
        <v>0.5</v>
      </c>
      <c r="B544" s="7" t="str">
        <f t="shared" si="156"/>
        <v>14FW_URBAN SWAGGER_04_EAR FLAT_DN</v>
      </c>
      <c r="C544" s="7">
        <f t="shared" si="164"/>
        <v>1</v>
      </c>
      <c r="D544" s="7" t="str">
        <f t="shared" si="157"/>
        <v>QF14FW_URBAN SWAGGER_04_EAR FLAT_DN</v>
      </c>
      <c r="E544" s="12" t="str">
        <f t="shared" si="158"/>
        <v>201402</v>
      </c>
      <c r="F544" s="347" t="str">
        <f>VLOOKUP($AA544,[3]주!$A:$F,6,FALSE)</f>
        <v>2월 3주</v>
      </c>
      <c r="G544" s="7">
        <f t="shared" si="165"/>
        <v>0.5</v>
      </c>
      <c r="H544" s="7" t="str">
        <f t="shared" si="159"/>
        <v>14FW_URBAN SWAGGER_04_EAR FLAT_DN</v>
      </c>
      <c r="I544" s="7">
        <f t="shared" si="166"/>
        <v>1</v>
      </c>
      <c r="J544" s="7" t="str">
        <f t="shared" si="160"/>
        <v>QF14FW_URBAN SWAGGER_04_EAR FLAT_DN</v>
      </c>
      <c r="K544" s="17">
        <f t="shared" si="161"/>
        <v>41718</v>
      </c>
      <c r="L544" s="12" t="str">
        <f t="shared" si="162"/>
        <v>201403</v>
      </c>
      <c r="M544" s="347" t="str">
        <f>VLOOKUP($K544,[3]주!$A:$F,6,FALSE)</f>
        <v>3월 2주</v>
      </c>
      <c r="N544" s="273" t="str">
        <f>IF(VLOOKUP($Z544,생산업체!$A:$C,2,FALSE)=1,"해외","국내")</f>
        <v>해외</v>
      </c>
      <c r="O544" s="12" t="str">
        <f>IF(VLOOKUP($U544,CODE!$K:$P,CODE!P$1,FALSE)="모자",T544,T544&amp;"-"&amp;VLOOKUP($U544,CODE!$K:$P,CODE!P$1,FALSE))</f>
        <v>URB</v>
      </c>
      <c r="P544" s="11" t="s">
        <v>1101</v>
      </c>
      <c r="R544" s="11">
        <v>17</v>
      </c>
      <c r="T544" s="8" t="s">
        <v>1101</v>
      </c>
      <c r="U544" s="8" t="s">
        <v>28</v>
      </c>
      <c r="V544" s="8" t="s">
        <v>43</v>
      </c>
      <c r="W544" s="8" t="s">
        <v>1522</v>
      </c>
      <c r="X544" s="8" t="s">
        <v>900</v>
      </c>
      <c r="Y544" s="9">
        <v>0.5</v>
      </c>
      <c r="Z544" s="8" t="s">
        <v>792</v>
      </c>
      <c r="AA544" s="10">
        <v>41687</v>
      </c>
      <c r="AB544" s="10">
        <v>41715</v>
      </c>
      <c r="AC544" s="10">
        <v>41715</v>
      </c>
      <c r="AD544" s="10">
        <v>41718</v>
      </c>
      <c r="AH544" s="8">
        <v>4</v>
      </c>
      <c r="AI544" s="8">
        <v>3</v>
      </c>
      <c r="AK544" s="8" t="s">
        <v>1685</v>
      </c>
      <c r="AL544" s="8" t="s">
        <v>1396</v>
      </c>
      <c r="AM544" s="8" t="s">
        <v>1399</v>
      </c>
    </row>
    <row r="545" spans="1:39">
      <c r="A545" s="7">
        <f t="shared" si="163"/>
        <v>0.5</v>
      </c>
      <c r="B545" s="7" t="str">
        <f t="shared" si="156"/>
        <v>14FW_URBAN SWAGGER_05_EAR FLAT_BK</v>
      </c>
      <c r="C545" s="7">
        <f t="shared" si="164"/>
        <v>1</v>
      </c>
      <c r="D545" s="7" t="str">
        <f t="shared" si="157"/>
        <v>QF14FW_URBAN SWAGGER_05_EAR FLAT_BK</v>
      </c>
      <c r="E545" s="12" t="str">
        <f t="shared" si="158"/>
        <v>201402</v>
      </c>
      <c r="F545" s="347" t="str">
        <f>VLOOKUP($AA545,[3]주!$A:$F,6,FALSE)</f>
        <v>2월 3주</v>
      </c>
      <c r="G545" s="7">
        <f t="shared" si="165"/>
        <v>0.5</v>
      </c>
      <c r="H545" s="7" t="str">
        <f t="shared" si="159"/>
        <v>14FW_URBAN SWAGGER_05_EAR FLAT_BK</v>
      </c>
      <c r="I545" s="7">
        <f t="shared" si="166"/>
        <v>1</v>
      </c>
      <c r="J545" s="7" t="str">
        <f t="shared" si="160"/>
        <v>QF14FW_URBAN SWAGGER_05_EAR FLAT_BK</v>
      </c>
      <c r="K545" s="17">
        <f t="shared" si="161"/>
        <v>41730</v>
      </c>
      <c r="L545" s="12" t="str">
        <f t="shared" si="162"/>
        <v>201404</v>
      </c>
      <c r="M545" s="347" t="str">
        <f>VLOOKUP($K545,[3]주!$A:$F,6,FALSE)</f>
        <v>3월 2주</v>
      </c>
      <c r="N545" s="273" t="str">
        <f>IF(VLOOKUP($Z545,생산업체!$A:$C,2,FALSE)=1,"해외","국내")</f>
        <v>해외</v>
      </c>
      <c r="O545" s="12" t="str">
        <f>IF(VLOOKUP($U545,CODE!$K:$P,CODE!P$1,FALSE)="모자",T545,T545&amp;"-"&amp;VLOOKUP($U545,CODE!$K:$P,CODE!P$1,FALSE))</f>
        <v>URB</v>
      </c>
      <c r="P545" s="11" t="s">
        <v>1101</v>
      </c>
      <c r="R545" s="11">
        <v>18</v>
      </c>
      <c r="T545" s="8" t="s">
        <v>1101</v>
      </c>
      <c r="U545" s="8" t="s">
        <v>28</v>
      </c>
      <c r="V545" s="8" t="s">
        <v>43</v>
      </c>
      <c r="W545" s="8" t="s">
        <v>1523</v>
      </c>
      <c r="X545" s="8" t="s">
        <v>900</v>
      </c>
      <c r="Y545" s="9">
        <v>0.5</v>
      </c>
      <c r="Z545" s="8" t="s">
        <v>792</v>
      </c>
      <c r="AA545" s="10">
        <v>41687</v>
      </c>
      <c r="AB545" s="10">
        <v>41715</v>
      </c>
      <c r="AC545" s="10">
        <v>41715</v>
      </c>
      <c r="AD545" s="10">
        <v>41730</v>
      </c>
      <c r="AH545" s="8">
        <v>5</v>
      </c>
      <c r="AI545" s="8">
        <v>2</v>
      </c>
      <c r="AK545" s="8" t="s">
        <v>1394</v>
      </c>
    </row>
    <row r="546" spans="1:39">
      <c r="A546" s="7">
        <f t="shared" si="163"/>
        <v>0.5</v>
      </c>
      <c r="B546" s="7" t="str">
        <f t="shared" si="156"/>
        <v>14FW_URBAN SWAGGER_06_FLAT_NV</v>
      </c>
      <c r="C546" s="7">
        <f t="shared" si="164"/>
        <v>1</v>
      </c>
      <c r="D546" s="7" t="str">
        <f t="shared" si="157"/>
        <v>QF14FW_URBAN SWAGGER_06_FLAT_NV</v>
      </c>
      <c r="E546" s="12" t="str">
        <f t="shared" si="158"/>
        <v>201402</v>
      </c>
      <c r="F546" s="347" t="str">
        <f>VLOOKUP($AA546,[3]주!$A:$F,6,FALSE)</f>
        <v>2월 3주</v>
      </c>
      <c r="G546" s="7">
        <f t="shared" si="165"/>
        <v>0.5</v>
      </c>
      <c r="H546" s="7" t="str">
        <f t="shared" si="159"/>
        <v>14FW_URBAN SWAGGER_06_FLAT_NV</v>
      </c>
      <c r="I546" s="7">
        <f t="shared" si="166"/>
        <v>1</v>
      </c>
      <c r="J546" s="7" t="str">
        <f t="shared" si="160"/>
        <v>QF14FW_URBAN SWAGGER_06_FLAT_NV</v>
      </c>
      <c r="K546" s="17">
        <f t="shared" si="161"/>
        <v>41736</v>
      </c>
      <c r="L546" s="12" t="str">
        <f t="shared" si="162"/>
        <v>201404</v>
      </c>
      <c r="M546" s="347" t="str">
        <f>VLOOKUP($K546,[3]주!$A:$F,6,FALSE)</f>
        <v>3월 2주</v>
      </c>
      <c r="N546" s="273" t="str">
        <f>IF(VLOOKUP($Z546,생산업체!$A:$C,2,FALSE)=1,"해외","국내")</f>
        <v>해외</v>
      </c>
      <c r="O546" s="12" t="str">
        <f>IF(VLOOKUP($U546,CODE!$K:$P,CODE!P$1,FALSE)="모자",T546,T546&amp;"-"&amp;VLOOKUP($U546,CODE!$K:$P,CODE!P$1,FALSE))</f>
        <v>URB</v>
      </c>
      <c r="P546" s="11" t="s">
        <v>1101</v>
      </c>
      <c r="R546" s="11">
        <v>19</v>
      </c>
      <c r="T546" s="8" t="s">
        <v>1101</v>
      </c>
      <c r="U546" s="8" t="s">
        <v>50</v>
      </c>
      <c r="V546" s="8" t="s">
        <v>43</v>
      </c>
      <c r="W546" s="8" t="s">
        <v>1524</v>
      </c>
      <c r="X546" s="8" t="s">
        <v>900</v>
      </c>
      <c r="Y546" s="9">
        <v>0.5</v>
      </c>
      <c r="Z546" s="8" t="s">
        <v>792</v>
      </c>
      <c r="AA546" s="10">
        <v>41687</v>
      </c>
      <c r="AB546" s="10">
        <v>41715</v>
      </c>
      <c r="AC546" s="10">
        <v>41710</v>
      </c>
      <c r="AD546" s="10">
        <v>41736</v>
      </c>
      <c r="AH546" s="8">
        <v>3</v>
      </c>
      <c r="AI546" s="8">
        <v>2</v>
      </c>
      <c r="AK546" s="8" t="s">
        <v>1394</v>
      </c>
    </row>
    <row r="547" spans="1:39">
      <c r="A547" s="7">
        <f t="shared" si="163"/>
        <v>0.5</v>
      </c>
      <c r="B547" s="7" t="str">
        <f t="shared" si="156"/>
        <v>14FW_URBAN SWAGGER_07_FLAT_RD</v>
      </c>
      <c r="C547" s="7">
        <f t="shared" si="164"/>
        <v>1</v>
      </c>
      <c r="D547" s="7" t="str">
        <f t="shared" si="157"/>
        <v>QF14FW_URBAN SWAGGER_07_FLAT_RD</v>
      </c>
      <c r="E547" s="12" t="str">
        <f t="shared" si="158"/>
        <v>201402</v>
      </c>
      <c r="F547" s="347" t="str">
        <f>VLOOKUP($AA547,[3]주!$A:$F,6,FALSE)</f>
        <v>2월 3주</v>
      </c>
      <c r="G547" s="7">
        <f t="shared" si="165"/>
        <v>0.5</v>
      </c>
      <c r="H547" s="7" t="str">
        <f t="shared" si="159"/>
        <v>14FW_URBAN SWAGGER_07_FLAT_RD</v>
      </c>
      <c r="I547" s="7">
        <f t="shared" si="166"/>
        <v>1</v>
      </c>
      <c r="J547" s="7" t="str">
        <f t="shared" si="160"/>
        <v>QF14FW_URBAN SWAGGER_07_FLAT_RD</v>
      </c>
      <c r="K547" s="17">
        <f t="shared" si="161"/>
        <v>41723</v>
      </c>
      <c r="L547" s="12" t="str">
        <f t="shared" si="162"/>
        <v>201403</v>
      </c>
      <c r="M547" s="347" t="str">
        <f>VLOOKUP($K547,[3]주!$A:$F,6,FALSE)</f>
        <v>3월 2주</v>
      </c>
      <c r="N547" s="273" t="str">
        <f>IF(VLOOKUP($Z547,생산업체!$A:$C,2,FALSE)=1,"해외","국내")</f>
        <v>해외</v>
      </c>
      <c r="O547" s="12" t="str">
        <f>IF(VLOOKUP($U547,CODE!$K:$P,CODE!P$1,FALSE)="모자",T547,T547&amp;"-"&amp;VLOOKUP($U547,CODE!$K:$P,CODE!P$1,FALSE))</f>
        <v>URB</v>
      </c>
      <c r="P547" s="11" t="s">
        <v>1101</v>
      </c>
      <c r="R547" s="11">
        <v>20</v>
      </c>
      <c r="T547" s="8" t="s">
        <v>1101</v>
      </c>
      <c r="U547" s="8" t="s">
        <v>50</v>
      </c>
      <c r="V547" s="8" t="s">
        <v>43</v>
      </c>
      <c r="W547" s="8" t="s">
        <v>1525</v>
      </c>
      <c r="X547" s="8" t="s">
        <v>900</v>
      </c>
      <c r="Y547" s="9">
        <v>0.5</v>
      </c>
      <c r="Z547" s="8" t="s">
        <v>792</v>
      </c>
      <c r="AA547" s="10">
        <v>41687</v>
      </c>
      <c r="AB547" s="10">
        <v>41715</v>
      </c>
      <c r="AC547" s="10">
        <v>41710</v>
      </c>
      <c r="AD547" s="10">
        <v>41723</v>
      </c>
      <c r="AH547" s="8">
        <v>2</v>
      </c>
      <c r="AI547" s="8">
        <v>1</v>
      </c>
      <c r="AK547" s="8" t="s">
        <v>1394</v>
      </c>
    </row>
    <row r="548" spans="1:39">
      <c r="A548" s="7">
        <f t="shared" si="163"/>
        <v>0.5</v>
      </c>
      <c r="B548" s="7" t="str">
        <f t="shared" si="156"/>
        <v>14FW_URBAN SWAGGER_08_FLAT_GY</v>
      </c>
      <c r="C548" s="7">
        <f t="shared" si="164"/>
        <v>1</v>
      </c>
      <c r="D548" s="7" t="str">
        <f t="shared" si="157"/>
        <v>QF14FW_URBAN SWAGGER_08_FLAT_GY</v>
      </c>
      <c r="E548" s="12" t="str">
        <f t="shared" si="158"/>
        <v>201402</v>
      </c>
      <c r="F548" s="347" t="str">
        <f>VLOOKUP($AA548,[3]주!$A:$F,6,FALSE)</f>
        <v>2월 3주</v>
      </c>
      <c r="G548" s="7">
        <f t="shared" si="165"/>
        <v>0.5</v>
      </c>
      <c r="H548" s="7" t="str">
        <f t="shared" si="159"/>
        <v>14FW_URBAN SWAGGER_08_FLAT_GY</v>
      </c>
      <c r="I548" s="7">
        <f t="shared" si="166"/>
        <v>1</v>
      </c>
      <c r="J548" s="7" t="str">
        <f t="shared" si="160"/>
        <v>QF14FW_URBAN SWAGGER_08_FLAT_GY</v>
      </c>
      <c r="K548" s="17">
        <f t="shared" si="161"/>
        <v>41730</v>
      </c>
      <c r="L548" s="12" t="str">
        <f t="shared" si="162"/>
        <v>201404</v>
      </c>
      <c r="M548" s="347" t="str">
        <f>VLOOKUP($K548,[3]주!$A:$F,6,FALSE)</f>
        <v>3월 2주</v>
      </c>
      <c r="N548" s="273" t="str">
        <f>IF(VLOOKUP($Z548,생산업체!$A:$C,2,FALSE)=1,"해외","국내")</f>
        <v>해외</v>
      </c>
      <c r="O548" s="12" t="str">
        <f>IF(VLOOKUP($U548,CODE!$K:$P,CODE!P$1,FALSE)="모자",T548,T548&amp;"-"&amp;VLOOKUP($U548,CODE!$K:$P,CODE!P$1,FALSE))</f>
        <v>URB</v>
      </c>
      <c r="P548" s="11" t="s">
        <v>1101</v>
      </c>
      <c r="R548" s="11">
        <v>21</v>
      </c>
      <c r="T548" s="8" t="s">
        <v>1101</v>
      </c>
      <c r="U548" s="8" t="s">
        <v>50</v>
      </c>
      <c r="V548" s="8" t="s">
        <v>43</v>
      </c>
      <c r="W548" s="8" t="s">
        <v>1526</v>
      </c>
      <c r="X548" s="8" t="s">
        <v>900</v>
      </c>
      <c r="Y548" s="9">
        <v>0.5</v>
      </c>
      <c r="Z548" s="8" t="s">
        <v>792</v>
      </c>
      <c r="AA548" s="10">
        <v>41687</v>
      </c>
      <c r="AB548" s="10">
        <v>41715</v>
      </c>
      <c r="AC548" s="10">
        <v>41710</v>
      </c>
      <c r="AD548" s="10">
        <v>41730</v>
      </c>
      <c r="AH548" s="8">
        <v>2</v>
      </c>
      <c r="AI548" s="8">
        <v>2</v>
      </c>
      <c r="AK548" s="8" t="s">
        <v>1394</v>
      </c>
    </row>
    <row r="549" spans="1:39">
      <c r="A549" s="7">
        <f t="shared" si="163"/>
        <v>0.5</v>
      </c>
      <c r="B549" s="7" t="str">
        <f t="shared" si="156"/>
        <v>14FW_URBAN SWAGGER_09_FLAT_BK</v>
      </c>
      <c r="C549" s="7">
        <f t="shared" si="164"/>
        <v>1</v>
      </c>
      <c r="D549" s="7" t="str">
        <f t="shared" si="157"/>
        <v>QF14FW_URBAN SWAGGER_09_FLAT_BK</v>
      </c>
      <c r="E549" s="12" t="str">
        <f t="shared" si="158"/>
        <v>201402</v>
      </c>
      <c r="F549" s="347" t="str">
        <f>VLOOKUP($AA549,[3]주!$A:$F,6,FALSE)</f>
        <v>2월 3주</v>
      </c>
      <c r="G549" s="7">
        <f t="shared" si="165"/>
        <v>0.5</v>
      </c>
      <c r="H549" s="7" t="str">
        <f t="shared" si="159"/>
        <v>14FW_URBAN SWAGGER_09_FLAT_BK</v>
      </c>
      <c r="I549" s="7">
        <f t="shared" si="166"/>
        <v>1</v>
      </c>
      <c r="J549" s="7" t="str">
        <f t="shared" si="160"/>
        <v>QF14FW_URBAN SWAGGER_09_FLAT_BK</v>
      </c>
      <c r="K549" s="17">
        <f t="shared" si="161"/>
        <v>41723</v>
      </c>
      <c r="L549" s="12" t="str">
        <f t="shared" si="162"/>
        <v>201403</v>
      </c>
      <c r="M549" s="347" t="str">
        <f>VLOOKUP($K549,[3]주!$A:$F,6,FALSE)</f>
        <v>3월 2주</v>
      </c>
      <c r="N549" s="273" t="str">
        <f>IF(VLOOKUP($Z549,생산업체!$A:$C,2,FALSE)=1,"해외","국내")</f>
        <v>해외</v>
      </c>
      <c r="O549" s="12" t="str">
        <f>IF(VLOOKUP($U549,CODE!$K:$P,CODE!P$1,FALSE)="모자",T549,T549&amp;"-"&amp;VLOOKUP($U549,CODE!$K:$P,CODE!P$1,FALSE))</f>
        <v>URB</v>
      </c>
      <c r="P549" s="11" t="s">
        <v>1101</v>
      </c>
      <c r="R549" s="11">
        <v>22</v>
      </c>
      <c r="T549" s="8" t="s">
        <v>1101</v>
      </c>
      <c r="U549" s="8" t="s">
        <v>50</v>
      </c>
      <c r="V549" s="8" t="s">
        <v>43</v>
      </c>
      <c r="W549" s="8" t="s">
        <v>1527</v>
      </c>
      <c r="X549" s="8" t="s">
        <v>900</v>
      </c>
      <c r="Y549" s="9">
        <v>0.5</v>
      </c>
      <c r="Z549" s="8" t="s">
        <v>792</v>
      </c>
      <c r="AA549" s="10">
        <v>41687</v>
      </c>
      <c r="AB549" s="10">
        <v>41715</v>
      </c>
      <c r="AC549" s="10">
        <v>41710</v>
      </c>
      <c r="AD549" s="10">
        <v>41723</v>
      </c>
      <c r="AH549" s="8">
        <v>2</v>
      </c>
      <c r="AI549" s="8">
        <v>1</v>
      </c>
      <c r="AK549" s="8" t="s">
        <v>1394</v>
      </c>
    </row>
    <row r="550" spans="1:39">
      <c r="A550" s="7">
        <f t="shared" si="163"/>
        <v>0.5</v>
      </c>
      <c r="B550" s="7" t="str">
        <f t="shared" si="156"/>
        <v>14FW_URBAN SWAGGER_10_FLAT_BK</v>
      </c>
      <c r="C550" s="7">
        <f t="shared" si="164"/>
        <v>1</v>
      </c>
      <c r="D550" s="7" t="str">
        <f t="shared" si="157"/>
        <v>QF14FW_URBAN SWAGGER_10_FLAT_BK</v>
      </c>
      <c r="E550" s="12" t="str">
        <f t="shared" si="158"/>
        <v>201402</v>
      </c>
      <c r="F550" s="347" t="str">
        <f>VLOOKUP($AA550,[3]주!$A:$F,6,FALSE)</f>
        <v>2월 3주</v>
      </c>
      <c r="G550" s="7">
        <f t="shared" si="165"/>
        <v>0.5</v>
      </c>
      <c r="H550" s="7" t="str">
        <f t="shared" si="159"/>
        <v>14FW_URBAN SWAGGER_10_FLAT_BK</v>
      </c>
      <c r="I550" s="7">
        <f t="shared" si="166"/>
        <v>1</v>
      </c>
      <c r="J550" s="7" t="str">
        <f t="shared" si="160"/>
        <v>QF14FW_URBAN SWAGGER_10_FLAT_BK</v>
      </c>
      <c r="K550" s="17">
        <f t="shared" si="161"/>
        <v>41718</v>
      </c>
      <c r="L550" s="12" t="str">
        <f t="shared" si="162"/>
        <v>201403</v>
      </c>
      <c r="M550" s="347" t="str">
        <f>VLOOKUP($K550,[3]주!$A:$F,6,FALSE)</f>
        <v>3월 2주</v>
      </c>
      <c r="N550" s="273" t="str">
        <f>IF(VLOOKUP($Z550,생산업체!$A:$C,2,FALSE)=1,"해외","국내")</f>
        <v>해외</v>
      </c>
      <c r="O550" s="12" t="str">
        <f>IF(VLOOKUP($U550,CODE!$K:$P,CODE!P$1,FALSE)="모자",T550,T550&amp;"-"&amp;VLOOKUP($U550,CODE!$K:$P,CODE!P$1,FALSE))</f>
        <v>URB</v>
      </c>
      <c r="P550" s="11" t="s">
        <v>1101</v>
      </c>
      <c r="R550" s="11">
        <v>23</v>
      </c>
      <c r="T550" s="8" t="s">
        <v>1101</v>
      </c>
      <c r="U550" s="8" t="s">
        <v>50</v>
      </c>
      <c r="V550" s="8" t="s">
        <v>43</v>
      </c>
      <c r="W550" s="8" t="s">
        <v>1528</v>
      </c>
      <c r="X550" s="8" t="s">
        <v>900</v>
      </c>
      <c r="Y550" s="9">
        <v>0.5</v>
      </c>
      <c r="Z550" s="8" t="s">
        <v>792</v>
      </c>
      <c r="AA550" s="10">
        <v>41687</v>
      </c>
      <c r="AB550" s="10">
        <v>41715</v>
      </c>
      <c r="AC550" s="10">
        <v>41710</v>
      </c>
      <c r="AD550" s="10">
        <v>41718</v>
      </c>
      <c r="AH550" s="8">
        <v>2</v>
      </c>
      <c r="AK550" s="8" t="s">
        <v>1394</v>
      </c>
    </row>
    <row r="551" spans="1:39">
      <c r="A551" s="7">
        <f t="shared" si="163"/>
        <v>0.5</v>
      </c>
      <c r="B551" s="7" t="str">
        <f t="shared" si="156"/>
        <v>14FW_URBAN SWAGGER_11_FLAT_BK</v>
      </c>
      <c r="C551" s="7">
        <f t="shared" si="164"/>
        <v>1</v>
      </c>
      <c r="D551" s="7" t="str">
        <f t="shared" si="157"/>
        <v>QF14FW_URBAN SWAGGER_11_FLAT_BK</v>
      </c>
      <c r="E551" s="12" t="str">
        <f t="shared" si="158"/>
        <v>201402</v>
      </c>
      <c r="F551" s="347" t="str">
        <f>VLOOKUP($AA551,[3]주!$A:$F,6,FALSE)</f>
        <v>2월 3주</v>
      </c>
      <c r="G551" s="7">
        <f t="shared" si="165"/>
        <v>0.5</v>
      </c>
      <c r="H551" s="7" t="str">
        <f t="shared" si="159"/>
        <v>14FW_URBAN SWAGGER_11_FLAT_BK</v>
      </c>
      <c r="I551" s="7">
        <f t="shared" si="166"/>
        <v>1</v>
      </c>
      <c r="J551" s="7" t="str">
        <f t="shared" si="160"/>
        <v>QF14FW_URBAN SWAGGER_11_FLAT_BK</v>
      </c>
      <c r="K551" s="17">
        <f t="shared" si="161"/>
        <v>41715</v>
      </c>
      <c r="L551" s="12" t="str">
        <f t="shared" si="162"/>
        <v>201403</v>
      </c>
      <c r="M551" s="347" t="str">
        <f>VLOOKUP($K551,[3]주!$A:$F,6,FALSE)</f>
        <v>3월 2주</v>
      </c>
      <c r="N551" s="273" t="str">
        <f>IF(VLOOKUP($Z551,생산업체!$A:$C,2,FALSE)=1,"해외","국내")</f>
        <v>해외</v>
      </c>
      <c r="O551" s="12" t="str">
        <f>IF(VLOOKUP($U551,CODE!$K:$P,CODE!P$1,FALSE)="모자",T551,T551&amp;"-"&amp;VLOOKUP($U551,CODE!$K:$P,CODE!P$1,FALSE))</f>
        <v>URB</v>
      </c>
      <c r="P551" s="11" t="s">
        <v>1101</v>
      </c>
      <c r="R551" s="11">
        <v>24</v>
      </c>
      <c r="T551" s="8" t="s">
        <v>1101</v>
      </c>
      <c r="U551" s="8" t="s">
        <v>50</v>
      </c>
      <c r="V551" s="8" t="s">
        <v>43</v>
      </c>
      <c r="W551" s="8" t="s">
        <v>1529</v>
      </c>
      <c r="X551" s="8" t="s">
        <v>900</v>
      </c>
      <c r="Y551" s="9">
        <v>0.5</v>
      </c>
      <c r="Z551" s="8" t="s">
        <v>792</v>
      </c>
      <c r="AA551" s="10">
        <v>41687</v>
      </c>
      <c r="AB551" s="10">
        <v>41715</v>
      </c>
      <c r="AC551" s="10">
        <v>41710</v>
      </c>
      <c r="AD551" s="10">
        <v>41715</v>
      </c>
      <c r="AH551" s="8">
        <v>3</v>
      </c>
      <c r="AI551" s="8">
        <v>1</v>
      </c>
      <c r="AK551" s="8" t="s">
        <v>1394</v>
      </c>
    </row>
    <row r="552" spans="1:39">
      <c r="A552" s="7">
        <f t="shared" si="163"/>
        <v>0.5</v>
      </c>
      <c r="B552" s="7" t="str">
        <f>IF(AA552="","",W552)</f>
        <v>14FW_URBAN SWAGGER_15_FLAT_RD</v>
      </c>
      <c r="C552" s="7">
        <f t="shared" si="164"/>
        <v>1</v>
      </c>
      <c r="D552" s="7" t="str">
        <f>IF(AA552="","",Z552&amp;W552)</f>
        <v>QF14FW_URBAN SWAGGER_15_FLAT_RD</v>
      </c>
      <c r="E552" s="12" t="str">
        <f>IF(YEAR(AA552)&lt;10,0&amp;YEAR(AA552),YEAR(AA552))&amp;IF(MONTH(AA552)&lt;10,0&amp;MONTH(AA552),MONTH(AA552))</f>
        <v>201402</v>
      </c>
      <c r="F552" s="347" t="str">
        <f>VLOOKUP($AA552,[3]주!$A:$F,6,FALSE)</f>
        <v>2월 3주</v>
      </c>
      <c r="G552" s="7">
        <f t="shared" si="165"/>
        <v>0.5</v>
      </c>
      <c r="H552" s="7" t="str">
        <f>IF(AD552="","",W552)</f>
        <v>14FW_URBAN SWAGGER_15_FLAT_RD</v>
      </c>
      <c r="I552" s="7">
        <f t="shared" si="166"/>
        <v>1</v>
      </c>
      <c r="J552" s="7" t="str">
        <f>IF(AD552="","",Z552&amp;W552)</f>
        <v>QF14FW_URBAN SWAGGER_15_FLAT_RD</v>
      </c>
      <c r="K552" s="17">
        <f>IF(AD552="",AC552,AD552)</f>
        <v>41730</v>
      </c>
      <c r="L552" s="12" t="str">
        <f>IF(YEAR(K552)&lt;10,0&amp;YEAR(K552),YEAR(K552))&amp;IF(MONTH(K552)&lt;10,0&amp;MONTH(K552),MONTH(K552))</f>
        <v>201404</v>
      </c>
      <c r="M552" s="347" t="str">
        <f>VLOOKUP($K552,[3]주!$A:$F,6,FALSE)</f>
        <v>3월 2주</v>
      </c>
      <c r="N552" s="273" t="str">
        <f>IF(VLOOKUP($Z552,생산업체!$A:$C,2,FALSE)=1,"해외","국내")</f>
        <v>해외</v>
      </c>
      <c r="O552" s="12" t="str">
        <f>IF(VLOOKUP($U552,CODE!$K:$P,CODE!P$1,FALSE)="모자",T552,T552&amp;"-"&amp;VLOOKUP($U552,CODE!$K:$P,CODE!P$1,FALSE))</f>
        <v>URB</v>
      </c>
      <c r="P552" s="11" t="s">
        <v>1101</v>
      </c>
      <c r="R552" s="11">
        <v>25</v>
      </c>
      <c r="T552" s="8" t="s">
        <v>1101</v>
      </c>
      <c r="U552" s="8" t="s">
        <v>50</v>
      </c>
      <c r="V552" s="8" t="s">
        <v>43</v>
      </c>
      <c r="W552" s="8" t="s">
        <v>1530</v>
      </c>
      <c r="X552" s="8" t="s">
        <v>900</v>
      </c>
      <c r="Y552" s="9">
        <v>0.5</v>
      </c>
      <c r="Z552" s="8" t="s">
        <v>792</v>
      </c>
      <c r="AA552" s="10">
        <v>41687</v>
      </c>
      <c r="AB552" s="10">
        <v>41715</v>
      </c>
      <c r="AC552" s="10">
        <v>41710</v>
      </c>
      <c r="AD552" s="10">
        <v>41730</v>
      </c>
      <c r="AH552" s="8">
        <v>3</v>
      </c>
      <c r="AI552" s="8">
        <v>0</v>
      </c>
      <c r="AK552" s="8" t="s">
        <v>1394</v>
      </c>
    </row>
    <row r="553" spans="1:39">
      <c r="A553" s="7">
        <f t="shared" si="163"/>
        <v>0.5</v>
      </c>
      <c r="B553" s="7" t="str">
        <f>IF(AA553="","",W553)</f>
        <v>14FW_URBAN SWAGGER_16_FLAT_BK</v>
      </c>
      <c r="C553" s="7">
        <f t="shared" si="164"/>
        <v>1</v>
      </c>
      <c r="D553" s="7" t="str">
        <f>IF(AA553="","",Z553&amp;W553)</f>
        <v>QF14FW_URBAN SWAGGER_16_FLAT_BK</v>
      </c>
      <c r="E553" s="12" t="str">
        <f>IF(YEAR(AA553)&lt;10,0&amp;YEAR(AA553),YEAR(AA553))&amp;IF(MONTH(AA553)&lt;10,0&amp;MONTH(AA553),MONTH(AA553))</f>
        <v>201402</v>
      </c>
      <c r="F553" s="347" t="str">
        <f>VLOOKUP($AA553,[3]주!$A:$F,6,FALSE)</f>
        <v>2월 3주</v>
      </c>
      <c r="G553" s="7">
        <f t="shared" si="165"/>
        <v>0.5</v>
      </c>
      <c r="H553" s="7" t="str">
        <f>IF(AD553="","",W553)</f>
        <v>14FW_URBAN SWAGGER_16_FLAT_BK</v>
      </c>
      <c r="I553" s="7">
        <f t="shared" si="166"/>
        <v>1</v>
      </c>
      <c r="J553" s="7" t="str">
        <f>IF(AD553="","",Z553&amp;W553)</f>
        <v>QF14FW_URBAN SWAGGER_16_FLAT_BK</v>
      </c>
      <c r="K553" s="17">
        <f>IF(AD553="",AC553,AD553)</f>
        <v>41730</v>
      </c>
      <c r="L553" s="12" t="str">
        <f>IF(YEAR(K553)&lt;10,0&amp;YEAR(K553),YEAR(K553))&amp;IF(MONTH(K553)&lt;10,0&amp;MONTH(K553),MONTH(K553))</f>
        <v>201404</v>
      </c>
      <c r="M553" s="347" t="str">
        <f>VLOOKUP($K553,[3]주!$A:$F,6,FALSE)</f>
        <v>3월 2주</v>
      </c>
      <c r="N553" s="273" t="str">
        <f>IF(VLOOKUP($Z553,생산업체!$A:$C,2,FALSE)=1,"해외","국내")</f>
        <v>해외</v>
      </c>
      <c r="O553" s="12" t="str">
        <f>IF(VLOOKUP($U553,CODE!$K:$P,CODE!P$1,FALSE)="모자",T553,T553&amp;"-"&amp;VLOOKUP($U553,CODE!$K:$P,CODE!P$1,FALSE))</f>
        <v>URB</v>
      </c>
      <c r="P553" s="11" t="s">
        <v>1101</v>
      </c>
      <c r="R553" s="11">
        <v>26</v>
      </c>
      <c r="T553" s="8" t="s">
        <v>1101</v>
      </c>
      <c r="U553" s="8" t="s">
        <v>50</v>
      </c>
      <c r="V553" s="8" t="s">
        <v>43</v>
      </c>
      <c r="W553" s="8" t="s">
        <v>1531</v>
      </c>
      <c r="X553" s="8" t="s">
        <v>900</v>
      </c>
      <c r="Y553" s="9">
        <v>0.5</v>
      </c>
      <c r="Z553" s="8" t="s">
        <v>792</v>
      </c>
      <c r="AA553" s="10">
        <v>41687</v>
      </c>
      <c r="AB553" s="10">
        <v>41715</v>
      </c>
      <c r="AC553" s="10">
        <v>41710</v>
      </c>
      <c r="AD553" s="10">
        <v>41730</v>
      </c>
      <c r="AH553" s="8">
        <v>3</v>
      </c>
      <c r="AI553" s="8">
        <v>2</v>
      </c>
      <c r="AK553" s="8" t="s">
        <v>2016</v>
      </c>
      <c r="AL553" s="8" t="s">
        <v>1396</v>
      </c>
    </row>
    <row r="554" spans="1:39">
      <c r="A554" s="7">
        <f t="shared" si="163"/>
        <v>0.5</v>
      </c>
      <c r="B554" s="7" t="str">
        <f>IF(AA554="","",W554)</f>
        <v>14FW_URBAN SWAGGER_17_FLAT_BK</v>
      </c>
      <c r="C554" s="7">
        <f t="shared" si="164"/>
        <v>1</v>
      </c>
      <c r="D554" s="7" t="str">
        <f>IF(AA554="","",Z554&amp;W554)</f>
        <v>QF14FW_URBAN SWAGGER_17_FLAT_BK</v>
      </c>
      <c r="E554" s="12" t="str">
        <f>IF(YEAR(AA554)&lt;10,0&amp;YEAR(AA554),YEAR(AA554))&amp;IF(MONTH(AA554)&lt;10,0&amp;MONTH(AA554),MONTH(AA554))</f>
        <v>201402</v>
      </c>
      <c r="F554" s="347" t="str">
        <f>VLOOKUP($AA554,[3]주!$A:$F,6,FALSE)</f>
        <v>2월 3주</v>
      </c>
      <c r="G554" s="7">
        <f t="shared" si="165"/>
        <v>0.5</v>
      </c>
      <c r="H554" s="7" t="str">
        <f>IF(AD554="","",W554)</f>
        <v>14FW_URBAN SWAGGER_17_FLAT_BK</v>
      </c>
      <c r="I554" s="7">
        <f t="shared" si="166"/>
        <v>1</v>
      </c>
      <c r="J554" s="7" t="str">
        <f>IF(AD554="","",Z554&amp;W554)</f>
        <v>QF14FW_URBAN SWAGGER_17_FLAT_BK</v>
      </c>
      <c r="K554" s="17">
        <f>IF(AD554="",AC554,AD554)</f>
        <v>41730</v>
      </c>
      <c r="L554" s="12" t="str">
        <f>IF(YEAR(K554)&lt;10,0&amp;YEAR(K554),YEAR(K554))&amp;IF(MONTH(K554)&lt;10,0&amp;MONTH(K554),MONTH(K554))</f>
        <v>201404</v>
      </c>
      <c r="M554" s="347" t="str">
        <f>VLOOKUP($K554,[3]주!$A:$F,6,FALSE)</f>
        <v>3월 2주</v>
      </c>
      <c r="N554" s="273" t="str">
        <f>IF(VLOOKUP($Z554,생산업체!$A:$C,2,FALSE)=1,"해외","국내")</f>
        <v>해외</v>
      </c>
      <c r="O554" s="12" t="str">
        <f>IF(VLOOKUP($U554,CODE!$K:$P,CODE!P$1,FALSE)="모자",T554,T554&amp;"-"&amp;VLOOKUP($U554,CODE!$K:$P,CODE!P$1,FALSE))</f>
        <v>URB</v>
      </c>
      <c r="P554" s="11" t="s">
        <v>1101</v>
      </c>
      <c r="R554" s="11">
        <v>27</v>
      </c>
      <c r="T554" s="8" t="s">
        <v>1101</v>
      </c>
      <c r="U554" s="8" t="s">
        <v>50</v>
      </c>
      <c r="V554" s="8" t="s">
        <v>43</v>
      </c>
      <c r="W554" s="8" t="s">
        <v>1532</v>
      </c>
      <c r="X554" s="8" t="s">
        <v>900</v>
      </c>
      <c r="Y554" s="9">
        <v>0.5</v>
      </c>
      <c r="Z554" s="8" t="s">
        <v>792</v>
      </c>
      <c r="AA554" s="10">
        <v>41687</v>
      </c>
      <c r="AB554" s="10">
        <v>41715</v>
      </c>
      <c r="AC554" s="10">
        <v>41710</v>
      </c>
      <c r="AD554" s="10">
        <v>41730</v>
      </c>
      <c r="AH554" s="8">
        <v>3</v>
      </c>
      <c r="AI554" s="8">
        <v>1</v>
      </c>
      <c r="AK554" s="8" t="s">
        <v>1395</v>
      </c>
      <c r="AL554" s="8" t="s">
        <v>1396</v>
      </c>
    </row>
    <row r="555" spans="1:39">
      <c r="A555" s="7">
        <f t="shared" si="163"/>
        <v>0.5</v>
      </c>
      <c r="B555" s="7" t="str">
        <f t="shared" ref="B555:B595" si="167">IF(AA555="","",W555)</f>
        <v>14FW_URBAN SWAGGER_20_EAR FLAT_BK</v>
      </c>
      <c r="C555" s="7">
        <f t="shared" si="164"/>
        <v>1</v>
      </c>
      <c r="D555" s="7" t="str">
        <f t="shared" ref="D555:D595" si="168">IF(AA555="","",Z555&amp;W555)</f>
        <v>QF14FW_URBAN SWAGGER_20_EAR FLAT_BK</v>
      </c>
      <c r="E555" s="12" t="str">
        <f t="shared" ref="E555:E595" si="169">IF(YEAR(AA555)&lt;10,0&amp;YEAR(AA555),YEAR(AA555))&amp;IF(MONTH(AA555)&lt;10,0&amp;MONTH(AA555),MONTH(AA555))</f>
        <v>201402</v>
      </c>
      <c r="F555" s="347" t="str">
        <f>VLOOKUP($AA555,[3]주!$A:$F,6,FALSE)</f>
        <v>2월 3주</v>
      </c>
      <c r="G555" s="7">
        <f t="shared" si="165"/>
        <v>0.5</v>
      </c>
      <c r="H555" s="7" t="str">
        <f t="shared" ref="H555:H595" si="170">IF(AD555="","",W555)</f>
        <v>14FW_URBAN SWAGGER_20_EAR FLAT_BK</v>
      </c>
      <c r="I555" s="7">
        <f t="shared" si="166"/>
        <v>1</v>
      </c>
      <c r="J555" s="7" t="str">
        <f t="shared" ref="J555:J595" si="171">IF(AD555="","",Z555&amp;W555)</f>
        <v>QF14FW_URBAN SWAGGER_20_EAR FLAT_BK</v>
      </c>
      <c r="K555" s="17">
        <f t="shared" ref="K555:K595" si="172">IF(AD555="",AC555,AD555)</f>
        <v>41736</v>
      </c>
      <c r="L555" s="12" t="str">
        <f t="shared" ref="L555:L595" si="173">IF(YEAR(K555)&lt;10,0&amp;YEAR(K555),YEAR(K555))&amp;IF(MONTH(K555)&lt;10,0&amp;MONTH(K555),MONTH(K555))</f>
        <v>201404</v>
      </c>
      <c r="M555" s="347" t="str">
        <f>VLOOKUP($K555,[3]주!$A:$F,6,FALSE)</f>
        <v>3월 2주</v>
      </c>
      <c r="N555" s="273" t="str">
        <f>IF(VLOOKUP($Z555,생산업체!$A:$C,2,FALSE)=1,"해외","국내")</f>
        <v>해외</v>
      </c>
      <c r="O555" s="12" t="str">
        <f>IF(VLOOKUP($U555,CODE!$K:$P,CODE!P$1,FALSE)="모자",T555,T555&amp;"-"&amp;VLOOKUP($U555,CODE!$K:$P,CODE!P$1,FALSE))</f>
        <v>URB</v>
      </c>
      <c r="P555" s="11" t="s">
        <v>1101</v>
      </c>
      <c r="R555" s="11">
        <v>28</v>
      </c>
      <c r="T555" s="8" t="s">
        <v>1101</v>
      </c>
      <c r="U555" s="8" t="s">
        <v>28</v>
      </c>
      <c r="V555" s="8" t="s">
        <v>43</v>
      </c>
      <c r="W555" s="8" t="s">
        <v>1533</v>
      </c>
      <c r="X555" s="8" t="s">
        <v>900</v>
      </c>
      <c r="Y555" s="9">
        <v>0.5</v>
      </c>
      <c r="Z555" s="8" t="s">
        <v>792</v>
      </c>
      <c r="AA555" s="10">
        <v>41687</v>
      </c>
      <c r="AB555" s="10">
        <v>41715</v>
      </c>
      <c r="AC555" s="10">
        <v>41710</v>
      </c>
      <c r="AD555" s="10">
        <v>41736</v>
      </c>
      <c r="AH555" s="8">
        <v>4</v>
      </c>
      <c r="AI555" s="8">
        <v>2</v>
      </c>
      <c r="AK555" s="8" t="s">
        <v>1395</v>
      </c>
      <c r="AL555" s="8" t="s">
        <v>1396</v>
      </c>
    </row>
    <row r="556" spans="1:39">
      <c r="A556" s="7">
        <f t="shared" si="163"/>
        <v>0.5</v>
      </c>
      <c r="B556" s="7" t="str">
        <f t="shared" si="167"/>
        <v>14FW_URBAN SWAGGER_21_EAR FLAT_GY</v>
      </c>
      <c r="C556" s="7">
        <f t="shared" si="164"/>
        <v>1</v>
      </c>
      <c r="D556" s="7" t="str">
        <f t="shared" si="168"/>
        <v>QF14FW_URBAN SWAGGER_21_EAR FLAT_GY</v>
      </c>
      <c r="E556" s="12" t="str">
        <f t="shared" si="169"/>
        <v>201402</v>
      </c>
      <c r="F556" s="347" t="str">
        <f>VLOOKUP($AA556,[3]주!$A:$F,6,FALSE)</f>
        <v>2월 3주</v>
      </c>
      <c r="G556" s="7">
        <f t="shared" si="165"/>
        <v>0.5</v>
      </c>
      <c r="H556" s="7" t="str">
        <f t="shared" si="170"/>
        <v>14FW_URBAN SWAGGER_21_EAR FLAT_GY</v>
      </c>
      <c r="I556" s="7">
        <f t="shared" si="166"/>
        <v>1</v>
      </c>
      <c r="J556" s="7" t="str">
        <f t="shared" si="171"/>
        <v>QF14FW_URBAN SWAGGER_21_EAR FLAT_GY</v>
      </c>
      <c r="K556" s="17">
        <f t="shared" si="172"/>
        <v>41736</v>
      </c>
      <c r="L556" s="12" t="str">
        <f t="shared" si="173"/>
        <v>201404</v>
      </c>
      <c r="M556" s="347" t="str">
        <f>VLOOKUP($K556,[3]주!$A:$F,6,FALSE)</f>
        <v>3월 2주</v>
      </c>
      <c r="N556" s="273" t="str">
        <f>IF(VLOOKUP($Z556,생산업체!$A:$C,2,FALSE)=1,"해외","국내")</f>
        <v>해외</v>
      </c>
      <c r="O556" s="12" t="str">
        <f>IF(VLOOKUP($U556,CODE!$K:$P,CODE!P$1,FALSE)="모자",T556,T556&amp;"-"&amp;VLOOKUP($U556,CODE!$K:$P,CODE!P$1,FALSE))</f>
        <v>URB</v>
      </c>
      <c r="P556" s="11" t="s">
        <v>1101</v>
      </c>
      <c r="R556" s="11">
        <v>29</v>
      </c>
      <c r="T556" s="8" t="s">
        <v>1101</v>
      </c>
      <c r="U556" s="8" t="s">
        <v>28</v>
      </c>
      <c r="V556" s="8" t="s">
        <v>43</v>
      </c>
      <c r="W556" s="8" t="s">
        <v>1534</v>
      </c>
      <c r="X556" s="8" t="s">
        <v>900</v>
      </c>
      <c r="Y556" s="9">
        <v>0.5</v>
      </c>
      <c r="Z556" s="8" t="s">
        <v>792</v>
      </c>
      <c r="AA556" s="10">
        <v>41687</v>
      </c>
      <c r="AB556" s="10">
        <v>41715</v>
      </c>
      <c r="AC556" s="10">
        <v>41710</v>
      </c>
      <c r="AD556" s="10">
        <v>41736</v>
      </c>
      <c r="AH556" s="8">
        <v>5</v>
      </c>
      <c r="AI556" s="8">
        <v>2</v>
      </c>
      <c r="AK556" s="8" t="s">
        <v>1395</v>
      </c>
      <c r="AL556" s="8" t="s">
        <v>1396</v>
      </c>
    </row>
    <row r="557" spans="1:39">
      <c r="A557" s="7">
        <f t="shared" si="163"/>
        <v>1</v>
      </c>
      <c r="B557" s="7" t="str">
        <f t="shared" si="167"/>
        <v>14FW_URBAN SWAGGER_12_FLAT_DN</v>
      </c>
      <c r="C557" s="7">
        <f t="shared" si="164"/>
        <v>1</v>
      </c>
      <c r="D557" s="7" t="str">
        <f t="shared" si="168"/>
        <v>캡보이14FW_URBAN SWAGGER_12_FLAT_DN</v>
      </c>
      <c r="E557" s="12" t="str">
        <f t="shared" si="169"/>
        <v>201402</v>
      </c>
      <c r="F557" s="347" t="str">
        <f>VLOOKUP($AA557,[3]주!$A:$F,6,FALSE)</f>
        <v>2월 3주</v>
      </c>
      <c r="G557" s="7">
        <f t="shared" si="165"/>
        <v>1</v>
      </c>
      <c r="H557" s="7" t="str">
        <f t="shared" si="170"/>
        <v>14FW_URBAN SWAGGER_12_FLAT_DN</v>
      </c>
      <c r="I557" s="7">
        <f t="shared" si="166"/>
        <v>1</v>
      </c>
      <c r="J557" s="7" t="str">
        <f t="shared" si="171"/>
        <v>캡보이14FW_URBAN SWAGGER_12_FLAT_DN</v>
      </c>
      <c r="K557" s="17">
        <f t="shared" si="172"/>
        <v>41715</v>
      </c>
      <c r="L557" s="12" t="str">
        <f t="shared" si="173"/>
        <v>201403</v>
      </c>
      <c r="M557" s="347" t="str">
        <f>VLOOKUP($K557,[3]주!$A:$F,6,FALSE)</f>
        <v>3월 2주</v>
      </c>
      <c r="N557" s="273" t="str">
        <f>IF(VLOOKUP($Z557,생산업체!$A:$C,2,FALSE)=1,"해외","국내")</f>
        <v>국내</v>
      </c>
      <c r="O557" s="12" t="str">
        <f>IF(VLOOKUP($U557,CODE!$K:$P,CODE!P$1,FALSE)="모자",T557,T557&amp;"-"&amp;VLOOKUP($U557,CODE!$K:$P,CODE!P$1,FALSE))</f>
        <v>URB</v>
      </c>
      <c r="P557" s="11" t="s">
        <v>1101</v>
      </c>
      <c r="R557" s="11">
        <v>30</v>
      </c>
      <c r="T557" s="8" t="s">
        <v>1101</v>
      </c>
      <c r="U557" s="8" t="s">
        <v>50</v>
      </c>
      <c r="V557" s="8" t="s">
        <v>43</v>
      </c>
      <c r="W557" s="8" t="s">
        <v>1535</v>
      </c>
      <c r="X557" s="8" t="s">
        <v>900</v>
      </c>
      <c r="Y557" s="9">
        <v>1</v>
      </c>
      <c r="Z557" s="8" t="s">
        <v>49</v>
      </c>
      <c r="AA557" s="10">
        <v>41687</v>
      </c>
      <c r="AB557" s="10">
        <v>41708</v>
      </c>
      <c r="AC557" s="10">
        <v>41710</v>
      </c>
      <c r="AD557" s="10">
        <v>41715</v>
      </c>
      <c r="AH557" s="8">
        <v>2</v>
      </c>
      <c r="AK557" s="8" t="s">
        <v>1395</v>
      </c>
      <c r="AL557" s="8" t="s">
        <v>1396</v>
      </c>
    </row>
    <row r="558" spans="1:39">
      <c r="A558" s="7">
        <f t="shared" si="163"/>
        <v>1</v>
      </c>
      <c r="B558" s="7" t="str">
        <f t="shared" si="167"/>
        <v>14FW_URBAN SWAGGER_13_FLAT_BK</v>
      </c>
      <c r="C558" s="7">
        <f t="shared" si="164"/>
        <v>1</v>
      </c>
      <c r="D558" s="7" t="str">
        <f t="shared" si="168"/>
        <v>캡보이14FW_URBAN SWAGGER_13_FLAT_BK</v>
      </c>
      <c r="E558" s="12" t="str">
        <f t="shared" si="169"/>
        <v>201402</v>
      </c>
      <c r="F558" s="347" t="str">
        <f>VLOOKUP($AA558,[3]주!$A:$F,6,FALSE)</f>
        <v>2월 3주</v>
      </c>
      <c r="G558" s="7">
        <f t="shared" si="165"/>
        <v>1</v>
      </c>
      <c r="H558" s="7" t="str">
        <f t="shared" si="170"/>
        <v>14FW_URBAN SWAGGER_13_FLAT_BK</v>
      </c>
      <c r="I558" s="7">
        <f t="shared" si="166"/>
        <v>1</v>
      </c>
      <c r="J558" s="7" t="str">
        <f t="shared" si="171"/>
        <v>캡보이14FW_URBAN SWAGGER_13_FLAT_BK</v>
      </c>
      <c r="K558" s="17">
        <f t="shared" si="172"/>
        <v>41722</v>
      </c>
      <c r="L558" s="12" t="str">
        <f t="shared" si="173"/>
        <v>201403</v>
      </c>
      <c r="M558" s="347" t="str">
        <f>VLOOKUP($K558,[3]주!$A:$F,6,FALSE)</f>
        <v>3월 2주</v>
      </c>
      <c r="N558" s="273" t="str">
        <f>IF(VLOOKUP($Z558,생산업체!$A:$C,2,FALSE)=1,"해외","국내")</f>
        <v>국내</v>
      </c>
      <c r="O558" s="12" t="str">
        <f>IF(VLOOKUP($U558,CODE!$K:$P,CODE!P$1,FALSE)="모자",T558,T558&amp;"-"&amp;VLOOKUP($U558,CODE!$K:$P,CODE!P$1,FALSE))</f>
        <v>URB</v>
      </c>
      <c r="P558" s="11" t="s">
        <v>1101</v>
      </c>
      <c r="R558" s="11">
        <v>31</v>
      </c>
      <c r="T558" s="8" t="s">
        <v>1101</v>
      </c>
      <c r="U558" s="8" t="s">
        <v>50</v>
      </c>
      <c r="V558" s="8" t="s">
        <v>43</v>
      </c>
      <c r="W558" s="8" t="s">
        <v>1536</v>
      </c>
      <c r="X558" s="8" t="s">
        <v>900</v>
      </c>
      <c r="Y558" s="9">
        <v>1</v>
      </c>
      <c r="Z558" s="8" t="s">
        <v>49</v>
      </c>
      <c r="AA558" s="10">
        <v>41687</v>
      </c>
      <c r="AB558" s="10">
        <v>41708</v>
      </c>
      <c r="AC558" s="10">
        <v>41710</v>
      </c>
      <c r="AD558" s="10">
        <v>41722</v>
      </c>
      <c r="AH558" s="8">
        <v>2</v>
      </c>
      <c r="AK558" s="8" t="s">
        <v>1395</v>
      </c>
      <c r="AL558" s="8" t="s">
        <v>1396</v>
      </c>
    </row>
    <row r="559" spans="1:39">
      <c r="A559" s="7">
        <f t="shared" si="163"/>
        <v>1</v>
      </c>
      <c r="B559" s="7" t="str">
        <f t="shared" si="167"/>
        <v>14FW_URBAN SWAGGER_14_FLAT_BK</v>
      </c>
      <c r="C559" s="7">
        <f t="shared" si="164"/>
        <v>1</v>
      </c>
      <c r="D559" s="7" t="str">
        <f t="shared" si="168"/>
        <v>캡보이14FW_URBAN SWAGGER_14_FLAT_BK</v>
      </c>
      <c r="E559" s="12" t="str">
        <f t="shared" si="169"/>
        <v>201402</v>
      </c>
      <c r="F559" s="347" t="str">
        <f>VLOOKUP($AA559,[3]주!$A:$F,6,FALSE)</f>
        <v>2월 3주</v>
      </c>
      <c r="G559" s="7">
        <f t="shared" si="165"/>
        <v>1</v>
      </c>
      <c r="H559" s="7" t="str">
        <f t="shared" si="170"/>
        <v>14FW_URBAN SWAGGER_14_FLAT_BK</v>
      </c>
      <c r="I559" s="7">
        <f t="shared" si="166"/>
        <v>1</v>
      </c>
      <c r="J559" s="7" t="str">
        <f t="shared" si="171"/>
        <v>캡보이14FW_URBAN SWAGGER_14_FLAT_BK</v>
      </c>
      <c r="K559" s="17">
        <f t="shared" si="172"/>
        <v>41722</v>
      </c>
      <c r="L559" s="12" t="str">
        <f t="shared" si="173"/>
        <v>201403</v>
      </c>
      <c r="M559" s="347" t="str">
        <f>VLOOKUP($K559,[3]주!$A:$F,6,FALSE)</f>
        <v>3월 2주</v>
      </c>
      <c r="N559" s="273" t="str">
        <f>IF(VLOOKUP($Z559,생산업체!$A:$C,2,FALSE)=1,"해외","국내")</f>
        <v>국내</v>
      </c>
      <c r="O559" s="12" t="str">
        <f>IF(VLOOKUP($U559,CODE!$K:$P,CODE!P$1,FALSE)="모자",T559,T559&amp;"-"&amp;VLOOKUP($U559,CODE!$K:$P,CODE!P$1,FALSE))</f>
        <v>URB</v>
      </c>
      <c r="P559" s="11" t="s">
        <v>1101</v>
      </c>
      <c r="R559" s="11">
        <v>32</v>
      </c>
      <c r="T559" s="8" t="s">
        <v>1101</v>
      </c>
      <c r="U559" s="8" t="s">
        <v>50</v>
      </c>
      <c r="V559" s="8" t="s">
        <v>43</v>
      </c>
      <c r="W559" s="8" t="s">
        <v>1537</v>
      </c>
      <c r="X559" s="8" t="s">
        <v>900</v>
      </c>
      <c r="Y559" s="9">
        <v>1</v>
      </c>
      <c r="Z559" s="8" t="s">
        <v>49</v>
      </c>
      <c r="AA559" s="10">
        <v>41687</v>
      </c>
      <c r="AB559" s="10">
        <v>41708</v>
      </c>
      <c r="AC559" s="10">
        <v>41710</v>
      </c>
      <c r="AD559" s="10">
        <v>41722</v>
      </c>
      <c r="AH559" s="8">
        <v>3</v>
      </c>
      <c r="AK559" s="8" t="s">
        <v>1395</v>
      </c>
      <c r="AL559" s="8" t="s">
        <v>1396</v>
      </c>
    </row>
    <row r="560" spans="1:39">
      <c r="A560" s="7">
        <f t="shared" si="163"/>
        <v>1</v>
      </c>
      <c r="B560" s="7" t="str">
        <f t="shared" si="167"/>
        <v>14FW_URBAN SWAGGER_22_FLAT_BK</v>
      </c>
      <c r="C560" s="7">
        <f t="shared" si="164"/>
        <v>1</v>
      </c>
      <c r="D560" s="7" t="str">
        <f t="shared" si="168"/>
        <v>캡보이14FW_URBAN SWAGGER_22_FLAT_BK</v>
      </c>
      <c r="E560" s="12" t="str">
        <f t="shared" si="169"/>
        <v>201402</v>
      </c>
      <c r="F560" s="347" t="str">
        <f>VLOOKUP($AA560,[3]주!$A:$F,6,FALSE)</f>
        <v>2월 3주</v>
      </c>
      <c r="G560" s="7">
        <f t="shared" si="165"/>
        <v>1</v>
      </c>
      <c r="H560" s="7" t="str">
        <f t="shared" si="170"/>
        <v>14FW_URBAN SWAGGER_22_FLAT_BK</v>
      </c>
      <c r="I560" s="7">
        <f t="shared" si="166"/>
        <v>1</v>
      </c>
      <c r="J560" s="7" t="str">
        <f t="shared" si="171"/>
        <v>캡보이14FW_URBAN SWAGGER_22_FLAT_BK</v>
      </c>
      <c r="K560" s="17">
        <f t="shared" si="172"/>
        <v>41722</v>
      </c>
      <c r="L560" s="12" t="str">
        <f t="shared" si="173"/>
        <v>201403</v>
      </c>
      <c r="M560" s="347" t="str">
        <f>VLOOKUP($K560,[3]주!$A:$F,6,FALSE)</f>
        <v>3월 2주</v>
      </c>
      <c r="N560" s="273" t="str">
        <f>IF(VLOOKUP($Z560,생산업체!$A:$C,2,FALSE)=1,"해외","국내")</f>
        <v>국내</v>
      </c>
      <c r="O560" s="12" t="str">
        <f>IF(VLOOKUP($U560,CODE!$K:$P,CODE!P$1,FALSE)="모자",T560,T560&amp;"-"&amp;VLOOKUP($U560,CODE!$K:$P,CODE!P$1,FALSE))</f>
        <v>URB</v>
      </c>
      <c r="P560" s="11" t="s">
        <v>1101</v>
      </c>
      <c r="R560" s="11">
        <v>33</v>
      </c>
      <c r="T560" s="8" t="s">
        <v>1101</v>
      </c>
      <c r="U560" s="8" t="s">
        <v>50</v>
      </c>
      <c r="V560" s="8" t="s">
        <v>43</v>
      </c>
      <c r="W560" s="8" t="s">
        <v>1538</v>
      </c>
      <c r="X560" s="8" t="s">
        <v>900</v>
      </c>
      <c r="Y560" s="9">
        <v>1</v>
      </c>
      <c r="Z560" s="8" t="s">
        <v>49</v>
      </c>
      <c r="AA560" s="10">
        <v>41687</v>
      </c>
      <c r="AB560" s="10">
        <v>41708</v>
      </c>
      <c r="AC560" s="10">
        <v>41710</v>
      </c>
      <c r="AD560" s="10">
        <v>41722</v>
      </c>
      <c r="AH560" s="8">
        <v>2</v>
      </c>
      <c r="AK560" s="8" t="s">
        <v>1397</v>
      </c>
      <c r="AL560" s="8" t="s">
        <v>1396</v>
      </c>
      <c r="AM560" s="8" t="s">
        <v>1398</v>
      </c>
    </row>
    <row r="561" spans="1:39">
      <c r="A561" s="7">
        <f t="shared" si="163"/>
        <v>1</v>
      </c>
      <c r="B561" s="7" t="str">
        <f t="shared" si="167"/>
        <v>14FW_URBAN SWAGGER_23_FLAT_GY</v>
      </c>
      <c r="C561" s="7">
        <f t="shared" si="164"/>
        <v>1</v>
      </c>
      <c r="D561" s="7" t="str">
        <f t="shared" si="168"/>
        <v>캡보이14FW_URBAN SWAGGER_23_FLAT_GY</v>
      </c>
      <c r="E561" s="12" t="str">
        <f t="shared" si="169"/>
        <v>201402</v>
      </c>
      <c r="F561" s="347" t="str">
        <f>VLOOKUP($AA561,[3]주!$A:$F,6,FALSE)</f>
        <v>2월 3주</v>
      </c>
      <c r="G561" s="7">
        <f t="shared" si="165"/>
        <v>1</v>
      </c>
      <c r="H561" s="7" t="str">
        <f t="shared" si="170"/>
        <v>14FW_URBAN SWAGGER_23_FLAT_GY</v>
      </c>
      <c r="I561" s="7">
        <f t="shared" si="166"/>
        <v>1</v>
      </c>
      <c r="J561" s="7" t="str">
        <f t="shared" si="171"/>
        <v>캡보이14FW_URBAN SWAGGER_23_FLAT_GY</v>
      </c>
      <c r="K561" s="17">
        <f t="shared" si="172"/>
        <v>41722</v>
      </c>
      <c r="L561" s="12" t="str">
        <f t="shared" si="173"/>
        <v>201403</v>
      </c>
      <c r="M561" s="347" t="str">
        <f>VLOOKUP($K561,[3]주!$A:$F,6,FALSE)</f>
        <v>3월 2주</v>
      </c>
      <c r="N561" s="273" t="str">
        <f>IF(VLOOKUP($Z561,생산업체!$A:$C,2,FALSE)=1,"해외","국내")</f>
        <v>국내</v>
      </c>
      <c r="O561" s="12" t="str">
        <f>IF(VLOOKUP($U561,CODE!$K:$P,CODE!P$1,FALSE)="모자",T561,T561&amp;"-"&amp;VLOOKUP($U561,CODE!$K:$P,CODE!P$1,FALSE))</f>
        <v>URB</v>
      </c>
      <c r="P561" s="11" t="s">
        <v>1101</v>
      </c>
      <c r="R561" s="11">
        <v>34</v>
      </c>
      <c r="T561" s="8" t="s">
        <v>1101</v>
      </c>
      <c r="U561" s="8" t="s">
        <v>50</v>
      </c>
      <c r="V561" s="8" t="s">
        <v>43</v>
      </c>
      <c r="W561" s="8" t="s">
        <v>1539</v>
      </c>
      <c r="X561" s="8" t="s">
        <v>900</v>
      </c>
      <c r="Y561" s="9">
        <v>1</v>
      </c>
      <c r="Z561" s="8" t="s">
        <v>49</v>
      </c>
      <c r="AA561" s="10">
        <v>41687</v>
      </c>
      <c r="AB561" s="10">
        <v>41708</v>
      </c>
      <c r="AC561" s="10">
        <v>41710</v>
      </c>
      <c r="AD561" s="10">
        <v>41722</v>
      </c>
      <c r="AH561" s="8">
        <v>2</v>
      </c>
      <c r="AK561" s="8" t="s">
        <v>1397</v>
      </c>
      <c r="AL561" s="8" t="s">
        <v>1396</v>
      </c>
      <c r="AM561" s="8" t="s">
        <v>1398</v>
      </c>
    </row>
    <row r="562" spans="1:39">
      <c r="A562" s="7">
        <f t="shared" si="163"/>
        <v>1</v>
      </c>
      <c r="B562" s="7" t="str">
        <f t="shared" si="167"/>
        <v>14FW_URBAN SWAGGER_24_FLAT_BK</v>
      </c>
      <c r="C562" s="7">
        <f t="shared" si="164"/>
        <v>1</v>
      </c>
      <c r="D562" s="7" t="str">
        <f t="shared" si="168"/>
        <v>캡보이14FW_URBAN SWAGGER_24_FLAT_BK</v>
      </c>
      <c r="E562" s="12" t="str">
        <f t="shared" si="169"/>
        <v>201402</v>
      </c>
      <c r="F562" s="347" t="str">
        <f>VLOOKUP($AA562,[3]주!$A:$F,6,FALSE)</f>
        <v>2월 3주</v>
      </c>
      <c r="G562" s="7">
        <f t="shared" si="165"/>
        <v>1</v>
      </c>
      <c r="H562" s="7" t="str">
        <f t="shared" si="170"/>
        <v>14FW_URBAN SWAGGER_24_FLAT_BK</v>
      </c>
      <c r="I562" s="7">
        <f t="shared" si="166"/>
        <v>1</v>
      </c>
      <c r="J562" s="7" t="str">
        <f t="shared" si="171"/>
        <v>캡보이14FW_URBAN SWAGGER_24_FLAT_BK</v>
      </c>
      <c r="K562" s="17">
        <f t="shared" si="172"/>
        <v>41722</v>
      </c>
      <c r="L562" s="12" t="str">
        <f t="shared" si="173"/>
        <v>201403</v>
      </c>
      <c r="M562" s="347" t="str">
        <f>VLOOKUP($K562,[3]주!$A:$F,6,FALSE)</f>
        <v>3월 2주</v>
      </c>
      <c r="N562" s="273" t="str">
        <f>IF(VLOOKUP($Z562,생산업체!$A:$C,2,FALSE)=1,"해외","국내")</f>
        <v>국내</v>
      </c>
      <c r="O562" s="12" t="str">
        <f>IF(VLOOKUP($U562,CODE!$K:$P,CODE!P$1,FALSE)="모자",T562,T562&amp;"-"&amp;VLOOKUP($U562,CODE!$K:$P,CODE!P$1,FALSE))</f>
        <v>URB</v>
      </c>
      <c r="P562" s="11" t="s">
        <v>1101</v>
      </c>
      <c r="R562" s="11">
        <v>35</v>
      </c>
      <c r="T562" s="8" t="s">
        <v>1101</v>
      </c>
      <c r="U562" s="8" t="s">
        <v>50</v>
      </c>
      <c r="V562" s="8" t="s">
        <v>43</v>
      </c>
      <c r="W562" s="8" t="s">
        <v>1540</v>
      </c>
      <c r="X562" s="8" t="s">
        <v>900</v>
      </c>
      <c r="Y562" s="9">
        <v>1</v>
      </c>
      <c r="Z562" s="8" t="s">
        <v>49</v>
      </c>
      <c r="AA562" s="10">
        <v>41687</v>
      </c>
      <c r="AB562" s="10">
        <v>41708</v>
      </c>
      <c r="AC562" s="10">
        <v>41710</v>
      </c>
      <c r="AD562" s="10">
        <v>41722</v>
      </c>
      <c r="AH562" s="8">
        <v>3</v>
      </c>
      <c r="AK562" s="8" t="s">
        <v>1685</v>
      </c>
      <c r="AL562" s="8" t="s">
        <v>1396</v>
      </c>
      <c r="AM562" s="8" t="s">
        <v>1399</v>
      </c>
    </row>
    <row r="563" spans="1:39">
      <c r="A563" s="7">
        <f t="shared" si="163"/>
        <v>0.5</v>
      </c>
      <c r="B563" s="7" t="str">
        <f t="shared" si="167"/>
        <v>14FW_URBAN SWAGGER_01_FLAT_BK</v>
      </c>
      <c r="C563" s="7">
        <f t="shared" si="164"/>
        <v>1</v>
      </c>
      <c r="D563" s="7" t="str">
        <f t="shared" si="168"/>
        <v>J&amp;F14FW_URBAN SWAGGER_01_FLAT_BK</v>
      </c>
      <c r="E563" s="12" t="str">
        <f t="shared" si="169"/>
        <v>201402</v>
      </c>
      <c r="F563" s="347" t="str">
        <f>VLOOKUP($AA563,[3]주!$A:$F,6,FALSE)</f>
        <v>2월 3주</v>
      </c>
      <c r="G563" s="7">
        <f t="shared" si="165"/>
        <v>0.5</v>
      </c>
      <c r="H563" s="7" t="str">
        <f t="shared" si="170"/>
        <v>14FW_URBAN SWAGGER_01_FLAT_BK</v>
      </c>
      <c r="I563" s="7">
        <f t="shared" si="166"/>
        <v>1</v>
      </c>
      <c r="J563" s="7" t="str">
        <f t="shared" si="171"/>
        <v>J&amp;F14FW_URBAN SWAGGER_01_FLAT_BK</v>
      </c>
      <c r="K563" s="17">
        <f t="shared" si="172"/>
        <v>41710</v>
      </c>
      <c r="L563" s="12" t="str">
        <f t="shared" si="173"/>
        <v>201403</v>
      </c>
      <c r="M563" s="347" t="str">
        <f>VLOOKUP($K563,[3]주!$A:$F,6,FALSE)</f>
        <v>3월 2주</v>
      </c>
      <c r="N563" s="273" t="str">
        <f>IF(VLOOKUP($Z563,생산업체!$A:$C,2,FALSE)=1,"해외","국내")</f>
        <v>해외</v>
      </c>
      <c r="O563" s="12" t="str">
        <f>IF(VLOOKUP($U563,CODE!$K:$P,CODE!P$1,FALSE)="모자",T563,T563&amp;"-"&amp;VLOOKUP($U563,CODE!$K:$P,CODE!P$1,FALSE))</f>
        <v>URB</v>
      </c>
      <c r="P563" s="11" t="s">
        <v>1101</v>
      </c>
      <c r="R563" s="11">
        <v>36</v>
      </c>
      <c r="T563" s="8" t="s">
        <v>1101</v>
      </c>
      <c r="U563" s="8" t="s">
        <v>50</v>
      </c>
      <c r="V563" s="8" t="s">
        <v>43</v>
      </c>
      <c r="W563" s="8" t="s">
        <v>1519</v>
      </c>
      <c r="X563" s="8" t="s">
        <v>900</v>
      </c>
      <c r="Y563" s="9">
        <v>0.5</v>
      </c>
      <c r="Z563" s="8" t="s">
        <v>1365</v>
      </c>
      <c r="AA563" s="10">
        <v>41687</v>
      </c>
      <c r="AB563" s="10">
        <v>41708</v>
      </c>
      <c r="AC563" s="10">
        <v>41710</v>
      </c>
      <c r="AD563" s="10">
        <v>41710</v>
      </c>
      <c r="AH563" s="8">
        <v>3</v>
      </c>
      <c r="AI563" s="8">
        <v>2</v>
      </c>
      <c r="AK563" s="8" t="s">
        <v>1686</v>
      </c>
      <c r="AL563" s="8" t="s">
        <v>1396</v>
      </c>
      <c r="AM563" s="8" t="s">
        <v>1783</v>
      </c>
    </row>
    <row r="564" spans="1:39">
      <c r="A564" s="7">
        <f t="shared" si="163"/>
        <v>0.5</v>
      </c>
      <c r="B564" s="7" t="str">
        <f t="shared" si="167"/>
        <v>14FW_URBAN SWAGGER_02_FLAT_GY</v>
      </c>
      <c r="C564" s="7">
        <f t="shared" si="164"/>
        <v>1</v>
      </c>
      <c r="D564" s="7" t="str">
        <f t="shared" si="168"/>
        <v>J&amp;F14FW_URBAN SWAGGER_02_FLAT_GY</v>
      </c>
      <c r="E564" s="12" t="str">
        <f t="shared" si="169"/>
        <v>201402</v>
      </c>
      <c r="F564" s="347" t="str">
        <f>VLOOKUP($AA564,[3]주!$A:$F,6,FALSE)</f>
        <v>2월 3주</v>
      </c>
      <c r="G564" s="7">
        <f t="shared" si="165"/>
        <v>0.5</v>
      </c>
      <c r="H564" s="7" t="str">
        <f t="shared" si="170"/>
        <v>14FW_URBAN SWAGGER_02_FLAT_GY</v>
      </c>
      <c r="I564" s="7">
        <f t="shared" si="166"/>
        <v>1</v>
      </c>
      <c r="J564" s="7" t="str">
        <f t="shared" si="171"/>
        <v>J&amp;F14FW_URBAN SWAGGER_02_FLAT_GY</v>
      </c>
      <c r="K564" s="17">
        <f t="shared" si="172"/>
        <v>41722</v>
      </c>
      <c r="L564" s="12" t="str">
        <f t="shared" si="173"/>
        <v>201403</v>
      </c>
      <c r="M564" s="347" t="str">
        <f>VLOOKUP($K564,[3]주!$A:$F,6,FALSE)</f>
        <v>3월 2주</v>
      </c>
      <c r="N564" s="273" t="str">
        <f>IF(VLOOKUP($Z564,생산업체!$A:$C,2,FALSE)=1,"해외","국내")</f>
        <v>해외</v>
      </c>
      <c r="O564" s="12" t="str">
        <f>IF(VLOOKUP($U564,CODE!$K:$P,CODE!P$1,FALSE)="모자",T564,T564&amp;"-"&amp;VLOOKUP($U564,CODE!$K:$P,CODE!P$1,FALSE))</f>
        <v>URB</v>
      </c>
      <c r="P564" s="11" t="s">
        <v>1101</v>
      </c>
      <c r="R564" s="11">
        <v>37</v>
      </c>
      <c r="T564" s="8" t="s">
        <v>1101</v>
      </c>
      <c r="U564" s="8" t="s">
        <v>50</v>
      </c>
      <c r="V564" s="8" t="s">
        <v>43</v>
      </c>
      <c r="W564" s="8" t="s">
        <v>1520</v>
      </c>
      <c r="X564" s="8" t="s">
        <v>900</v>
      </c>
      <c r="Y564" s="9">
        <v>0.5</v>
      </c>
      <c r="Z564" s="8" t="s">
        <v>1365</v>
      </c>
      <c r="AA564" s="10">
        <v>41687</v>
      </c>
      <c r="AB564" s="10">
        <v>41708</v>
      </c>
      <c r="AC564" s="10">
        <v>41710</v>
      </c>
      <c r="AD564" s="10">
        <v>41722</v>
      </c>
      <c r="AH564" s="8">
        <v>2</v>
      </c>
      <c r="AI564" s="8">
        <v>1</v>
      </c>
      <c r="AL564" s="8" t="s">
        <v>1396</v>
      </c>
      <c r="AM564" s="8" t="s">
        <v>1784</v>
      </c>
    </row>
    <row r="565" spans="1:39">
      <c r="A565" s="7">
        <f t="shared" si="163"/>
        <v>0.5</v>
      </c>
      <c r="B565" s="7" t="str">
        <f t="shared" si="167"/>
        <v>14FW_URBAN SWAGGER_03_FLAT_BK</v>
      </c>
      <c r="C565" s="7">
        <f t="shared" si="164"/>
        <v>1</v>
      </c>
      <c r="D565" s="7" t="str">
        <f t="shared" si="168"/>
        <v>J&amp;F14FW_URBAN SWAGGER_03_FLAT_BK</v>
      </c>
      <c r="E565" s="12" t="str">
        <f t="shared" si="169"/>
        <v>201402</v>
      </c>
      <c r="F565" s="347" t="str">
        <f>VLOOKUP($AA565,[3]주!$A:$F,6,FALSE)</f>
        <v>2월 3주</v>
      </c>
      <c r="G565" s="7">
        <f t="shared" si="165"/>
        <v>0.5</v>
      </c>
      <c r="H565" s="7" t="str">
        <f t="shared" si="170"/>
        <v>14FW_URBAN SWAGGER_03_FLAT_BK</v>
      </c>
      <c r="I565" s="7">
        <f t="shared" si="166"/>
        <v>1</v>
      </c>
      <c r="J565" s="7" t="str">
        <f t="shared" si="171"/>
        <v>J&amp;F14FW_URBAN SWAGGER_03_FLAT_BK</v>
      </c>
      <c r="K565" s="17">
        <f t="shared" si="172"/>
        <v>41722</v>
      </c>
      <c r="L565" s="12" t="str">
        <f t="shared" si="173"/>
        <v>201403</v>
      </c>
      <c r="M565" s="347" t="str">
        <f>VLOOKUP($K565,[3]주!$A:$F,6,FALSE)</f>
        <v>3월 2주</v>
      </c>
      <c r="N565" s="273" t="str">
        <f>IF(VLOOKUP($Z565,생산업체!$A:$C,2,FALSE)=1,"해외","국내")</f>
        <v>해외</v>
      </c>
      <c r="O565" s="12" t="str">
        <f>IF(VLOOKUP($U565,CODE!$K:$P,CODE!P$1,FALSE)="모자",T565,T565&amp;"-"&amp;VLOOKUP($U565,CODE!$K:$P,CODE!P$1,FALSE))</f>
        <v>URB</v>
      </c>
      <c r="P565" s="11" t="s">
        <v>1101</v>
      </c>
      <c r="R565" s="11">
        <v>38</v>
      </c>
      <c r="T565" s="8" t="s">
        <v>1101</v>
      </c>
      <c r="U565" s="8" t="s">
        <v>50</v>
      </c>
      <c r="V565" s="8" t="s">
        <v>43</v>
      </c>
      <c r="W565" s="8" t="s">
        <v>1521</v>
      </c>
      <c r="X565" s="8" t="s">
        <v>900</v>
      </c>
      <c r="Y565" s="9">
        <v>0.5</v>
      </c>
      <c r="Z565" s="8" t="s">
        <v>1365</v>
      </c>
      <c r="AA565" s="10">
        <v>41687</v>
      </c>
      <c r="AB565" s="10">
        <v>41708</v>
      </c>
      <c r="AC565" s="10">
        <v>41710</v>
      </c>
      <c r="AD565" s="10">
        <v>41722</v>
      </c>
      <c r="AH565" s="8">
        <v>2</v>
      </c>
      <c r="AI565" s="8">
        <v>1</v>
      </c>
      <c r="AL565" s="8" t="s">
        <v>1396</v>
      </c>
      <c r="AM565" s="8" t="s">
        <v>1784</v>
      </c>
    </row>
    <row r="566" spans="1:39">
      <c r="A566" s="7">
        <f t="shared" si="163"/>
        <v>0.5</v>
      </c>
      <c r="B566" s="7" t="str">
        <f t="shared" si="167"/>
        <v>14FW_URBAN SWAGGER_04_EAR FLAT_DN</v>
      </c>
      <c r="C566" s="7">
        <f t="shared" si="164"/>
        <v>1</v>
      </c>
      <c r="D566" s="7" t="str">
        <f t="shared" si="168"/>
        <v>J&amp;F14FW_URBAN SWAGGER_04_EAR FLAT_DN</v>
      </c>
      <c r="E566" s="12" t="str">
        <f t="shared" si="169"/>
        <v>201402</v>
      </c>
      <c r="F566" s="347" t="str">
        <f>VLOOKUP($AA566,[3]주!$A:$F,6,FALSE)</f>
        <v>2월 3주</v>
      </c>
      <c r="G566" s="7">
        <f t="shared" si="165"/>
        <v>0.5</v>
      </c>
      <c r="H566" s="7" t="str">
        <f t="shared" si="170"/>
        <v>14FW_URBAN SWAGGER_04_EAR FLAT_DN</v>
      </c>
      <c r="I566" s="7">
        <f t="shared" si="166"/>
        <v>1</v>
      </c>
      <c r="J566" s="7" t="str">
        <f t="shared" si="171"/>
        <v>J&amp;F14FW_URBAN SWAGGER_04_EAR FLAT_DN</v>
      </c>
      <c r="K566" s="17">
        <f t="shared" si="172"/>
        <v>41722</v>
      </c>
      <c r="L566" s="12" t="str">
        <f t="shared" si="173"/>
        <v>201403</v>
      </c>
      <c r="M566" s="347" t="str">
        <f>VLOOKUP($K566,[3]주!$A:$F,6,FALSE)</f>
        <v>3월 2주</v>
      </c>
      <c r="N566" s="273" t="str">
        <f>IF(VLOOKUP($Z566,생산업체!$A:$C,2,FALSE)=1,"해외","국내")</f>
        <v>해외</v>
      </c>
      <c r="O566" s="12" t="str">
        <f>IF(VLOOKUP($U566,CODE!$K:$P,CODE!P$1,FALSE)="모자",T566,T566&amp;"-"&amp;VLOOKUP($U566,CODE!$K:$P,CODE!P$1,FALSE))</f>
        <v>URB</v>
      </c>
      <c r="P566" s="11" t="s">
        <v>1101</v>
      </c>
      <c r="R566" s="11">
        <v>39</v>
      </c>
      <c r="T566" s="8" t="s">
        <v>1101</v>
      </c>
      <c r="U566" s="8" t="s">
        <v>28</v>
      </c>
      <c r="V566" s="8" t="s">
        <v>43</v>
      </c>
      <c r="W566" s="8" t="s">
        <v>1522</v>
      </c>
      <c r="X566" s="8" t="s">
        <v>900</v>
      </c>
      <c r="Y566" s="9">
        <v>0.5</v>
      </c>
      <c r="Z566" s="8" t="s">
        <v>1365</v>
      </c>
      <c r="AA566" s="10">
        <v>41687</v>
      </c>
      <c r="AB566" s="10">
        <v>41708</v>
      </c>
      <c r="AC566" s="10">
        <v>41710</v>
      </c>
      <c r="AD566" s="10">
        <v>41722</v>
      </c>
      <c r="AH566" s="8">
        <v>4</v>
      </c>
      <c r="AI566" s="8">
        <v>3</v>
      </c>
      <c r="AK566" s="8" t="s">
        <v>1688</v>
      </c>
      <c r="AL566" s="8" t="s">
        <v>1396</v>
      </c>
      <c r="AM566" s="8" t="s">
        <v>1784</v>
      </c>
    </row>
    <row r="567" spans="1:39">
      <c r="A567" s="7">
        <f t="shared" si="163"/>
        <v>0.5</v>
      </c>
      <c r="B567" s="7" t="str">
        <f t="shared" si="167"/>
        <v>14FW_URBAN SWAGGER_05_EAR FLAT_BK</v>
      </c>
      <c r="C567" s="7">
        <f t="shared" si="164"/>
        <v>1</v>
      </c>
      <c r="D567" s="7" t="str">
        <f t="shared" si="168"/>
        <v>J&amp;F14FW_URBAN SWAGGER_05_EAR FLAT_BK</v>
      </c>
      <c r="E567" s="12" t="str">
        <f t="shared" si="169"/>
        <v>201402</v>
      </c>
      <c r="F567" s="347" t="str">
        <f>VLOOKUP($AA567,[3]주!$A:$F,6,FALSE)</f>
        <v>2월 3주</v>
      </c>
      <c r="G567" s="7">
        <f t="shared" si="165"/>
        <v>0.5</v>
      </c>
      <c r="H567" s="7" t="str">
        <f t="shared" si="170"/>
        <v>14FW_URBAN SWAGGER_05_EAR FLAT_BK</v>
      </c>
      <c r="I567" s="7">
        <f t="shared" si="166"/>
        <v>1</v>
      </c>
      <c r="J567" s="7" t="str">
        <f t="shared" si="171"/>
        <v>J&amp;F14FW_URBAN SWAGGER_05_EAR FLAT_BK</v>
      </c>
      <c r="K567" s="17">
        <f t="shared" si="172"/>
        <v>41722</v>
      </c>
      <c r="L567" s="12" t="str">
        <f t="shared" si="173"/>
        <v>201403</v>
      </c>
      <c r="M567" s="347" t="str">
        <f>VLOOKUP($K567,[3]주!$A:$F,6,FALSE)</f>
        <v>3월 2주</v>
      </c>
      <c r="N567" s="273" t="str">
        <f>IF(VLOOKUP($Z567,생산업체!$A:$C,2,FALSE)=1,"해외","국내")</f>
        <v>해외</v>
      </c>
      <c r="O567" s="12" t="str">
        <f>IF(VLOOKUP($U567,CODE!$K:$P,CODE!P$1,FALSE)="모자",T567,T567&amp;"-"&amp;VLOOKUP($U567,CODE!$K:$P,CODE!P$1,FALSE))</f>
        <v>URB</v>
      </c>
      <c r="P567" s="11" t="s">
        <v>1101</v>
      </c>
      <c r="R567" s="11">
        <v>40</v>
      </c>
      <c r="T567" s="8" t="s">
        <v>1101</v>
      </c>
      <c r="U567" s="8" t="s">
        <v>28</v>
      </c>
      <c r="V567" s="8" t="s">
        <v>43</v>
      </c>
      <c r="W567" s="8" t="s">
        <v>1523</v>
      </c>
      <c r="X567" s="8" t="s">
        <v>900</v>
      </c>
      <c r="Y567" s="9">
        <v>0.5</v>
      </c>
      <c r="Z567" s="8" t="s">
        <v>1365</v>
      </c>
      <c r="AA567" s="10">
        <v>41687</v>
      </c>
      <c r="AB567" s="10">
        <v>41708</v>
      </c>
      <c r="AC567" s="10">
        <v>41710</v>
      </c>
      <c r="AD567" s="10">
        <v>41722</v>
      </c>
      <c r="AH567" s="8">
        <v>5</v>
      </c>
      <c r="AI567" s="8">
        <v>2</v>
      </c>
      <c r="AK567" s="8" t="s">
        <v>1394</v>
      </c>
    </row>
    <row r="568" spans="1:39">
      <c r="A568" s="7">
        <f t="shared" si="163"/>
        <v>0.5</v>
      </c>
      <c r="B568" s="7" t="str">
        <f t="shared" si="167"/>
        <v>14FW_URBAN SWAGGER_06_FLAT_NV</v>
      </c>
      <c r="C568" s="7">
        <f t="shared" si="164"/>
        <v>1</v>
      </c>
      <c r="D568" s="7" t="str">
        <f t="shared" si="168"/>
        <v>J&amp;F14FW_URBAN SWAGGER_06_FLAT_NV</v>
      </c>
      <c r="E568" s="12" t="str">
        <f t="shared" si="169"/>
        <v>201402</v>
      </c>
      <c r="F568" s="347" t="str">
        <f>VLOOKUP($AA568,[3]주!$A:$F,6,FALSE)</f>
        <v>2월 3주</v>
      </c>
      <c r="G568" s="7">
        <f t="shared" si="165"/>
        <v>0.5</v>
      </c>
      <c r="H568" s="7" t="str">
        <f t="shared" si="170"/>
        <v>14FW_URBAN SWAGGER_06_FLAT_NV</v>
      </c>
      <c r="I568" s="7">
        <f t="shared" si="166"/>
        <v>1</v>
      </c>
      <c r="J568" s="7" t="str">
        <f t="shared" si="171"/>
        <v>J&amp;F14FW_URBAN SWAGGER_06_FLAT_NV</v>
      </c>
      <c r="K568" s="17">
        <f t="shared" si="172"/>
        <v>41722</v>
      </c>
      <c r="L568" s="12" t="str">
        <f t="shared" si="173"/>
        <v>201403</v>
      </c>
      <c r="M568" s="347" t="str">
        <f>VLOOKUP($K568,[3]주!$A:$F,6,FALSE)</f>
        <v>3월 2주</v>
      </c>
      <c r="N568" s="273" t="str">
        <f>IF(VLOOKUP($Z568,생산업체!$A:$C,2,FALSE)=1,"해외","국내")</f>
        <v>해외</v>
      </c>
      <c r="O568" s="12" t="str">
        <f>IF(VLOOKUP($U568,CODE!$K:$P,CODE!P$1,FALSE)="모자",T568,T568&amp;"-"&amp;VLOOKUP($U568,CODE!$K:$P,CODE!P$1,FALSE))</f>
        <v>URB</v>
      </c>
      <c r="P568" s="11" t="s">
        <v>1101</v>
      </c>
      <c r="R568" s="11">
        <v>41</v>
      </c>
      <c r="T568" s="8" t="s">
        <v>1101</v>
      </c>
      <c r="U568" s="8" t="s">
        <v>50</v>
      </c>
      <c r="V568" s="8" t="s">
        <v>43</v>
      </c>
      <c r="W568" s="8" t="s">
        <v>1524</v>
      </c>
      <c r="X568" s="8" t="s">
        <v>900</v>
      </c>
      <c r="Y568" s="9">
        <v>0.5</v>
      </c>
      <c r="Z568" s="8" t="s">
        <v>1365</v>
      </c>
      <c r="AA568" s="10">
        <v>41687</v>
      </c>
      <c r="AB568" s="10">
        <v>41708</v>
      </c>
      <c r="AC568" s="10">
        <v>41710</v>
      </c>
      <c r="AD568" s="10">
        <v>41722</v>
      </c>
      <c r="AH568" s="8">
        <v>3</v>
      </c>
      <c r="AI568" s="8">
        <v>2</v>
      </c>
      <c r="AK568" s="8" t="s">
        <v>1394</v>
      </c>
    </row>
    <row r="569" spans="1:39">
      <c r="A569" s="7">
        <f t="shared" si="163"/>
        <v>0.5</v>
      </c>
      <c r="B569" s="7" t="str">
        <f t="shared" si="167"/>
        <v>14FW_URBAN SWAGGER_07_FLAT_RD</v>
      </c>
      <c r="C569" s="7">
        <f t="shared" si="164"/>
        <v>1</v>
      </c>
      <c r="D569" s="7" t="str">
        <f t="shared" si="168"/>
        <v>J&amp;F14FW_URBAN SWAGGER_07_FLAT_RD</v>
      </c>
      <c r="E569" s="12" t="str">
        <f t="shared" si="169"/>
        <v>201402</v>
      </c>
      <c r="F569" s="347" t="str">
        <f>VLOOKUP($AA569,[3]주!$A:$F,6,FALSE)</f>
        <v>2월 3주</v>
      </c>
      <c r="G569" s="7">
        <f t="shared" si="165"/>
        <v>0.5</v>
      </c>
      <c r="H569" s="7" t="str">
        <f t="shared" si="170"/>
        <v>14FW_URBAN SWAGGER_07_FLAT_RD</v>
      </c>
      <c r="I569" s="7">
        <f t="shared" si="166"/>
        <v>1</v>
      </c>
      <c r="J569" s="7" t="str">
        <f t="shared" si="171"/>
        <v>J&amp;F14FW_URBAN SWAGGER_07_FLAT_RD</v>
      </c>
      <c r="K569" s="17">
        <f t="shared" si="172"/>
        <v>41710</v>
      </c>
      <c r="L569" s="12" t="str">
        <f t="shared" si="173"/>
        <v>201403</v>
      </c>
      <c r="M569" s="347" t="str">
        <f>VLOOKUP($K569,[3]주!$A:$F,6,FALSE)</f>
        <v>3월 2주</v>
      </c>
      <c r="N569" s="273" t="str">
        <f>IF(VLOOKUP($Z569,생산업체!$A:$C,2,FALSE)=1,"해외","국내")</f>
        <v>해외</v>
      </c>
      <c r="O569" s="12" t="str">
        <f>IF(VLOOKUP($U569,CODE!$K:$P,CODE!P$1,FALSE)="모자",T569,T569&amp;"-"&amp;VLOOKUP($U569,CODE!$K:$P,CODE!P$1,FALSE))</f>
        <v>URB</v>
      </c>
      <c r="P569" s="11" t="s">
        <v>1101</v>
      </c>
      <c r="R569" s="11">
        <v>42</v>
      </c>
      <c r="T569" s="8" t="s">
        <v>1101</v>
      </c>
      <c r="U569" s="8" t="s">
        <v>50</v>
      </c>
      <c r="V569" s="8" t="s">
        <v>43</v>
      </c>
      <c r="W569" s="8" t="s">
        <v>1525</v>
      </c>
      <c r="X569" s="8" t="s">
        <v>900</v>
      </c>
      <c r="Y569" s="9">
        <v>0.5</v>
      </c>
      <c r="Z569" s="8" t="s">
        <v>1365</v>
      </c>
      <c r="AA569" s="10">
        <v>41687</v>
      </c>
      <c r="AB569" s="10">
        <v>41708</v>
      </c>
      <c r="AC569" s="10">
        <v>41710</v>
      </c>
      <c r="AD569" s="10">
        <v>41710</v>
      </c>
      <c r="AH569" s="8">
        <v>2</v>
      </c>
      <c r="AI569" s="8">
        <v>1</v>
      </c>
      <c r="AK569" s="8" t="s">
        <v>1394</v>
      </c>
    </row>
    <row r="570" spans="1:39">
      <c r="A570" s="7">
        <f t="shared" si="163"/>
        <v>0.5</v>
      </c>
      <c r="B570" s="7" t="str">
        <f t="shared" si="167"/>
        <v>14FW_URBAN SWAGGER_08_FLAT_GY</v>
      </c>
      <c r="C570" s="7">
        <f t="shared" si="164"/>
        <v>1</v>
      </c>
      <c r="D570" s="7" t="str">
        <f t="shared" si="168"/>
        <v>J&amp;F14FW_URBAN SWAGGER_08_FLAT_GY</v>
      </c>
      <c r="E570" s="12" t="str">
        <f t="shared" si="169"/>
        <v>201402</v>
      </c>
      <c r="F570" s="347" t="str">
        <f>VLOOKUP($AA570,[3]주!$A:$F,6,FALSE)</f>
        <v>2월 3주</v>
      </c>
      <c r="G570" s="7">
        <f t="shared" si="165"/>
        <v>0.5</v>
      </c>
      <c r="H570" s="7" t="str">
        <f t="shared" si="170"/>
        <v>14FW_URBAN SWAGGER_08_FLAT_GY</v>
      </c>
      <c r="I570" s="7">
        <f t="shared" si="166"/>
        <v>1</v>
      </c>
      <c r="J570" s="7" t="str">
        <f t="shared" si="171"/>
        <v>J&amp;F14FW_URBAN SWAGGER_08_FLAT_GY</v>
      </c>
      <c r="K570" s="17">
        <f t="shared" si="172"/>
        <v>41710</v>
      </c>
      <c r="L570" s="12" t="str">
        <f t="shared" si="173"/>
        <v>201403</v>
      </c>
      <c r="M570" s="347" t="str">
        <f>VLOOKUP($K570,[3]주!$A:$F,6,FALSE)</f>
        <v>3월 2주</v>
      </c>
      <c r="N570" s="273" t="str">
        <f>IF(VLOOKUP($Z570,생산업체!$A:$C,2,FALSE)=1,"해외","국내")</f>
        <v>해외</v>
      </c>
      <c r="O570" s="12" t="str">
        <f>IF(VLOOKUP($U570,CODE!$K:$P,CODE!P$1,FALSE)="모자",T570,T570&amp;"-"&amp;VLOOKUP($U570,CODE!$K:$P,CODE!P$1,FALSE))</f>
        <v>URB</v>
      </c>
      <c r="P570" s="11" t="s">
        <v>1101</v>
      </c>
      <c r="R570" s="11">
        <v>43</v>
      </c>
      <c r="T570" s="8" t="s">
        <v>1101</v>
      </c>
      <c r="U570" s="8" t="s">
        <v>50</v>
      </c>
      <c r="V570" s="8" t="s">
        <v>43</v>
      </c>
      <c r="W570" s="8" t="s">
        <v>1526</v>
      </c>
      <c r="X570" s="8" t="s">
        <v>900</v>
      </c>
      <c r="Y570" s="9">
        <v>0.5</v>
      </c>
      <c r="Z570" s="8" t="s">
        <v>1365</v>
      </c>
      <c r="AA570" s="10">
        <v>41687</v>
      </c>
      <c r="AB570" s="10">
        <v>41708</v>
      </c>
      <c r="AC570" s="10">
        <v>41710</v>
      </c>
      <c r="AD570" s="10">
        <v>41710</v>
      </c>
      <c r="AH570" s="8">
        <v>2</v>
      </c>
      <c r="AI570" s="8">
        <v>2</v>
      </c>
    </row>
    <row r="571" spans="1:39">
      <c r="A571" s="7">
        <f t="shared" si="163"/>
        <v>0.5</v>
      </c>
      <c r="B571" s="7" t="str">
        <f t="shared" si="167"/>
        <v>14FW_URBAN SWAGGER_09_FLAT_BK</v>
      </c>
      <c r="C571" s="7">
        <f t="shared" si="164"/>
        <v>1</v>
      </c>
      <c r="D571" s="7" t="str">
        <f t="shared" si="168"/>
        <v>J&amp;F14FW_URBAN SWAGGER_09_FLAT_BK</v>
      </c>
      <c r="E571" s="12" t="str">
        <f t="shared" si="169"/>
        <v>201402</v>
      </c>
      <c r="F571" s="347" t="str">
        <f>VLOOKUP($AA571,[3]주!$A:$F,6,FALSE)</f>
        <v>2월 3주</v>
      </c>
      <c r="G571" s="7">
        <f t="shared" si="165"/>
        <v>0.5</v>
      </c>
      <c r="H571" s="7" t="str">
        <f t="shared" si="170"/>
        <v>14FW_URBAN SWAGGER_09_FLAT_BK</v>
      </c>
      <c r="I571" s="7">
        <f t="shared" si="166"/>
        <v>1</v>
      </c>
      <c r="J571" s="7" t="str">
        <f t="shared" si="171"/>
        <v>J&amp;F14FW_URBAN SWAGGER_09_FLAT_BK</v>
      </c>
      <c r="K571" s="17">
        <f t="shared" si="172"/>
        <v>41722</v>
      </c>
      <c r="L571" s="12" t="str">
        <f t="shared" si="173"/>
        <v>201403</v>
      </c>
      <c r="M571" s="347" t="str">
        <f>VLOOKUP($K571,[3]주!$A:$F,6,FALSE)</f>
        <v>3월 2주</v>
      </c>
      <c r="N571" s="273" t="str">
        <f>IF(VLOOKUP($Z571,생산업체!$A:$C,2,FALSE)=1,"해외","국내")</f>
        <v>해외</v>
      </c>
      <c r="O571" s="12" t="str">
        <f>IF(VLOOKUP($U571,CODE!$K:$P,CODE!P$1,FALSE)="모자",T571,T571&amp;"-"&amp;VLOOKUP($U571,CODE!$K:$P,CODE!P$1,FALSE))</f>
        <v>URB</v>
      </c>
      <c r="P571" s="11" t="s">
        <v>1101</v>
      </c>
      <c r="R571" s="11">
        <v>44</v>
      </c>
      <c r="T571" s="8" t="s">
        <v>1101</v>
      </c>
      <c r="U571" s="8" t="s">
        <v>50</v>
      </c>
      <c r="V571" s="8" t="s">
        <v>43</v>
      </c>
      <c r="W571" s="8" t="s">
        <v>1527</v>
      </c>
      <c r="X571" s="8" t="s">
        <v>900</v>
      </c>
      <c r="Y571" s="9">
        <v>0.5</v>
      </c>
      <c r="Z571" s="8" t="s">
        <v>1365</v>
      </c>
      <c r="AA571" s="10">
        <v>41687</v>
      </c>
      <c r="AB571" s="10">
        <v>41708</v>
      </c>
      <c r="AC571" s="10">
        <v>41710</v>
      </c>
      <c r="AD571" s="10">
        <v>41722</v>
      </c>
      <c r="AH571" s="8">
        <v>2</v>
      </c>
      <c r="AI571" s="8">
        <v>1</v>
      </c>
    </row>
    <row r="572" spans="1:39">
      <c r="A572" s="7">
        <f t="shared" si="163"/>
        <v>0.5</v>
      </c>
      <c r="B572" s="7" t="str">
        <f t="shared" si="167"/>
        <v>14FW_URBAN SWAGGER_10_FLAT_BK</v>
      </c>
      <c r="C572" s="7">
        <f t="shared" si="164"/>
        <v>1</v>
      </c>
      <c r="D572" s="7" t="str">
        <f t="shared" si="168"/>
        <v>J&amp;F14FW_URBAN SWAGGER_10_FLAT_BK</v>
      </c>
      <c r="E572" s="12" t="str">
        <f t="shared" si="169"/>
        <v>201402</v>
      </c>
      <c r="F572" s="347" t="str">
        <f>VLOOKUP($AA572,[3]주!$A:$F,6,FALSE)</f>
        <v>2월 3주</v>
      </c>
      <c r="G572" s="7">
        <f t="shared" si="165"/>
        <v>0.5</v>
      </c>
      <c r="H572" s="7" t="str">
        <f t="shared" si="170"/>
        <v>14FW_URBAN SWAGGER_10_FLAT_BK</v>
      </c>
      <c r="I572" s="7">
        <f t="shared" si="166"/>
        <v>1</v>
      </c>
      <c r="J572" s="7" t="str">
        <f t="shared" si="171"/>
        <v>J&amp;F14FW_URBAN SWAGGER_10_FLAT_BK</v>
      </c>
      <c r="K572" s="17">
        <f t="shared" si="172"/>
        <v>41722</v>
      </c>
      <c r="L572" s="12" t="str">
        <f t="shared" si="173"/>
        <v>201403</v>
      </c>
      <c r="M572" s="347" t="str">
        <f>VLOOKUP($K572,[3]주!$A:$F,6,FALSE)</f>
        <v>3월 2주</v>
      </c>
      <c r="N572" s="273" t="str">
        <f>IF(VLOOKUP($Z572,생산업체!$A:$C,2,FALSE)=1,"해외","국내")</f>
        <v>해외</v>
      </c>
      <c r="O572" s="12" t="str">
        <f>IF(VLOOKUP($U572,CODE!$K:$P,CODE!P$1,FALSE)="모자",T572,T572&amp;"-"&amp;VLOOKUP($U572,CODE!$K:$P,CODE!P$1,FALSE))</f>
        <v>URB</v>
      </c>
      <c r="P572" s="11" t="s">
        <v>1101</v>
      </c>
      <c r="R572" s="11">
        <v>45</v>
      </c>
      <c r="T572" s="8" t="s">
        <v>1101</v>
      </c>
      <c r="U572" s="8" t="s">
        <v>50</v>
      </c>
      <c r="V572" s="8" t="s">
        <v>43</v>
      </c>
      <c r="W572" s="8" t="s">
        <v>1528</v>
      </c>
      <c r="X572" s="8" t="s">
        <v>900</v>
      </c>
      <c r="Y572" s="9">
        <v>0.5</v>
      </c>
      <c r="Z572" s="8" t="s">
        <v>1365</v>
      </c>
      <c r="AA572" s="10">
        <v>41687</v>
      </c>
      <c r="AB572" s="10">
        <v>41708</v>
      </c>
      <c r="AC572" s="10">
        <v>41710</v>
      </c>
      <c r="AD572" s="10">
        <v>41722</v>
      </c>
      <c r="AH572" s="8">
        <v>2</v>
      </c>
    </row>
    <row r="573" spans="1:39">
      <c r="A573" s="7">
        <f t="shared" si="163"/>
        <v>0.5</v>
      </c>
      <c r="B573" s="7" t="str">
        <f t="shared" si="167"/>
        <v>14FW_URBAN SWAGGER_11_FLAT_BK</v>
      </c>
      <c r="C573" s="7">
        <f t="shared" si="164"/>
        <v>1</v>
      </c>
      <c r="D573" s="7" t="str">
        <f t="shared" si="168"/>
        <v>J&amp;F14FW_URBAN SWAGGER_11_FLAT_BK</v>
      </c>
      <c r="E573" s="12" t="str">
        <f t="shared" si="169"/>
        <v>201402</v>
      </c>
      <c r="F573" s="347" t="str">
        <f>VLOOKUP($AA573,[3]주!$A:$F,6,FALSE)</f>
        <v>2월 3주</v>
      </c>
      <c r="G573" s="7">
        <f t="shared" si="165"/>
        <v>0.5</v>
      </c>
      <c r="H573" s="7" t="str">
        <f t="shared" si="170"/>
        <v>14FW_URBAN SWAGGER_11_FLAT_BK</v>
      </c>
      <c r="I573" s="7">
        <f t="shared" si="166"/>
        <v>1</v>
      </c>
      <c r="J573" s="7" t="str">
        <f t="shared" si="171"/>
        <v>J&amp;F14FW_URBAN SWAGGER_11_FLAT_BK</v>
      </c>
      <c r="K573" s="17">
        <f t="shared" si="172"/>
        <v>41722</v>
      </c>
      <c r="L573" s="12" t="str">
        <f t="shared" si="173"/>
        <v>201403</v>
      </c>
      <c r="M573" s="347" t="str">
        <f>VLOOKUP($K573,[3]주!$A:$F,6,FALSE)</f>
        <v>3월 2주</v>
      </c>
      <c r="N573" s="273" t="str">
        <f>IF(VLOOKUP($Z573,생산업체!$A:$C,2,FALSE)=1,"해외","국내")</f>
        <v>해외</v>
      </c>
      <c r="O573" s="12" t="str">
        <f>IF(VLOOKUP($U573,CODE!$K:$P,CODE!P$1,FALSE)="모자",T573,T573&amp;"-"&amp;VLOOKUP($U573,CODE!$K:$P,CODE!P$1,FALSE))</f>
        <v>URB</v>
      </c>
      <c r="P573" s="11" t="s">
        <v>1101</v>
      </c>
      <c r="R573" s="11">
        <v>46</v>
      </c>
      <c r="T573" s="8" t="s">
        <v>1101</v>
      </c>
      <c r="U573" s="8" t="s">
        <v>50</v>
      </c>
      <c r="V573" s="8" t="s">
        <v>43</v>
      </c>
      <c r="W573" s="8" t="s">
        <v>1529</v>
      </c>
      <c r="X573" s="8" t="s">
        <v>900</v>
      </c>
      <c r="Y573" s="9">
        <v>0.5</v>
      </c>
      <c r="Z573" s="8" t="s">
        <v>1365</v>
      </c>
      <c r="AA573" s="10">
        <v>41687</v>
      </c>
      <c r="AB573" s="10">
        <v>41708</v>
      </c>
      <c r="AC573" s="10">
        <v>41710</v>
      </c>
      <c r="AD573" s="10">
        <v>41722</v>
      </c>
      <c r="AH573" s="8">
        <v>3</v>
      </c>
      <c r="AI573" s="8">
        <v>1</v>
      </c>
    </row>
    <row r="574" spans="1:39">
      <c r="A574" s="7">
        <f t="shared" si="163"/>
        <v>0.5</v>
      </c>
      <c r="B574" s="7" t="str">
        <f t="shared" si="167"/>
        <v>14FW_URBAN SWAGGER_15_FLAT_RD</v>
      </c>
      <c r="C574" s="7">
        <f t="shared" si="164"/>
        <v>1</v>
      </c>
      <c r="D574" s="7" t="str">
        <f t="shared" si="168"/>
        <v>J&amp;F14FW_URBAN SWAGGER_15_FLAT_RD</v>
      </c>
      <c r="E574" s="12" t="str">
        <f t="shared" si="169"/>
        <v>201402</v>
      </c>
      <c r="F574" s="347" t="str">
        <f>VLOOKUP($AA574,[3]주!$A:$F,6,FALSE)</f>
        <v>2월 3주</v>
      </c>
      <c r="G574" s="7">
        <f t="shared" si="165"/>
        <v>0.5</v>
      </c>
      <c r="H574" s="7" t="str">
        <f t="shared" si="170"/>
        <v>14FW_URBAN SWAGGER_15_FLAT_RD</v>
      </c>
      <c r="I574" s="7">
        <f t="shared" si="166"/>
        <v>1</v>
      </c>
      <c r="J574" s="7" t="str">
        <f t="shared" si="171"/>
        <v>J&amp;F14FW_URBAN SWAGGER_15_FLAT_RD</v>
      </c>
      <c r="K574" s="17">
        <f t="shared" si="172"/>
        <v>41722</v>
      </c>
      <c r="L574" s="12" t="str">
        <f t="shared" si="173"/>
        <v>201403</v>
      </c>
      <c r="M574" s="347" t="str">
        <f>VLOOKUP($K574,[3]주!$A:$F,6,FALSE)</f>
        <v>3월 2주</v>
      </c>
      <c r="N574" s="273" t="str">
        <f>IF(VLOOKUP($Z574,생산업체!$A:$C,2,FALSE)=1,"해외","국내")</f>
        <v>해외</v>
      </c>
      <c r="O574" s="12" t="str">
        <f>IF(VLOOKUP($U574,CODE!$K:$P,CODE!P$1,FALSE)="모자",T574,T574&amp;"-"&amp;VLOOKUP($U574,CODE!$K:$P,CODE!P$1,FALSE))</f>
        <v>URB</v>
      </c>
      <c r="P574" s="11" t="s">
        <v>1101</v>
      </c>
      <c r="R574" s="11">
        <v>47</v>
      </c>
      <c r="T574" s="8" t="s">
        <v>1101</v>
      </c>
      <c r="U574" s="8" t="s">
        <v>50</v>
      </c>
      <c r="V574" s="8" t="s">
        <v>43</v>
      </c>
      <c r="W574" s="8" t="s">
        <v>1530</v>
      </c>
      <c r="X574" s="8" t="s">
        <v>900</v>
      </c>
      <c r="Y574" s="9">
        <v>0.5</v>
      </c>
      <c r="Z574" s="8" t="s">
        <v>1365</v>
      </c>
      <c r="AA574" s="10">
        <v>41687</v>
      </c>
      <c r="AB574" s="10">
        <v>41708</v>
      </c>
      <c r="AC574" s="10">
        <v>41710</v>
      </c>
      <c r="AD574" s="10">
        <v>41722</v>
      </c>
      <c r="AH574" s="8">
        <v>3</v>
      </c>
    </row>
    <row r="575" spans="1:39">
      <c r="A575" s="7">
        <f t="shared" si="163"/>
        <v>0.5</v>
      </c>
      <c r="B575" s="7" t="str">
        <f t="shared" si="167"/>
        <v>14FW_URBAN SWAGGER_16_FLAT_BK</v>
      </c>
      <c r="C575" s="7">
        <f t="shared" si="164"/>
        <v>1</v>
      </c>
      <c r="D575" s="7" t="str">
        <f t="shared" si="168"/>
        <v>J&amp;F14FW_URBAN SWAGGER_16_FLAT_BK</v>
      </c>
      <c r="E575" s="12" t="str">
        <f t="shared" si="169"/>
        <v>201402</v>
      </c>
      <c r="F575" s="347" t="str">
        <f>VLOOKUP($AA575,[3]주!$A:$F,6,FALSE)</f>
        <v>2월 3주</v>
      </c>
      <c r="G575" s="7">
        <f t="shared" si="165"/>
        <v>0.5</v>
      </c>
      <c r="H575" s="7" t="str">
        <f t="shared" si="170"/>
        <v>14FW_URBAN SWAGGER_16_FLAT_BK</v>
      </c>
      <c r="I575" s="7">
        <f t="shared" si="166"/>
        <v>1</v>
      </c>
      <c r="J575" s="7" t="str">
        <f t="shared" si="171"/>
        <v>J&amp;F14FW_URBAN SWAGGER_16_FLAT_BK</v>
      </c>
      <c r="K575" s="17">
        <f t="shared" si="172"/>
        <v>41722</v>
      </c>
      <c r="L575" s="12" t="str">
        <f t="shared" si="173"/>
        <v>201403</v>
      </c>
      <c r="M575" s="347" t="str">
        <f>VLOOKUP($K575,[3]주!$A:$F,6,FALSE)</f>
        <v>3월 2주</v>
      </c>
      <c r="N575" s="273" t="str">
        <f>IF(VLOOKUP($Z575,생산업체!$A:$C,2,FALSE)=1,"해외","국내")</f>
        <v>해외</v>
      </c>
      <c r="O575" s="12" t="str">
        <f>IF(VLOOKUP($U575,CODE!$K:$P,CODE!P$1,FALSE)="모자",T575,T575&amp;"-"&amp;VLOOKUP($U575,CODE!$K:$P,CODE!P$1,FALSE))</f>
        <v>URB</v>
      </c>
      <c r="P575" s="11" t="s">
        <v>1101</v>
      </c>
      <c r="R575" s="11">
        <v>48</v>
      </c>
      <c r="T575" s="8" t="s">
        <v>1101</v>
      </c>
      <c r="U575" s="8" t="s">
        <v>50</v>
      </c>
      <c r="V575" s="8" t="s">
        <v>43</v>
      </c>
      <c r="W575" s="8" t="s">
        <v>1531</v>
      </c>
      <c r="X575" s="8" t="s">
        <v>900</v>
      </c>
      <c r="Y575" s="9">
        <v>0.5</v>
      </c>
      <c r="Z575" s="8" t="s">
        <v>1365</v>
      </c>
      <c r="AA575" s="10">
        <v>41687</v>
      </c>
      <c r="AB575" s="10">
        <v>41708</v>
      </c>
      <c r="AC575" s="10">
        <v>41710</v>
      </c>
      <c r="AD575" s="10">
        <v>41722</v>
      </c>
      <c r="AH575" s="8">
        <v>3</v>
      </c>
      <c r="AI575" s="8">
        <v>2</v>
      </c>
    </row>
    <row r="576" spans="1:39">
      <c r="A576" s="7">
        <f t="shared" si="163"/>
        <v>0.5</v>
      </c>
      <c r="B576" s="7" t="str">
        <f t="shared" si="167"/>
        <v>14FW_URBAN SWAGGER_17_FLAT_BK</v>
      </c>
      <c r="C576" s="7">
        <f t="shared" si="164"/>
        <v>1</v>
      </c>
      <c r="D576" s="7" t="str">
        <f t="shared" si="168"/>
        <v>J&amp;F14FW_URBAN SWAGGER_17_FLAT_BK</v>
      </c>
      <c r="E576" s="12" t="str">
        <f t="shared" si="169"/>
        <v>201402</v>
      </c>
      <c r="F576" s="347" t="str">
        <f>VLOOKUP($AA576,[3]주!$A:$F,6,FALSE)</f>
        <v>2월 3주</v>
      </c>
      <c r="G576" s="7">
        <f t="shared" si="165"/>
        <v>0.5</v>
      </c>
      <c r="H576" s="7" t="str">
        <f t="shared" si="170"/>
        <v>14FW_URBAN SWAGGER_17_FLAT_BK</v>
      </c>
      <c r="I576" s="7">
        <f t="shared" si="166"/>
        <v>1</v>
      </c>
      <c r="J576" s="7" t="str">
        <f t="shared" si="171"/>
        <v>J&amp;F14FW_URBAN SWAGGER_17_FLAT_BK</v>
      </c>
      <c r="K576" s="17">
        <f t="shared" si="172"/>
        <v>41722</v>
      </c>
      <c r="L576" s="12" t="str">
        <f t="shared" si="173"/>
        <v>201403</v>
      </c>
      <c r="M576" s="347" t="str">
        <f>VLOOKUP($K576,[3]주!$A:$F,6,FALSE)</f>
        <v>3월 2주</v>
      </c>
      <c r="N576" s="273" t="str">
        <f>IF(VLOOKUP($Z576,생산업체!$A:$C,2,FALSE)=1,"해외","국내")</f>
        <v>해외</v>
      </c>
      <c r="O576" s="12" t="str">
        <f>IF(VLOOKUP($U576,CODE!$K:$P,CODE!P$1,FALSE)="모자",T576,T576&amp;"-"&amp;VLOOKUP($U576,CODE!$K:$P,CODE!P$1,FALSE))</f>
        <v>URB</v>
      </c>
      <c r="P576" s="11" t="s">
        <v>1101</v>
      </c>
      <c r="R576" s="11">
        <v>49</v>
      </c>
      <c r="T576" s="8" t="s">
        <v>1101</v>
      </c>
      <c r="U576" s="8" t="s">
        <v>50</v>
      </c>
      <c r="V576" s="8" t="s">
        <v>43</v>
      </c>
      <c r="W576" s="8" t="s">
        <v>1532</v>
      </c>
      <c r="X576" s="8" t="s">
        <v>900</v>
      </c>
      <c r="Y576" s="9">
        <v>0.5</v>
      </c>
      <c r="Z576" s="8" t="s">
        <v>1365</v>
      </c>
      <c r="AA576" s="10">
        <v>41687</v>
      </c>
      <c r="AB576" s="10">
        <v>41708</v>
      </c>
      <c r="AC576" s="10">
        <v>41710</v>
      </c>
      <c r="AD576" s="10">
        <v>41722</v>
      </c>
      <c r="AH576" s="8">
        <v>3</v>
      </c>
      <c r="AI576" s="8">
        <v>1</v>
      </c>
    </row>
    <row r="577" spans="1:35">
      <c r="A577" s="7">
        <f t="shared" si="163"/>
        <v>0.5</v>
      </c>
      <c r="B577" s="7" t="str">
        <f t="shared" si="167"/>
        <v>14FW_URBAN SWAGGER_20_EAR FLAT_BK</v>
      </c>
      <c r="C577" s="7">
        <f t="shared" si="164"/>
        <v>1</v>
      </c>
      <c r="D577" s="7" t="str">
        <f t="shared" si="168"/>
        <v>J&amp;F14FW_URBAN SWAGGER_20_EAR FLAT_BK</v>
      </c>
      <c r="E577" s="12" t="str">
        <f t="shared" si="169"/>
        <v>201402</v>
      </c>
      <c r="F577" s="347" t="str">
        <f>VLOOKUP($AA577,[3]주!$A:$F,6,FALSE)</f>
        <v>2월 3주</v>
      </c>
      <c r="G577" s="7">
        <f t="shared" si="165"/>
        <v>0.5</v>
      </c>
      <c r="H577" s="7" t="str">
        <f t="shared" si="170"/>
        <v>14FW_URBAN SWAGGER_20_EAR FLAT_BK</v>
      </c>
      <c r="I577" s="7">
        <f t="shared" si="166"/>
        <v>1</v>
      </c>
      <c r="J577" s="7" t="str">
        <f t="shared" si="171"/>
        <v>J&amp;F14FW_URBAN SWAGGER_20_EAR FLAT_BK</v>
      </c>
      <c r="K577" s="17">
        <f t="shared" si="172"/>
        <v>41722</v>
      </c>
      <c r="L577" s="12" t="str">
        <f t="shared" si="173"/>
        <v>201403</v>
      </c>
      <c r="M577" s="347" t="str">
        <f>VLOOKUP($K577,[3]주!$A:$F,6,FALSE)</f>
        <v>3월 2주</v>
      </c>
      <c r="N577" s="273" t="str">
        <f>IF(VLOOKUP($Z577,생산업체!$A:$C,2,FALSE)=1,"해외","국내")</f>
        <v>해외</v>
      </c>
      <c r="O577" s="12" t="str">
        <f>IF(VLOOKUP($U577,CODE!$K:$P,CODE!P$1,FALSE)="모자",T577,T577&amp;"-"&amp;VLOOKUP($U577,CODE!$K:$P,CODE!P$1,FALSE))</f>
        <v>URB</v>
      </c>
      <c r="P577" s="11" t="s">
        <v>1101</v>
      </c>
      <c r="R577" s="11">
        <v>50</v>
      </c>
      <c r="T577" s="8" t="s">
        <v>1101</v>
      </c>
      <c r="U577" s="8" t="s">
        <v>28</v>
      </c>
      <c r="V577" s="8" t="s">
        <v>43</v>
      </c>
      <c r="W577" s="8" t="s">
        <v>1533</v>
      </c>
      <c r="X577" s="8" t="s">
        <v>900</v>
      </c>
      <c r="Y577" s="9">
        <v>0.5</v>
      </c>
      <c r="Z577" s="8" t="s">
        <v>1365</v>
      </c>
      <c r="AA577" s="10">
        <v>41687</v>
      </c>
      <c r="AB577" s="10">
        <v>41708</v>
      </c>
      <c r="AC577" s="10">
        <v>41710</v>
      </c>
      <c r="AD577" s="10">
        <v>41722</v>
      </c>
      <c r="AH577" s="8">
        <v>4</v>
      </c>
      <c r="AI577" s="8">
        <v>2</v>
      </c>
    </row>
    <row r="578" spans="1:35">
      <c r="A578" s="7">
        <f t="shared" ref="A578:A641" si="174">IF(B578="",0,1/COUNTIF(B:B,B578))</f>
        <v>0.5</v>
      </c>
      <c r="B578" s="7" t="str">
        <f t="shared" si="167"/>
        <v>14FW_URBAN SWAGGER_21_EAR FLAT_GY</v>
      </c>
      <c r="C578" s="7">
        <f t="shared" ref="C578:C641" si="175">IF(D578="",0,1/COUNTIF(D:D,D578))</f>
        <v>1</v>
      </c>
      <c r="D578" s="7" t="str">
        <f t="shared" si="168"/>
        <v>J&amp;F14FW_URBAN SWAGGER_21_EAR FLAT_GY</v>
      </c>
      <c r="E578" s="12" t="str">
        <f t="shared" si="169"/>
        <v>201402</v>
      </c>
      <c r="F578" s="347" t="str">
        <f>VLOOKUP($AA578,[3]주!$A:$F,6,FALSE)</f>
        <v>2월 3주</v>
      </c>
      <c r="G578" s="7">
        <f t="shared" ref="G578:G641" si="176">IF(H578="",0,1/COUNTIF(H:H,H578))</f>
        <v>0.5</v>
      </c>
      <c r="H578" s="7" t="str">
        <f t="shared" si="170"/>
        <v>14FW_URBAN SWAGGER_21_EAR FLAT_GY</v>
      </c>
      <c r="I578" s="7">
        <f t="shared" ref="I578:I641" si="177">IF(J578="",0,1/COUNTIF(J:J,J578))</f>
        <v>1</v>
      </c>
      <c r="J578" s="7" t="str">
        <f t="shared" si="171"/>
        <v>J&amp;F14FW_URBAN SWAGGER_21_EAR FLAT_GY</v>
      </c>
      <c r="K578" s="17">
        <f t="shared" si="172"/>
        <v>41722</v>
      </c>
      <c r="L578" s="12" t="str">
        <f t="shared" si="173"/>
        <v>201403</v>
      </c>
      <c r="M578" s="347" t="str">
        <f>VLOOKUP($K578,[3]주!$A:$F,6,FALSE)</f>
        <v>3월 2주</v>
      </c>
      <c r="N578" s="273" t="str">
        <f>IF(VLOOKUP($Z578,생산업체!$A:$C,2,FALSE)=1,"해외","국내")</f>
        <v>해외</v>
      </c>
      <c r="O578" s="12" t="str">
        <f>IF(VLOOKUP($U578,CODE!$K:$P,CODE!P$1,FALSE)="모자",T578,T578&amp;"-"&amp;VLOOKUP($U578,CODE!$K:$P,CODE!P$1,FALSE))</f>
        <v>URB</v>
      </c>
      <c r="P578" s="11" t="s">
        <v>1101</v>
      </c>
      <c r="R578" s="11">
        <v>51</v>
      </c>
      <c r="T578" s="8" t="s">
        <v>1101</v>
      </c>
      <c r="U578" s="8" t="s">
        <v>28</v>
      </c>
      <c r="V578" s="8" t="s">
        <v>43</v>
      </c>
      <c r="W578" s="8" t="s">
        <v>1534</v>
      </c>
      <c r="X578" s="8" t="s">
        <v>900</v>
      </c>
      <c r="Y578" s="9">
        <v>0.5</v>
      </c>
      <c r="Z578" s="8" t="s">
        <v>1365</v>
      </c>
      <c r="AA578" s="10">
        <v>41687</v>
      </c>
      <c r="AB578" s="10">
        <v>41708</v>
      </c>
      <c r="AC578" s="10">
        <v>41710</v>
      </c>
      <c r="AD578" s="10">
        <v>41722</v>
      </c>
      <c r="AH578" s="8">
        <v>5</v>
      </c>
      <c r="AI578" s="8">
        <v>2</v>
      </c>
    </row>
    <row r="579" spans="1:35">
      <c r="A579" s="7">
        <f t="shared" si="174"/>
        <v>1</v>
      </c>
      <c r="B579" s="7" t="str">
        <f t="shared" si="167"/>
        <v>14SS YG 2NE1_01_FLAT_OR</v>
      </c>
      <c r="C579" s="7">
        <f t="shared" si="175"/>
        <v>1</v>
      </c>
      <c r="D579" s="7" t="str">
        <f t="shared" si="168"/>
        <v>J&amp;F14SS YG 2NE1_01_FLAT_OR</v>
      </c>
      <c r="E579" s="12" t="str">
        <f t="shared" si="169"/>
        <v>201403</v>
      </c>
      <c r="F579" s="347" t="str">
        <f>VLOOKUP($AA579,[3]주!$A:$F,6,FALSE)</f>
        <v>3월 1주</v>
      </c>
      <c r="G579" s="7">
        <f t="shared" si="176"/>
        <v>1</v>
      </c>
      <c r="H579" s="7" t="str">
        <f t="shared" si="170"/>
        <v>14SS YG 2NE1_01_FLAT_OR</v>
      </c>
      <c r="I579" s="7">
        <f t="shared" si="177"/>
        <v>1</v>
      </c>
      <c r="J579" s="7" t="str">
        <f t="shared" si="171"/>
        <v>J&amp;F14SS YG 2NE1_01_FLAT_OR</v>
      </c>
      <c r="K579" s="17">
        <f t="shared" si="172"/>
        <v>41730</v>
      </c>
      <c r="L579" s="12" t="str">
        <f t="shared" si="173"/>
        <v>201404</v>
      </c>
      <c r="M579" s="347" t="str">
        <f>VLOOKUP($K579,[3]주!$A:$F,6,FALSE)</f>
        <v>3월 2주</v>
      </c>
      <c r="N579" s="273" t="str">
        <f>IF(VLOOKUP($Z579,생산업체!$A:$C,2,FALSE)=1,"해외","국내")</f>
        <v>해외</v>
      </c>
      <c r="O579" s="12" t="str">
        <f>IF(VLOOKUP($U579,CODE!$K:$P,CODE!P$1,FALSE)="모자",T579,T579&amp;"-"&amp;VLOOKUP($U579,CODE!$K:$P,CODE!P$1,FALSE))</f>
        <v>YGF</v>
      </c>
      <c r="P579" s="11" t="s">
        <v>1102</v>
      </c>
      <c r="R579" s="11">
        <v>52</v>
      </c>
      <c r="T579" s="8" t="s">
        <v>1102</v>
      </c>
      <c r="U579" s="8" t="s">
        <v>50</v>
      </c>
      <c r="V579" s="8" t="s">
        <v>43</v>
      </c>
      <c r="W579" s="8" t="s">
        <v>1719</v>
      </c>
      <c r="X579" s="8" t="s">
        <v>900</v>
      </c>
      <c r="Y579" s="9">
        <v>1</v>
      </c>
      <c r="Z579" s="8" t="s">
        <v>1365</v>
      </c>
      <c r="AA579" s="10">
        <v>41703</v>
      </c>
      <c r="AB579" s="10">
        <v>41731</v>
      </c>
      <c r="AC579" s="10">
        <v>41739</v>
      </c>
      <c r="AD579" s="10">
        <v>41730</v>
      </c>
      <c r="AH579" s="8">
        <v>2</v>
      </c>
    </row>
    <row r="580" spans="1:35">
      <c r="A580" s="7">
        <f t="shared" si="174"/>
        <v>1</v>
      </c>
      <c r="B580" s="7" t="str">
        <f t="shared" si="167"/>
        <v>14SS YG 2NE1_02_FLAT_BK</v>
      </c>
      <c r="C580" s="7">
        <f t="shared" si="175"/>
        <v>1</v>
      </c>
      <c r="D580" s="7" t="str">
        <f t="shared" si="168"/>
        <v>캡보이14SS YG 2NE1_02_FLAT_BK</v>
      </c>
      <c r="E580" s="12" t="str">
        <f t="shared" si="169"/>
        <v>201403</v>
      </c>
      <c r="F580" s="347" t="str">
        <f>VLOOKUP($AA580,[3]주!$A:$F,6,FALSE)</f>
        <v>3월 1주</v>
      </c>
      <c r="G580" s="7">
        <f t="shared" si="176"/>
        <v>1</v>
      </c>
      <c r="H580" s="7" t="str">
        <f t="shared" si="170"/>
        <v>14SS YG 2NE1_02_FLAT_BK</v>
      </c>
      <c r="I580" s="7">
        <f t="shared" si="177"/>
        <v>1</v>
      </c>
      <c r="J580" s="7" t="str">
        <f t="shared" si="171"/>
        <v>캡보이14SS YG 2NE1_02_FLAT_BK</v>
      </c>
      <c r="K580" s="17">
        <f t="shared" si="172"/>
        <v>41722</v>
      </c>
      <c r="L580" s="12" t="str">
        <f t="shared" si="173"/>
        <v>201403</v>
      </c>
      <c r="M580" s="347" t="str">
        <f>VLOOKUP($K580,[3]주!$A:$F,6,FALSE)</f>
        <v>3월 2주</v>
      </c>
      <c r="N580" s="273" t="str">
        <f>IF(VLOOKUP($Z580,생산업체!$A:$C,2,FALSE)=1,"해외","국내")</f>
        <v>국내</v>
      </c>
      <c r="O580" s="12" t="str">
        <f>IF(VLOOKUP($U580,CODE!$K:$P,CODE!P$1,FALSE)="모자",T580,T580&amp;"-"&amp;VLOOKUP($U580,CODE!$K:$P,CODE!P$1,FALSE))</f>
        <v>YGF</v>
      </c>
      <c r="P580" s="11" t="s">
        <v>1102</v>
      </c>
      <c r="R580" s="11">
        <v>53</v>
      </c>
      <c r="T580" s="8" t="s">
        <v>1102</v>
      </c>
      <c r="U580" s="8" t="s">
        <v>50</v>
      </c>
      <c r="V580" s="8" t="s">
        <v>43</v>
      </c>
      <c r="W580" s="8" t="s">
        <v>1720</v>
      </c>
      <c r="X580" s="8" t="s">
        <v>900</v>
      </c>
      <c r="Y580" s="9">
        <v>1</v>
      </c>
      <c r="Z580" s="8" t="s">
        <v>49</v>
      </c>
      <c r="AA580" s="10">
        <v>41702</v>
      </c>
      <c r="AB580" s="10">
        <v>41723</v>
      </c>
      <c r="AC580" s="10">
        <v>41739</v>
      </c>
      <c r="AD580" s="10">
        <v>41722</v>
      </c>
      <c r="AH580" s="8">
        <v>2</v>
      </c>
    </row>
    <row r="581" spans="1:35">
      <c r="A581" s="7">
        <f t="shared" si="174"/>
        <v>1</v>
      </c>
      <c r="B581" s="7" t="str">
        <f t="shared" si="167"/>
        <v>14SS YG 2NE1_03_FLAT_PK</v>
      </c>
      <c r="C581" s="7">
        <f t="shared" si="175"/>
        <v>1</v>
      </c>
      <c r="D581" s="7" t="str">
        <f t="shared" si="168"/>
        <v>QF14SS YG 2NE1_03_FLAT_PK</v>
      </c>
      <c r="E581" s="12" t="str">
        <f t="shared" si="169"/>
        <v>201403</v>
      </c>
      <c r="F581" s="347" t="str">
        <f>VLOOKUP($AA581,[3]주!$A:$F,6,FALSE)</f>
        <v>3월 1주</v>
      </c>
      <c r="G581" s="7">
        <f t="shared" si="176"/>
        <v>1</v>
      </c>
      <c r="H581" s="7" t="str">
        <f t="shared" si="170"/>
        <v>14SS YG 2NE1_03_FLAT_PK</v>
      </c>
      <c r="I581" s="7">
        <f t="shared" si="177"/>
        <v>1</v>
      </c>
      <c r="J581" s="7" t="str">
        <f t="shared" si="171"/>
        <v>QF14SS YG 2NE1_03_FLAT_PK</v>
      </c>
      <c r="K581" s="17">
        <f t="shared" si="172"/>
        <v>41747</v>
      </c>
      <c r="L581" s="12" t="str">
        <f t="shared" si="173"/>
        <v>201404</v>
      </c>
      <c r="M581" s="347" t="str">
        <f>VLOOKUP($K581,[3]주!$A:$F,6,FALSE)</f>
        <v>3월 2주</v>
      </c>
      <c r="N581" s="273" t="str">
        <f>IF(VLOOKUP($Z581,생산업체!$A:$C,2,FALSE)=1,"해외","국내")</f>
        <v>해외</v>
      </c>
      <c r="O581" s="12" t="str">
        <f>IF(VLOOKUP($U581,CODE!$K:$P,CODE!P$1,FALSE)="모자",T581,T581&amp;"-"&amp;VLOOKUP($U581,CODE!$K:$P,CODE!P$1,FALSE))</f>
        <v>YGF</v>
      </c>
      <c r="P581" s="11" t="s">
        <v>1102</v>
      </c>
      <c r="R581" s="11">
        <v>54</v>
      </c>
      <c r="T581" s="8" t="s">
        <v>1102</v>
      </c>
      <c r="U581" s="8" t="s">
        <v>50</v>
      </c>
      <c r="V581" s="8" t="s">
        <v>43</v>
      </c>
      <c r="W581" s="8" t="s">
        <v>1721</v>
      </c>
      <c r="X581" s="8" t="s">
        <v>900</v>
      </c>
      <c r="Y581" s="9">
        <v>1</v>
      </c>
      <c r="Z581" s="8" t="s">
        <v>792</v>
      </c>
      <c r="AA581" s="10">
        <v>41703</v>
      </c>
      <c r="AB581" s="10">
        <v>41731</v>
      </c>
      <c r="AC581" s="10">
        <v>41739</v>
      </c>
      <c r="AD581" s="10">
        <v>41747</v>
      </c>
      <c r="AH581" s="8">
        <v>3</v>
      </c>
    </row>
    <row r="582" spans="1:35">
      <c r="A582" s="7">
        <f t="shared" si="174"/>
        <v>1</v>
      </c>
      <c r="B582" s="7" t="str">
        <f t="shared" si="167"/>
        <v>14SS YG 2NE1_04_FLAT_PP</v>
      </c>
      <c r="C582" s="7">
        <f t="shared" si="175"/>
        <v>1</v>
      </c>
      <c r="D582" s="7" t="str">
        <f t="shared" si="168"/>
        <v>J&amp;F14SS YG 2NE1_04_FLAT_PP</v>
      </c>
      <c r="E582" s="12" t="str">
        <f t="shared" si="169"/>
        <v>201403</v>
      </c>
      <c r="F582" s="347" t="str">
        <f>VLOOKUP($AA582,[3]주!$A:$F,6,FALSE)</f>
        <v>3월 1주</v>
      </c>
      <c r="G582" s="7">
        <f t="shared" si="176"/>
        <v>1</v>
      </c>
      <c r="H582" s="7" t="str">
        <f t="shared" si="170"/>
        <v>14SS YG 2NE1_04_FLAT_PP</v>
      </c>
      <c r="I582" s="7">
        <f t="shared" si="177"/>
        <v>1</v>
      </c>
      <c r="J582" s="7" t="str">
        <f t="shared" si="171"/>
        <v>J&amp;F14SS YG 2NE1_04_FLAT_PP</v>
      </c>
      <c r="K582" s="17">
        <f t="shared" si="172"/>
        <v>41730</v>
      </c>
      <c r="L582" s="12" t="str">
        <f t="shared" si="173"/>
        <v>201404</v>
      </c>
      <c r="M582" s="347" t="str">
        <f>VLOOKUP($K582,[3]주!$A:$F,6,FALSE)</f>
        <v>3월 2주</v>
      </c>
      <c r="N582" s="273" t="str">
        <f>IF(VLOOKUP($Z582,생산업체!$A:$C,2,FALSE)=1,"해외","국내")</f>
        <v>해외</v>
      </c>
      <c r="O582" s="12" t="str">
        <f>IF(VLOOKUP($U582,CODE!$K:$P,CODE!P$1,FALSE)="모자",T582,T582&amp;"-"&amp;VLOOKUP($U582,CODE!$K:$P,CODE!P$1,FALSE))</f>
        <v>YGF</v>
      </c>
      <c r="P582" s="11" t="s">
        <v>1102</v>
      </c>
      <c r="R582" s="11">
        <v>55</v>
      </c>
      <c r="T582" s="8" t="s">
        <v>1102</v>
      </c>
      <c r="U582" s="8" t="s">
        <v>50</v>
      </c>
      <c r="V582" s="8" t="s">
        <v>43</v>
      </c>
      <c r="W582" s="8" t="s">
        <v>1722</v>
      </c>
      <c r="X582" s="8" t="s">
        <v>900</v>
      </c>
      <c r="Y582" s="9">
        <v>1</v>
      </c>
      <c r="Z582" s="8" t="s">
        <v>1365</v>
      </c>
      <c r="AA582" s="10">
        <v>41703</v>
      </c>
      <c r="AB582" s="10">
        <v>41731</v>
      </c>
      <c r="AC582" s="10">
        <v>41739</v>
      </c>
      <c r="AD582" s="10">
        <v>41730</v>
      </c>
      <c r="AH582" s="8">
        <v>2</v>
      </c>
    </row>
    <row r="583" spans="1:35">
      <c r="A583" s="7">
        <f t="shared" si="174"/>
        <v>1</v>
      </c>
      <c r="B583" s="7" t="str">
        <f t="shared" si="167"/>
        <v>14SS YG 2NE1_05_FLAT_BK</v>
      </c>
      <c r="C583" s="7">
        <f t="shared" si="175"/>
        <v>1</v>
      </c>
      <c r="D583" s="7" t="str">
        <f t="shared" si="168"/>
        <v>J&amp;F14SS YG 2NE1_05_FLAT_BK</v>
      </c>
      <c r="E583" s="12" t="str">
        <f t="shared" si="169"/>
        <v>201403</v>
      </c>
      <c r="F583" s="347" t="str">
        <f>VLOOKUP($AA583,[3]주!$A:$F,6,FALSE)</f>
        <v>3월 1주</v>
      </c>
      <c r="G583" s="7">
        <f t="shared" si="176"/>
        <v>1</v>
      </c>
      <c r="H583" s="7" t="str">
        <f t="shared" si="170"/>
        <v>14SS YG 2NE1_05_FLAT_BK</v>
      </c>
      <c r="I583" s="7">
        <f t="shared" si="177"/>
        <v>1</v>
      </c>
      <c r="J583" s="7" t="str">
        <f t="shared" si="171"/>
        <v>J&amp;F14SS YG 2NE1_05_FLAT_BK</v>
      </c>
      <c r="K583" s="17">
        <f t="shared" si="172"/>
        <v>41730</v>
      </c>
      <c r="L583" s="12" t="str">
        <f t="shared" si="173"/>
        <v>201404</v>
      </c>
      <c r="M583" s="347" t="str">
        <f>VLOOKUP($K583,[3]주!$A:$F,6,FALSE)</f>
        <v>3월 2주</v>
      </c>
      <c r="N583" s="273" t="str">
        <f>IF(VLOOKUP($Z583,생산업체!$A:$C,2,FALSE)=1,"해외","국내")</f>
        <v>해외</v>
      </c>
      <c r="O583" s="12" t="str">
        <f>IF(VLOOKUP($U583,CODE!$K:$P,CODE!P$1,FALSE)="모자",T583,T583&amp;"-"&amp;VLOOKUP($U583,CODE!$K:$P,CODE!P$1,FALSE))</f>
        <v>YGF</v>
      </c>
      <c r="P583" s="11" t="s">
        <v>1102</v>
      </c>
      <c r="R583" s="11">
        <v>56</v>
      </c>
      <c r="T583" s="8" t="s">
        <v>1102</v>
      </c>
      <c r="U583" s="8" t="s">
        <v>50</v>
      </c>
      <c r="V583" s="8" t="s">
        <v>43</v>
      </c>
      <c r="W583" s="8" t="s">
        <v>1723</v>
      </c>
      <c r="X583" s="8" t="s">
        <v>900</v>
      </c>
      <c r="Y583" s="9">
        <v>1</v>
      </c>
      <c r="Z583" s="8" t="s">
        <v>1365</v>
      </c>
      <c r="AA583" s="10">
        <v>41703</v>
      </c>
      <c r="AB583" s="10">
        <v>41731</v>
      </c>
      <c r="AC583" s="10">
        <v>41739</v>
      </c>
      <c r="AD583" s="10">
        <v>41730</v>
      </c>
      <c r="AH583" s="8">
        <v>2</v>
      </c>
    </row>
    <row r="584" spans="1:35">
      <c r="A584" s="7">
        <f t="shared" si="174"/>
        <v>0.5</v>
      </c>
      <c r="B584" s="7" t="str">
        <f t="shared" si="167"/>
        <v>14SS YG BIGBANG_01_BK</v>
      </c>
      <c r="C584" s="7">
        <f t="shared" si="175"/>
        <v>1</v>
      </c>
      <c r="D584" s="7" t="str">
        <f t="shared" si="168"/>
        <v>QF14SS YG BIGBANG_01_BK</v>
      </c>
      <c r="E584" s="12" t="str">
        <f t="shared" si="169"/>
        <v>201403</v>
      </c>
      <c r="F584" s="347" t="str">
        <f>VLOOKUP($AA584,[3]주!$A:$F,6,FALSE)</f>
        <v>3월 1주</v>
      </c>
      <c r="G584" s="7">
        <f t="shared" si="176"/>
        <v>0.5</v>
      </c>
      <c r="H584" s="7" t="str">
        <f t="shared" si="170"/>
        <v>14SS YG BIGBANG_01_BK</v>
      </c>
      <c r="I584" s="7">
        <f t="shared" si="177"/>
        <v>1</v>
      </c>
      <c r="J584" s="7" t="str">
        <f t="shared" si="171"/>
        <v>QF14SS YG BIGBANG_01_BK</v>
      </c>
      <c r="K584" s="17">
        <f t="shared" si="172"/>
        <v>41747</v>
      </c>
      <c r="L584" s="12" t="str">
        <f t="shared" si="173"/>
        <v>201404</v>
      </c>
      <c r="M584" s="347" t="str">
        <f>VLOOKUP($K584,[3]주!$A:$F,6,FALSE)</f>
        <v>3월 2주</v>
      </c>
      <c r="N584" s="273" t="str">
        <f>IF(VLOOKUP($Z584,생산업체!$A:$C,2,FALSE)=1,"해외","국내")</f>
        <v>해외</v>
      </c>
      <c r="O584" s="12" t="str">
        <f>IF(VLOOKUP($U584,CODE!$K:$P,CODE!P$1,FALSE)="모자",T584,T584&amp;"-"&amp;VLOOKUP($U584,CODE!$K:$P,CODE!P$1,FALSE))</f>
        <v>YGF</v>
      </c>
      <c r="P584" s="11" t="s">
        <v>1102</v>
      </c>
      <c r="R584" s="11">
        <v>57</v>
      </c>
      <c r="T584" s="8" t="s">
        <v>1102</v>
      </c>
      <c r="U584" s="8" t="s">
        <v>50</v>
      </c>
      <c r="V584" s="8" t="s">
        <v>43</v>
      </c>
      <c r="W584" s="8" t="s">
        <v>1724</v>
      </c>
      <c r="X584" s="8" t="s">
        <v>900</v>
      </c>
      <c r="Y584" s="9">
        <v>0.5</v>
      </c>
      <c r="Z584" s="8" t="s">
        <v>792</v>
      </c>
      <c r="AA584" s="10">
        <v>41703</v>
      </c>
      <c r="AB584" s="10">
        <v>41731</v>
      </c>
      <c r="AC584" s="10">
        <v>41739</v>
      </c>
      <c r="AD584" s="10">
        <v>41747</v>
      </c>
      <c r="AH584" s="8">
        <v>2</v>
      </c>
    </row>
    <row r="585" spans="1:35">
      <c r="A585" s="7">
        <f t="shared" si="174"/>
        <v>1</v>
      </c>
      <c r="B585" s="7" t="str">
        <f t="shared" si="167"/>
        <v>14SS YG BIGBANG_02_BK</v>
      </c>
      <c r="C585" s="7">
        <f t="shared" si="175"/>
        <v>1</v>
      </c>
      <c r="D585" s="7" t="str">
        <f t="shared" si="168"/>
        <v>QF14SS YG BIGBANG_02_BK</v>
      </c>
      <c r="E585" s="12" t="str">
        <f t="shared" si="169"/>
        <v>201403</v>
      </c>
      <c r="F585" s="347" t="str">
        <f>VLOOKUP($AA585,[3]주!$A:$F,6,FALSE)</f>
        <v>3월 1주</v>
      </c>
      <c r="G585" s="7">
        <f t="shared" si="176"/>
        <v>1</v>
      </c>
      <c r="H585" s="7" t="str">
        <f t="shared" si="170"/>
        <v>14SS YG BIGBANG_02_BK</v>
      </c>
      <c r="I585" s="7">
        <f t="shared" si="177"/>
        <v>1</v>
      </c>
      <c r="J585" s="7" t="str">
        <f t="shared" si="171"/>
        <v>QF14SS YG BIGBANG_02_BK</v>
      </c>
      <c r="K585" s="17">
        <f t="shared" si="172"/>
        <v>41747</v>
      </c>
      <c r="L585" s="12" t="str">
        <f t="shared" si="173"/>
        <v>201404</v>
      </c>
      <c r="M585" s="347" t="str">
        <f>VLOOKUP($K585,[3]주!$A:$F,6,FALSE)</f>
        <v>3월 2주</v>
      </c>
      <c r="N585" s="273" t="str">
        <f>IF(VLOOKUP($Z585,생산업체!$A:$C,2,FALSE)=1,"해외","국내")</f>
        <v>해외</v>
      </c>
      <c r="O585" s="12" t="str">
        <f>IF(VLOOKUP($U585,CODE!$K:$P,CODE!P$1,FALSE)="모자",T585,T585&amp;"-"&amp;VLOOKUP($U585,CODE!$K:$P,CODE!P$1,FALSE))</f>
        <v>YGF</v>
      </c>
      <c r="P585" s="11" t="s">
        <v>1102</v>
      </c>
      <c r="R585" s="11">
        <v>58</v>
      </c>
      <c r="T585" s="8" t="s">
        <v>1102</v>
      </c>
      <c r="U585" s="8" t="s">
        <v>50</v>
      </c>
      <c r="V585" s="8" t="s">
        <v>43</v>
      </c>
      <c r="W585" s="8" t="s">
        <v>1725</v>
      </c>
      <c r="X585" s="8" t="s">
        <v>900</v>
      </c>
      <c r="Y585" s="9">
        <v>1</v>
      </c>
      <c r="Z585" s="8" t="s">
        <v>792</v>
      </c>
      <c r="AA585" s="10">
        <v>41703</v>
      </c>
      <c r="AB585" s="10">
        <v>41731</v>
      </c>
      <c r="AC585" s="10">
        <v>41739</v>
      </c>
      <c r="AD585" s="10">
        <v>41747</v>
      </c>
      <c r="AH585" s="8">
        <v>1</v>
      </c>
    </row>
    <row r="586" spans="1:35">
      <c r="A586" s="7">
        <f t="shared" si="174"/>
        <v>1</v>
      </c>
      <c r="B586" s="7" t="str">
        <f t="shared" si="167"/>
        <v>14SS YG BIGBANG_03_BK</v>
      </c>
      <c r="C586" s="7">
        <f t="shared" si="175"/>
        <v>1</v>
      </c>
      <c r="D586" s="7" t="str">
        <f t="shared" si="168"/>
        <v>QF14SS YG BIGBANG_03_BK</v>
      </c>
      <c r="E586" s="12" t="str">
        <f t="shared" si="169"/>
        <v>201403</v>
      </c>
      <c r="F586" s="347" t="str">
        <f>VLOOKUP($AA586,[3]주!$A:$F,6,FALSE)</f>
        <v>3월 1주</v>
      </c>
      <c r="G586" s="7">
        <f t="shared" si="176"/>
        <v>1</v>
      </c>
      <c r="H586" s="7" t="str">
        <f t="shared" si="170"/>
        <v>14SS YG BIGBANG_03_BK</v>
      </c>
      <c r="I586" s="7">
        <f t="shared" si="177"/>
        <v>1</v>
      </c>
      <c r="J586" s="7" t="str">
        <f t="shared" si="171"/>
        <v>QF14SS YG BIGBANG_03_BK</v>
      </c>
      <c r="K586" s="17">
        <f t="shared" si="172"/>
        <v>41736</v>
      </c>
      <c r="L586" s="12" t="str">
        <f t="shared" si="173"/>
        <v>201404</v>
      </c>
      <c r="M586" s="347" t="str">
        <f>VLOOKUP($K586,[3]주!$A:$F,6,FALSE)</f>
        <v>3월 2주</v>
      </c>
      <c r="N586" s="273" t="str">
        <f>IF(VLOOKUP($Z586,생산업체!$A:$C,2,FALSE)=1,"해외","국내")</f>
        <v>해외</v>
      </c>
      <c r="O586" s="12" t="str">
        <f>IF(VLOOKUP($U586,CODE!$K:$P,CODE!P$1,FALSE)="모자",T586,T586&amp;"-"&amp;VLOOKUP($U586,CODE!$K:$P,CODE!P$1,FALSE))</f>
        <v>YGF</v>
      </c>
      <c r="P586" s="11" t="s">
        <v>1102</v>
      </c>
      <c r="R586" s="11">
        <v>59</v>
      </c>
      <c r="T586" s="8" t="s">
        <v>1102</v>
      </c>
      <c r="U586" s="8" t="s">
        <v>50</v>
      </c>
      <c r="V586" s="8" t="s">
        <v>43</v>
      </c>
      <c r="W586" s="8" t="s">
        <v>1726</v>
      </c>
      <c r="X586" s="8" t="s">
        <v>900</v>
      </c>
      <c r="Y586" s="9">
        <v>1</v>
      </c>
      <c r="Z586" s="8" t="s">
        <v>792</v>
      </c>
      <c r="AA586" s="10">
        <v>41703</v>
      </c>
      <c r="AB586" s="10">
        <v>41731</v>
      </c>
      <c r="AC586" s="10">
        <v>41739</v>
      </c>
      <c r="AD586" s="10">
        <v>41736</v>
      </c>
      <c r="AH586" s="8">
        <v>1</v>
      </c>
    </row>
    <row r="587" spans="1:35">
      <c r="A587" s="7">
        <f t="shared" si="174"/>
        <v>1</v>
      </c>
      <c r="B587" s="7" t="str">
        <f t="shared" si="167"/>
        <v>14SS YG BIGBANG_04_WH</v>
      </c>
      <c r="C587" s="7">
        <f t="shared" si="175"/>
        <v>1</v>
      </c>
      <c r="D587" s="7" t="str">
        <f t="shared" si="168"/>
        <v>QF14SS YG BIGBANG_04_WH</v>
      </c>
      <c r="E587" s="12" t="str">
        <f t="shared" si="169"/>
        <v>201403</v>
      </c>
      <c r="F587" s="347" t="str">
        <f>VLOOKUP($AA587,[3]주!$A:$F,6,FALSE)</f>
        <v>3월 1주</v>
      </c>
      <c r="G587" s="7">
        <f t="shared" si="176"/>
        <v>1</v>
      </c>
      <c r="H587" s="7" t="str">
        <f t="shared" si="170"/>
        <v>14SS YG BIGBANG_04_WH</v>
      </c>
      <c r="I587" s="7">
        <f t="shared" si="177"/>
        <v>1</v>
      </c>
      <c r="J587" s="7" t="str">
        <f t="shared" si="171"/>
        <v>QF14SS YG BIGBANG_04_WH</v>
      </c>
      <c r="K587" s="17">
        <f t="shared" si="172"/>
        <v>41747</v>
      </c>
      <c r="L587" s="12" t="str">
        <f t="shared" si="173"/>
        <v>201404</v>
      </c>
      <c r="M587" s="347" t="str">
        <f>VLOOKUP($K587,[3]주!$A:$F,6,FALSE)</f>
        <v>3월 2주</v>
      </c>
      <c r="N587" s="273" t="str">
        <f>IF(VLOOKUP($Z587,생산업체!$A:$C,2,FALSE)=1,"해외","국내")</f>
        <v>해외</v>
      </c>
      <c r="O587" s="12" t="str">
        <f>IF(VLOOKUP($U587,CODE!$K:$P,CODE!P$1,FALSE)="모자",T587,T587&amp;"-"&amp;VLOOKUP($U587,CODE!$K:$P,CODE!P$1,FALSE))</f>
        <v>YGF</v>
      </c>
      <c r="P587" s="11" t="s">
        <v>1102</v>
      </c>
      <c r="R587" s="11">
        <v>60</v>
      </c>
      <c r="T587" s="8" t="s">
        <v>1102</v>
      </c>
      <c r="U587" s="8" t="s">
        <v>50</v>
      </c>
      <c r="V587" s="8" t="s">
        <v>43</v>
      </c>
      <c r="W587" s="8" t="s">
        <v>1727</v>
      </c>
      <c r="X587" s="8" t="s">
        <v>900</v>
      </c>
      <c r="Y587" s="9">
        <v>1</v>
      </c>
      <c r="Z587" s="8" t="s">
        <v>792</v>
      </c>
      <c r="AA587" s="10">
        <v>41703</v>
      </c>
      <c r="AB587" s="10">
        <v>41731</v>
      </c>
      <c r="AC587" s="10">
        <v>41739</v>
      </c>
      <c r="AD587" s="10">
        <v>41747</v>
      </c>
      <c r="AH587" s="8">
        <v>2</v>
      </c>
    </row>
    <row r="588" spans="1:35">
      <c r="A588" s="7">
        <f t="shared" si="174"/>
        <v>1</v>
      </c>
      <c r="B588" s="7" t="str">
        <f t="shared" si="167"/>
        <v>14SS YG BIGBANG_05_BK</v>
      </c>
      <c r="C588" s="7">
        <f t="shared" si="175"/>
        <v>1</v>
      </c>
      <c r="D588" s="7" t="str">
        <f t="shared" si="168"/>
        <v>QF14SS YG BIGBANG_05_BK</v>
      </c>
      <c r="E588" s="12" t="str">
        <f t="shared" si="169"/>
        <v>201403</v>
      </c>
      <c r="F588" s="347" t="str">
        <f>VLOOKUP($AA588,[3]주!$A:$F,6,FALSE)</f>
        <v>3월 1주</v>
      </c>
      <c r="G588" s="7">
        <f t="shared" si="176"/>
        <v>1</v>
      </c>
      <c r="H588" s="7" t="str">
        <f t="shared" si="170"/>
        <v>14SS YG BIGBANG_05_BK</v>
      </c>
      <c r="I588" s="7">
        <f t="shared" si="177"/>
        <v>1</v>
      </c>
      <c r="J588" s="7" t="str">
        <f t="shared" si="171"/>
        <v>QF14SS YG BIGBANG_05_BK</v>
      </c>
      <c r="K588" s="17">
        <f t="shared" si="172"/>
        <v>41743</v>
      </c>
      <c r="L588" s="12" t="str">
        <f t="shared" si="173"/>
        <v>201404</v>
      </c>
      <c r="M588" s="347" t="str">
        <f>VLOOKUP($K588,[3]주!$A:$F,6,FALSE)</f>
        <v>3월 2주</v>
      </c>
      <c r="N588" s="273" t="str">
        <f>IF(VLOOKUP($Z588,생산업체!$A:$C,2,FALSE)=1,"해외","국내")</f>
        <v>해외</v>
      </c>
      <c r="O588" s="12" t="str">
        <f>IF(VLOOKUP($U588,CODE!$K:$P,CODE!P$1,FALSE)="모자",T588,T588&amp;"-"&amp;VLOOKUP($U588,CODE!$K:$P,CODE!P$1,FALSE))</f>
        <v>YGF</v>
      </c>
      <c r="P588" s="11" t="s">
        <v>1102</v>
      </c>
      <c r="R588" s="11">
        <v>61</v>
      </c>
      <c r="T588" s="8" t="s">
        <v>1102</v>
      </c>
      <c r="U588" s="8" t="s">
        <v>50</v>
      </c>
      <c r="V588" s="8" t="s">
        <v>43</v>
      </c>
      <c r="W588" s="8" t="s">
        <v>1728</v>
      </c>
      <c r="X588" s="8" t="s">
        <v>900</v>
      </c>
      <c r="Y588" s="9">
        <v>1</v>
      </c>
      <c r="Z588" s="8" t="s">
        <v>792</v>
      </c>
      <c r="AA588" s="10">
        <v>41703</v>
      </c>
      <c r="AB588" s="10">
        <v>41731</v>
      </c>
      <c r="AC588" s="10">
        <v>41739</v>
      </c>
      <c r="AD588" s="10">
        <v>41743</v>
      </c>
      <c r="AH588" s="8">
        <v>1</v>
      </c>
    </row>
    <row r="589" spans="1:35">
      <c r="A589" s="7">
        <f t="shared" si="174"/>
        <v>1</v>
      </c>
      <c r="B589" s="7" t="str">
        <f t="shared" si="167"/>
        <v>14SS YG BIGBANG_06_BK</v>
      </c>
      <c r="C589" s="7">
        <f t="shared" si="175"/>
        <v>1</v>
      </c>
      <c r="D589" s="7" t="str">
        <f t="shared" si="168"/>
        <v>캡보이14SS YG BIGBANG_06_BK</v>
      </c>
      <c r="E589" s="12" t="str">
        <f t="shared" si="169"/>
        <v>201403</v>
      </c>
      <c r="F589" s="347" t="str">
        <f>VLOOKUP($AA589,[3]주!$A:$F,6,FALSE)</f>
        <v>3월 1주</v>
      </c>
      <c r="G589" s="7">
        <f t="shared" si="176"/>
        <v>1</v>
      </c>
      <c r="H589" s="7" t="str">
        <f t="shared" si="170"/>
        <v>14SS YG BIGBANG_06_BK</v>
      </c>
      <c r="I589" s="7">
        <f t="shared" si="177"/>
        <v>1</v>
      </c>
      <c r="J589" s="7" t="str">
        <f t="shared" si="171"/>
        <v>캡보이14SS YG BIGBANG_06_BK</v>
      </c>
      <c r="K589" s="17">
        <f t="shared" si="172"/>
        <v>41722</v>
      </c>
      <c r="L589" s="12" t="str">
        <f t="shared" si="173"/>
        <v>201403</v>
      </c>
      <c r="M589" s="347" t="str">
        <f>VLOOKUP($K589,[3]주!$A:$F,6,FALSE)</f>
        <v>3월 2주</v>
      </c>
      <c r="N589" s="273" t="str">
        <f>IF(VLOOKUP($Z589,생산업체!$A:$C,2,FALSE)=1,"해외","국내")</f>
        <v>국내</v>
      </c>
      <c r="O589" s="12" t="str">
        <f>IF(VLOOKUP($U589,CODE!$K:$P,CODE!P$1,FALSE)="모자",T589,T589&amp;"-"&amp;VLOOKUP($U589,CODE!$K:$P,CODE!P$1,FALSE))</f>
        <v>YGF</v>
      </c>
      <c r="P589" s="11" t="s">
        <v>1102</v>
      </c>
      <c r="R589" s="11">
        <v>62</v>
      </c>
      <c r="T589" s="8" t="s">
        <v>1102</v>
      </c>
      <c r="U589" s="8" t="s">
        <v>50</v>
      </c>
      <c r="V589" s="8" t="s">
        <v>43</v>
      </c>
      <c r="W589" s="8" t="s">
        <v>1729</v>
      </c>
      <c r="X589" s="8" t="s">
        <v>900</v>
      </c>
      <c r="Y589" s="9">
        <v>1</v>
      </c>
      <c r="Z589" s="8" t="s">
        <v>49</v>
      </c>
      <c r="AA589" s="10">
        <v>41702</v>
      </c>
      <c r="AB589" s="10">
        <v>41723</v>
      </c>
      <c r="AC589" s="10">
        <v>41739</v>
      </c>
      <c r="AD589" s="10">
        <v>41722</v>
      </c>
      <c r="AH589" s="8">
        <v>3</v>
      </c>
    </row>
    <row r="590" spans="1:35">
      <c r="A590" s="7">
        <f t="shared" si="174"/>
        <v>1</v>
      </c>
      <c r="B590" s="7" t="str">
        <f t="shared" si="167"/>
        <v>14SS YG PSY_01_FLAT_BK</v>
      </c>
      <c r="C590" s="7">
        <f t="shared" si="175"/>
        <v>1</v>
      </c>
      <c r="D590" s="7" t="str">
        <f t="shared" si="168"/>
        <v>캡보이14SS YG PSY_01_FLAT_BK</v>
      </c>
      <c r="E590" s="12" t="str">
        <f t="shared" si="169"/>
        <v>201403</v>
      </c>
      <c r="F590" s="347" t="str">
        <f>VLOOKUP($AA590,[3]주!$A:$F,6,FALSE)</f>
        <v>3월 1주</v>
      </c>
      <c r="G590" s="7">
        <f t="shared" si="176"/>
        <v>1</v>
      </c>
      <c r="H590" s="7" t="str">
        <f t="shared" si="170"/>
        <v>14SS YG PSY_01_FLAT_BK</v>
      </c>
      <c r="I590" s="7">
        <f t="shared" si="177"/>
        <v>1</v>
      </c>
      <c r="J590" s="7" t="str">
        <f t="shared" si="171"/>
        <v>캡보이14SS YG PSY_01_FLAT_BK</v>
      </c>
      <c r="K590" s="17">
        <f t="shared" si="172"/>
        <v>41722</v>
      </c>
      <c r="L590" s="12" t="str">
        <f t="shared" si="173"/>
        <v>201403</v>
      </c>
      <c r="M590" s="347" t="str">
        <f>VLOOKUP($K590,[3]주!$A:$F,6,FALSE)</f>
        <v>3월 2주</v>
      </c>
      <c r="N590" s="273" t="str">
        <f>IF(VLOOKUP($Z590,생산업체!$A:$C,2,FALSE)=1,"해외","국내")</f>
        <v>국내</v>
      </c>
      <c r="O590" s="12" t="str">
        <f>IF(VLOOKUP($U590,CODE!$K:$P,CODE!P$1,FALSE)="모자",T590,T590&amp;"-"&amp;VLOOKUP($U590,CODE!$K:$P,CODE!P$1,FALSE))</f>
        <v>YGF</v>
      </c>
      <c r="P590" s="11" t="s">
        <v>1102</v>
      </c>
      <c r="R590" s="11">
        <v>63</v>
      </c>
      <c r="T590" s="8" t="s">
        <v>1102</v>
      </c>
      <c r="U590" s="8" t="s">
        <v>50</v>
      </c>
      <c r="V590" s="8" t="s">
        <v>43</v>
      </c>
      <c r="W590" s="8" t="s">
        <v>1730</v>
      </c>
      <c r="X590" s="8" t="s">
        <v>900</v>
      </c>
      <c r="Y590" s="9">
        <v>1</v>
      </c>
      <c r="Z590" s="8" t="s">
        <v>49</v>
      </c>
      <c r="AA590" s="10">
        <v>41702</v>
      </c>
      <c r="AB590" s="10">
        <v>41723</v>
      </c>
      <c r="AC590" s="10">
        <v>41739</v>
      </c>
      <c r="AD590" s="10">
        <v>41722</v>
      </c>
      <c r="AH590" s="8">
        <v>2</v>
      </c>
    </row>
    <row r="591" spans="1:35">
      <c r="A591" s="7">
        <f t="shared" si="174"/>
        <v>1</v>
      </c>
      <c r="B591" s="7" t="str">
        <f t="shared" si="167"/>
        <v>14SS YG PSY_02_FLAT_GY</v>
      </c>
      <c r="C591" s="7">
        <f t="shared" si="175"/>
        <v>1</v>
      </c>
      <c r="D591" s="7" t="str">
        <f t="shared" si="168"/>
        <v>QF14SS YG PSY_02_FLAT_GY</v>
      </c>
      <c r="E591" s="12" t="str">
        <f t="shared" si="169"/>
        <v>201403</v>
      </c>
      <c r="F591" s="347" t="str">
        <f>VLOOKUP($AA591,[3]주!$A:$F,6,FALSE)</f>
        <v>3월 1주</v>
      </c>
      <c r="G591" s="7">
        <f t="shared" si="176"/>
        <v>1</v>
      </c>
      <c r="H591" s="7" t="str">
        <f t="shared" si="170"/>
        <v>14SS YG PSY_02_FLAT_GY</v>
      </c>
      <c r="I591" s="7">
        <f t="shared" si="177"/>
        <v>1</v>
      </c>
      <c r="J591" s="7" t="str">
        <f t="shared" si="171"/>
        <v>QF14SS YG PSY_02_FLAT_GY</v>
      </c>
      <c r="K591" s="17">
        <f t="shared" si="172"/>
        <v>41736</v>
      </c>
      <c r="L591" s="12" t="str">
        <f t="shared" si="173"/>
        <v>201404</v>
      </c>
      <c r="M591" s="347" t="str">
        <f>VLOOKUP($K591,[3]주!$A:$F,6,FALSE)</f>
        <v>3월 2주</v>
      </c>
      <c r="N591" s="273" t="str">
        <f>IF(VLOOKUP($Z591,생산업체!$A:$C,2,FALSE)=1,"해외","국내")</f>
        <v>해외</v>
      </c>
      <c r="O591" s="12" t="str">
        <f>IF(VLOOKUP($U591,CODE!$K:$P,CODE!P$1,FALSE)="모자",T591,T591&amp;"-"&amp;VLOOKUP($U591,CODE!$K:$P,CODE!P$1,FALSE))</f>
        <v>YGF</v>
      </c>
      <c r="P591" s="11" t="s">
        <v>1102</v>
      </c>
      <c r="R591" s="11">
        <v>64</v>
      </c>
      <c r="T591" s="8" t="s">
        <v>1102</v>
      </c>
      <c r="U591" s="8" t="s">
        <v>50</v>
      </c>
      <c r="V591" s="8" t="s">
        <v>43</v>
      </c>
      <c r="W591" s="8" t="s">
        <v>1731</v>
      </c>
      <c r="X591" s="8" t="s">
        <v>900</v>
      </c>
      <c r="Y591" s="9">
        <v>1</v>
      </c>
      <c r="Z591" s="8" t="s">
        <v>792</v>
      </c>
      <c r="AA591" s="10">
        <v>41703</v>
      </c>
      <c r="AB591" s="10">
        <v>41731</v>
      </c>
      <c r="AC591" s="10">
        <v>41739</v>
      </c>
      <c r="AD591" s="10">
        <v>41736</v>
      </c>
      <c r="AH591" s="8">
        <v>2</v>
      </c>
    </row>
    <row r="592" spans="1:35">
      <c r="A592" s="7">
        <f t="shared" si="174"/>
        <v>1</v>
      </c>
      <c r="B592" s="7" t="str">
        <f t="shared" si="167"/>
        <v>14SS YG PSY_03_FLAT_BK</v>
      </c>
      <c r="C592" s="7">
        <f t="shared" si="175"/>
        <v>1</v>
      </c>
      <c r="D592" s="7" t="str">
        <f t="shared" si="168"/>
        <v>QF14SS YG PSY_03_FLAT_BK</v>
      </c>
      <c r="E592" s="12" t="str">
        <f t="shared" si="169"/>
        <v>201403</v>
      </c>
      <c r="F592" s="347" t="str">
        <f>VLOOKUP($AA592,[3]주!$A:$F,6,FALSE)</f>
        <v>3월 1주</v>
      </c>
      <c r="G592" s="7">
        <f t="shared" si="176"/>
        <v>1</v>
      </c>
      <c r="H592" s="7" t="str">
        <f t="shared" si="170"/>
        <v>14SS YG PSY_03_FLAT_BK</v>
      </c>
      <c r="I592" s="7">
        <f t="shared" si="177"/>
        <v>1</v>
      </c>
      <c r="J592" s="7" t="str">
        <f t="shared" si="171"/>
        <v>QF14SS YG PSY_03_FLAT_BK</v>
      </c>
      <c r="K592" s="17">
        <f t="shared" si="172"/>
        <v>41757</v>
      </c>
      <c r="L592" s="12" t="str">
        <f t="shared" si="173"/>
        <v>201404</v>
      </c>
      <c r="M592" s="347" t="str">
        <f>VLOOKUP($K592,[3]주!$A:$F,6,FALSE)</f>
        <v>3월 2주</v>
      </c>
      <c r="N592" s="273" t="str">
        <f>IF(VLOOKUP($Z592,생산업체!$A:$C,2,FALSE)=1,"해외","국내")</f>
        <v>해외</v>
      </c>
      <c r="O592" s="12" t="str">
        <f>IF(VLOOKUP($U592,CODE!$K:$P,CODE!P$1,FALSE)="모자",T592,T592&amp;"-"&amp;VLOOKUP($U592,CODE!$K:$P,CODE!P$1,FALSE))</f>
        <v>YGF</v>
      </c>
      <c r="P592" s="11" t="s">
        <v>1102</v>
      </c>
      <c r="R592" s="11">
        <v>65</v>
      </c>
      <c r="T592" s="8" t="s">
        <v>1102</v>
      </c>
      <c r="U592" s="8" t="s">
        <v>50</v>
      </c>
      <c r="V592" s="8" t="s">
        <v>43</v>
      </c>
      <c r="W592" s="8" t="s">
        <v>1732</v>
      </c>
      <c r="X592" s="8" t="s">
        <v>900</v>
      </c>
      <c r="Y592" s="9">
        <v>1</v>
      </c>
      <c r="Z592" s="8" t="s">
        <v>792</v>
      </c>
      <c r="AA592" s="10">
        <v>41703</v>
      </c>
      <c r="AB592" s="10">
        <v>41731</v>
      </c>
      <c r="AC592" s="10">
        <v>41739</v>
      </c>
      <c r="AD592" s="10">
        <v>41757</v>
      </c>
      <c r="AH592" s="8">
        <v>2</v>
      </c>
    </row>
    <row r="593" spans="1:34">
      <c r="A593" s="7">
        <f t="shared" si="174"/>
        <v>1</v>
      </c>
      <c r="B593" s="7" t="str">
        <f t="shared" si="167"/>
        <v>14SS YG PSY_04_FLAT_OR</v>
      </c>
      <c r="C593" s="7">
        <f t="shared" si="175"/>
        <v>1</v>
      </c>
      <c r="D593" s="7" t="str">
        <f t="shared" si="168"/>
        <v>J&amp;F14SS YG PSY_04_FLAT_OR</v>
      </c>
      <c r="E593" s="12" t="str">
        <f t="shared" si="169"/>
        <v>201403</v>
      </c>
      <c r="F593" s="347" t="str">
        <f>VLOOKUP($AA593,[3]주!$A:$F,6,FALSE)</f>
        <v>3월 1주</v>
      </c>
      <c r="G593" s="7">
        <f t="shared" si="176"/>
        <v>1</v>
      </c>
      <c r="H593" s="7" t="str">
        <f t="shared" si="170"/>
        <v>14SS YG PSY_04_FLAT_OR</v>
      </c>
      <c r="I593" s="7">
        <f t="shared" si="177"/>
        <v>1</v>
      </c>
      <c r="J593" s="7" t="str">
        <f t="shared" si="171"/>
        <v>J&amp;F14SS YG PSY_04_FLAT_OR</v>
      </c>
      <c r="K593" s="17">
        <f t="shared" si="172"/>
        <v>41730</v>
      </c>
      <c r="L593" s="12" t="str">
        <f t="shared" si="173"/>
        <v>201404</v>
      </c>
      <c r="M593" s="347" t="str">
        <f>VLOOKUP($K593,[3]주!$A:$F,6,FALSE)</f>
        <v>3월 2주</v>
      </c>
      <c r="N593" s="273" t="str">
        <f>IF(VLOOKUP($Z593,생산업체!$A:$C,2,FALSE)=1,"해외","국내")</f>
        <v>해외</v>
      </c>
      <c r="O593" s="12" t="str">
        <f>IF(VLOOKUP($U593,CODE!$K:$P,CODE!P$1,FALSE)="모자",T593,T593&amp;"-"&amp;VLOOKUP($U593,CODE!$K:$P,CODE!P$1,FALSE))</f>
        <v>YGF</v>
      </c>
      <c r="P593" s="11" t="s">
        <v>1102</v>
      </c>
      <c r="R593" s="11">
        <v>66</v>
      </c>
      <c r="T593" s="8" t="s">
        <v>1102</v>
      </c>
      <c r="U593" s="8" t="s">
        <v>50</v>
      </c>
      <c r="V593" s="8" t="s">
        <v>43</v>
      </c>
      <c r="W593" s="8" t="s">
        <v>1733</v>
      </c>
      <c r="X593" s="8" t="s">
        <v>900</v>
      </c>
      <c r="Y593" s="9">
        <v>1</v>
      </c>
      <c r="Z593" s="8" t="s">
        <v>1365</v>
      </c>
      <c r="AA593" s="10">
        <v>41703</v>
      </c>
      <c r="AB593" s="10">
        <v>41731</v>
      </c>
      <c r="AC593" s="10">
        <v>41739</v>
      </c>
      <c r="AD593" s="10">
        <v>41730</v>
      </c>
      <c r="AH593" s="8">
        <v>3</v>
      </c>
    </row>
    <row r="594" spans="1:34">
      <c r="A594" s="7">
        <f t="shared" si="174"/>
        <v>1</v>
      </c>
      <c r="B594" s="7" t="str">
        <f t="shared" si="167"/>
        <v>14SS YG PSY_05_FLAT_NV</v>
      </c>
      <c r="C594" s="7">
        <f t="shared" si="175"/>
        <v>1</v>
      </c>
      <c r="D594" s="7" t="str">
        <f t="shared" si="168"/>
        <v>QF14SS YG PSY_05_FLAT_NV</v>
      </c>
      <c r="E594" s="12" t="str">
        <f t="shared" si="169"/>
        <v>201403</v>
      </c>
      <c r="F594" s="347" t="str">
        <f>VLOOKUP($AA594,[3]주!$A:$F,6,FALSE)</f>
        <v>3월 1주</v>
      </c>
      <c r="G594" s="7">
        <f t="shared" si="176"/>
        <v>1</v>
      </c>
      <c r="H594" s="7" t="str">
        <f t="shared" si="170"/>
        <v>14SS YG PSY_05_FLAT_NV</v>
      </c>
      <c r="I594" s="7">
        <f t="shared" si="177"/>
        <v>1</v>
      </c>
      <c r="J594" s="7" t="str">
        <f t="shared" si="171"/>
        <v>QF14SS YG PSY_05_FLAT_NV</v>
      </c>
      <c r="K594" s="17">
        <f t="shared" si="172"/>
        <v>41757</v>
      </c>
      <c r="L594" s="12" t="str">
        <f t="shared" si="173"/>
        <v>201404</v>
      </c>
      <c r="M594" s="347" t="str">
        <f>VLOOKUP($K594,[3]주!$A:$F,6,FALSE)</f>
        <v>3월 2주</v>
      </c>
      <c r="N594" s="273" t="str">
        <f>IF(VLOOKUP($Z594,생산업체!$A:$C,2,FALSE)=1,"해외","국내")</f>
        <v>해외</v>
      </c>
      <c r="O594" s="12" t="str">
        <f>IF(VLOOKUP($U594,CODE!$K:$P,CODE!P$1,FALSE)="모자",T594,T594&amp;"-"&amp;VLOOKUP($U594,CODE!$K:$P,CODE!P$1,FALSE))</f>
        <v>YGF</v>
      </c>
      <c r="P594" s="11" t="s">
        <v>1102</v>
      </c>
      <c r="R594" s="11">
        <v>67</v>
      </c>
      <c r="T594" s="8" t="s">
        <v>1102</v>
      </c>
      <c r="U594" s="8" t="s">
        <v>50</v>
      </c>
      <c r="V594" s="8" t="s">
        <v>43</v>
      </c>
      <c r="W594" s="8" t="s">
        <v>1734</v>
      </c>
      <c r="X594" s="8" t="s">
        <v>900</v>
      </c>
      <c r="Y594" s="9">
        <v>1</v>
      </c>
      <c r="Z594" s="8" t="s">
        <v>792</v>
      </c>
      <c r="AA594" s="10">
        <v>41703</v>
      </c>
      <c r="AB594" s="10">
        <v>41731</v>
      </c>
      <c r="AC594" s="10">
        <v>41739</v>
      </c>
      <c r="AD594" s="10">
        <v>41757</v>
      </c>
      <c r="AH594" s="8">
        <v>3</v>
      </c>
    </row>
    <row r="595" spans="1:34">
      <c r="A595" s="7">
        <f t="shared" si="174"/>
        <v>1</v>
      </c>
      <c r="B595" s="7" t="str">
        <f t="shared" si="167"/>
        <v>14SS YG PSY_06_FLAT_BK</v>
      </c>
      <c r="C595" s="7">
        <f t="shared" si="175"/>
        <v>1</v>
      </c>
      <c r="D595" s="7" t="str">
        <f t="shared" si="168"/>
        <v>QF14SS YG PSY_06_FLAT_BK</v>
      </c>
      <c r="E595" s="12" t="str">
        <f t="shared" si="169"/>
        <v>201403</v>
      </c>
      <c r="F595" s="347" t="str">
        <f>VLOOKUP($AA595,[3]주!$A:$F,6,FALSE)</f>
        <v>3월 1주</v>
      </c>
      <c r="G595" s="7">
        <f t="shared" si="176"/>
        <v>1</v>
      </c>
      <c r="H595" s="7" t="str">
        <f t="shared" si="170"/>
        <v>14SS YG PSY_06_FLAT_BK</v>
      </c>
      <c r="I595" s="7">
        <f t="shared" si="177"/>
        <v>1</v>
      </c>
      <c r="J595" s="7" t="str">
        <f t="shared" si="171"/>
        <v>QF14SS YG PSY_06_FLAT_BK</v>
      </c>
      <c r="K595" s="17">
        <f t="shared" si="172"/>
        <v>41747</v>
      </c>
      <c r="L595" s="12" t="str">
        <f t="shared" si="173"/>
        <v>201404</v>
      </c>
      <c r="M595" s="347" t="str">
        <f>VLOOKUP($K595,[3]주!$A:$F,6,FALSE)</f>
        <v>3월 2주</v>
      </c>
      <c r="N595" s="273" t="str">
        <f>IF(VLOOKUP($Z595,생산업체!$A:$C,2,FALSE)=1,"해외","국내")</f>
        <v>해외</v>
      </c>
      <c r="O595" s="12" t="str">
        <f>IF(VLOOKUP($U595,CODE!$K:$P,CODE!P$1,FALSE)="모자",T595,T595&amp;"-"&amp;VLOOKUP($U595,CODE!$K:$P,CODE!P$1,FALSE))</f>
        <v>YGF</v>
      </c>
      <c r="P595" s="11" t="s">
        <v>1102</v>
      </c>
      <c r="R595" s="11">
        <v>68</v>
      </c>
      <c r="T595" s="8" t="s">
        <v>1102</v>
      </c>
      <c r="U595" s="8" t="s">
        <v>50</v>
      </c>
      <c r="V595" s="8" t="s">
        <v>43</v>
      </c>
      <c r="W595" s="8" t="s">
        <v>1735</v>
      </c>
      <c r="X595" s="8" t="s">
        <v>900</v>
      </c>
      <c r="Y595" s="9">
        <v>1</v>
      </c>
      <c r="Z595" s="8" t="s">
        <v>792</v>
      </c>
      <c r="AA595" s="10">
        <v>41703</v>
      </c>
      <c r="AB595" s="10">
        <v>41731</v>
      </c>
      <c r="AC595" s="10">
        <v>41739</v>
      </c>
      <c r="AD595" s="10">
        <v>41747</v>
      </c>
      <c r="AH595" s="8">
        <v>3</v>
      </c>
    </row>
    <row r="596" spans="1:34">
      <c r="A596" s="7">
        <f t="shared" si="174"/>
        <v>1</v>
      </c>
      <c r="B596" s="7" t="str">
        <f t="shared" ref="B596:B642" si="178">IF(AA596="","",W596)</f>
        <v>14FW_URBAN SWAGGER_25_FLAT_GN</v>
      </c>
      <c r="C596" s="7">
        <f t="shared" si="175"/>
        <v>1</v>
      </c>
      <c r="D596" s="7" t="str">
        <f t="shared" ref="D596:D642" si="179">IF(AA596="","",Z596&amp;W596)</f>
        <v>QF14FW_URBAN SWAGGER_25_FLAT_GN</v>
      </c>
      <c r="E596" s="12" t="str">
        <f t="shared" ref="E596:E642" si="180">IF(YEAR(AA596)&lt;10,0&amp;YEAR(AA596),YEAR(AA596))&amp;IF(MONTH(AA596)&lt;10,0&amp;MONTH(AA596),MONTH(AA596))</f>
        <v>201404</v>
      </c>
      <c r="F596" s="347" t="str">
        <f>VLOOKUP($AA596,[3]주!$A:$F,6,FALSE)</f>
        <v>3월 2주</v>
      </c>
      <c r="G596" s="7">
        <f t="shared" si="176"/>
        <v>0</v>
      </c>
      <c r="H596" s="7" t="str">
        <f t="shared" ref="H596:H642" si="181">IF(AD596="","",W596)</f>
        <v/>
      </c>
      <c r="I596" s="7">
        <f t="shared" si="177"/>
        <v>0</v>
      </c>
      <c r="J596" s="7" t="str">
        <f t="shared" ref="J596:J642" si="182">IF(AD596="","",Z596&amp;W596)</f>
        <v/>
      </c>
      <c r="K596" s="17">
        <f t="shared" ref="K596:K642" si="183">IF(AD596="",AC596,AD596)</f>
        <v>41779</v>
      </c>
      <c r="L596" s="12" t="str">
        <f t="shared" ref="L596:L642" si="184">IF(YEAR(K596)&lt;10,0&amp;YEAR(K596),YEAR(K596))&amp;IF(MONTH(K596)&lt;10,0&amp;MONTH(K596),MONTH(K596))</f>
        <v>201405</v>
      </c>
      <c r="M596" s="347" t="str">
        <f>VLOOKUP($K596,[3]주!$A:$F,6,FALSE)</f>
        <v>3월 2주</v>
      </c>
      <c r="N596" s="273" t="str">
        <f>IF(VLOOKUP($Z596,생산업체!$A:$C,2,FALSE)=1,"해외","국내")</f>
        <v>해외</v>
      </c>
      <c r="O596" s="12" t="str">
        <f>IF(VLOOKUP($U596,CODE!$K:$P,CODE!P$1,FALSE)="모자",T596,T596&amp;"-"&amp;VLOOKUP($U596,CODE!$K:$P,CODE!P$1,FALSE))</f>
        <v>URB</v>
      </c>
      <c r="P596" s="11" t="s">
        <v>1101</v>
      </c>
      <c r="R596" s="11">
        <v>69</v>
      </c>
      <c r="T596" s="8" t="s">
        <v>1101</v>
      </c>
      <c r="U596" s="8" t="s">
        <v>2116</v>
      </c>
      <c r="V596" s="8" t="s">
        <v>43</v>
      </c>
      <c r="W596" s="8" t="s">
        <v>2210</v>
      </c>
      <c r="X596" s="8" t="s">
        <v>900</v>
      </c>
      <c r="Y596" s="9">
        <v>1</v>
      </c>
      <c r="Z596" s="8" t="s">
        <v>792</v>
      </c>
      <c r="AA596" s="10">
        <v>41737</v>
      </c>
      <c r="AB596" s="10">
        <v>41765</v>
      </c>
      <c r="AC596" s="10">
        <v>41779</v>
      </c>
    </row>
    <row r="597" spans="1:34">
      <c r="A597" s="7">
        <f t="shared" si="174"/>
        <v>1</v>
      </c>
      <c r="B597" s="7" t="str">
        <f t="shared" si="178"/>
        <v>14FW_URBAN SWAGGER_26_FLAT_BK</v>
      </c>
      <c r="C597" s="7">
        <f t="shared" si="175"/>
        <v>1</v>
      </c>
      <c r="D597" s="7" t="str">
        <f t="shared" si="179"/>
        <v>QF14FW_URBAN SWAGGER_26_FLAT_BK</v>
      </c>
      <c r="E597" s="12" t="str">
        <f t="shared" si="180"/>
        <v>201404</v>
      </c>
      <c r="F597" s="347" t="str">
        <f>VLOOKUP($AA597,[3]주!$A:$F,6,FALSE)</f>
        <v>3월 2주</v>
      </c>
      <c r="G597" s="7">
        <f t="shared" si="176"/>
        <v>1</v>
      </c>
      <c r="H597" s="7" t="str">
        <f t="shared" si="181"/>
        <v>14FW_URBAN SWAGGER_26_FLAT_BK</v>
      </c>
      <c r="I597" s="7">
        <f t="shared" si="177"/>
        <v>1</v>
      </c>
      <c r="J597" s="7" t="str">
        <f t="shared" si="182"/>
        <v>QF14FW_URBAN SWAGGER_26_FLAT_BK</v>
      </c>
      <c r="K597" s="17">
        <f t="shared" si="183"/>
        <v>41774</v>
      </c>
      <c r="L597" s="12" t="str">
        <f t="shared" si="184"/>
        <v>201405</v>
      </c>
      <c r="M597" s="347" t="str">
        <f>VLOOKUP($K597,[3]주!$A:$F,6,FALSE)</f>
        <v>3월 2주</v>
      </c>
      <c r="N597" s="273" t="str">
        <f>IF(VLOOKUP($Z597,생산업체!$A:$C,2,FALSE)=1,"해외","국내")</f>
        <v>해외</v>
      </c>
      <c r="O597" s="12" t="str">
        <f>IF(VLOOKUP($U597,CODE!$K:$P,CODE!P$1,FALSE)="모자",T597,T597&amp;"-"&amp;VLOOKUP($U597,CODE!$K:$P,CODE!P$1,FALSE))</f>
        <v>URB</v>
      </c>
      <c r="P597" s="11" t="s">
        <v>1101</v>
      </c>
      <c r="R597" s="11">
        <v>70</v>
      </c>
      <c r="T597" s="8" t="s">
        <v>1101</v>
      </c>
      <c r="U597" s="8" t="s">
        <v>2116</v>
      </c>
      <c r="V597" s="8" t="s">
        <v>43</v>
      </c>
      <c r="W597" s="8" t="s">
        <v>2211</v>
      </c>
      <c r="X597" s="8" t="s">
        <v>900</v>
      </c>
      <c r="Y597" s="9">
        <v>1</v>
      </c>
      <c r="Z597" s="8" t="s">
        <v>792</v>
      </c>
      <c r="AA597" s="10">
        <v>41737</v>
      </c>
      <c r="AB597" s="10">
        <v>41765</v>
      </c>
      <c r="AC597" s="10">
        <v>41779</v>
      </c>
      <c r="AD597" s="10">
        <v>41774</v>
      </c>
    </row>
    <row r="598" spans="1:34">
      <c r="A598" s="7">
        <f t="shared" si="174"/>
        <v>1</v>
      </c>
      <c r="B598" s="7" t="str">
        <f t="shared" si="178"/>
        <v>14FW_URBAN SWAGGER_27_FLAT_BK</v>
      </c>
      <c r="C598" s="7">
        <f t="shared" si="175"/>
        <v>1</v>
      </c>
      <c r="D598" s="7" t="str">
        <f t="shared" si="179"/>
        <v>QF14FW_URBAN SWAGGER_27_FLAT_BK</v>
      </c>
      <c r="E598" s="12" t="str">
        <f t="shared" si="180"/>
        <v>201404</v>
      </c>
      <c r="F598" s="347" t="str">
        <f>VLOOKUP($AA598,[3]주!$A:$F,6,FALSE)</f>
        <v>3월 2주</v>
      </c>
      <c r="G598" s="7">
        <f t="shared" si="176"/>
        <v>1</v>
      </c>
      <c r="H598" s="7" t="str">
        <f t="shared" si="181"/>
        <v>14FW_URBAN SWAGGER_27_FLAT_BK</v>
      </c>
      <c r="I598" s="7">
        <f t="shared" si="177"/>
        <v>1</v>
      </c>
      <c r="J598" s="7" t="str">
        <f t="shared" si="182"/>
        <v>QF14FW_URBAN SWAGGER_27_FLAT_BK</v>
      </c>
      <c r="K598" s="17">
        <f>IF(AD598="",AC598,AD598)</f>
        <v>41767</v>
      </c>
      <c r="L598" s="12" t="str">
        <f>IF(YEAR(K598)&lt;10,0&amp;YEAR(K598),YEAR(K598))&amp;IF(MONTH(K598)&lt;10,0&amp;MONTH(K598),MONTH(K598))</f>
        <v>201405</v>
      </c>
      <c r="M598" s="347" t="str">
        <f>VLOOKUP($K598,[3]주!$A:$F,6,FALSE)</f>
        <v>3월 2주</v>
      </c>
      <c r="N598" s="273" t="str">
        <f>IF(VLOOKUP($Z598,생산업체!$A:$C,2,FALSE)=1,"해외","국내")</f>
        <v>해외</v>
      </c>
      <c r="O598" s="12" t="str">
        <f>IF(VLOOKUP($U598,CODE!$K:$P,CODE!P$1,FALSE)="모자",T598,T598&amp;"-"&amp;VLOOKUP($U598,CODE!$K:$P,CODE!P$1,FALSE))</f>
        <v>URB</v>
      </c>
      <c r="P598" s="11" t="s">
        <v>1101</v>
      </c>
      <c r="R598" s="11">
        <v>71</v>
      </c>
      <c r="T598" s="8" t="s">
        <v>1101</v>
      </c>
      <c r="U598" s="8" t="s">
        <v>2116</v>
      </c>
      <c r="V598" s="8" t="s">
        <v>43</v>
      </c>
      <c r="W598" s="8" t="s">
        <v>2212</v>
      </c>
      <c r="X598" s="8" t="s">
        <v>900</v>
      </c>
      <c r="Y598" s="9">
        <v>1</v>
      </c>
      <c r="Z598" s="8" t="s">
        <v>792</v>
      </c>
      <c r="AA598" s="10">
        <v>41737</v>
      </c>
      <c r="AB598" s="10">
        <v>41765</v>
      </c>
      <c r="AC598" s="10">
        <v>41779</v>
      </c>
      <c r="AD598" s="10">
        <v>41767</v>
      </c>
    </row>
    <row r="599" spans="1:34">
      <c r="A599" s="7">
        <f t="shared" si="174"/>
        <v>1</v>
      </c>
      <c r="B599" s="7" t="str">
        <f t="shared" si="178"/>
        <v>14FW_URBAN SWAGGER_28_FLAT_BK</v>
      </c>
      <c r="C599" s="7">
        <f t="shared" si="175"/>
        <v>1</v>
      </c>
      <c r="D599" s="7" t="str">
        <f t="shared" si="179"/>
        <v>QF14FW_URBAN SWAGGER_28_FLAT_BK</v>
      </c>
      <c r="E599" s="12" t="str">
        <f t="shared" si="180"/>
        <v>201404</v>
      </c>
      <c r="F599" s="347" t="str">
        <f>VLOOKUP($AA599,[3]주!$A:$F,6,FALSE)</f>
        <v>3월 2주</v>
      </c>
      <c r="G599" s="7">
        <f t="shared" si="176"/>
        <v>0</v>
      </c>
      <c r="H599" s="7" t="str">
        <f t="shared" si="181"/>
        <v/>
      </c>
      <c r="I599" s="7">
        <f t="shared" si="177"/>
        <v>0</v>
      </c>
      <c r="J599" s="7" t="str">
        <f t="shared" si="182"/>
        <v/>
      </c>
      <c r="K599" s="17">
        <f t="shared" si="183"/>
        <v>41779</v>
      </c>
      <c r="L599" s="12" t="str">
        <f t="shared" si="184"/>
        <v>201405</v>
      </c>
      <c r="M599" s="347" t="str">
        <f>VLOOKUP($K599,[3]주!$A:$F,6,FALSE)</f>
        <v>3월 2주</v>
      </c>
      <c r="N599" s="273" t="str">
        <f>IF(VLOOKUP($Z599,생산업체!$A:$C,2,FALSE)=1,"해외","국내")</f>
        <v>해외</v>
      </c>
      <c r="O599" s="12" t="str">
        <f>IF(VLOOKUP($U599,CODE!$K:$P,CODE!P$1,FALSE)="모자",T599,T599&amp;"-"&amp;VLOOKUP($U599,CODE!$K:$P,CODE!P$1,FALSE))</f>
        <v>URB</v>
      </c>
      <c r="P599" s="11" t="s">
        <v>1101</v>
      </c>
      <c r="R599" s="11">
        <v>72</v>
      </c>
      <c r="T599" s="8" t="s">
        <v>1101</v>
      </c>
      <c r="U599" s="8" t="s">
        <v>2116</v>
      </c>
      <c r="V599" s="8" t="s">
        <v>43</v>
      </c>
      <c r="W599" s="8" t="s">
        <v>2213</v>
      </c>
      <c r="X599" s="8" t="s">
        <v>900</v>
      </c>
      <c r="Y599" s="9">
        <v>1</v>
      </c>
      <c r="Z599" s="8" t="s">
        <v>792</v>
      </c>
      <c r="AA599" s="10">
        <v>41737</v>
      </c>
      <c r="AB599" s="10">
        <v>41765</v>
      </c>
      <c r="AC599" s="10">
        <v>41779</v>
      </c>
    </row>
    <row r="600" spans="1:34">
      <c r="A600" s="7">
        <f t="shared" si="174"/>
        <v>1</v>
      </c>
      <c r="B600" s="7" t="str">
        <f t="shared" si="178"/>
        <v>14FW_URBAN SWAGGER_29_FLAT_KH</v>
      </c>
      <c r="C600" s="7">
        <f t="shared" si="175"/>
        <v>1</v>
      </c>
      <c r="D600" s="7" t="str">
        <f t="shared" si="179"/>
        <v>QF14FW_URBAN SWAGGER_29_FLAT_KH</v>
      </c>
      <c r="E600" s="12" t="str">
        <f t="shared" si="180"/>
        <v>201404</v>
      </c>
      <c r="F600" s="347" t="str">
        <f>VLOOKUP($AA600,[3]주!$A:$F,6,FALSE)</f>
        <v>3월 2주</v>
      </c>
      <c r="G600" s="7">
        <f t="shared" si="176"/>
        <v>1</v>
      </c>
      <c r="H600" s="7" t="str">
        <f t="shared" si="181"/>
        <v>14FW_URBAN SWAGGER_29_FLAT_KH</v>
      </c>
      <c r="I600" s="7">
        <f t="shared" si="177"/>
        <v>1</v>
      </c>
      <c r="J600" s="7" t="str">
        <f t="shared" si="182"/>
        <v>QF14FW_URBAN SWAGGER_29_FLAT_KH</v>
      </c>
      <c r="K600" s="17">
        <f t="shared" si="183"/>
        <v>41767</v>
      </c>
      <c r="L600" s="12" t="str">
        <f t="shared" si="184"/>
        <v>201405</v>
      </c>
      <c r="M600" s="347" t="str">
        <f>VLOOKUP($K600,[3]주!$A:$F,6,FALSE)</f>
        <v>3월 2주</v>
      </c>
      <c r="N600" s="273" t="str">
        <f>IF(VLOOKUP($Z600,생산업체!$A:$C,2,FALSE)=1,"해외","국내")</f>
        <v>해외</v>
      </c>
      <c r="O600" s="12" t="str">
        <f>IF(VLOOKUP($U600,CODE!$K:$P,CODE!P$1,FALSE)="모자",T600,T600&amp;"-"&amp;VLOOKUP($U600,CODE!$K:$P,CODE!P$1,FALSE))</f>
        <v>URB</v>
      </c>
      <c r="P600" s="11" t="s">
        <v>1101</v>
      </c>
      <c r="R600" s="11">
        <v>73</v>
      </c>
      <c r="T600" s="8" t="s">
        <v>1101</v>
      </c>
      <c r="U600" s="8" t="s">
        <v>2116</v>
      </c>
      <c r="V600" s="8" t="s">
        <v>43</v>
      </c>
      <c r="W600" s="8" t="s">
        <v>2214</v>
      </c>
      <c r="X600" s="8" t="s">
        <v>900</v>
      </c>
      <c r="Y600" s="9">
        <v>1</v>
      </c>
      <c r="Z600" s="8" t="s">
        <v>792</v>
      </c>
      <c r="AA600" s="10">
        <v>41737</v>
      </c>
      <c r="AB600" s="10">
        <v>41765</v>
      </c>
      <c r="AC600" s="10">
        <v>41779</v>
      </c>
      <c r="AD600" s="10">
        <v>41767</v>
      </c>
    </row>
    <row r="601" spans="1:34">
      <c r="A601" s="7">
        <f t="shared" si="174"/>
        <v>1</v>
      </c>
      <c r="B601" s="7" t="str">
        <f t="shared" si="178"/>
        <v>14FW_URBAN SWAGGER_30_FLAT_BK</v>
      </c>
      <c r="C601" s="7">
        <f t="shared" si="175"/>
        <v>1</v>
      </c>
      <c r="D601" s="7" t="str">
        <f t="shared" si="179"/>
        <v>QF14FW_URBAN SWAGGER_30_FLAT_BK</v>
      </c>
      <c r="E601" s="12" t="str">
        <f t="shared" si="180"/>
        <v>201404</v>
      </c>
      <c r="F601" s="347" t="str">
        <f>VLOOKUP($AA601,[3]주!$A:$F,6,FALSE)</f>
        <v>3월 2주</v>
      </c>
      <c r="G601" s="7">
        <f t="shared" si="176"/>
        <v>0</v>
      </c>
      <c r="H601" s="7" t="str">
        <f t="shared" si="181"/>
        <v/>
      </c>
      <c r="I601" s="7">
        <f t="shared" si="177"/>
        <v>0</v>
      </c>
      <c r="J601" s="7" t="str">
        <f t="shared" si="182"/>
        <v/>
      </c>
      <c r="K601" s="17">
        <f t="shared" si="183"/>
        <v>41779</v>
      </c>
      <c r="L601" s="12" t="str">
        <f t="shared" si="184"/>
        <v>201405</v>
      </c>
      <c r="M601" s="347" t="str">
        <f>VLOOKUP($K601,[3]주!$A:$F,6,FALSE)</f>
        <v>3월 2주</v>
      </c>
      <c r="N601" s="273" t="str">
        <f>IF(VLOOKUP($Z601,생산업체!$A:$C,2,FALSE)=1,"해외","국내")</f>
        <v>해외</v>
      </c>
      <c r="O601" s="12" t="str">
        <f>IF(VLOOKUP($U601,CODE!$K:$P,CODE!P$1,FALSE)="모자",T601,T601&amp;"-"&amp;VLOOKUP($U601,CODE!$K:$P,CODE!P$1,FALSE))</f>
        <v>URB</v>
      </c>
      <c r="P601" s="11" t="s">
        <v>1101</v>
      </c>
      <c r="R601" s="11">
        <v>74</v>
      </c>
      <c r="T601" s="8" t="s">
        <v>1101</v>
      </c>
      <c r="U601" s="8" t="s">
        <v>2116</v>
      </c>
      <c r="V601" s="8" t="s">
        <v>43</v>
      </c>
      <c r="W601" s="8" t="s">
        <v>2215</v>
      </c>
      <c r="X601" s="8" t="s">
        <v>900</v>
      </c>
      <c r="Y601" s="9">
        <v>1</v>
      </c>
      <c r="Z601" s="8" t="s">
        <v>792</v>
      </c>
      <c r="AA601" s="10">
        <v>41737</v>
      </c>
      <c r="AB601" s="10">
        <v>41765</v>
      </c>
      <c r="AC601" s="10">
        <v>41779</v>
      </c>
    </row>
    <row r="602" spans="1:34">
      <c r="A602" s="7">
        <f t="shared" si="174"/>
        <v>1</v>
      </c>
      <c r="B602" s="7" t="str">
        <f t="shared" si="178"/>
        <v>14FW_URBAN SWAGGER_31_FLAT_BK</v>
      </c>
      <c r="C602" s="7">
        <f t="shared" si="175"/>
        <v>1</v>
      </c>
      <c r="D602" s="7" t="str">
        <f t="shared" si="179"/>
        <v>QF14FW_URBAN SWAGGER_31_FLAT_BK</v>
      </c>
      <c r="E602" s="12" t="str">
        <f t="shared" si="180"/>
        <v>201404</v>
      </c>
      <c r="F602" s="347" t="str">
        <f>VLOOKUP($AA602,[3]주!$A:$F,6,FALSE)</f>
        <v>3월 2주</v>
      </c>
      <c r="G602" s="7">
        <f t="shared" si="176"/>
        <v>0</v>
      </c>
      <c r="H602" s="7" t="str">
        <f t="shared" si="181"/>
        <v/>
      </c>
      <c r="I602" s="7">
        <f t="shared" si="177"/>
        <v>0</v>
      </c>
      <c r="J602" s="7" t="str">
        <f t="shared" si="182"/>
        <v/>
      </c>
      <c r="K602" s="17">
        <f t="shared" si="183"/>
        <v>41779</v>
      </c>
      <c r="L602" s="12" t="str">
        <f t="shared" si="184"/>
        <v>201405</v>
      </c>
      <c r="M602" s="347" t="str">
        <f>VLOOKUP($K602,[3]주!$A:$F,6,FALSE)</f>
        <v>3월 2주</v>
      </c>
      <c r="N602" s="273" t="str">
        <f>IF(VLOOKUP($Z602,생산업체!$A:$C,2,FALSE)=1,"해외","국내")</f>
        <v>해외</v>
      </c>
      <c r="O602" s="12" t="str">
        <f>IF(VLOOKUP($U602,CODE!$K:$P,CODE!P$1,FALSE)="모자",T602,T602&amp;"-"&amp;VLOOKUP($U602,CODE!$K:$P,CODE!P$1,FALSE))</f>
        <v>URB</v>
      </c>
      <c r="P602" s="11" t="s">
        <v>1101</v>
      </c>
      <c r="R602" s="11">
        <v>75</v>
      </c>
      <c r="T602" s="8" t="s">
        <v>1101</v>
      </c>
      <c r="U602" s="8" t="s">
        <v>2116</v>
      </c>
      <c r="V602" s="8" t="s">
        <v>43</v>
      </c>
      <c r="W602" s="8" t="s">
        <v>2216</v>
      </c>
      <c r="X602" s="8" t="s">
        <v>900</v>
      </c>
      <c r="Y602" s="9">
        <v>1</v>
      </c>
      <c r="Z602" s="8" t="s">
        <v>792</v>
      </c>
      <c r="AA602" s="10">
        <v>41737</v>
      </c>
      <c r="AB602" s="10">
        <v>41765</v>
      </c>
      <c r="AC602" s="10">
        <v>41779</v>
      </c>
    </row>
    <row r="603" spans="1:34">
      <c r="A603" s="7">
        <f t="shared" si="174"/>
        <v>1</v>
      </c>
      <c r="B603" s="7" t="str">
        <f t="shared" si="178"/>
        <v>14FW_URBAN SWAGGER_34_FLAT_BK</v>
      </c>
      <c r="C603" s="7">
        <f t="shared" si="175"/>
        <v>1</v>
      </c>
      <c r="D603" s="7" t="str">
        <f t="shared" si="179"/>
        <v>QF14FW_URBAN SWAGGER_34_FLAT_BK</v>
      </c>
      <c r="E603" s="12" t="str">
        <f t="shared" si="180"/>
        <v>201404</v>
      </c>
      <c r="F603" s="347" t="str">
        <f>VLOOKUP($AA603,[3]주!$A:$F,6,FALSE)</f>
        <v>3월 2주</v>
      </c>
      <c r="G603" s="7">
        <f t="shared" si="176"/>
        <v>0</v>
      </c>
      <c r="H603" s="7" t="str">
        <f t="shared" si="181"/>
        <v/>
      </c>
      <c r="I603" s="7">
        <f t="shared" si="177"/>
        <v>0</v>
      </c>
      <c r="J603" s="7" t="str">
        <f t="shared" si="182"/>
        <v/>
      </c>
      <c r="K603" s="17">
        <f t="shared" si="183"/>
        <v>41779</v>
      </c>
      <c r="L603" s="12" t="str">
        <f t="shared" si="184"/>
        <v>201405</v>
      </c>
      <c r="M603" s="347" t="str">
        <f>VLOOKUP($K603,[3]주!$A:$F,6,FALSE)</f>
        <v>3월 2주</v>
      </c>
      <c r="N603" s="273" t="str">
        <f>IF(VLOOKUP($Z603,생산업체!$A:$C,2,FALSE)=1,"해외","국내")</f>
        <v>해외</v>
      </c>
      <c r="O603" s="12" t="str">
        <f>IF(VLOOKUP($U603,CODE!$K:$P,CODE!P$1,FALSE)="모자",T603,T603&amp;"-"&amp;VLOOKUP($U603,CODE!$K:$P,CODE!P$1,FALSE))</f>
        <v>URB</v>
      </c>
      <c r="P603" s="11" t="s">
        <v>1101</v>
      </c>
      <c r="R603" s="11">
        <v>76</v>
      </c>
      <c r="T603" s="8" t="s">
        <v>1101</v>
      </c>
      <c r="U603" s="8" t="s">
        <v>2116</v>
      </c>
      <c r="V603" s="8" t="s">
        <v>43</v>
      </c>
      <c r="W603" s="8" t="s">
        <v>2217</v>
      </c>
      <c r="X603" s="8" t="s">
        <v>900</v>
      </c>
      <c r="Y603" s="9">
        <v>1</v>
      </c>
      <c r="Z603" s="8" t="s">
        <v>792</v>
      </c>
      <c r="AA603" s="10">
        <v>41737</v>
      </c>
      <c r="AB603" s="10">
        <v>41765</v>
      </c>
      <c r="AC603" s="10">
        <v>41779</v>
      </c>
    </row>
    <row r="604" spans="1:34">
      <c r="A604" s="7">
        <f t="shared" si="174"/>
        <v>1</v>
      </c>
      <c r="B604" s="7" t="str">
        <f t="shared" si="178"/>
        <v>14FW_URBAN SWAGGER_35_FLAT_RD</v>
      </c>
      <c r="C604" s="7">
        <f t="shared" si="175"/>
        <v>1</v>
      </c>
      <c r="D604" s="7" t="str">
        <f t="shared" si="179"/>
        <v>QF14FW_URBAN SWAGGER_35_FLAT_RD</v>
      </c>
      <c r="E604" s="12" t="str">
        <f t="shared" si="180"/>
        <v>201404</v>
      </c>
      <c r="F604" s="347" t="str">
        <f>VLOOKUP($AA604,[3]주!$A:$F,6,FALSE)</f>
        <v>3월 2주</v>
      </c>
      <c r="G604" s="7">
        <f t="shared" si="176"/>
        <v>1</v>
      </c>
      <c r="H604" s="7" t="str">
        <f t="shared" si="181"/>
        <v>14FW_URBAN SWAGGER_35_FLAT_RD</v>
      </c>
      <c r="I604" s="7">
        <f t="shared" si="177"/>
        <v>1</v>
      </c>
      <c r="J604" s="7" t="str">
        <f t="shared" si="182"/>
        <v>QF14FW_URBAN SWAGGER_35_FLAT_RD</v>
      </c>
      <c r="K604" s="17">
        <f t="shared" si="183"/>
        <v>41774</v>
      </c>
      <c r="L604" s="12" t="str">
        <f t="shared" si="184"/>
        <v>201405</v>
      </c>
      <c r="M604" s="347" t="str">
        <f>VLOOKUP($K604,[3]주!$A:$F,6,FALSE)</f>
        <v>3월 2주</v>
      </c>
      <c r="N604" s="273" t="str">
        <f>IF(VLOOKUP($Z604,생산업체!$A:$C,2,FALSE)=1,"해외","국내")</f>
        <v>해외</v>
      </c>
      <c r="O604" s="12" t="str">
        <f>IF(VLOOKUP($U604,CODE!$K:$P,CODE!P$1,FALSE)="모자",T604,T604&amp;"-"&amp;VLOOKUP($U604,CODE!$K:$P,CODE!P$1,FALSE))</f>
        <v>URB</v>
      </c>
      <c r="P604" s="11" t="s">
        <v>1101</v>
      </c>
      <c r="R604" s="11">
        <v>77</v>
      </c>
      <c r="T604" s="8" t="s">
        <v>1101</v>
      </c>
      <c r="U604" s="8" t="s">
        <v>2116</v>
      </c>
      <c r="V604" s="8" t="s">
        <v>43</v>
      </c>
      <c r="W604" s="8" t="s">
        <v>2218</v>
      </c>
      <c r="X604" s="8" t="s">
        <v>900</v>
      </c>
      <c r="Y604" s="9">
        <v>1</v>
      </c>
      <c r="Z604" s="8" t="s">
        <v>792</v>
      </c>
      <c r="AA604" s="10">
        <v>41737</v>
      </c>
      <c r="AB604" s="10">
        <v>41765</v>
      </c>
      <c r="AC604" s="10">
        <v>41779</v>
      </c>
      <c r="AD604" s="10">
        <v>41774</v>
      </c>
    </row>
    <row r="605" spans="1:34">
      <c r="A605" s="7">
        <f t="shared" si="174"/>
        <v>1</v>
      </c>
      <c r="B605" s="7" t="str">
        <f t="shared" si="178"/>
        <v>14FW_URBAN SWAGGER_36_FLAT_BL</v>
      </c>
      <c r="C605" s="7">
        <f t="shared" si="175"/>
        <v>1</v>
      </c>
      <c r="D605" s="7" t="str">
        <f t="shared" si="179"/>
        <v>QF14FW_URBAN SWAGGER_36_FLAT_BL</v>
      </c>
      <c r="E605" s="12" t="str">
        <f t="shared" si="180"/>
        <v>201404</v>
      </c>
      <c r="F605" s="347" t="str">
        <f>VLOOKUP($AA605,[3]주!$A:$F,6,FALSE)</f>
        <v>3월 2주</v>
      </c>
      <c r="G605" s="7">
        <f t="shared" si="176"/>
        <v>1</v>
      </c>
      <c r="H605" s="7" t="str">
        <f t="shared" si="181"/>
        <v>14FW_URBAN SWAGGER_36_FLAT_BL</v>
      </c>
      <c r="I605" s="7">
        <f t="shared" si="177"/>
        <v>1</v>
      </c>
      <c r="J605" s="7" t="str">
        <f t="shared" si="182"/>
        <v>QF14FW_URBAN SWAGGER_36_FLAT_BL</v>
      </c>
      <c r="K605" s="17">
        <f t="shared" si="183"/>
        <v>41774</v>
      </c>
      <c r="L605" s="12" t="str">
        <f t="shared" si="184"/>
        <v>201405</v>
      </c>
      <c r="M605" s="347" t="str">
        <f>VLOOKUP($K605,[3]주!$A:$F,6,FALSE)</f>
        <v>3월 2주</v>
      </c>
      <c r="N605" s="273" t="str">
        <f>IF(VLOOKUP($Z605,생산업체!$A:$C,2,FALSE)=1,"해외","국내")</f>
        <v>해외</v>
      </c>
      <c r="O605" s="12" t="str">
        <f>IF(VLOOKUP($U605,CODE!$K:$P,CODE!P$1,FALSE)="모자",T605,T605&amp;"-"&amp;VLOOKUP($U605,CODE!$K:$P,CODE!P$1,FALSE))</f>
        <v>URB</v>
      </c>
      <c r="P605" s="11" t="s">
        <v>1101</v>
      </c>
      <c r="R605" s="11">
        <v>78</v>
      </c>
      <c r="T605" s="8" t="s">
        <v>1101</v>
      </c>
      <c r="U605" s="8" t="s">
        <v>2116</v>
      </c>
      <c r="V605" s="8" t="s">
        <v>43</v>
      </c>
      <c r="W605" s="8" t="s">
        <v>2219</v>
      </c>
      <c r="X605" s="8" t="s">
        <v>900</v>
      </c>
      <c r="Y605" s="9">
        <v>1</v>
      </c>
      <c r="Z605" s="8" t="s">
        <v>792</v>
      </c>
      <c r="AA605" s="10">
        <v>41737</v>
      </c>
      <c r="AB605" s="10">
        <v>41765</v>
      </c>
      <c r="AC605" s="10">
        <v>41779</v>
      </c>
      <c r="AD605" s="10">
        <v>41774</v>
      </c>
    </row>
    <row r="606" spans="1:34">
      <c r="A606" s="7">
        <f t="shared" si="174"/>
        <v>1</v>
      </c>
      <c r="B606" s="7" t="str">
        <f t="shared" si="178"/>
        <v>14FW_URBAN SWAGGER_37_FLAT_YE</v>
      </c>
      <c r="C606" s="7">
        <f t="shared" si="175"/>
        <v>1</v>
      </c>
      <c r="D606" s="7" t="str">
        <f t="shared" si="179"/>
        <v>QF14FW_URBAN SWAGGER_37_FLAT_YE</v>
      </c>
      <c r="E606" s="12" t="str">
        <f t="shared" si="180"/>
        <v>201404</v>
      </c>
      <c r="F606" s="347" t="str">
        <f>VLOOKUP($AA606,[3]주!$A:$F,6,FALSE)</f>
        <v>3월 2주</v>
      </c>
      <c r="G606" s="7">
        <f t="shared" si="176"/>
        <v>0</v>
      </c>
      <c r="H606" s="7" t="str">
        <f t="shared" si="181"/>
        <v/>
      </c>
      <c r="I606" s="7">
        <f t="shared" si="177"/>
        <v>0</v>
      </c>
      <c r="J606" s="7" t="str">
        <f t="shared" si="182"/>
        <v/>
      </c>
      <c r="K606" s="17">
        <f t="shared" si="183"/>
        <v>41779</v>
      </c>
      <c r="L606" s="12" t="str">
        <f t="shared" si="184"/>
        <v>201405</v>
      </c>
      <c r="M606" s="347" t="str">
        <f>VLOOKUP($K606,[3]주!$A:$F,6,FALSE)</f>
        <v>3월 2주</v>
      </c>
      <c r="N606" s="273" t="str">
        <f>IF(VLOOKUP($Z606,생산업체!$A:$C,2,FALSE)=1,"해외","국내")</f>
        <v>해외</v>
      </c>
      <c r="O606" s="12" t="str">
        <f>IF(VLOOKUP($U606,CODE!$K:$P,CODE!P$1,FALSE)="모자",T606,T606&amp;"-"&amp;VLOOKUP($U606,CODE!$K:$P,CODE!P$1,FALSE))</f>
        <v>URB</v>
      </c>
      <c r="P606" s="11" t="s">
        <v>1101</v>
      </c>
      <c r="R606" s="11">
        <v>79</v>
      </c>
      <c r="T606" s="8" t="s">
        <v>1101</v>
      </c>
      <c r="U606" s="8" t="s">
        <v>2116</v>
      </c>
      <c r="V606" s="8" t="s">
        <v>43</v>
      </c>
      <c r="W606" s="8" t="s">
        <v>2220</v>
      </c>
      <c r="X606" s="8" t="s">
        <v>900</v>
      </c>
      <c r="Y606" s="9">
        <v>1</v>
      </c>
      <c r="Z606" s="8" t="s">
        <v>792</v>
      </c>
      <c r="AA606" s="10">
        <v>41737</v>
      </c>
      <c r="AB606" s="10">
        <v>41765</v>
      </c>
      <c r="AC606" s="10">
        <v>41779</v>
      </c>
    </row>
    <row r="607" spans="1:34">
      <c r="A607" s="7">
        <f t="shared" si="174"/>
        <v>1</v>
      </c>
      <c r="B607" s="7" t="str">
        <f t="shared" si="178"/>
        <v>14FW_URBAN SWAGGER_38_FLAT_BK</v>
      </c>
      <c r="C607" s="7">
        <f t="shared" si="175"/>
        <v>1</v>
      </c>
      <c r="D607" s="7" t="str">
        <f t="shared" si="179"/>
        <v>QF14FW_URBAN SWAGGER_38_FLAT_BK</v>
      </c>
      <c r="E607" s="12" t="str">
        <f t="shared" si="180"/>
        <v>201404</v>
      </c>
      <c r="F607" s="347" t="str">
        <f>VLOOKUP($AA607,[3]주!$A:$F,6,FALSE)</f>
        <v>3월 2주</v>
      </c>
      <c r="G607" s="7">
        <f t="shared" si="176"/>
        <v>1</v>
      </c>
      <c r="H607" s="7" t="str">
        <f t="shared" si="181"/>
        <v>14FW_URBAN SWAGGER_38_FLAT_BK</v>
      </c>
      <c r="I607" s="7">
        <f t="shared" si="177"/>
        <v>1</v>
      </c>
      <c r="J607" s="7" t="str">
        <f t="shared" si="182"/>
        <v>QF14FW_URBAN SWAGGER_38_FLAT_BK</v>
      </c>
      <c r="K607" s="17">
        <f t="shared" si="183"/>
        <v>41774</v>
      </c>
      <c r="L607" s="12" t="str">
        <f t="shared" si="184"/>
        <v>201405</v>
      </c>
      <c r="M607" s="347" t="str">
        <f>VLOOKUP($K607,[3]주!$A:$F,6,FALSE)</f>
        <v>3월 2주</v>
      </c>
      <c r="N607" s="273" t="str">
        <f>IF(VLOOKUP($Z607,생산업체!$A:$C,2,FALSE)=1,"해외","국내")</f>
        <v>해외</v>
      </c>
      <c r="O607" s="12" t="str">
        <f>IF(VLOOKUP($U607,CODE!$K:$P,CODE!P$1,FALSE)="모자",T607,T607&amp;"-"&amp;VLOOKUP($U607,CODE!$K:$P,CODE!P$1,FALSE))</f>
        <v>URB</v>
      </c>
      <c r="P607" s="11" t="s">
        <v>1101</v>
      </c>
      <c r="R607" s="11">
        <v>80</v>
      </c>
      <c r="T607" s="8" t="s">
        <v>1101</v>
      </c>
      <c r="U607" s="8" t="s">
        <v>2116</v>
      </c>
      <c r="V607" s="8" t="s">
        <v>43</v>
      </c>
      <c r="W607" s="8" t="s">
        <v>2221</v>
      </c>
      <c r="X607" s="8" t="s">
        <v>900</v>
      </c>
      <c r="Y607" s="9">
        <v>1</v>
      </c>
      <c r="Z607" s="8" t="s">
        <v>792</v>
      </c>
      <c r="AA607" s="10">
        <v>41737</v>
      </c>
      <c r="AB607" s="10">
        <v>41765</v>
      </c>
      <c r="AC607" s="10">
        <v>41779</v>
      </c>
      <c r="AD607" s="10">
        <v>41774</v>
      </c>
    </row>
    <row r="608" spans="1:34">
      <c r="A608" s="7">
        <f t="shared" si="174"/>
        <v>1</v>
      </c>
      <c r="B608" s="7" t="str">
        <f t="shared" si="178"/>
        <v>14FW_URBAN SWAGGER_39_FLAT_GY</v>
      </c>
      <c r="C608" s="7">
        <f t="shared" si="175"/>
        <v>1</v>
      </c>
      <c r="D608" s="7" t="str">
        <f t="shared" si="179"/>
        <v>QF14FW_URBAN SWAGGER_39_FLAT_GY</v>
      </c>
      <c r="E608" s="12" t="str">
        <f t="shared" si="180"/>
        <v>201404</v>
      </c>
      <c r="F608" s="347" t="str">
        <f>VLOOKUP($AA608,[3]주!$A:$F,6,FALSE)</f>
        <v>3월 2주</v>
      </c>
      <c r="G608" s="7">
        <f t="shared" si="176"/>
        <v>1</v>
      </c>
      <c r="H608" s="7" t="str">
        <f t="shared" si="181"/>
        <v>14FW_URBAN SWAGGER_39_FLAT_GY</v>
      </c>
      <c r="I608" s="7">
        <f t="shared" si="177"/>
        <v>1</v>
      </c>
      <c r="J608" s="7" t="str">
        <f t="shared" si="182"/>
        <v>QF14FW_URBAN SWAGGER_39_FLAT_GY</v>
      </c>
      <c r="K608" s="17">
        <f t="shared" si="183"/>
        <v>41774</v>
      </c>
      <c r="L608" s="12" t="str">
        <f t="shared" si="184"/>
        <v>201405</v>
      </c>
      <c r="M608" s="347" t="str">
        <f>VLOOKUP($K608,[3]주!$A:$F,6,FALSE)</f>
        <v>3월 2주</v>
      </c>
      <c r="N608" s="273" t="str">
        <f>IF(VLOOKUP($Z608,생산업체!$A:$C,2,FALSE)=1,"해외","국내")</f>
        <v>해외</v>
      </c>
      <c r="O608" s="12" t="str">
        <f>IF(VLOOKUP($U608,CODE!$K:$P,CODE!P$1,FALSE)="모자",T608,T608&amp;"-"&amp;VLOOKUP($U608,CODE!$K:$P,CODE!P$1,FALSE))</f>
        <v>URB</v>
      </c>
      <c r="P608" s="11" t="s">
        <v>1101</v>
      </c>
      <c r="R608" s="11">
        <v>81</v>
      </c>
      <c r="T608" s="8" t="s">
        <v>1101</v>
      </c>
      <c r="U608" s="8" t="s">
        <v>2116</v>
      </c>
      <c r="V608" s="8" t="s">
        <v>43</v>
      </c>
      <c r="W608" s="8" t="s">
        <v>2222</v>
      </c>
      <c r="X608" s="8" t="s">
        <v>900</v>
      </c>
      <c r="Y608" s="9">
        <v>1</v>
      </c>
      <c r="Z608" s="8" t="s">
        <v>792</v>
      </c>
      <c r="AA608" s="10">
        <v>41737</v>
      </c>
      <c r="AB608" s="10">
        <v>41765</v>
      </c>
      <c r="AC608" s="10">
        <v>41779</v>
      </c>
      <c r="AD608" s="10">
        <v>41774</v>
      </c>
    </row>
    <row r="609" spans="1:31">
      <c r="A609" s="7">
        <f t="shared" si="174"/>
        <v>1</v>
      </c>
      <c r="B609" s="7" t="str">
        <f t="shared" si="178"/>
        <v>14FW_URBAN SWAGGER_40_FLAT_MT</v>
      </c>
      <c r="C609" s="7">
        <f t="shared" si="175"/>
        <v>1</v>
      </c>
      <c r="D609" s="7" t="str">
        <f t="shared" si="179"/>
        <v>QF14FW_URBAN SWAGGER_40_FLAT_MT</v>
      </c>
      <c r="E609" s="12" t="str">
        <f t="shared" si="180"/>
        <v>201404</v>
      </c>
      <c r="F609" s="347" t="str">
        <f>VLOOKUP($AA609,[3]주!$A:$F,6,FALSE)</f>
        <v>3월 2주</v>
      </c>
      <c r="G609" s="7">
        <f t="shared" si="176"/>
        <v>0</v>
      </c>
      <c r="H609" s="7" t="str">
        <f t="shared" si="181"/>
        <v/>
      </c>
      <c r="I609" s="7">
        <f t="shared" si="177"/>
        <v>0</v>
      </c>
      <c r="J609" s="7" t="str">
        <f t="shared" si="182"/>
        <v/>
      </c>
      <c r="K609" s="17">
        <f t="shared" si="183"/>
        <v>41779</v>
      </c>
      <c r="L609" s="12" t="str">
        <f t="shared" si="184"/>
        <v>201405</v>
      </c>
      <c r="M609" s="347" t="str">
        <f>VLOOKUP($K609,[3]주!$A:$F,6,FALSE)</f>
        <v>3월 2주</v>
      </c>
      <c r="N609" s="273" t="str">
        <f>IF(VLOOKUP($Z609,생산업체!$A:$C,2,FALSE)=1,"해외","국내")</f>
        <v>해외</v>
      </c>
      <c r="O609" s="12" t="str">
        <f>IF(VLOOKUP($U609,CODE!$K:$P,CODE!P$1,FALSE)="모자",T609,T609&amp;"-"&amp;VLOOKUP($U609,CODE!$K:$P,CODE!P$1,FALSE))</f>
        <v>URB</v>
      </c>
      <c r="P609" s="11" t="s">
        <v>1101</v>
      </c>
      <c r="R609" s="11">
        <v>82</v>
      </c>
      <c r="T609" s="8" t="s">
        <v>1101</v>
      </c>
      <c r="U609" s="8" t="s">
        <v>2116</v>
      </c>
      <c r="V609" s="8" t="s">
        <v>43</v>
      </c>
      <c r="W609" s="8" t="s">
        <v>2223</v>
      </c>
      <c r="X609" s="8" t="s">
        <v>900</v>
      </c>
      <c r="Y609" s="9">
        <v>1</v>
      </c>
      <c r="Z609" s="8" t="s">
        <v>792</v>
      </c>
      <c r="AA609" s="10">
        <v>41737</v>
      </c>
      <c r="AB609" s="10">
        <v>41765</v>
      </c>
      <c r="AC609" s="10">
        <v>41779</v>
      </c>
    </row>
    <row r="610" spans="1:31">
      <c r="A610" s="7">
        <f t="shared" si="174"/>
        <v>1</v>
      </c>
      <c r="B610" s="7" t="str">
        <f t="shared" si="178"/>
        <v>14FW_URBAN SWAGGER_40_FLAT_WH</v>
      </c>
      <c r="C610" s="7">
        <f t="shared" si="175"/>
        <v>1</v>
      </c>
      <c r="D610" s="7" t="str">
        <f t="shared" si="179"/>
        <v>QF14FW_URBAN SWAGGER_40_FLAT_WH</v>
      </c>
      <c r="E610" s="12" t="str">
        <f t="shared" si="180"/>
        <v>201404</v>
      </c>
      <c r="F610" s="347" t="str">
        <f>VLOOKUP($AA610,[3]주!$A:$F,6,FALSE)</f>
        <v>3월 2주</v>
      </c>
      <c r="G610" s="7">
        <f t="shared" si="176"/>
        <v>0</v>
      </c>
      <c r="H610" s="7" t="str">
        <f t="shared" si="181"/>
        <v/>
      </c>
      <c r="I610" s="7">
        <f t="shared" si="177"/>
        <v>0</v>
      </c>
      <c r="J610" s="7" t="str">
        <f t="shared" si="182"/>
        <v/>
      </c>
      <c r="K610" s="17">
        <f t="shared" si="183"/>
        <v>41779</v>
      </c>
      <c r="L610" s="12" t="str">
        <f t="shared" si="184"/>
        <v>201405</v>
      </c>
      <c r="M610" s="347" t="str">
        <f>VLOOKUP($K610,[3]주!$A:$F,6,FALSE)</f>
        <v>3월 2주</v>
      </c>
      <c r="N610" s="273" t="str">
        <f>IF(VLOOKUP($Z610,생산업체!$A:$C,2,FALSE)=1,"해외","국내")</f>
        <v>해외</v>
      </c>
      <c r="O610" s="12" t="str">
        <f>IF(VLOOKUP($U610,CODE!$K:$P,CODE!P$1,FALSE)="모자",T610,T610&amp;"-"&amp;VLOOKUP($U610,CODE!$K:$P,CODE!P$1,FALSE))</f>
        <v>URB</v>
      </c>
      <c r="P610" s="11" t="s">
        <v>1101</v>
      </c>
      <c r="R610" s="11">
        <v>83</v>
      </c>
      <c r="T610" s="8" t="s">
        <v>1101</v>
      </c>
      <c r="U610" s="8" t="s">
        <v>2116</v>
      </c>
      <c r="V610" s="8" t="s">
        <v>43</v>
      </c>
      <c r="W610" s="8" t="s">
        <v>2224</v>
      </c>
      <c r="X610" s="8" t="s">
        <v>900</v>
      </c>
      <c r="Y610" s="9">
        <v>1</v>
      </c>
      <c r="Z610" s="8" t="s">
        <v>792</v>
      </c>
      <c r="AA610" s="10">
        <v>41737</v>
      </c>
      <c r="AB610" s="10">
        <v>41765</v>
      </c>
      <c r="AC610" s="10">
        <v>41779</v>
      </c>
    </row>
    <row r="611" spans="1:31">
      <c r="A611" s="7">
        <f t="shared" si="174"/>
        <v>1</v>
      </c>
      <c r="B611" s="7" t="str">
        <f t="shared" si="178"/>
        <v>14FW_URBAN SWAGGER_29_FLAT_NY</v>
      </c>
      <c r="C611" s="7">
        <f t="shared" si="175"/>
        <v>1</v>
      </c>
      <c r="D611" s="7" t="str">
        <f t="shared" si="179"/>
        <v>캡보이14FW_URBAN SWAGGER_29_FLAT_NY</v>
      </c>
      <c r="E611" s="12" t="str">
        <f t="shared" si="180"/>
        <v>201404</v>
      </c>
      <c r="F611" s="347" t="str">
        <f>VLOOKUP($AA611,[3]주!$A:$F,6,FALSE)</f>
        <v>3월 2주</v>
      </c>
      <c r="G611" s="7">
        <f t="shared" si="176"/>
        <v>0</v>
      </c>
      <c r="H611" s="7" t="str">
        <f t="shared" si="181"/>
        <v/>
      </c>
      <c r="I611" s="7">
        <f t="shared" si="177"/>
        <v>0</v>
      </c>
      <c r="J611" s="7" t="str">
        <f t="shared" si="182"/>
        <v/>
      </c>
      <c r="K611" s="17">
        <f t="shared" si="183"/>
        <v>41779</v>
      </c>
      <c r="L611" s="12" t="str">
        <f t="shared" si="184"/>
        <v>201405</v>
      </c>
      <c r="M611" s="347" t="str">
        <f>VLOOKUP($K611,[3]주!$A:$F,6,FALSE)</f>
        <v>3월 2주</v>
      </c>
      <c r="N611" s="273" t="str">
        <f>IF(VLOOKUP($Z611,생산업체!$A:$C,2,FALSE)=1,"해외","국내")</f>
        <v>국내</v>
      </c>
      <c r="O611" s="12" t="str">
        <f>IF(VLOOKUP($U611,CODE!$K:$P,CODE!P$1,FALSE)="모자",T611,T611&amp;"-"&amp;VLOOKUP($U611,CODE!$K:$P,CODE!P$1,FALSE))</f>
        <v>URB</v>
      </c>
      <c r="P611" s="11" t="s">
        <v>1101</v>
      </c>
      <c r="R611" s="11">
        <v>84</v>
      </c>
      <c r="T611" s="8" t="s">
        <v>1101</v>
      </c>
      <c r="U611" s="8" t="s">
        <v>2116</v>
      </c>
      <c r="V611" s="8" t="s">
        <v>43</v>
      </c>
      <c r="W611" s="8" t="s">
        <v>2225</v>
      </c>
      <c r="X611" s="8" t="s">
        <v>900</v>
      </c>
      <c r="Y611" s="9">
        <v>1</v>
      </c>
      <c r="Z611" s="8" t="s">
        <v>49</v>
      </c>
      <c r="AA611" s="10">
        <v>41737</v>
      </c>
      <c r="AB611" s="10">
        <v>41758</v>
      </c>
      <c r="AC611" s="10">
        <v>41779</v>
      </c>
    </row>
    <row r="612" spans="1:31">
      <c r="A612" s="7">
        <f t="shared" si="174"/>
        <v>1</v>
      </c>
      <c r="B612" s="7" t="str">
        <f t="shared" si="178"/>
        <v>14FW_URBAN SWAGGER_32_KNIT_BK</v>
      </c>
      <c r="C612" s="7">
        <f t="shared" si="175"/>
        <v>1</v>
      </c>
      <c r="D612" s="7" t="str">
        <f t="shared" si="179"/>
        <v>Y&amp;Y14FW_URBAN SWAGGER_32_KNIT_BK</v>
      </c>
      <c r="E612" s="12" t="str">
        <f t="shared" si="180"/>
        <v>201404</v>
      </c>
      <c r="F612" s="347" t="str">
        <f>VLOOKUP($AA612,[3]주!$A:$F,6,FALSE)</f>
        <v>3월 2주</v>
      </c>
      <c r="G612" s="7">
        <f t="shared" si="176"/>
        <v>0</v>
      </c>
      <c r="H612" s="7" t="str">
        <f t="shared" si="181"/>
        <v/>
      </c>
      <c r="I612" s="7">
        <f t="shared" si="177"/>
        <v>0</v>
      </c>
      <c r="J612" s="7" t="str">
        <f t="shared" si="182"/>
        <v/>
      </c>
      <c r="K612" s="17">
        <f t="shared" si="183"/>
        <v>41779</v>
      </c>
      <c r="L612" s="12" t="str">
        <f t="shared" si="184"/>
        <v>201405</v>
      </c>
      <c r="M612" s="347" t="str">
        <f>VLOOKUP($K612,[3]주!$A:$F,6,FALSE)</f>
        <v>3월 2주</v>
      </c>
      <c r="N612" s="273" t="str">
        <f>IF(VLOOKUP($Z612,생산업체!$A:$C,2,FALSE)=1,"해외","국내")</f>
        <v>해외</v>
      </c>
      <c r="O612" s="12" t="str">
        <f>IF(VLOOKUP($U612,CODE!$K:$P,CODE!P$1,FALSE)="모자",T612,T612&amp;"-"&amp;VLOOKUP($U612,CODE!$K:$P,CODE!P$1,FALSE))</f>
        <v>URB</v>
      </c>
      <c r="P612" s="11" t="s">
        <v>1101</v>
      </c>
      <c r="R612" s="11">
        <v>85</v>
      </c>
      <c r="T612" s="8" t="s">
        <v>1101</v>
      </c>
      <c r="U612" s="8" t="s">
        <v>56</v>
      </c>
      <c r="V612" s="8" t="s">
        <v>43</v>
      </c>
      <c r="W612" s="8" t="s">
        <v>2226</v>
      </c>
      <c r="X612" s="8" t="s">
        <v>900</v>
      </c>
      <c r="Y612" s="9">
        <v>1</v>
      </c>
      <c r="Z612" s="8" t="s">
        <v>1415</v>
      </c>
      <c r="AA612" s="10">
        <v>41737</v>
      </c>
      <c r="AB612" s="10">
        <v>41765</v>
      </c>
      <c r="AC612" s="10">
        <v>41779</v>
      </c>
    </row>
    <row r="613" spans="1:31">
      <c r="A613" s="7">
        <f t="shared" si="174"/>
        <v>1</v>
      </c>
      <c r="B613" s="7" t="str">
        <f t="shared" si="178"/>
        <v>14FW_URBAN SWAGGER_33_KNIT_BK</v>
      </c>
      <c r="C613" s="7">
        <f t="shared" si="175"/>
        <v>1</v>
      </c>
      <c r="D613" s="7" t="str">
        <f t="shared" si="179"/>
        <v>Y&amp;Y14FW_URBAN SWAGGER_33_KNIT_BK</v>
      </c>
      <c r="E613" s="12" t="str">
        <f t="shared" si="180"/>
        <v>201404</v>
      </c>
      <c r="F613" s="347" t="str">
        <f>VLOOKUP($AA613,[3]주!$A:$F,6,FALSE)</f>
        <v>3월 2주</v>
      </c>
      <c r="G613" s="7">
        <f t="shared" si="176"/>
        <v>0</v>
      </c>
      <c r="H613" s="7" t="str">
        <f t="shared" si="181"/>
        <v/>
      </c>
      <c r="I613" s="7">
        <f t="shared" si="177"/>
        <v>0</v>
      </c>
      <c r="J613" s="7" t="str">
        <f t="shared" si="182"/>
        <v/>
      </c>
      <c r="K613" s="17">
        <f t="shared" si="183"/>
        <v>41779</v>
      </c>
      <c r="L613" s="12" t="str">
        <f t="shared" si="184"/>
        <v>201405</v>
      </c>
      <c r="M613" s="347" t="str">
        <f>VLOOKUP($K613,[3]주!$A:$F,6,FALSE)</f>
        <v>3월 2주</v>
      </c>
      <c r="N613" s="273" t="str">
        <f>IF(VLOOKUP($Z613,생산업체!$A:$C,2,FALSE)=1,"해외","국내")</f>
        <v>해외</v>
      </c>
      <c r="O613" s="12" t="str">
        <f>IF(VLOOKUP($U613,CODE!$K:$P,CODE!P$1,FALSE)="모자",T613,T613&amp;"-"&amp;VLOOKUP($U613,CODE!$K:$P,CODE!P$1,FALSE))</f>
        <v>URB</v>
      </c>
      <c r="P613" s="11" t="s">
        <v>1101</v>
      </c>
      <c r="R613" s="11">
        <v>86</v>
      </c>
      <c r="T613" s="8" t="s">
        <v>1101</v>
      </c>
      <c r="U613" s="8" t="s">
        <v>56</v>
      </c>
      <c r="V613" s="8" t="s">
        <v>43</v>
      </c>
      <c r="W613" s="8" t="s">
        <v>2227</v>
      </c>
      <c r="X613" s="8" t="s">
        <v>900</v>
      </c>
      <c r="Y613" s="9">
        <v>1</v>
      </c>
      <c r="Z613" s="8" t="s">
        <v>1415</v>
      </c>
      <c r="AA613" s="10">
        <v>41737</v>
      </c>
      <c r="AB613" s="10">
        <v>41765</v>
      </c>
      <c r="AC613" s="10">
        <v>41779</v>
      </c>
    </row>
    <row r="614" spans="1:31">
      <c r="A614" s="7">
        <f t="shared" si="174"/>
        <v>1</v>
      </c>
      <c r="B614" s="7" t="str">
        <f t="shared" si="178"/>
        <v>14FW_URBAN SWAGGER_41_FLAT_WH</v>
      </c>
      <c r="C614" s="7">
        <f t="shared" si="175"/>
        <v>1</v>
      </c>
      <c r="D614" s="7" t="str">
        <f t="shared" si="179"/>
        <v>캡보이14FW_URBAN SWAGGER_41_FLAT_WH</v>
      </c>
      <c r="E614" s="12" t="str">
        <f t="shared" si="180"/>
        <v>201404</v>
      </c>
      <c r="F614" s="347" t="str">
        <f>VLOOKUP($AA614,[3]주!$A:$F,6,FALSE)</f>
        <v>3월 2주</v>
      </c>
      <c r="G614" s="7">
        <f t="shared" si="176"/>
        <v>0</v>
      </c>
      <c r="H614" s="7" t="str">
        <f t="shared" si="181"/>
        <v/>
      </c>
      <c r="I614" s="7">
        <f t="shared" si="177"/>
        <v>0</v>
      </c>
      <c r="J614" s="7" t="str">
        <f t="shared" si="182"/>
        <v/>
      </c>
      <c r="K614" s="17">
        <f t="shared" si="183"/>
        <v>41754</v>
      </c>
      <c r="L614" s="12" t="str">
        <f t="shared" si="184"/>
        <v>201404</v>
      </c>
      <c r="M614" s="347" t="str">
        <f>VLOOKUP($K614,[3]주!$A:$F,6,FALSE)</f>
        <v>3월 2주</v>
      </c>
      <c r="N614" s="273" t="str">
        <f>IF(VLOOKUP($Z614,생산업체!$A:$C,2,FALSE)=1,"해외","국내")</f>
        <v>국내</v>
      </c>
      <c r="O614" s="12" t="str">
        <f>IF(VLOOKUP($U614,CODE!$K:$P,CODE!P$1,FALSE)="모자",T614,T614&amp;"-"&amp;VLOOKUP($U614,CODE!$K:$P,CODE!P$1,FALSE))</f>
        <v>URB</v>
      </c>
      <c r="P614" s="11" t="s">
        <v>1101</v>
      </c>
      <c r="R614" s="11">
        <v>87</v>
      </c>
      <c r="T614" s="8" t="s">
        <v>1101</v>
      </c>
      <c r="U614" s="8" t="s">
        <v>2116</v>
      </c>
      <c r="V614" s="8" t="s">
        <v>43</v>
      </c>
      <c r="W614" s="8" t="s">
        <v>2228</v>
      </c>
      <c r="X614" s="8" t="s">
        <v>900</v>
      </c>
      <c r="Y614" s="9">
        <v>1</v>
      </c>
      <c r="Z614" s="8" t="s">
        <v>49</v>
      </c>
      <c r="AA614" s="10">
        <v>41743</v>
      </c>
      <c r="AB614" s="10">
        <v>41764</v>
      </c>
      <c r="AC614" s="10">
        <v>41754</v>
      </c>
    </row>
    <row r="615" spans="1:31">
      <c r="A615" s="7">
        <f t="shared" si="174"/>
        <v>1</v>
      </c>
      <c r="B615" s="7" t="str">
        <f t="shared" si="178"/>
        <v>14FW_URBAN SWAGGER_42_FLAT_BK</v>
      </c>
      <c r="C615" s="7">
        <f t="shared" si="175"/>
        <v>1</v>
      </c>
      <c r="D615" s="7" t="str">
        <f t="shared" si="179"/>
        <v>캡보이14FW_URBAN SWAGGER_42_FLAT_BK</v>
      </c>
      <c r="E615" s="12" t="str">
        <f t="shared" si="180"/>
        <v>201404</v>
      </c>
      <c r="F615" s="347" t="str">
        <f>VLOOKUP($AA615,[3]주!$A:$F,6,FALSE)</f>
        <v>3월 2주</v>
      </c>
      <c r="G615" s="7">
        <f t="shared" si="176"/>
        <v>0</v>
      </c>
      <c r="H615" s="7" t="str">
        <f t="shared" si="181"/>
        <v/>
      </c>
      <c r="I615" s="7">
        <f t="shared" si="177"/>
        <v>0</v>
      </c>
      <c r="J615" s="7" t="str">
        <f t="shared" si="182"/>
        <v/>
      </c>
      <c r="K615" s="17">
        <f t="shared" si="183"/>
        <v>41754</v>
      </c>
      <c r="L615" s="12" t="str">
        <f t="shared" si="184"/>
        <v>201404</v>
      </c>
      <c r="M615" s="347" t="str">
        <f>VLOOKUP($K615,[3]주!$A:$F,6,FALSE)</f>
        <v>3월 2주</v>
      </c>
      <c r="N615" s="273" t="str">
        <f>IF(VLOOKUP($Z615,생산업체!$A:$C,2,FALSE)=1,"해외","국내")</f>
        <v>국내</v>
      </c>
      <c r="O615" s="12" t="str">
        <f>IF(VLOOKUP($U615,CODE!$K:$P,CODE!P$1,FALSE)="모자",T615,T615&amp;"-"&amp;VLOOKUP($U615,CODE!$K:$P,CODE!P$1,FALSE))</f>
        <v>URB</v>
      </c>
      <c r="P615" s="11" t="s">
        <v>1101</v>
      </c>
      <c r="R615" s="11">
        <v>88</v>
      </c>
      <c r="T615" s="8" t="s">
        <v>1101</v>
      </c>
      <c r="U615" s="8" t="s">
        <v>2116</v>
      </c>
      <c r="V615" s="8" t="s">
        <v>43</v>
      </c>
      <c r="W615" s="8" t="s">
        <v>2229</v>
      </c>
      <c r="X615" s="8" t="s">
        <v>900</v>
      </c>
      <c r="Y615" s="9">
        <v>1</v>
      </c>
      <c r="Z615" s="8" t="s">
        <v>49</v>
      </c>
      <c r="AA615" s="10">
        <v>41743</v>
      </c>
      <c r="AB615" s="10">
        <v>41764</v>
      </c>
      <c r="AC615" s="10">
        <v>41754</v>
      </c>
    </row>
    <row r="616" spans="1:31">
      <c r="A616" s="7">
        <f t="shared" si="174"/>
        <v>0.5</v>
      </c>
      <c r="B616" s="7" t="str">
        <f t="shared" si="178"/>
        <v>14SS YG BIGBANG_01_BK</v>
      </c>
      <c r="C616" s="7">
        <f t="shared" si="175"/>
        <v>1</v>
      </c>
      <c r="D616" s="7" t="str">
        <f t="shared" si="179"/>
        <v>캡보이14SS YG BIGBANG_01_BK</v>
      </c>
      <c r="E616" s="12" t="str">
        <f t="shared" si="180"/>
        <v>201404</v>
      </c>
      <c r="F616" s="347" t="str">
        <f>VLOOKUP($AA616,[3]주!$A:$F,6,FALSE)</f>
        <v>3월 2주</v>
      </c>
      <c r="G616" s="7">
        <f t="shared" si="176"/>
        <v>0.5</v>
      </c>
      <c r="H616" s="7" t="str">
        <f t="shared" si="181"/>
        <v>14SS YG BIGBANG_01_BK</v>
      </c>
      <c r="I616" s="7">
        <f t="shared" si="177"/>
        <v>1</v>
      </c>
      <c r="J616" s="7" t="str">
        <f t="shared" si="182"/>
        <v>캡보이14SS YG BIGBANG_01_BK</v>
      </c>
      <c r="K616" s="17">
        <f t="shared" si="183"/>
        <v>41774</v>
      </c>
      <c r="L616" s="12" t="str">
        <f t="shared" si="184"/>
        <v>201405</v>
      </c>
      <c r="M616" s="347" t="str">
        <f>VLOOKUP($K616,[3]주!$A:$F,6,FALSE)</f>
        <v>3월 2주</v>
      </c>
      <c r="N616" s="273" t="str">
        <f>IF(VLOOKUP($Z616,생산업체!$A:$C,2,FALSE)=1,"해외","국내")</f>
        <v>국내</v>
      </c>
      <c r="O616" s="12" t="str">
        <f>IF(VLOOKUP($U616,CODE!$K:$P,CODE!P$1,FALSE)="모자",T616,T616&amp;"-"&amp;VLOOKUP($U616,CODE!$K:$P,CODE!P$1,FALSE))</f>
        <v>YGF</v>
      </c>
      <c r="P616" s="11" t="s">
        <v>1102</v>
      </c>
      <c r="R616" s="11">
        <v>89</v>
      </c>
      <c r="T616" s="8" t="s">
        <v>1102</v>
      </c>
      <c r="U616" s="8" t="s">
        <v>2116</v>
      </c>
      <c r="V616" s="8" t="s">
        <v>43</v>
      </c>
      <c r="W616" s="8" t="s">
        <v>1724</v>
      </c>
      <c r="X616" s="8" t="s">
        <v>900</v>
      </c>
      <c r="Y616" s="9">
        <v>0.5</v>
      </c>
      <c r="Z616" s="8" t="s">
        <v>49</v>
      </c>
      <c r="AA616" s="10">
        <v>41744</v>
      </c>
      <c r="AB616" s="10">
        <v>41765</v>
      </c>
      <c r="AC616" s="10">
        <v>41754</v>
      </c>
      <c r="AD616" s="10">
        <v>41774</v>
      </c>
    </row>
    <row r="617" spans="1:31">
      <c r="A617" s="7">
        <f t="shared" si="174"/>
        <v>1</v>
      </c>
      <c r="B617" s="7" t="str">
        <f t="shared" si="178"/>
        <v>14SS YG 2EN1_01_BK</v>
      </c>
      <c r="C617" s="7">
        <f t="shared" si="175"/>
        <v>1</v>
      </c>
      <c r="D617" s="7" t="str">
        <f t="shared" si="179"/>
        <v>캡보이14SS YG 2EN1_01_BK</v>
      </c>
      <c r="E617" s="12" t="str">
        <f t="shared" si="180"/>
        <v>201404</v>
      </c>
      <c r="F617" s="347" t="str">
        <f>VLOOKUP($AA617,[3]주!$A:$F,6,FALSE)</f>
        <v>3월 2주</v>
      </c>
      <c r="G617" s="7">
        <f t="shared" si="176"/>
        <v>1</v>
      </c>
      <c r="H617" s="7" t="str">
        <f t="shared" si="181"/>
        <v>14SS YG 2EN1_01_BK</v>
      </c>
      <c r="I617" s="7">
        <f t="shared" si="177"/>
        <v>1</v>
      </c>
      <c r="J617" s="7" t="str">
        <f t="shared" si="182"/>
        <v>캡보이14SS YG 2EN1_01_BK</v>
      </c>
      <c r="K617" s="17">
        <f t="shared" si="183"/>
        <v>41774</v>
      </c>
      <c r="L617" s="12" t="str">
        <f t="shared" si="184"/>
        <v>201405</v>
      </c>
      <c r="M617" s="347" t="str">
        <f>VLOOKUP($K617,[3]주!$A:$F,6,FALSE)</f>
        <v>3월 2주</v>
      </c>
      <c r="N617" s="273" t="str">
        <f>IF(VLOOKUP($Z617,생산업체!$A:$C,2,FALSE)=1,"해외","국내")</f>
        <v>국내</v>
      </c>
      <c r="O617" s="12" t="str">
        <f>IF(VLOOKUP($U617,CODE!$K:$P,CODE!P$1,FALSE)="모자",T617,T617&amp;"-"&amp;VLOOKUP($U617,CODE!$K:$P,CODE!P$1,FALSE))</f>
        <v>YGF</v>
      </c>
      <c r="P617" s="11" t="s">
        <v>1102</v>
      </c>
      <c r="R617" s="11">
        <v>90</v>
      </c>
      <c r="T617" s="8" t="s">
        <v>1102</v>
      </c>
      <c r="U617" s="8" t="s">
        <v>2116</v>
      </c>
      <c r="V617" s="8" t="s">
        <v>43</v>
      </c>
      <c r="W617" s="8" t="s">
        <v>2230</v>
      </c>
      <c r="X617" s="8" t="s">
        <v>900</v>
      </c>
      <c r="Y617" s="9">
        <v>1</v>
      </c>
      <c r="Z617" s="8" t="s">
        <v>49</v>
      </c>
      <c r="AA617" s="10">
        <v>41744</v>
      </c>
      <c r="AB617" s="10">
        <v>41765</v>
      </c>
      <c r="AC617" s="10">
        <v>41754</v>
      </c>
      <c r="AD617" s="10">
        <v>41774</v>
      </c>
    </row>
    <row r="618" spans="1:31">
      <c r="A618" s="7">
        <f t="shared" si="174"/>
        <v>1</v>
      </c>
      <c r="B618" s="7" t="str">
        <f t="shared" si="178"/>
        <v>14SS YG 2EN1_02_PK</v>
      </c>
      <c r="C618" s="7">
        <f t="shared" si="175"/>
        <v>1</v>
      </c>
      <c r="D618" s="7" t="str">
        <f t="shared" si="179"/>
        <v>캡보이14SS YG 2EN1_02_PK</v>
      </c>
      <c r="E618" s="12" t="str">
        <f t="shared" si="180"/>
        <v>201404</v>
      </c>
      <c r="F618" s="347" t="str">
        <f>VLOOKUP($AA618,[3]주!$A:$F,6,FALSE)</f>
        <v>3월 2주</v>
      </c>
      <c r="G618" s="7">
        <f t="shared" si="176"/>
        <v>1</v>
      </c>
      <c r="H618" s="7" t="str">
        <f t="shared" si="181"/>
        <v>14SS YG 2EN1_02_PK</v>
      </c>
      <c r="I618" s="7">
        <f t="shared" si="177"/>
        <v>1</v>
      </c>
      <c r="J618" s="7" t="str">
        <f t="shared" si="182"/>
        <v>캡보이14SS YG 2EN1_02_PK</v>
      </c>
      <c r="K618" s="17">
        <f t="shared" si="183"/>
        <v>41774</v>
      </c>
      <c r="L618" s="12" t="str">
        <f t="shared" si="184"/>
        <v>201405</v>
      </c>
      <c r="M618" s="347" t="str">
        <f>VLOOKUP($K618,[3]주!$A:$F,6,FALSE)</f>
        <v>3월 2주</v>
      </c>
      <c r="N618" s="273" t="str">
        <f>IF(VLOOKUP($Z618,생산업체!$A:$C,2,FALSE)=1,"해외","국내")</f>
        <v>국내</v>
      </c>
      <c r="O618" s="12" t="str">
        <f>IF(VLOOKUP($U618,CODE!$K:$P,CODE!P$1,FALSE)="모자",T618,T618&amp;"-"&amp;VLOOKUP($U618,CODE!$K:$P,CODE!P$1,FALSE))</f>
        <v>YGF</v>
      </c>
      <c r="P618" s="11" t="s">
        <v>1102</v>
      </c>
      <c r="R618" s="11">
        <v>91</v>
      </c>
      <c r="T618" s="8" t="s">
        <v>1102</v>
      </c>
      <c r="U618" s="8" t="s">
        <v>2116</v>
      </c>
      <c r="V618" s="8" t="s">
        <v>43</v>
      </c>
      <c r="W618" s="8" t="s">
        <v>2231</v>
      </c>
      <c r="X618" s="8" t="s">
        <v>900</v>
      </c>
      <c r="Y618" s="9">
        <v>1</v>
      </c>
      <c r="Z618" s="8" t="s">
        <v>49</v>
      </c>
      <c r="AA618" s="10">
        <v>41744</v>
      </c>
      <c r="AB618" s="10">
        <v>41765</v>
      </c>
      <c r="AC618" s="10">
        <v>41754</v>
      </c>
      <c r="AD618" s="10">
        <v>41774</v>
      </c>
    </row>
    <row r="619" spans="1:31">
      <c r="A619" s="7">
        <f t="shared" si="174"/>
        <v>1</v>
      </c>
      <c r="B619" s="7" t="str">
        <f t="shared" si="178"/>
        <v>14FW_URBAN SWAGGER_01_BACKPACK_BK</v>
      </c>
      <c r="C619" s="7">
        <f t="shared" si="175"/>
        <v>1</v>
      </c>
      <c r="D619" s="7" t="str">
        <f t="shared" si="179"/>
        <v>바이칼14FW_URBAN SWAGGER_01_BACKPACK_BK</v>
      </c>
      <c r="E619" s="12" t="str">
        <f t="shared" si="180"/>
        <v>201405</v>
      </c>
      <c r="F619" s="347" t="str">
        <f>VLOOKUP($AA619,[3]주!$A:$F,6,FALSE)</f>
        <v>3월 2주</v>
      </c>
      <c r="G619" s="7">
        <f t="shared" si="176"/>
        <v>0</v>
      </c>
      <c r="H619" s="7" t="str">
        <f t="shared" si="181"/>
        <v/>
      </c>
      <c r="I619" s="7">
        <f t="shared" si="177"/>
        <v>0</v>
      </c>
      <c r="J619" s="7" t="str">
        <f t="shared" si="182"/>
        <v/>
      </c>
      <c r="K619" s="17">
        <f t="shared" si="183"/>
        <v>41794</v>
      </c>
      <c r="L619" s="12" t="str">
        <f t="shared" si="184"/>
        <v>201406</v>
      </c>
      <c r="M619" s="347" t="str">
        <f>VLOOKUP($K619,[3]주!$A:$F,6,FALSE)</f>
        <v>3월 2주</v>
      </c>
      <c r="N619" s="273" t="str">
        <f>IF(VLOOKUP($Z619,생산업체!$A:$C,2,FALSE)=1,"해외","국내")</f>
        <v>해외</v>
      </c>
      <c r="O619" s="12" t="str">
        <f>IF(VLOOKUP($U619,CODE!$K:$P,CODE!P$1,FALSE)="모자",T619,T619&amp;"-"&amp;VLOOKUP($U619,CODE!$K:$P,CODE!P$1,FALSE))</f>
        <v>URB-가방</v>
      </c>
      <c r="P619" s="11" t="s">
        <v>2232</v>
      </c>
      <c r="R619" s="11">
        <v>92</v>
      </c>
      <c r="T619" s="8" t="s">
        <v>1101</v>
      </c>
      <c r="U619" s="8" t="s">
        <v>31</v>
      </c>
      <c r="V619" s="8" t="s">
        <v>43</v>
      </c>
      <c r="W619" s="8" t="s">
        <v>2233</v>
      </c>
      <c r="X619" s="8" t="s">
        <v>900</v>
      </c>
      <c r="Y619" s="9">
        <v>1</v>
      </c>
      <c r="Z619" s="8" t="s">
        <v>1837</v>
      </c>
      <c r="AA619" s="10">
        <v>41766</v>
      </c>
      <c r="AB619" s="10">
        <v>41794</v>
      </c>
      <c r="AC619" s="10">
        <v>41794</v>
      </c>
    </row>
    <row r="620" spans="1:31">
      <c r="A620" s="7">
        <f t="shared" si="174"/>
        <v>1</v>
      </c>
      <c r="B620" s="7" t="str">
        <f t="shared" si="178"/>
        <v>14FW_URBAN SWAGGER_02_BACKPACK_BK</v>
      </c>
      <c r="C620" s="7">
        <f t="shared" si="175"/>
        <v>1</v>
      </c>
      <c r="D620" s="7" t="str">
        <f t="shared" si="179"/>
        <v>바이칼14FW_URBAN SWAGGER_02_BACKPACK_BK</v>
      </c>
      <c r="E620" s="12" t="str">
        <f t="shared" si="180"/>
        <v>201405</v>
      </c>
      <c r="F620" s="347" t="str">
        <f>VLOOKUP($AA620,[3]주!$A:$F,6,FALSE)</f>
        <v>3월 2주</v>
      </c>
      <c r="G620" s="7">
        <f t="shared" si="176"/>
        <v>0</v>
      </c>
      <c r="H620" s="7" t="str">
        <f t="shared" si="181"/>
        <v/>
      </c>
      <c r="I620" s="7">
        <f t="shared" si="177"/>
        <v>0</v>
      </c>
      <c r="J620" s="7" t="str">
        <f t="shared" si="182"/>
        <v/>
      </c>
      <c r="K620" s="17">
        <f t="shared" si="183"/>
        <v>41794</v>
      </c>
      <c r="L620" s="12" t="str">
        <f t="shared" si="184"/>
        <v>201406</v>
      </c>
      <c r="M620" s="347" t="str">
        <f>VLOOKUP($K620,[3]주!$A:$F,6,FALSE)</f>
        <v>3월 2주</v>
      </c>
      <c r="N620" s="273" t="str">
        <f>IF(VLOOKUP($Z620,생산업체!$A:$C,2,FALSE)=1,"해외","국내")</f>
        <v>해외</v>
      </c>
      <c r="O620" s="12" t="str">
        <f>IF(VLOOKUP($U620,CODE!$K:$P,CODE!P$1,FALSE)="모자",T620,T620&amp;"-"&amp;VLOOKUP($U620,CODE!$K:$P,CODE!P$1,FALSE))</f>
        <v>URB-가방</v>
      </c>
      <c r="P620" s="11" t="s">
        <v>2232</v>
      </c>
      <c r="R620" s="11">
        <v>93</v>
      </c>
      <c r="T620" s="8" t="s">
        <v>1101</v>
      </c>
      <c r="U620" s="8" t="s">
        <v>31</v>
      </c>
      <c r="V620" s="8" t="s">
        <v>43</v>
      </c>
      <c r="W620" s="8" t="s">
        <v>2234</v>
      </c>
      <c r="X620" s="8" t="s">
        <v>900</v>
      </c>
      <c r="Y620" s="9">
        <v>1</v>
      </c>
      <c r="Z620" s="8" t="s">
        <v>1837</v>
      </c>
      <c r="AA620" s="10">
        <v>41766</v>
      </c>
      <c r="AB620" s="10">
        <v>41794</v>
      </c>
      <c r="AC620" s="10">
        <v>41794</v>
      </c>
    </row>
    <row r="621" spans="1:31">
      <c r="A621" s="7">
        <f t="shared" si="174"/>
        <v>1</v>
      </c>
      <c r="B621" s="7" t="str">
        <f t="shared" si="178"/>
        <v>14FW_URBAN SWAGGER_03_BACKPACK_BK</v>
      </c>
      <c r="C621" s="7">
        <f t="shared" si="175"/>
        <v>1</v>
      </c>
      <c r="D621" s="7" t="str">
        <f t="shared" si="179"/>
        <v>바이칼14FW_URBAN SWAGGER_03_BACKPACK_BK</v>
      </c>
      <c r="E621" s="12" t="str">
        <f t="shared" si="180"/>
        <v>201405</v>
      </c>
      <c r="F621" s="347" t="str">
        <f>VLOOKUP($AA621,[3]주!$A:$F,6,FALSE)</f>
        <v>3월 2주</v>
      </c>
      <c r="G621" s="7">
        <f t="shared" si="176"/>
        <v>0</v>
      </c>
      <c r="H621" s="7" t="str">
        <f t="shared" si="181"/>
        <v/>
      </c>
      <c r="I621" s="7">
        <f t="shared" si="177"/>
        <v>0</v>
      </c>
      <c r="J621" s="7" t="str">
        <f t="shared" si="182"/>
        <v/>
      </c>
      <c r="K621" s="17">
        <f t="shared" si="183"/>
        <v>41794</v>
      </c>
      <c r="L621" s="12" t="str">
        <f t="shared" si="184"/>
        <v>201406</v>
      </c>
      <c r="M621" s="347" t="str">
        <f>VLOOKUP($K621,[3]주!$A:$F,6,FALSE)</f>
        <v>3월 2주</v>
      </c>
      <c r="N621" s="273" t="str">
        <f>IF(VLOOKUP($Z621,생산업체!$A:$C,2,FALSE)=1,"해외","국내")</f>
        <v>해외</v>
      </c>
      <c r="O621" s="12" t="str">
        <f>IF(VLOOKUP($U621,CODE!$K:$P,CODE!P$1,FALSE)="모자",T621,T621&amp;"-"&amp;VLOOKUP($U621,CODE!$K:$P,CODE!P$1,FALSE))</f>
        <v>URB-가방</v>
      </c>
      <c r="P621" s="11" t="s">
        <v>2232</v>
      </c>
      <c r="R621" s="11">
        <v>94</v>
      </c>
      <c r="T621" s="8" t="s">
        <v>1101</v>
      </c>
      <c r="U621" s="8" t="s">
        <v>31</v>
      </c>
      <c r="V621" s="8" t="s">
        <v>43</v>
      </c>
      <c r="W621" s="8" t="s">
        <v>2235</v>
      </c>
      <c r="X621" s="8" t="s">
        <v>900</v>
      </c>
      <c r="Y621" s="9">
        <v>1</v>
      </c>
      <c r="Z621" s="8" t="s">
        <v>1837</v>
      </c>
      <c r="AA621" s="10">
        <v>41766</v>
      </c>
      <c r="AB621" s="10">
        <v>41794</v>
      </c>
      <c r="AC621" s="10">
        <v>41794</v>
      </c>
    </row>
    <row r="622" spans="1:31">
      <c r="A622" s="7">
        <f t="shared" si="174"/>
        <v>1</v>
      </c>
      <c r="B622" s="7" t="str">
        <f t="shared" si="178"/>
        <v>14FW_URBAN SWAGGER_04_BACKPACK_BK</v>
      </c>
      <c r="C622" s="7">
        <f t="shared" si="175"/>
        <v>1</v>
      </c>
      <c r="D622" s="7" t="str">
        <f t="shared" si="179"/>
        <v>바이칼14FW_URBAN SWAGGER_04_BACKPACK_BK</v>
      </c>
      <c r="E622" s="12" t="str">
        <f t="shared" si="180"/>
        <v>201405</v>
      </c>
      <c r="F622" s="347" t="str">
        <f>VLOOKUP($AA622,[3]주!$A:$F,6,FALSE)</f>
        <v>3월 2주</v>
      </c>
      <c r="G622" s="7">
        <f t="shared" si="176"/>
        <v>0</v>
      </c>
      <c r="H622" s="7" t="str">
        <f t="shared" si="181"/>
        <v/>
      </c>
      <c r="I622" s="7">
        <f t="shared" si="177"/>
        <v>0</v>
      </c>
      <c r="J622" s="7" t="str">
        <f t="shared" si="182"/>
        <v/>
      </c>
      <c r="K622" s="17">
        <f t="shared" si="183"/>
        <v>41794</v>
      </c>
      <c r="L622" s="12" t="str">
        <f t="shared" si="184"/>
        <v>201406</v>
      </c>
      <c r="M622" s="347" t="str">
        <f>VLOOKUP($K622,[3]주!$A:$F,6,FALSE)</f>
        <v>3월 2주</v>
      </c>
      <c r="N622" s="273" t="str">
        <f>IF(VLOOKUP($Z622,생산업체!$A:$C,2,FALSE)=1,"해외","국내")</f>
        <v>해외</v>
      </c>
      <c r="O622" s="12" t="str">
        <f>IF(VLOOKUP($U622,CODE!$K:$P,CODE!P$1,FALSE)="모자",T622,T622&amp;"-"&amp;VLOOKUP($U622,CODE!$K:$P,CODE!P$1,FALSE))</f>
        <v>URB-가방</v>
      </c>
      <c r="P622" s="11" t="s">
        <v>2232</v>
      </c>
      <c r="R622" s="11">
        <v>95</v>
      </c>
      <c r="T622" s="8" t="s">
        <v>1101</v>
      </c>
      <c r="U622" s="8" t="s">
        <v>31</v>
      </c>
      <c r="V622" s="8" t="s">
        <v>43</v>
      </c>
      <c r="W622" s="8" t="s">
        <v>2236</v>
      </c>
      <c r="X622" s="8" t="s">
        <v>900</v>
      </c>
      <c r="Y622" s="9">
        <v>1</v>
      </c>
      <c r="Z622" s="8" t="s">
        <v>1837</v>
      </c>
      <c r="AA622" s="10">
        <v>41766</v>
      </c>
      <c r="AB622" s="10">
        <v>41794</v>
      </c>
      <c r="AC622" s="10">
        <v>41794</v>
      </c>
    </row>
    <row r="623" spans="1:31">
      <c r="A623" s="7">
        <f t="shared" si="174"/>
        <v>1</v>
      </c>
      <c r="B623" s="7" t="str">
        <f t="shared" si="178"/>
        <v>14FW NCAA 5950_01_GR</v>
      </c>
      <c r="C623" s="7">
        <f t="shared" si="175"/>
        <v>1</v>
      </c>
      <c r="D623" s="7" t="str">
        <f t="shared" si="179"/>
        <v>성진14FW NCAA 5950_01_GR</v>
      </c>
      <c r="E623" s="12" t="str">
        <f t="shared" si="180"/>
        <v>201403</v>
      </c>
      <c r="F623" s="347" t="str">
        <f>VLOOKUP($AA623,[3]주!$A:$F,6,FALSE)</f>
        <v>3월 2주</v>
      </c>
      <c r="G623" s="7">
        <f t="shared" si="176"/>
        <v>1</v>
      </c>
      <c r="H623" s="7" t="str">
        <f t="shared" si="181"/>
        <v>14FW NCAA 5950_01_GR</v>
      </c>
      <c r="I623" s="7">
        <f t="shared" si="177"/>
        <v>1</v>
      </c>
      <c r="J623" s="7" t="str">
        <f t="shared" si="182"/>
        <v>성진14FW NCAA 5950_01_GR</v>
      </c>
      <c r="K623" s="17">
        <f t="shared" si="183"/>
        <v>41758</v>
      </c>
      <c r="L623" s="12" t="str">
        <f t="shared" si="184"/>
        <v>201404</v>
      </c>
      <c r="M623" s="347" t="str">
        <f>VLOOKUP($K623,[3]주!$A:$F,6,FALSE)</f>
        <v>3월 2주</v>
      </c>
      <c r="N623" s="273" t="str">
        <f>IF(VLOOKUP($Z623,생산업체!$A:$C,2,FALSE)=1,"해외","국내")</f>
        <v>해외</v>
      </c>
      <c r="O623" s="12" t="str">
        <f>IF(VLOOKUP($U623,CODE!$K:$P,CODE!P$1,FALSE)="모자",T623,T623&amp;"-"&amp;VLOOKUP($U623,CODE!$K:$P,CODE!P$1,FALSE))</f>
        <v>NAA</v>
      </c>
      <c r="P623" s="11" t="s">
        <v>1096</v>
      </c>
      <c r="R623" s="11">
        <v>1</v>
      </c>
      <c r="T623" s="8" t="s">
        <v>1096</v>
      </c>
      <c r="U623" s="8" t="s">
        <v>50</v>
      </c>
      <c r="V623" s="8" t="s">
        <v>43</v>
      </c>
      <c r="W623" s="8" t="s">
        <v>2137</v>
      </c>
      <c r="X623" s="8" t="s">
        <v>900</v>
      </c>
      <c r="Y623" s="9">
        <v>1</v>
      </c>
      <c r="Z623" s="8" t="s">
        <v>48</v>
      </c>
      <c r="AA623" s="10">
        <v>41722</v>
      </c>
      <c r="AB623" s="10">
        <v>41750</v>
      </c>
      <c r="AC623" s="10">
        <v>41759</v>
      </c>
      <c r="AD623" s="10">
        <v>41758</v>
      </c>
      <c r="AE623" s="8">
        <v>5.75</v>
      </c>
    </row>
    <row r="624" spans="1:31">
      <c r="A624" s="7">
        <f t="shared" si="174"/>
        <v>1</v>
      </c>
      <c r="B624" s="7" t="str">
        <f t="shared" si="178"/>
        <v>14FW NCAA 5950_01_GY</v>
      </c>
      <c r="C624" s="7">
        <f t="shared" si="175"/>
        <v>1</v>
      </c>
      <c r="D624" s="7" t="str">
        <f t="shared" si="179"/>
        <v>성진14FW NCAA 5950_01_GY</v>
      </c>
      <c r="E624" s="12" t="str">
        <f t="shared" si="180"/>
        <v>201403</v>
      </c>
      <c r="F624" s="347" t="str">
        <f>VLOOKUP($AA624,[3]주!$A:$F,6,FALSE)</f>
        <v>3월 2주</v>
      </c>
      <c r="G624" s="7">
        <f t="shared" si="176"/>
        <v>1</v>
      </c>
      <c r="H624" s="7" t="str">
        <f t="shared" si="181"/>
        <v>14FW NCAA 5950_01_GY</v>
      </c>
      <c r="I624" s="7">
        <f t="shared" si="177"/>
        <v>1</v>
      </c>
      <c r="J624" s="7" t="str">
        <f t="shared" si="182"/>
        <v>성진14FW NCAA 5950_01_GY</v>
      </c>
      <c r="K624" s="17">
        <f t="shared" si="183"/>
        <v>41758</v>
      </c>
      <c r="L624" s="12" t="str">
        <f t="shared" si="184"/>
        <v>201404</v>
      </c>
      <c r="M624" s="347" t="str">
        <f>VLOOKUP($K624,[3]주!$A:$F,6,FALSE)</f>
        <v>3월 2주</v>
      </c>
      <c r="N624" s="273" t="str">
        <f>IF(VLOOKUP($Z624,생산업체!$A:$C,2,FALSE)=1,"해외","국내")</f>
        <v>해외</v>
      </c>
      <c r="O624" s="12" t="str">
        <f>IF(VLOOKUP($U624,CODE!$K:$P,CODE!P$1,FALSE)="모자",T624,T624&amp;"-"&amp;VLOOKUP($U624,CODE!$K:$P,CODE!P$1,FALSE))</f>
        <v>NAA</v>
      </c>
      <c r="P624" s="11" t="s">
        <v>1096</v>
      </c>
      <c r="R624" s="11">
        <v>2</v>
      </c>
      <c r="T624" s="8" t="s">
        <v>1096</v>
      </c>
      <c r="U624" s="8" t="s">
        <v>50</v>
      </c>
      <c r="V624" s="8" t="s">
        <v>43</v>
      </c>
      <c r="W624" s="8" t="s">
        <v>2138</v>
      </c>
      <c r="X624" s="8" t="s">
        <v>900</v>
      </c>
      <c r="Y624" s="9">
        <v>1</v>
      </c>
      <c r="Z624" s="8" t="s">
        <v>48</v>
      </c>
      <c r="AA624" s="10">
        <v>41722</v>
      </c>
      <c r="AB624" s="10">
        <v>41750</v>
      </c>
      <c r="AC624" s="10">
        <v>41759</v>
      </c>
      <c r="AD624" s="10">
        <v>41758</v>
      </c>
      <c r="AE624" s="8">
        <v>5.5</v>
      </c>
    </row>
    <row r="625" spans="1:35">
      <c r="A625" s="7">
        <f t="shared" si="174"/>
        <v>1</v>
      </c>
      <c r="B625" s="7" t="str">
        <f t="shared" si="178"/>
        <v>14FW NCAA 5950_02_NV</v>
      </c>
      <c r="C625" s="7">
        <f t="shared" si="175"/>
        <v>1</v>
      </c>
      <c r="D625" s="7" t="str">
        <f t="shared" si="179"/>
        <v>성진14FW NCAA 5950_02_NV</v>
      </c>
      <c r="E625" s="12" t="str">
        <f t="shared" si="180"/>
        <v>201403</v>
      </c>
      <c r="F625" s="347" t="str">
        <f>VLOOKUP($AA625,[3]주!$A:$F,6,FALSE)</f>
        <v>3월 2주</v>
      </c>
      <c r="G625" s="7">
        <f t="shared" si="176"/>
        <v>1</v>
      </c>
      <c r="H625" s="7" t="str">
        <f t="shared" si="181"/>
        <v>14FW NCAA 5950_02_NV</v>
      </c>
      <c r="I625" s="7">
        <f t="shared" si="177"/>
        <v>1</v>
      </c>
      <c r="J625" s="7" t="str">
        <f t="shared" si="182"/>
        <v>성진14FW NCAA 5950_02_NV</v>
      </c>
      <c r="K625" s="17">
        <f t="shared" si="183"/>
        <v>41768</v>
      </c>
      <c r="L625" s="12" t="str">
        <f t="shared" si="184"/>
        <v>201405</v>
      </c>
      <c r="M625" s="347" t="str">
        <f>VLOOKUP($K625,[3]주!$A:$F,6,FALSE)</f>
        <v>3월 2주</v>
      </c>
      <c r="N625" s="273" t="str">
        <f>IF(VLOOKUP($Z625,생산업체!$A:$C,2,FALSE)=1,"해외","국내")</f>
        <v>해외</v>
      </c>
      <c r="O625" s="12" t="str">
        <f>IF(VLOOKUP($U625,CODE!$K:$P,CODE!P$1,FALSE)="모자",T625,T625&amp;"-"&amp;VLOOKUP($U625,CODE!$K:$P,CODE!P$1,FALSE))</f>
        <v>NAA</v>
      </c>
      <c r="P625" s="11" t="s">
        <v>1096</v>
      </c>
      <c r="R625" s="11">
        <v>3</v>
      </c>
      <c r="T625" s="8" t="s">
        <v>1096</v>
      </c>
      <c r="U625" s="8" t="s">
        <v>50</v>
      </c>
      <c r="V625" s="8" t="s">
        <v>43</v>
      </c>
      <c r="W625" s="8" t="s">
        <v>2139</v>
      </c>
      <c r="X625" s="8" t="s">
        <v>900</v>
      </c>
      <c r="Y625" s="9">
        <v>1</v>
      </c>
      <c r="Z625" s="8" t="s">
        <v>48</v>
      </c>
      <c r="AA625" s="10">
        <v>41722</v>
      </c>
      <c r="AB625" s="10">
        <v>41750</v>
      </c>
      <c r="AC625" s="10">
        <v>41768</v>
      </c>
      <c r="AD625" s="10">
        <v>41768</v>
      </c>
      <c r="AE625" s="8">
        <v>5.2</v>
      </c>
    </row>
    <row r="626" spans="1:35">
      <c r="A626" s="7">
        <f t="shared" si="174"/>
        <v>1</v>
      </c>
      <c r="B626" s="7" t="str">
        <f t="shared" si="178"/>
        <v>14FW NCAA 5950_03_GY</v>
      </c>
      <c r="C626" s="7">
        <f t="shared" si="175"/>
        <v>1</v>
      </c>
      <c r="D626" s="7" t="str">
        <f t="shared" si="179"/>
        <v>성진14FW NCAA 5950_03_GY</v>
      </c>
      <c r="E626" s="12" t="str">
        <f t="shared" si="180"/>
        <v>201403</v>
      </c>
      <c r="F626" s="347" t="str">
        <f>VLOOKUP($AA626,[3]주!$A:$F,6,FALSE)</f>
        <v>3월 2주</v>
      </c>
      <c r="G626" s="7">
        <f t="shared" si="176"/>
        <v>1</v>
      </c>
      <c r="H626" s="7" t="str">
        <f t="shared" si="181"/>
        <v>14FW NCAA 5950_03_GY</v>
      </c>
      <c r="I626" s="7">
        <f t="shared" si="177"/>
        <v>1</v>
      </c>
      <c r="J626" s="7" t="str">
        <f t="shared" si="182"/>
        <v>성진14FW NCAA 5950_03_GY</v>
      </c>
      <c r="K626" s="17">
        <f t="shared" si="183"/>
        <v>41754</v>
      </c>
      <c r="L626" s="12" t="str">
        <f t="shared" si="184"/>
        <v>201404</v>
      </c>
      <c r="M626" s="347" t="str">
        <f>VLOOKUP($K626,[3]주!$A:$F,6,FALSE)</f>
        <v>3월 2주</v>
      </c>
      <c r="N626" s="273" t="str">
        <f>IF(VLOOKUP($Z626,생산업체!$A:$C,2,FALSE)=1,"해외","국내")</f>
        <v>해외</v>
      </c>
      <c r="O626" s="12" t="str">
        <f>IF(VLOOKUP($U626,CODE!$K:$P,CODE!P$1,FALSE)="모자",T626,T626&amp;"-"&amp;VLOOKUP($U626,CODE!$K:$P,CODE!P$1,FALSE))</f>
        <v>NAA</v>
      </c>
      <c r="P626" s="11" t="s">
        <v>1096</v>
      </c>
      <c r="R626" s="11">
        <v>4</v>
      </c>
      <c r="T626" s="8" t="s">
        <v>1096</v>
      </c>
      <c r="U626" s="8" t="s">
        <v>50</v>
      </c>
      <c r="V626" s="8" t="s">
        <v>43</v>
      </c>
      <c r="W626" s="8" t="s">
        <v>2140</v>
      </c>
      <c r="X626" s="8" t="s">
        <v>900</v>
      </c>
      <c r="Y626" s="9">
        <v>1</v>
      </c>
      <c r="Z626" s="8" t="s">
        <v>48</v>
      </c>
      <c r="AA626" s="10">
        <v>41722</v>
      </c>
      <c r="AB626" s="10">
        <v>41750</v>
      </c>
      <c r="AC626" s="10">
        <v>41759</v>
      </c>
      <c r="AD626" s="10">
        <v>41754</v>
      </c>
      <c r="AE626" s="8">
        <v>5.55</v>
      </c>
    </row>
    <row r="627" spans="1:35">
      <c r="A627" s="7">
        <f t="shared" si="174"/>
        <v>1</v>
      </c>
      <c r="B627" s="7" t="str">
        <f t="shared" si="178"/>
        <v>14FW NCAA 5950_04_GY</v>
      </c>
      <c r="C627" s="7">
        <f t="shared" si="175"/>
        <v>1</v>
      </c>
      <c r="D627" s="7" t="str">
        <f t="shared" si="179"/>
        <v>성진14FW NCAA 5950_04_GY</v>
      </c>
      <c r="E627" s="12" t="str">
        <f t="shared" si="180"/>
        <v>201403</v>
      </c>
      <c r="F627" s="347" t="str">
        <f>VLOOKUP($AA627,[3]주!$A:$F,6,FALSE)</f>
        <v>3월 2주</v>
      </c>
      <c r="G627" s="7">
        <f t="shared" si="176"/>
        <v>1</v>
      </c>
      <c r="H627" s="7" t="str">
        <f t="shared" si="181"/>
        <v>14FW NCAA 5950_04_GY</v>
      </c>
      <c r="I627" s="7">
        <f t="shared" si="177"/>
        <v>1</v>
      </c>
      <c r="J627" s="7" t="str">
        <f t="shared" si="182"/>
        <v>성진14FW NCAA 5950_04_GY</v>
      </c>
      <c r="K627" s="17">
        <f t="shared" si="183"/>
        <v>41758</v>
      </c>
      <c r="L627" s="12" t="str">
        <f t="shared" si="184"/>
        <v>201404</v>
      </c>
      <c r="M627" s="347" t="str">
        <f>VLOOKUP($K627,[3]주!$A:$F,6,FALSE)</f>
        <v>3월 2주</v>
      </c>
      <c r="N627" s="273" t="str">
        <f>IF(VLOOKUP($Z627,생산업체!$A:$C,2,FALSE)=1,"해외","국내")</f>
        <v>해외</v>
      </c>
      <c r="O627" s="12" t="str">
        <f>IF(VLOOKUP($U627,CODE!$K:$P,CODE!P$1,FALSE)="모자",T627,T627&amp;"-"&amp;VLOOKUP($U627,CODE!$K:$P,CODE!P$1,FALSE))</f>
        <v>NAA</v>
      </c>
      <c r="P627" s="11" t="s">
        <v>1096</v>
      </c>
      <c r="R627" s="11">
        <v>5</v>
      </c>
      <c r="T627" s="8" t="s">
        <v>1096</v>
      </c>
      <c r="U627" s="8" t="s">
        <v>50</v>
      </c>
      <c r="V627" s="8" t="s">
        <v>43</v>
      </c>
      <c r="W627" s="8" t="s">
        <v>2141</v>
      </c>
      <c r="X627" s="8" t="s">
        <v>900</v>
      </c>
      <c r="Y627" s="9">
        <v>1</v>
      </c>
      <c r="Z627" s="8" t="s">
        <v>48</v>
      </c>
      <c r="AA627" s="10">
        <v>41722</v>
      </c>
      <c r="AB627" s="10">
        <v>41750</v>
      </c>
      <c r="AC627" s="10">
        <v>41759</v>
      </c>
      <c r="AD627" s="10">
        <v>41758</v>
      </c>
      <c r="AE627" s="8">
        <v>6.2</v>
      </c>
    </row>
    <row r="628" spans="1:35">
      <c r="A628" s="7">
        <f t="shared" si="174"/>
        <v>1</v>
      </c>
      <c r="B628" s="7" t="str">
        <f t="shared" si="178"/>
        <v>14FW NCAA 5950_06_BK</v>
      </c>
      <c r="C628" s="7">
        <f t="shared" si="175"/>
        <v>1</v>
      </c>
      <c r="D628" s="7" t="str">
        <f t="shared" si="179"/>
        <v>성진14FW NCAA 5950_06_BK</v>
      </c>
      <c r="E628" s="12" t="str">
        <f t="shared" si="180"/>
        <v>201403</v>
      </c>
      <c r="F628" s="347" t="str">
        <f>VLOOKUP($AA628,[3]주!$A:$F,6,FALSE)</f>
        <v>3월 2주</v>
      </c>
      <c r="G628" s="7">
        <f t="shared" si="176"/>
        <v>1</v>
      </c>
      <c r="H628" s="7" t="str">
        <f t="shared" si="181"/>
        <v>14FW NCAA 5950_06_BK</v>
      </c>
      <c r="I628" s="7">
        <f t="shared" si="177"/>
        <v>1</v>
      </c>
      <c r="J628" s="7" t="str">
        <f t="shared" si="182"/>
        <v>성진14FW NCAA 5950_06_BK</v>
      </c>
      <c r="K628" s="17">
        <f t="shared" si="183"/>
        <v>41758</v>
      </c>
      <c r="L628" s="12" t="str">
        <f t="shared" si="184"/>
        <v>201404</v>
      </c>
      <c r="M628" s="347" t="str">
        <f>VLOOKUP($K628,[3]주!$A:$F,6,FALSE)</f>
        <v>3월 2주</v>
      </c>
      <c r="N628" s="273" t="str">
        <f>IF(VLOOKUP($Z628,생산업체!$A:$C,2,FALSE)=1,"해외","국내")</f>
        <v>해외</v>
      </c>
      <c r="O628" s="12" t="str">
        <f>IF(VLOOKUP($U628,CODE!$K:$P,CODE!P$1,FALSE)="모자",T628,T628&amp;"-"&amp;VLOOKUP($U628,CODE!$K:$P,CODE!P$1,FALSE))</f>
        <v>NAA</v>
      </c>
      <c r="P628" s="11" t="s">
        <v>1096</v>
      </c>
      <c r="R628" s="11">
        <v>6</v>
      </c>
      <c r="T628" s="8" t="s">
        <v>1096</v>
      </c>
      <c r="U628" s="8" t="s">
        <v>50</v>
      </c>
      <c r="V628" s="8" t="s">
        <v>43</v>
      </c>
      <c r="W628" s="8" t="s">
        <v>2142</v>
      </c>
      <c r="X628" s="8" t="s">
        <v>900</v>
      </c>
      <c r="Y628" s="9">
        <v>1</v>
      </c>
      <c r="Z628" s="8" t="s">
        <v>48</v>
      </c>
      <c r="AA628" s="10">
        <v>41722</v>
      </c>
      <c r="AB628" s="10">
        <v>41750</v>
      </c>
      <c r="AC628" s="10">
        <v>41759</v>
      </c>
      <c r="AD628" s="10">
        <v>41758</v>
      </c>
      <c r="AE628" s="8">
        <v>5.75</v>
      </c>
    </row>
    <row r="629" spans="1:35">
      <c r="A629" s="7">
        <f t="shared" si="174"/>
        <v>1</v>
      </c>
      <c r="B629" s="7" t="str">
        <f t="shared" si="178"/>
        <v>14FW NCAA 5950_07_BK</v>
      </c>
      <c r="C629" s="7">
        <f t="shared" si="175"/>
        <v>1</v>
      </c>
      <c r="D629" s="7" t="str">
        <f t="shared" si="179"/>
        <v>성진14FW NCAA 5950_07_BK</v>
      </c>
      <c r="E629" s="12" t="str">
        <f t="shared" si="180"/>
        <v>201403</v>
      </c>
      <c r="F629" s="347" t="str">
        <f>VLOOKUP($AA629,[3]주!$A:$F,6,FALSE)</f>
        <v>3월 2주</v>
      </c>
      <c r="G629" s="7">
        <f t="shared" si="176"/>
        <v>1</v>
      </c>
      <c r="H629" s="7" t="str">
        <f t="shared" si="181"/>
        <v>14FW NCAA 5950_07_BK</v>
      </c>
      <c r="I629" s="7">
        <f t="shared" si="177"/>
        <v>1</v>
      </c>
      <c r="J629" s="7" t="str">
        <f t="shared" si="182"/>
        <v>성진14FW NCAA 5950_07_BK</v>
      </c>
      <c r="K629" s="17">
        <f t="shared" si="183"/>
        <v>41754</v>
      </c>
      <c r="L629" s="12" t="str">
        <f t="shared" si="184"/>
        <v>201404</v>
      </c>
      <c r="M629" s="347" t="str">
        <f>VLOOKUP($K629,[3]주!$A:$F,6,FALSE)</f>
        <v>3월 2주</v>
      </c>
      <c r="N629" s="273" t="str">
        <f>IF(VLOOKUP($Z629,생산업체!$A:$C,2,FALSE)=1,"해외","국내")</f>
        <v>해외</v>
      </c>
      <c r="O629" s="12" t="str">
        <f>IF(VLOOKUP($U629,CODE!$K:$P,CODE!P$1,FALSE)="모자",T629,T629&amp;"-"&amp;VLOOKUP($U629,CODE!$K:$P,CODE!P$1,FALSE))</f>
        <v>NAA</v>
      </c>
      <c r="P629" s="11" t="s">
        <v>1096</v>
      </c>
      <c r="R629" s="11">
        <v>7</v>
      </c>
      <c r="T629" s="8" t="s">
        <v>1096</v>
      </c>
      <c r="U629" s="8" t="s">
        <v>50</v>
      </c>
      <c r="V629" s="8" t="s">
        <v>43</v>
      </c>
      <c r="W629" s="8" t="s">
        <v>2143</v>
      </c>
      <c r="X629" s="8" t="s">
        <v>900</v>
      </c>
      <c r="Y629" s="9">
        <v>1</v>
      </c>
      <c r="Z629" s="8" t="s">
        <v>48</v>
      </c>
      <c r="AA629" s="10">
        <v>41722</v>
      </c>
      <c r="AB629" s="10">
        <v>41750</v>
      </c>
      <c r="AC629" s="10">
        <v>41759</v>
      </c>
      <c r="AD629" s="10">
        <v>41754</v>
      </c>
      <c r="AE629" s="8">
        <v>6.85</v>
      </c>
    </row>
    <row r="630" spans="1:35">
      <c r="A630" s="7">
        <f t="shared" si="174"/>
        <v>1</v>
      </c>
      <c r="B630" s="7" t="str">
        <f t="shared" si="178"/>
        <v>14FW NCAA 5950_08_GY</v>
      </c>
      <c r="C630" s="7">
        <f t="shared" si="175"/>
        <v>1</v>
      </c>
      <c r="D630" s="7" t="str">
        <f t="shared" si="179"/>
        <v>성진14FW NCAA 5950_08_GY</v>
      </c>
      <c r="E630" s="12" t="str">
        <f t="shared" si="180"/>
        <v>201403</v>
      </c>
      <c r="F630" s="347" t="str">
        <f>VLOOKUP($AA630,[3]주!$A:$F,6,FALSE)</f>
        <v>3월 2주</v>
      </c>
      <c r="G630" s="7">
        <f t="shared" si="176"/>
        <v>1</v>
      </c>
      <c r="H630" s="7" t="str">
        <f t="shared" si="181"/>
        <v>14FW NCAA 5950_08_GY</v>
      </c>
      <c r="I630" s="7">
        <f t="shared" si="177"/>
        <v>1</v>
      </c>
      <c r="J630" s="7" t="str">
        <f t="shared" si="182"/>
        <v>성진14FW NCAA 5950_08_GY</v>
      </c>
      <c r="K630" s="17">
        <f t="shared" si="183"/>
        <v>41758</v>
      </c>
      <c r="L630" s="12" t="str">
        <f t="shared" si="184"/>
        <v>201404</v>
      </c>
      <c r="M630" s="347" t="str">
        <f>VLOOKUP($K630,[3]주!$A:$F,6,FALSE)</f>
        <v>3월 2주</v>
      </c>
      <c r="N630" s="273" t="str">
        <f>IF(VLOOKUP($Z630,생산업체!$A:$C,2,FALSE)=1,"해외","국내")</f>
        <v>해외</v>
      </c>
      <c r="O630" s="12" t="str">
        <f>IF(VLOOKUP($U630,CODE!$K:$P,CODE!P$1,FALSE)="모자",T630,T630&amp;"-"&amp;VLOOKUP($U630,CODE!$K:$P,CODE!P$1,FALSE))</f>
        <v>NAA</v>
      </c>
      <c r="P630" s="11" t="s">
        <v>1096</v>
      </c>
      <c r="R630" s="11">
        <v>8</v>
      </c>
      <c r="T630" s="8" t="s">
        <v>1096</v>
      </c>
      <c r="U630" s="8" t="s">
        <v>50</v>
      </c>
      <c r="V630" s="8" t="s">
        <v>43</v>
      </c>
      <c r="W630" s="8" t="s">
        <v>2144</v>
      </c>
      <c r="X630" s="8" t="s">
        <v>900</v>
      </c>
      <c r="Y630" s="9">
        <v>1</v>
      </c>
      <c r="Z630" s="8" t="s">
        <v>48</v>
      </c>
      <c r="AA630" s="10">
        <v>41722</v>
      </c>
      <c r="AB630" s="10">
        <v>41750</v>
      </c>
      <c r="AC630" s="10">
        <v>41759</v>
      </c>
      <c r="AD630" s="10">
        <v>41758</v>
      </c>
      <c r="AE630" s="8">
        <v>5.9</v>
      </c>
    </row>
    <row r="631" spans="1:35">
      <c r="A631" s="7">
        <f t="shared" si="174"/>
        <v>1</v>
      </c>
      <c r="B631" s="7" t="str">
        <f t="shared" si="178"/>
        <v>14FW NCAA 5950_10_BL</v>
      </c>
      <c r="C631" s="7">
        <f t="shared" si="175"/>
        <v>1</v>
      </c>
      <c r="D631" s="7" t="str">
        <f t="shared" si="179"/>
        <v>성진14FW NCAA 5950_10_BL</v>
      </c>
      <c r="E631" s="12" t="str">
        <f t="shared" si="180"/>
        <v>201403</v>
      </c>
      <c r="F631" s="347" t="str">
        <f>VLOOKUP($AA631,[3]주!$A:$F,6,FALSE)</f>
        <v>3월 2주</v>
      </c>
      <c r="G631" s="7">
        <f t="shared" si="176"/>
        <v>1</v>
      </c>
      <c r="H631" s="7" t="str">
        <f t="shared" si="181"/>
        <v>14FW NCAA 5950_10_BL</v>
      </c>
      <c r="I631" s="7">
        <f t="shared" si="177"/>
        <v>1</v>
      </c>
      <c r="J631" s="7" t="str">
        <f t="shared" si="182"/>
        <v>성진14FW NCAA 5950_10_BL</v>
      </c>
      <c r="K631" s="17">
        <f t="shared" si="183"/>
        <v>41754</v>
      </c>
      <c r="L631" s="12" t="str">
        <f t="shared" si="184"/>
        <v>201404</v>
      </c>
      <c r="M631" s="347" t="str">
        <f>VLOOKUP($K631,[3]주!$A:$F,6,FALSE)</f>
        <v>3월 2주</v>
      </c>
      <c r="N631" s="273" t="str">
        <f>IF(VLOOKUP($Z631,생산업체!$A:$C,2,FALSE)=1,"해외","국내")</f>
        <v>해외</v>
      </c>
      <c r="O631" s="12" t="str">
        <f>IF(VLOOKUP($U631,CODE!$K:$P,CODE!P$1,FALSE)="모자",T631,T631&amp;"-"&amp;VLOOKUP($U631,CODE!$K:$P,CODE!P$1,FALSE))</f>
        <v>NAA</v>
      </c>
      <c r="P631" s="11" t="s">
        <v>1096</v>
      </c>
      <c r="R631" s="11">
        <v>9</v>
      </c>
      <c r="T631" s="8" t="s">
        <v>1096</v>
      </c>
      <c r="U631" s="8" t="s">
        <v>50</v>
      </c>
      <c r="V631" s="8" t="s">
        <v>43</v>
      </c>
      <c r="W631" s="8" t="s">
        <v>2145</v>
      </c>
      <c r="X631" s="8" t="s">
        <v>900</v>
      </c>
      <c r="Y631" s="9">
        <v>1</v>
      </c>
      <c r="Z631" s="8" t="s">
        <v>48</v>
      </c>
      <c r="AA631" s="10">
        <v>41722</v>
      </c>
      <c r="AB631" s="10">
        <v>41750</v>
      </c>
      <c r="AC631" s="10">
        <v>41759</v>
      </c>
      <c r="AD631" s="10">
        <v>41754</v>
      </c>
      <c r="AE631" s="8">
        <v>5.3</v>
      </c>
    </row>
    <row r="632" spans="1:35">
      <c r="A632" s="7">
        <f t="shared" si="174"/>
        <v>0.5</v>
      </c>
      <c r="B632" s="7" t="str">
        <f t="shared" si="178"/>
        <v>14FW NCAA 5950_05_RD</v>
      </c>
      <c r="C632" s="7">
        <f t="shared" si="175"/>
        <v>1</v>
      </c>
      <c r="D632" s="7" t="str">
        <f t="shared" si="179"/>
        <v>성진14FW NCAA 5950_05_RD</v>
      </c>
      <c r="E632" s="12" t="str">
        <f t="shared" si="180"/>
        <v>201403</v>
      </c>
      <c r="F632" s="347" t="str">
        <f>VLOOKUP($AA632,[3]주!$A:$F,6,FALSE)</f>
        <v>3월 2주</v>
      </c>
      <c r="G632" s="7">
        <f t="shared" si="176"/>
        <v>0.5</v>
      </c>
      <c r="H632" s="7" t="str">
        <f t="shared" si="181"/>
        <v>14FW NCAA 5950_05_RD</v>
      </c>
      <c r="I632" s="7">
        <f t="shared" si="177"/>
        <v>1</v>
      </c>
      <c r="J632" s="7" t="str">
        <f t="shared" si="182"/>
        <v>성진14FW NCAA 5950_05_RD</v>
      </c>
      <c r="K632" s="17">
        <f t="shared" si="183"/>
        <v>41754</v>
      </c>
      <c r="L632" s="12" t="str">
        <f t="shared" si="184"/>
        <v>201404</v>
      </c>
      <c r="M632" s="347" t="str">
        <f>VLOOKUP($K632,[3]주!$A:$F,6,FALSE)</f>
        <v>3월 2주</v>
      </c>
      <c r="N632" s="273" t="str">
        <f>IF(VLOOKUP($Z632,생산업체!$A:$C,2,FALSE)=1,"해외","국내")</f>
        <v>해외</v>
      </c>
      <c r="O632" s="12" t="str">
        <f>IF(VLOOKUP($U632,CODE!$K:$P,CODE!P$1,FALSE)="모자",T632,T632&amp;"-"&amp;VLOOKUP($U632,CODE!$K:$P,CODE!P$1,FALSE))</f>
        <v>NAA</v>
      </c>
      <c r="P632" s="11" t="s">
        <v>1096</v>
      </c>
      <c r="R632" s="11">
        <v>10</v>
      </c>
      <c r="T632" s="8" t="s">
        <v>1096</v>
      </c>
      <c r="U632" s="8" t="s">
        <v>50</v>
      </c>
      <c r="V632" s="8" t="s">
        <v>43</v>
      </c>
      <c r="W632" s="8" t="s">
        <v>2146</v>
      </c>
      <c r="X632" s="8" t="s">
        <v>900</v>
      </c>
      <c r="Y632" s="9">
        <v>0.5</v>
      </c>
      <c r="Z632" s="8" t="s">
        <v>48</v>
      </c>
      <c r="AA632" s="10">
        <v>41722</v>
      </c>
      <c r="AB632" s="10">
        <v>41750</v>
      </c>
      <c r="AC632" s="10">
        <v>41754</v>
      </c>
      <c r="AD632" s="10">
        <v>41754</v>
      </c>
      <c r="AE632" s="8">
        <v>5.85</v>
      </c>
    </row>
    <row r="633" spans="1:35">
      <c r="A633" s="7">
        <f t="shared" si="174"/>
        <v>0.5</v>
      </c>
      <c r="B633" s="7" t="str">
        <f t="shared" si="178"/>
        <v>14FW NCAA 5950_09_NV</v>
      </c>
      <c r="C633" s="7">
        <f t="shared" si="175"/>
        <v>1</v>
      </c>
      <c r="D633" s="7" t="str">
        <f t="shared" si="179"/>
        <v>성진14FW NCAA 5950_09_NV</v>
      </c>
      <c r="E633" s="12" t="str">
        <f t="shared" si="180"/>
        <v>201403</v>
      </c>
      <c r="F633" s="347" t="str">
        <f>VLOOKUP($AA633,[3]주!$A:$F,6,FALSE)</f>
        <v>3월 2주</v>
      </c>
      <c r="G633" s="7">
        <f t="shared" si="176"/>
        <v>0.5</v>
      </c>
      <c r="H633" s="7" t="str">
        <f t="shared" si="181"/>
        <v>14FW NCAA 5950_09_NV</v>
      </c>
      <c r="I633" s="7">
        <f t="shared" si="177"/>
        <v>1</v>
      </c>
      <c r="J633" s="7" t="str">
        <f t="shared" si="182"/>
        <v>성진14FW NCAA 5950_09_NV</v>
      </c>
      <c r="K633" s="17">
        <f t="shared" si="183"/>
        <v>41754</v>
      </c>
      <c r="L633" s="12" t="str">
        <f t="shared" si="184"/>
        <v>201404</v>
      </c>
      <c r="M633" s="347" t="str">
        <f>VLOOKUP($K633,[3]주!$A:$F,6,FALSE)</f>
        <v>3월 2주</v>
      </c>
      <c r="N633" s="273" t="str">
        <f>IF(VLOOKUP($Z633,생산업체!$A:$C,2,FALSE)=1,"해외","국내")</f>
        <v>해외</v>
      </c>
      <c r="O633" s="12" t="str">
        <f>IF(VLOOKUP($U633,CODE!$K:$P,CODE!P$1,FALSE)="모자",T633,T633&amp;"-"&amp;VLOOKUP($U633,CODE!$K:$P,CODE!P$1,FALSE))</f>
        <v>NAA</v>
      </c>
      <c r="P633" s="11" t="s">
        <v>1096</v>
      </c>
      <c r="R633" s="11">
        <v>11</v>
      </c>
      <c r="T633" s="8" t="s">
        <v>1096</v>
      </c>
      <c r="U633" s="8" t="s">
        <v>50</v>
      </c>
      <c r="V633" s="8" t="s">
        <v>43</v>
      </c>
      <c r="W633" s="8" t="s">
        <v>2147</v>
      </c>
      <c r="X633" s="8" t="s">
        <v>900</v>
      </c>
      <c r="Y633" s="9">
        <v>0.5</v>
      </c>
      <c r="Z633" s="8" t="s">
        <v>48</v>
      </c>
      <c r="AA633" s="10">
        <v>41722</v>
      </c>
      <c r="AB633" s="10">
        <v>41750</v>
      </c>
      <c r="AC633" s="10">
        <v>41754</v>
      </c>
      <c r="AD633" s="10">
        <v>41754</v>
      </c>
      <c r="AE633" s="8">
        <v>6.2</v>
      </c>
    </row>
    <row r="634" spans="1:35">
      <c r="A634" s="7">
        <f t="shared" si="174"/>
        <v>1</v>
      </c>
      <c r="B634" s="7" t="str">
        <f t="shared" si="178"/>
        <v>14FW NCAA 5950_11_BK</v>
      </c>
      <c r="C634" s="7">
        <f t="shared" si="175"/>
        <v>1</v>
      </c>
      <c r="D634" s="7" t="str">
        <f t="shared" si="179"/>
        <v>캡보이14FW NCAA 5950_11_BK</v>
      </c>
      <c r="E634" s="12" t="str">
        <f t="shared" si="180"/>
        <v>201403</v>
      </c>
      <c r="F634" s="347" t="str">
        <f>VLOOKUP($AA634,[3]주!$A:$F,6,FALSE)</f>
        <v>3월 2주</v>
      </c>
      <c r="G634" s="7">
        <f t="shared" si="176"/>
        <v>1</v>
      </c>
      <c r="H634" s="7" t="str">
        <f t="shared" si="181"/>
        <v>14FW NCAA 5950_11_BK</v>
      </c>
      <c r="I634" s="7">
        <f t="shared" si="177"/>
        <v>1</v>
      </c>
      <c r="J634" s="7" t="str">
        <f t="shared" si="182"/>
        <v>캡보이14FW NCAA 5950_11_BK</v>
      </c>
      <c r="K634" s="17">
        <f t="shared" si="183"/>
        <v>41778</v>
      </c>
      <c r="L634" s="12" t="str">
        <f t="shared" si="184"/>
        <v>201405</v>
      </c>
      <c r="M634" s="347" t="str">
        <f>VLOOKUP($K634,[3]주!$A:$F,6,FALSE)</f>
        <v>3월 2주</v>
      </c>
      <c r="N634" s="273" t="str">
        <f>IF(VLOOKUP($Z634,생산업체!$A:$C,2,FALSE)=1,"해외","국내")</f>
        <v>국내</v>
      </c>
      <c r="O634" s="12" t="str">
        <f>IF(VLOOKUP($U634,CODE!$K:$P,CODE!P$1,FALSE)="모자",T634,T634&amp;"-"&amp;VLOOKUP($U634,CODE!$K:$P,CODE!P$1,FALSE))</f>
        <v>NAA</v>
      </c>
      <c r="P634" s="11" t="s">
        <v>1096</v>
      </c>
      <c r="R634" s="11">
        <v>12</v>
      </c>
      <c r="T634" s="8" t="s">
        <v>1096</v>
      </c>
      <c r="U634" s="8" t="s">
        <v>50</v>
      </c>
      <c r="V634" s="8" t="s">
        <v>43</v>
      </c>
      <c r="W634" s="8" t="s">
        <v>2148</v>
      </c>
      <c r="X634" s="8" t="s">
        <v>900</v>
      </c>
      <c r="Y634" s="9">
        <v>1</v>
      </c>
      <c r="Z634" s="8" t="s">
        <v>49</v>
      </c>
      <c r="AA634" s="10">
        <v>41722</v>
      </c>
      <c r="AB634" s="10">
        <v>41743</v>
      </c>
      <c r="AC634" s="10">
        <v>41778</v>
      </c>
      <c r="AD634" s="10">
        <v>41778</v>
      </c>
    </row>
    <row r="635" spans="1:35">
      <c r="A635" s="7">
        <f t="shared" si="174"/>
        <v>1</v>
      </c>
      <c r="B635" s="7" t="str">
        <f t="shared" si="178"/>
        <v>14FW NCAA 5950_12_GR.CAMO</v>
      </c>
      <c r="C635" s="7">
        <f t="shared" si="175"/>
        <v>1</v>
      </c>
      <c r="D635" s="7" t="str">
        <f t="shared" si="179"/>
        <v>캡보이14FW NCAA 5950_12_GR.CAMO</v>
      </c>
      <c r="E635" s="12" t="str">
        <f t="shared" si="180"/>
        <v>201403</v>
      </c>
      <c r="F635" s="347" t="str">
        <f>VLOOKUP($AA635,[3]주!$A:$F,6,FALSE)</f>
        <v>3월 2주</v>
      </c>
      <c r="G635" s="7">
        <f t="shared" si="176"/>
        <v>1</v>
      </c>
      <c r="H635" s="7" t="str">
        <f t="shared" si="181"/>
        <v>14FW NCAA 5950_12_GR.CAMO</v>
      </c>
      <c r="I635" s="7">
        <f t="shared" si="177"/>
        <v>1</v>
      </c>
      <c r="J635" s="7" t="str">
        <f t="shared" si="182"/>
        <v>캡보이14FW NCAA 5950_12_GR.CAMO</v>
      </c>
      <c r="K635" s="17">
        <f t="shared" si="183"/>
        <v>41778</v>
      </c>
      <c r="L635" s="12" t="str">
        <f t="shared" si="184"/>
        <v>201405</v>
      </c>
      <c r="M635" s="347" t="str">
        <f>VLOOKUP($K635,[3]주!$A:$F,6,FALSE)</f>
        <v>3월 2주</v>
      </c>
      <c r="N635" s="273" t="str">
        <f>IF(VLOOKUP($Z635,생산업체!$A:$C,2,FALSE)=1,"해외","국내")</f>
        <v>국내</v>
      </c>
      <c r="O635" s="12" t="str">
        <f>IF(VLOOKUP($U635,CODE!$K:$P,CODE!P$1,FALSE)="모자",T635,T635&amp;"-"&amp;VLOOKUP($U635,CODE!$K:$P,CODE!P$1,FALSE))</f>
        <v>NAA</v>
      </c>
      <c r="P635" s="11" t="s">
        <v>1096</v>
      </c>
      <c r="R635" s="11">
        <v>13</v>
      </c>
      <c r="T635" s="8" t="s">
        <v>1096</v>
      </c>
      <c r="U635" s="8" t="s">
        <v>50</v>
      </c>
      <c r="V635" s="8" t="s">
        <v>43</v>
      </c>
      <c r="W635" s="8" t="s">
        <v>2149</v>
      </c>
      <c r="X635" s="8" t="s">
        <v>900</v>
      </c>
      <c r="Y635" s="9">
        <v>1</v>
      </c>
      <c r="Z635" s="8" t="s">
        <v>49</v>
      </c>
      <c r="AA635" s="10">
        <v>41722</v>
      </c>
      <c r="AB635" s="10">
        <v>41743</v>
      </c>
      <c r="AC635" s="10">
        <v>41778</v>
      </c>
      <c r="AD635" s="10">
        <v>41778</v>
      </c>
    </row>
    <row r="636" spans="1:35">
      <c r="A636" s="7">
        <f t="shared" si="174"/>
        <v>1</v>
      </c>
      <c r="B636" s="7" t="str">
        <f t="shared" si="178"/>
        <v>14FW NCAA 5950_13_CAMO</v>
      </c>
      <c r="C636" s="7">
        <f t="shared" si="175"/>
        <v>1</v>
      </c>
      <c r="D636" s="7" t="str">
        <f t="shared" si="179"/>
        <v>캡보이14FW NCAA 5950_13_CAMO</v>
      </c>
      <c r="E636" s="12" t="str">
        <f t="shared" si="180"/>
        <v>201403</v>
      </c>
      <c r="F636" s="347" t="str">
        <f>VLOOKUP($AA636,[3]주!$A:$F,6,FALSE)</f>
        <v>3월 2주</v>
      </c>
      <c r="G636" s="7">
        <f t="shared" si="176"/>
        <v>0</v>
      </c>
      <c r="H636" s="7" t="str">
        <f t="shared" si="181"/>
        <v/>
      </c>
      <c r="I636" s="7">
        <f t="shared" si="177"/>
        <v>0</v>
      </c>
      <c r="J636" s="7" t="str">
        <f t="shared" si="182"/>
        <v/>
      </c>
      <c r="K636" s="17">
        <f t="shared" si="183"/>
        <v>41778</v>
      </c>
      <c r="L636" s="12" t="str">
        <f t="shared" si="184"/>
        <v>201405</v>
      </c>
      <c r="M636" s="347" t="str">
        <f>VLOOKUP($K636,[3]주!$A:$F,6,FALSE)</f>
        <v>3월 2주</v>
      </c>
      <c r="N636" s="273" t="str">
        <f>IF(VLOOKUP($Z636,생산업체!$A:$C,2,FALSE)=1,"해외","국내")</f>
        <v>국내</v>
      </c>
      <c r="O636" s="12" t="str">
        <f>IF(VLOOKUP($U636,CODE!$K:$P,CODE!P$1,FALSE)="모자",T636,T636&amp;"-"&amp;VLOOKUP($U636,CODE!$K:$P,CODE!P$1,FALSE))</f>
        <v>NAA</v>
      </c>
      <c r="P636" s="11" t="s">
        <v>1096</v>
      </c>
      <c r="R636" s="11">
        <v>14</v>
      </c>
      <c r="T636" s="8" t="s">
        <v>1096</v>
      </c>
      <c r="U636" s="8" t="s">
        <v>50</v>
      </c>
      <c r="V636" s="8" t="s">
        <v>43</v>
      </c>
      <c r="W636" s="8" t="s">
        <v>2150</v>
      </c>
      <c r="X636" s="8" t="s">
        <v>900</v>
      </c>
      <c r="Y636" s="9">
        <v>1</v>
      </c>
      <c r="Z636" s="8" t="s">
        <v>49</v>
      </c>
      <c r="AA636" s="10">
        <v>41722</v>
      </c>
      <c r="AB636" s="10">
        <v>41743</v>
      </c>
      <c r="AC636" s="10">
        <v>41778</v>
      </c>
    </row>
    <row r="637" spans="1:35">
      <c r="A637" s="7">
        <f t="shared" si="174"/>
        <v>1</v>
      </c>
      <c r="B637" s="7" t="str">
        <f t="shared" si="178"/>
        <v>14FW NCAA 5950_14_BK</v>
      </c>
      <c r="C637" s="7">
        <f t="shared" si="175"/>
        <v>1</v>
      </c>
      <c r="D637" s="7" t="str">
        <f t="shared" si="179"/>
        <v>캡보이14FW NCAA 5950_14_BK</v>
      </c>
      <c r="E637" s="12" t="str">
        <f t="shared" si="180"/>
        <v>201403</v>
      </c>
      <c r="F637" s="347" t="str">
        <f>VLOOKUP($AA637,[3]주!$A:$F,6,FALSE)</f>
        <v>3월 2주</v>
      </c>
      <c r="G637" s="7">
        <f t="shared" si="176"/>
        <v>1</v>
      </c>
      <c r="H637" s="7" t="str">
        <f t="shared" si="181"/>
        <v>14FW NCAA 5950_14_BK</v>
      </c>
      <c r="I637" s="7">
        <f t="shared" si="177"/>
        <v>1</v>
      </c>
      <c r="J637" s="7" t="str">
        <f t="shared" si="182"/>
        <v>캡보이14FW NCAA 5950_14_BK</v>
      </c>
      <c r="K637" s="17">
        <f t="shared" si="183"/>
        <v>41778</v>
      </c>
      <c r="L637" s="12" t="str">
        <f t="shared" si="184"/>
        <v>201405</v>
      </c>
      <c r="M637" s="347" t="str">
        <f>VLOOKUP($K637,[3]주!$A:$F,6,FALSE)</f>
        <v>3월 2주</v>
      </c>
      <c r="N637" s="273" t="str">
        <f>IF(VLOOKUP($Z637,생산업체!$A:$C,2,FALSE)=1,"해외","국내")</f>
        <v>국내</v>
      </c>
      <c r="O637" s="12" t="str">
        <f>IF(VLOOKUP($U637,CODE!$K:$P,CODE!P$1,FALSE)="모자",T637,T637&amp;"-"&amp;VLOOKUP($U637,CODE!$K:$P,CODE!P$1,FALSE))</f>
        <v>NAA</v>
      </c>
      <c r="P637" s="11" t="s">
        <v>1096</v>
      </c>
      <c r="R637" s="11">
        <v>15</v>
      </c>
      <c r="T637" s="8" t="s">
        <v>1096</v>
      </c>
      <c r="U637" s="8" t="s">
        <v>50</v>
      </c>
      <c r="V637" s="8" t="s">
        <v>43</v>
      </c>
      <c r="W637" s="8" t="s">
        <v>2151</v>
      </c>
      <c r="X637" s="8" t="s">
        <v>900</v>
      </c>
      <c r="Y637" s="9">
        <v>1</v>
      </c>
      <c r="Z637" s="8" t="s">
        <v>49</v>
      </c>
      <c r="AA637" s="10">
        <v>41722</v>
      </c>
      <c r="AB637" s="10">
        <v>41743</v>
      </c>
      <c r="AC637" s="10">
        <v>41778</v>
      </c>
      <c r="AD637" s="10">
        <v>41778</v>
      </c>
    </row>
    <row r="638" spans="1:35">
      <c r="A638" s="7">
        <f t="shared" si="174"/>
        <v>0.5</v>
      </c>
      <c r="B638" s="7" t="str">
        <f t="shared" si="178"/>
        <v>14FW NCAA 5950_05_RD</v>
      </c>
      <c r="C638" s="7">
        <f t="shared" si="175"/>
        <v>1</v>
      </c>
      <c r="D638" s="7" t="str">
        <f t="shared" si="179"/>
        <v>캡보이14FW NCAA 5950_05_RD</v>
      </c>
      <c r="E638" s="12" t="str">
        <f t="shared" si="180"/>
        <v>201403</v>
      </c>
      <c r="F638" s="347" t="str">
        <f>VLOOKUP($AA638,[3]주!$A:$F,6,FALSE)</f>
        <v>3월 2주</v>
      </c>
      <c r="G638" s="7">
        <f t="shared" si="176"/>
        <v>0.5</v>
      </c>
      <c r="H638" s="7" t="str">
        <f t="shared" si="181"/>
        <v>14FW NCAA 5950_05_RD</v>
      </c>
      <c r="I638" s="7">
        <f t="shared" si="177"/>
        <v>1</v>
      </c>
      <c r="J638" s="7" t="str">
        <f t="shared" si="182"/>
        <v>캡보이14FW NCAA 5950_05_RD</v>
      </c>
      <c r="K638" s="17">
        <f t="shared" si="183"/>
        <v>41778</v>
      </c>
      <c r="L638" s="12" t="str">
        <f t="shared" si="184"/>
        <v>201405</v>
      </c>
      <c r="M638" s="347" t="str">
        <f>VLOOKUP($K638,[3]주!$A:$F,6,FALSE)</f>
        <v>3월 2주</v>
      </c>
      <c r="N638" s="273" t="str">
        <f>IF(VLOOKUP($Z638,생산업체!$A:$C,2,FALSE)=1,"해외","국내")</f>
        <v>국내</v>
      </c>
      <c r="O638" s="12" t="str">
        <f>IF(VLOOKUP($U638,CODE!$K:$P,CODE!P$1,FALSE)="모자",T638,T638&amp;"-"&amp;VLOOKUP($U638,CODE!$K:$P,CODE!P$1,FALSE))</f>
        <v>NAA</v>
      </c>
      <c r="P638" s="11" t="s">
        <v>1096</v>
      </c>
      <c r="R638" s="11">
        <v>16</v>
      </c>
      <c r="T638" s="8" t="s">
        <v>1096</v>
      </c>
      <c r="U638" s="8" t="s">
        <v>50</v>
      </c>
      <c r="V638" s="8" t="s">
        <v>43</v>
      </c>
      <c r="W638" s="8" t="s">
        <v>2146</v>
      </c>
      <c r="X638" s="8" t="s">
        <v>900</v>
      </c>
      <c r="Y638" s="9">
        <v>0.5</v>
      </c>
      <c r="Z638" s="8" t="s">
        <v>49</v>
      </c>
      <c r="AA638" s="10">
        <v>41729</v>
      </c>
      <c r="AB638" s="10">
        <v>41750</v>
      </c>
      <c r="AC638" s="10">
        <v>41778</v>
      </c>
      <c r="AD638" s="10">
        <v>41778</v>
      </c>
    </row>
    <row r="639" spans="1:35">
      <c r="A639" s="7">
        <f t="shared" si="174"/>
        <v>0.5</v>
      </c>
      <c r="B639" s="7" t="str">
        <f t="shared" si="178"/>
        <v>14FW NCAA 5950_09_NV</v>
      </c>
      <c r="C639" s="7">
        <f t="shared" si="175"/>
        <v>1</v>
      </c>
      <c r="D639" s="7" t="str">
        <f t="shared" si="179"/>
        <v>캡보이14FW NCAA 5950_09_NV</v>
      </c>
      <c r="E639" s="12" t="str">
        <f t="shared" si="180"/>
        <v>201403</v>
      </c>
      <c r="F639" s="347" t="str">
        <f>VLOOKUP($AA639,[3]주!$A:$F,6,FALSE)</f>
        <v>3월 2주</v>
      </c>
      <c r="G639" s="7">
        <f t="shared" si="176"/>
        <v>0.5</v>
      </c>
      <c r="H639" s="7" t="str">
        <f t="shared" si="181"/>
        <v>14FW NCAA 5950_09_NV</v>
      </c>
      <c r="I639" s="7">
        <f t="shared" si="177"/>
        <v>1</v>
      </c>
      <c r="J639" s="7" t="str">
        <f t="shared" si="182"/>
        <v>캡보이14FW NCAA 5950_09_NV</v>
      </c>
      <c r="K639" s="17">
        <f t="shared" si="183"/>
        <v>41778</v>
      </c>
      <c r="L639" s="12" t="str">
        <f t="shared" si="184"/>
        <v>201405</v>
      </c>
      <c r="M639" s="347" t="str">
        <f>VLOOKUP($K639,[3]주!$A:$F,6,FALSE)</f>
        <v>3월 2주</v>
      </c>
      <c r="N639" s="273" t="str">
        <f>IF(VLOOKUP($Z639,생산업체!$A:$C,2,FALSE)=1,"해외","국내")</f>
        <v>국내</v>
      </c>
      <c r="O639" s="12" t="str">
        <f>IF(VLOOKUP($U639,CODE!$K:$P,CODE!P$1,FALSE)="모자",T639,T639&amp;"-"&amp;VLOOKUP($U639,CODE!$K:$P,CODE!P$1,FALSE))</f>
        <v>NAA</v>
      </c>
      <c r="P639" s="11" t="s">
        <v>1096</v>
      </c>
      <c r="R639" s="11">
        <v>17</v>
      </c>
      <c r="T639" s="8" t="s">
        <v>1096</v>
      </c>
      <c r="U639" s="8" t="s">
        <v>50</v>
      </c>
      <c r="V639" s="8" t="s">
        <v>43</v>
      </c>
      <c r="W639" s="8" t="s">
        <v>2147</v>
      </c>
      <c r="X639" s="8" t="s">
        <v>900</v>
      </c>
      <c r="Y639" s="9">
        <v>0.5</v>
      </c>
      <c r="Z639" s="8" t="s">
        <v>49</v>
      </c>
      <c r="AA639" s="10">
        <v>41729</v>
      </c>
      <c r="AB639" s="10">
        <v>41750</v>
      </c>
      <c r="AC639" s="10">
        <v>41778</v>
      </c>
      <c r="AD639" s="10">
        <v>41778</v>
      </c>
    </row>
    <row r="640" spans="1:35">
      <c r="A640" s="7">
        <f t="shared" si="174"/>
        <v>1</v>
      </c>
      <c r="B640" s="7" t="str">
        <f t="shared" si="178"/>
        <v>14FW ELS_01_SNAP_RD</v>
      </c>
      <c r="C640" s="7">
        <f t="shared" si="175"/>
        <v>1</v>
      </c>
      <c r="D640" s="7" t="str">
        <f t="shared" si="179"/>
        <v>동일모자14FW ELS_01_SNAP_RD</v>
      </c>
      <c r="E640" s="12" t="str">
        <f t="shared" si="180"/>
        <v>201401</v>
      </c>
      <c r="F640" s="347" t="str">
        <f>VLOOKUP($AA640,[3]주!$A:$F,6,FALSE)</f>
        <v>1월 4주</v>
      </c>
      <c r="G640" s="7">
        <f t="shared" si="176"/>
        <v>1</v>
      </c>
      <c r="H640" s="7" t="str">
        <f t="shared" si="181"/>
        <v>14FW ELS_01_SNAP_RD</v>
      </c>
      <c r="I640" s="7">
        <f t="shared" si="177"/>
        <v>1</v>
      </c>
      <c r="J640" s="7" t="str">
        <f t="shared" si="182"/>
        <v>동일모자14FW ELS_01_SNAP_RD</v>
      </c>
      <c r="K640" s="17">
        <f t="shared" si="183"/>
        <v>41703</v>
      </c>
      <c r="L640" s="12" t="str">
        <f t="shared" si="184"/>
        <v>201403</v>
      </c>
      <c r="M640" s="347" t="str">
        <f>VLOOKUP($K640,[3]주!$A:$F,6,FALSE)</f>
        <v>3월 1주</v>
      </c>
      <c r="N640" s="273" t="str">
        <f>IF(VLOOKUP($Z640,생산업체!$A:$C,2,FALSE)=1,"해외","국내")</f>
        <v>해외</v>
      </c>
      <c r="O640" s="12" t="str">
        <f>IF(VLOOKUP($U640,CODE!$K:$P,CODE!P$1,FALSE)="모자",T640,T640&amp;"-"&amp;VLOOKUP($U640,CODE!$K:$P,CODE!P$1,FALSE))</f>
        <v>ELS</v>
      </c>
      <c r="P640" s="11" t="s">
        <v>3</v>
      </c>
      <c r="R640" s="11">
        <v>1</v>
      </c>
      <c r="T640" s="8" t="s">
        <v>3</v>
      </c>
      <c r="U640" s="8" t="s">
        <v>35</v>
      </c>
      <c r="V640" s="8" t="s">
        <v>43</v>
      </c>
      <c r="W640" s="8" t="s">
        <v>1320</v>
      </c>
      <c r="X640" s="8" t="s">
        <v>900</v>
      </c>
      <c r="Y640" s="9">
        <v>1</v>
      </c>
      <c r="Z640" s="8" t="s">
        <v>44</v>
      </c>
      <c r="AA640" s="10">
        <v>41663</v>
      </c>
      <c r="AB640" s="10">
        <v>41691</v>
      </c>
      <c r="AC640" s="10">
        <v>41718</v>
      </c>
      <c r="AD640" s="10">
        <v>41703</v>
      </c>
      <c r="AE640" s="8">
        <v>7.85</v>
      </c>
      <c r="AH640" s="8">
        <v>6</v>
      </c>
      <c r="AI640" s="8">
        <v>4</v>
      </c>
    </row>
    <row r="641" spans="1:36">
      <c r="A641" s="7">
        <f t="shared" si="174"/>
        <v>1</v>
      </c>
      <c r="B641" s="7" t="str">
        <f t="shared" si="178"/>
        <v>14FW ELS_02_SNAP_GR</v>
      </c>
      <c r="C641" s="7">
        <f t="shared" si="175"/>
        <v>1</v>
      </c>
      <c r="D641" s="7" t="str">
        <f t="shared" si="179"/>
        <v>동일모자14FW ELS_02_SNAP_GR</v>
      </c>
      <c r="E641" s="12" t="str">
        <f t="shared" si="180"/>
        <v>201401</v>
      </c>
      <c r="F641" s="347" t="str">
        <f>VLOOKUP($AA641,[3]주!$A:$F,6,FALSE)</f>
        <v>1월 4주</v>
      </c>
      <c r="G641" s="7">
        <f t="shared" si="176"/>
        <v>1</v>
      </c>
      <c r="H641" s="7" t="str">
        <f t="shared" si="181"/>
        <v>14FW ELS_02_SNAP_GR</v>
      </c>
      <c r="I641" s="7">
        <f t="shared" si="177"/>
        <v>1</v>
      </c>
      <c r="J641" s="7" t="str">
        <f t="shared" si="182"/>
        <v>동일모자14FW ELS_02_SNAP_GR</v>
      </c>
      <c r="K641" s="17">
        <f t="shared" si="183"/>
        <v>41712</v>
      </c>
      <c r="L641" s="12" t="str">
        <f t="shared" si="184"/>
        <v>201403</v>
      </c>
      <c r="M641" s="347" t="str">
        <f>VLOOKUP($K641,[3]주!$A:$F,6,FALSE)</f>
        <v>3월 2주</v>
      </c>
      <c r="N641" s="273" t="str">
        <f>IF(VLOOKUP($Z641,생산업체!$A:$C,2,FALSE)=1,"해외","국내")</f>
        <v>해외</v>
      </c>
      <c r="O641" s="12" t="str">
        <f>IF(VLOOKUP($U641,CODE!$K:$P,CODE!P$1,FALSE)="모자",T641,T641&amp;"-"&amp;VLOOKUP($U641,CODE!$K:$P,CODE!P$1,FALSE))</f>
        <v>ELS</v>
      </c>
      <c r="P641" s="11" t="s">
        <v>3</v>
      </c>
      <c r="R641" s="11">
        <v>2</v>
      </c>
      <c r="T641" s="8" t="s">
        <v>3</v>
      </c>
      <c r="U641" s="8" t="s">
        <v>35</v>
      </c>
      <c r="V641" s="8" t="s">
        <v>43</v>
      </c>
      <c r="W641" s="8" t="s">
        <v>1321</v>
      </c>
      <c r="X641" s="8" t="s">
        <v>900</v>
      </c>
      <c r="Y641" s="9">
        <v>1</v>
      </c>
      <c r="Z641" s="8" t="s">
        <v>44</v>
      </c>
      <c r="AA641" s="10">
        <v>41663</v>
      </c>
      <c r="AB641" s="10">
        <v>41691</v>
      </c>
      <c r="AC641" s="10">
        <v>41718</v>
      </c>
      <c r="AD641" s="10">
        <v>41712</v>
      </c>
      <c r="AE641" s="8">
        <v>7.55</v>
      </c>
      <c r="AH641" s="8">
        <v>5</v>
      </c>
      <c r="AI641" s="8">
        <v>4</v>
      </c>
    </row>
    <row r="642" spans="1:36">
      <c r="A642" s="7">
        <f t="shared" ref="A642:A675" si="185">IF(B642="",0,1/COUNTIF(B:B,B642))</f>
        <v>1</v>
      </c>
      <c r="B642" s="7" t="str">
        <f t="shared" si="178"/>
        <v>14FW ELS_03_TROOPER_BK</v>
      </c>
      <c r="C642" s="7">
        <f t="shared" ref="C642:C675" si="186">IF(D642="",0,1/COUNTIF(D:D,D642))</f>
        <v>1</v>
      </c>
      <c r="D642" s="7" t="str">
        <f t="shared" si="179"/>
        <v>FOREMOST14FW ELS_03_TROOPER_BK</v>
      </c>
      <c r="E642" s="12" t="str">
        <f t="shared" si="180"/>
        <v>201401</v>
      </c>
      <c r="F642" s="347" t="str">
        <f>VLOOKUP($AA642,[3]주!$A:$F,6,FALSE)</f>
        <v>1월 4주</v>
      </c>
      <c r="G642" s="7">
        <f t="shared" ref="G642:G675" si="187">IF(H642="",0,1/COUNTIF(H:H,H642))</f>
        <v>1</v>
      </c>
      <c r="H642" s="7" t="str">
        <f t="shared" si="181"/>
        <v>14FW ELS_03_TROOPER_BK</v>
      </c>
      <c r="I642" s="7">
        <f t="shared" ref="I642:I675" si="188">IF(J642="",0,1/COUNTIF(J:J,J642))</f>
        <v>1</v>
      </c>
      <c r="J642" s="7" t="str">
        <f t="shared" si="182"/>
        <v>FOREMOST14FW ELS_03_TROOPER_BK</v>
      </c>
      <c r="K642" s="17">
        <f t="shared" si="183"/>
        <v>41729</v>
      </c>
      <c r="L642" s="12" t="str">
        <f t="shared" si="184"/>
        <v>201403</v>
      </c>
      <c r="M642" s="347" t="str">
        <f>VLOOKUP($K642,[3]주!$A:$F,6,FALSE)</f>
        <v>3월 2주</v>
      </c>
      <c r="N642" s="273" t="str">
        <f>IF(VLOOKUP($Z642,생산업체!$A:$C,2,FALSE)=1,"해외","국내")</f>
        <v>해외</v>
      </c>
      <c r="O642" s="12" t="str">
        <f>IF(VLOOKUP($U642,CODE!$K:$P,CODE!P$1,FALSE)="모자",T642,T642&amp;"-"&amp;VLOOKUP($U642,CODE!$K:$P,CODE!P$1,FALSE))</f>
        <v>ELS</v>
      </c>
      <c r="P642" s="11" t="s">
        <v>3</v>
      </c>
      <c r="R642" s="11">
        <v>3</v>
      </c>
      <c r="T642" s="8" t="s">
        <v>3</v>
      </c>
      <c r="U642" s="8" t="s">
        <v>28</v>
      </c>
      <c r="V642" s="8" t="s">
        <v>43</v>
      </c>
      <c r="W642" s="8" t="s">
        <v>1286</v>
      </c>
      <c r="X642" s="8" t="s">
        <v>900</v>
      </c>
      <c r="Y642" s="9">
        <v>1</v>
      </c>
      <c r="Z642" s="8" t="s">
        <v>6</v>
      </c>
      <c r="AA642" s="10">
        <v>41663</v>
      </c>
      <c r="AB642" s="10">
        <v>41691</v>
      </c>
      <c r="AC642" s="10">
        <v>41733</v>
      </c>
      <c r="AD642" s="10">
        <v>41729</v>
      </c>
      <c r="AE642" s="8">
        <v>6.2</v>
      </c>
      <c r="AH642" s="8">
        <v>2</v>
      </c>
      <c r="AI642" s="8">
        <v>1</v>
      </c>
    </row>
    <row r="643" spans="1:36">
      <c r="A643" s="7">
        <f t="shared" si="185"/>
        <v>1</v>
      </c>
      <c r="B643" s="7" t="str">
        <f t="shared" ref="B643:B675" si="189">IF(AA643="","",W643)</f>
        <v>14FW ELS_04_SNAP_BK</v>
      </c>
      <c r="C643" s="7">
        <f t="shared" si="186"/>
        <v>1</v>
      </c>
      <c r="D643" s="7" t="str">
        <f t="shared" ref="D643:D675" si="190">IF(AA643="","",Z643&amp;W643)</f>
        <v>동일모자14FW ELS_04_SNAP_BK</v>
      </c>
      <c r="E643" s="12" t="str">
        <f t="shared" ref="E643:E675" si="191">IF(YEAR(AA643)&lt;10,0&amp;YEAR(AA643),YEAR(AA643))&amp;IF(MONTH(AA643)&lt;10,0&amp;MONTH(AA643),MONTH(AA643))</f>
        <v>201401</v>
      </c>
      <c r="F643" s="347" t="str">
        <f>VLOOKUP($AA643,[3]주!$A:$F,6,FALSE)</f>
        <v>1월 4주</v>
      </c>
      <c r="G643" s="7">
        <f t="shared" si="187"/>
        <v>1</v>
      </c>
      <c r="H643" s="7" t="str">
        <f t="shared" ref="H643:H675" si="192">IF(AD643="","",W643)</f>
        <v>14FW ELS_04_SNAP_BK</v>
      </c>
      <c r="I643" s="7">
        <f t="shared" si="188"/>
        <v>1</v>
      </c>
      <c r="J643" s="7" t="str">
        <f t="shared" ref="J643:J675" si="193">IF(AD643="","",Z643&amp;W643)</f>
        <v>동일모자14FW ELS_04_SNAP_BK</v>
      </c>
      <c r="K643" s="17">
        <f t="shared" ref="K643:K675" si="194">IF(AD643="",AC643,AD643)</f>
        <v>41703</v>
      </c>
      <c r="L643" s="12" t="str">
        <f t="shared" ref="L643:L675" si="195">IF(YEAR(K643)&lt;10,0&amp;YEAR(K643),YEAR(K643))&amp;IF(MONTH(K643)&lt;10,0&amp;MONTH(K643),MONTH(K643))</f>
        <v>201403</v>
      </c>
      <c r="M643" s="347" t="str">
        <f>VLOOKUP($K643,[3]주!$A:$F,6,FALSE)</f>
        <v>3월 1주</v>
      </c>
      <c r="N643" s="273" t="str">
        <f>IF(VLOOKUP($Z643,생산업체!$A:$C,2,FALSE)=1,"해외","국내")</f>
        <v>해외</v>
      </c>
      <c r="O643" s="12" t="str">
        <f>IF(VLOOKUP($U643,CODE!$K:$P,CODE!P$1,FALSE)="모자",T643,T643&amp;"-"&amp;VLOOKUP($U643,CODE!$K:$P,CODE!P$1,FALSE))</f>
        <v>ELS</v>
      </c>
      <c r="P643" s="11" t="s">
        <v>3</v>
      </c>
      <c r="R643" s="11">
        <v>4</v>
      </c>
      <c r="T643" s="8" t="s">
        <v>3</v>
      </c>
      <c r="U643" s="8" t="s">
        <v>35</v>
      </c>
      <c r="V643" s="8" t="s">
        <v>43</v>
      </c>
      <c r="W643" s="8" t="s">
        <v>1322</v>
      </c>
      <c r="X643" s="8" t="s">
        <v>900</v>
      </c>
      <c r="Y643" s="9">
        <v>1</v>
      </c>
      <c r="Z643" s="8" t="s">
        <v>44</v>
      </c>
      <c r="AA643" s="10">
        <v>41663</v>
      </c>
      <c r="AB643" s="10">
        <v>41691</v>
      </c>
      <c r="AC643" s="10">
        <v>41718</v>
      </c>
      <c r="AD643" s="10">
        <v>41703</v>
      </c>
      <c r="AE643" s="8">
        <v>7.4</v>
      </c>
      <c r="AH643" s="8">
        <v>4</v>
      </c>
      <c r="AI643" s="8">
        <v>1</v>
      </c>
    </row>
    <row r="644" spans="1:36">
      <c r="A644" s="7">
        <f t="shared" si="185"/>
        <v>1</v>
      </c>
      <c r="B644" s="7" t="str">
        <f t="shared" si="189"/>
        <v>14FW ELS_05_SNAP_PK</v>
      </c>
      <c r="C644" s="7">
        <f t="shared" si="186"/>
        <v>1</v>
      </c>
      <c r="D644" s="7" t="str">
        <f t="shared" si="190"/>
        <v>동일모자14FW ELS_05_SNAP_PK</v>
      </c>
      <c r="E644" s="12" t="str">
        <f t="shared" si="191"/>
        <v>201401</v>
      </c>
      <c r="F644" s="347" t="str">
        <f>VLOOKUP($AA644,[3]주!$A:$F,6,FALSE)</f>
        <v>1월 4주</v>
      </c>
      <c r="G644" s="7">
        <f t="shared" si="187"/>
        <v>1</v>
      </c>
      <c r="H644" s="7" t="str">
        <f t="shared" si="192"/>
        <v>14FW ELS_05_SNAP_PK</v>
      </c>
      <c r="I644" s="7">
        <f t="shared" si="188"/>
        <v>1</v>
      </c>
      <c r="J644" s="7" t="str">
        <f t="shared" si="193"/>
        <v>동일모자14FW ELS_05_SNAP_PK</v>
      </c>
      <c r="K644" s="17">
        <f t="shared" si="194"/>
        <v>41703</v>
      </c>
      <c r="L644" s="12" t="str">
        <f t="shared" si="195"/>
        <v>201403</v>
      </c>
      <c r="M644" s="347" t="str">
        <f>VLOOKUP($K644,[3]주!$A:$F,6,FALSE)</f>
        <v>3월 1주</v>
      </c>
      <c r="N644" s="273" t="str">
        <f>IF(VLOOKUP($Z644,생산업체!$A:$C,2,FALSE)=1,"해외","국내")</f>
        <v>해외</v>
      </c>
      <c r="O644" s="12" t="str">
        <f>IF(VLOOKUP($U644,CODE!$K:$P,CODE!P$1,FALSE)="모자",T644,T644&amp;"-"&amp;VLOOKUP($U644,CODE!$K:$P,CODE!P$1,FALSE))</f>
        <v>ELS</v>
      </c>
      <c r="P644" s="11" t="s">
        <v>3</v>
      </c>
      <c r="R644" s="11">
        <v>5</v>
      </c>
      <c r="T644" s="8" t="s">
        <v>3</v>
      </c>
      <c r="U644" s="8" t="s">
        <v>35</v>
      </c>
      <c r="V644" s="8" t="s">
        <v>43</v>
      </c>
      <c r="W644" s="8" t="s">
        <v>1323</v>
      </c>
      <c r="X644" s="8" t="s">
        <v>900</v>
      </c>
      <c r="Y644" s="9">
        <v>1</v>
      </c>
      <c r="Z644" s="8" t="s">
        <v>44</v>
      </c>
      <c r="AA644" s="10">
        <v>41663</v>
      </c>
      <c r="AB644" s="10">
        <v>41691</v>
      </c>
      <c r="AC644" s="10">
        <v>41718</v>
      </c>
      <c r="AD644" s="10">
        <v>41703</v>
      </c>
      <c r="AE644" s="8">
        <v>7.55</v>
      </c>
      <c r="AH644" s="8">
        <v>5</v>
      </c>
      <c r="AI644" s="8">
        <v>2</v>
      </c>
    </row>
    <row r="645" spans="1:36">
      <c r="A645" s="7">
        <f t="shared" si="185"/>
        <v>1</v>
      </c>
      <c r="B645" s="7" t="str">
        <f t="shared" si="189"/>
        <v>14FW ELS_06_SNAP_RD</v>
      </c>
      <c r="C645" s="7">
        <f t="shared" si="186"/>
        <v>1</v>
      </c>
      <c r="D645" s="7" t="str">
        <f t="shared" si="190"/>
        <v>성진14FW ELS_06_SNAP_RD</v>
      </c>
      <c r="E645" s="12" t="str">
        <f t="shared" si="191"/>
        <v>201401</v>
      </c>
      <c r="F645" s="347" t="str">
        <f>VLOOKUP($AA645,[3]주!$A:$F,6,FALSE)</f>
        <v>1월 4주</v>
      </c>
      <c r="G645" s="7">
        <f t="shared" si="187"/>
        <v>1</v>
      </c>
      <c r="H645" s="7" t="str">
        <f t="shared" si="192"/>
        <v>14FW ELS_06_SNAP_RD</v>
      </c>
      <c r="I645" s="7">
        <f t="shared" si="188"/>
        <v>1</v>
      </c>
      <c r="J645" s="7" t="str">
        <f t="shared" si="193"/>
        <v>성진14FW ELS_06_SNAP_RD</v>
      </c>
      <c r="K645" s="17">
        <f t="shared" si="194"/>
        <v>41708</v>
      </c>
      <c r="L645" s="12" t="str">
        <f t="shared" si="195"/>
        <v>201403</v>
      </c>
      <c r="M645" s="347" t="str">
        <f>VLOOKUP($K645,[3]주!$A:$F,6,FALSE)</f>
        <v>3월 2주</v>
      </c>
      <c r="N645" s="273" t="str">
        <f>IF(VLOOKUP($Z645,생산업체!$A:$C,2,FALSE)=1,"해외","국내")</f>
        <v>해외</v>
      </c>
      <c r="O645" s="12" t="str">
        <f>IF(VLOOKUP($U645,CODE!$K:$P,CODE!P$1,FALSE)="모자",T645,T645&amp;"-"&amp;VLOOKUP($U645,CODE!$K:$P,CODE!P$1,FALSE))</f>
        <v>ELS</v>
      </c>
      <c r="P645" s="11" t="s">
        <v>3</v>
      </c>
      <c r="R645" s="11">
        <v>6</v>
      </c>
      <c r="T645" s="8" t="s">
        <v>3</v>
      </c>
      <c r="U645" s="8" t="s">
        <v>50</v>
      </c>
      <c r="V645" s="8" t="s">
        <v>43</v>
      </c>
      <c r="W645" s="8" t="s">
        <v>1324</v>
      </c>
      <c r="X645" s="8" t="s">
        <v>900</v>
      </c>
      <c r="Y645" s="9">
        <v>1</v>
      </c>
      <c r="Z645" s="8" t="s">
        <v>48</v>
      </c>
      <c r="AA645" s="10">
        <v>41663</v>
      </c>
      <c r="AB645" s="10">
        <v>41691</v>
      </c>
      <c r="AC645" s="10">
        <v>41718</v>
      </c>
      <c r="AD645" s="10">
        <v>41708</v>
      </c>
      <c r="AE645" s="8">
        <v>6.5</v>
      </c>
      <c r="AH645" s="8">
        <v>3</v>
      </c>
      <c r="AI645" s="8">
        <v>2</v>
      </c>
    </row>
    <row r="646" spans="1:36">
      <c r="A646" s="7">
        <f t="shared" si="185"/>
        <v>1</v>
      </c>
      <c r="B646" s="7" t="str">
        <f t="shared" si="189"/>
        <v>14FW ELS_07_SNAP_BK</v>
      </c>
      <c r="C646" s="7">
        <f t="shared" si="186"/>
        <v>1</v>
      </c>
      <c r="D646" s="7" t="str">
        <f t="shared" si="190"/>
        <v>동일모자14FW ELS_07_SNAP_BK</v>
      </c>
      <c r="E646" s="12" t="str">
        <f t="shared" si="191"/>
        <v>201401</v>
      </c>
      <c r="F646" s="347" t="str">
        <f>VLOOKUP($AA646,[3]주!$A:$F,6,FALSE)</f>
        <v>1월 4주</v>
      </c>
      <c r="G646" s="7">
        <f t="shared" si="187"/>
        <v>1</v>
      </c>
      <c r="H646" s="7" t="str">
        <f t="shared" si="192"/>
        <v>14FW ELS_07_SNAP_BK</v>
      </c>
      <c r="I646" s="7">
        <f t="shared" si="188"/>
        <v>1</v>
      </c>
      <c r="J646" s="7" t="str">
        <f t="shared" si="193"/>
        <v>동일모자14FW ELS_07_SNAP_BK</v>
      </c>
      <c r="K646" s="17">
        <f t="shared" si="194"/>
        <v>41703</v>
      </c>
      <c r="L646" s="12" t="str">
        <f t="shared" si="195"/>
        <v>201403</v>
      </c>
      <c r="M646" s="347" t="str">
        <f>VLOOKUP($K646,[3]주!$A:$F,6,FALSE)</f>
        <v>3월 1주</v>
      </c>
      <c r="N646" s="273" t="str">
        <f>IF(VLOOKUP($Z646,생산업체!$A:$C,2,FALSE)=1,"해외","국내")</f>
        <v>해외</v>
      </c>
      <c r="O646" s="12" t="str">
        <f>IF(VLOOKUP($U646,CODE!$K:$P,CODE!P$1,FALSE)="모자",T646,T646&amp;"-"&amp;VLOOKUP($U646,CODE!$K:$P,CODE!P$1,FALSE))</f>
        <v>ELS</v>
      </c>
      <c r="P646" s="11" t="s">
        <v>3</v>
      </c>
      <c r="R646" s="11">
        <v>7</v>
      </c>
      <c r="T646" s="8" t="s">
        <v>3</v>
      </c>
      <c r="U646" s="8" t="s">
        <v>35</v>
      </c>
      <c r="V646" s="8" t="s">
        <v>43</v>
      </c>
      <c r="W646" s="8" t="s">
        <v>1325</v>
      </c>
      <c r="X646" s="8" t="s">
        <v>900</v>
      </c>
      <c r="Y646" s="9">
        <v>1</v>
      </c>
      <c r="Z646" s="8" t="s">
        <v>44</v>
      </c>
      <c r="AA646" s="10">
        <v>41663</v>
      </c>
      <c r="AB646" s="10">
        <v>41691</v>
      </c>
      <c r="AC646" s="10">
        <v>41718</v>
      </c>
      <c r="AD646" s="10">
        <v>41703</v>
      </c>
      <c r="AE646" s="8">
        <v>6.15</v>
      </c>
      <c r="AH646" s="8">
        <v>4</v>
      </c>
      <c r="AI646" s="8">
        <v>1</v>
      </c>
    </row>
    <row r="647" spans="1:36">
      <c r="A647" s="7">
        <f t="shared" si="185"/>
        <v>1</v>
      </c>
      <c r="B647" s="7" t="str">
        <f t="shared" si="189"/>
        <v>14FW ELS_08_CURVED_BL</v>
      </c>
      <c r="C647" s="7">
        <f t="shared" si="186"/>
        <v>1</v>
      </c>
      <c r="D647" s="7" t="str">
        <f t="shared" si="190"/>
        <v>동일모자14FW ELS_08_CURVED_BL</v>
      </c>
      <c r="E647" s="12" t="str">
        <f t="shared" si="191"/>
        <v>201401</v>
      </c>
      <c r="F647" s="347" t="str">
        <f>VLOOKUP($AA647,[3]주!$A:$F,6,FALSE)</f>
        <v>1월 4주</v>
      </c>
      <c r="G647" s="7">
        <f t="shared" si="187"/>
        <v>1</v>
      </c>
      <c r="H647" s="7" t="str">
        <f t="shared" si="192"/>
        <v>14FW ELS_08_CURVED_BL</v>
      </c>
      <c r="I647" s="7">
        <f t="shared" si="188"/>
        <v>1</v>
      </c>
      <c r="J647" s="7" t="str">
        <f t="shared" si="193"/>
        <v>동일모자14FW ELS_08_CURVED_BL</v>
      </c>
      <c r="K647" s="17">
        <f t="shared" si="194"/>
        <v>41703</v>
      </c>
      <c r="L647" s="12" t="str">
        <f t="shared" si="195"/>
        <v>201403</v>
      </c>
      <c r="M647" s="347" t="str">
        <f>VLOOKUP($K647,[3]주!$A:$F,6,FALSE)</f>
        <v>3월 1주</v>
      </c>
      <c r="N647" s="273" t="str">
        <f>IF(VLOOKUP($Z647,생산업체!$A:$C,2,FALSE)=1,"해외","국내")</f>
        <v>해외</v>
      </c>
      <c r="O647" s="12" t="str">
        <f>IF(VLOOKUP($U647,CODE!$K:$P,CODE!P$1,FALSE)="모자",T647,T647&amp;"-"&amp;VLOOKUP($U647,CODE!$K:$P,CODE!P$1,FALSE))</f>
        <v>ELS</v>
      </c>
      <c r="P647" s="11" t="s">
        <v>3</v>
      </c>
      <c r="R647" s="11">
        <v>8</v>
      </c>
      <c r="T647" s="8" t="s">
        <v>3</v>
      </c>
      <c r="U647" s="8" t="s">
        <v>35</v>
      </c>
      <c r="V647" s="8" t="s">
        <v>43</v>
      </c>
      <c r="W647" s="8" t="s">
        <v>1326</v>
      </c>
      <c r="X647" s="8" t="s">
        <v>905</v>
      </c>
      <c r="Y647" s="9">
        <v>1</v>
      </c>
      <c r="Z647" s="8" t="s">
        <v>44</v>
      </c>
      <c r="AA647" s="10">
        <v>41663</v>
      </c>
      <c r="AB647" s="10">
        <v>41691</v>
      </c>
      <c r="AC647" s="10">
        <v>41718</v>
      </c>
      <c r="AD647" s="10">
        <v>41703</v>
      </c>
      <c r="AE647" s="8">
        <v>7.25</v>
      </c>
      <c r="AH647" s="8">
        <v>6</v>
      </c>
      <c r="AI647" s="8">
        <v>6</v>
      </c>
    </row>
    <row r="648" spans="1:36">
      <c r="A648" s="7">
        <f t="shared" si="185"/>
        <v>1</v>
      </c>
      <c r="B648" s="7" t="str">
        <f t="shared" si="189"/>
        <v>14FW ELS_09_SNAP_NV</v>
      </c>
      <c r="C648" s="7">
        <f t="shared" si="186"/>
        <v>1</v>
      </c>
      <c r="D648" s="7" t="str">
        <f t="shared" si="190"/>
        <v>동일모자14FW ELS_09_SNAP_NV</v>
      </c>
      <c r="E648" s="12" t="str">
        <f t="shared" si="191"/>
        <v>201401</v>
      </c>
      <c r="F648" s="347" t="str">
        <f>VLOOKUP($AA648,[3]주!$A:$F,6,FALSE)</f>
        <v>1월 4주</v>
      </c>
      <c r="G648" s="7">
        <f t="shared" si="187"/>
        <v>1</v>
      </c>
      <c r="H648" s="7" t="str">
        <f t="shared" si="192"/>
        <v>14FW ELS_09_SNAP_NV</v>
      </c>
      <c r="I648" s="7">
        <f t="shared" si="188"/>
        <v>1</v>
      </c>
      <c r="J648" s="7" t="str">
        <f t="shared" si="193"/>
        <v>동일모자14FW ELS_09_SNAP_NV</v>
      </c>
      <c r="K648" s="17">
        <f t="shared" si="194"/>
        <v>41712</v>
      </c>
      <c r="L648" s="12" t="str">
        <f t="shared" si="195"/>
        <v>201403</v>
      </c>
      <c r="M648" s="347" t="str">
        <f>VLOOKUP($K648,[3]주!$A:$F,6,FALSE)</f>
        <v>3월 2주</v>
      </c>
      <c r="N648" s="273" t="str">
        <f>IF(VLOOKUP($Z648,생산업체!$A:$C,2,FALSE)=1,"해외","국내")</f>
        <v>해외</v>
      </c>
      <c r="O648" s="12" t="str">
        <f>IF(VLOOKUP($U648,CODE!$K:$P,CODE!P$1,FALSE)="모자",T648,T648&amp;"-"&amp;VLOOKUP($U648,CODE!$K:$P,CODE!P$1,FALSE))</f>
        <v>ELS</v>
      </c>
      <c r="P648" s="11" t="s">
        <v>3</v>
      </c>
      <c r="R648" s="11">
        <v>9</v>
      </c>
      <c r="T648" s="8" t="s">
        <v>3</v>
      </c>
      <c r="U648" s="8" t="s">
        <v>50</v>
      </c>
      <c r="V648" s="8" t="s">
        <v>43</v>
      </c>
      <c r="W648" s="8" t="s">
        <v>1327</v>
      </c>
      <c r="X648" s="8" t="s">
        <v>900</v>
      </c>
      <c r="Y648" s="9">
        <v>1</v>
      </c>
      <c r="Z648" s="8" t="s">
        <v>44</v>
      </c>
      <c r="AA648" s="10">
        <v>41663</v>
      </c>
      <c r="AB648" s="10">
        <v>41691</v>
      </c>
      <c r="AC648" s="10">
        <v>41718</v>
      </c>
      <c r="AD648" s="10">
        <v>41712</v>
      </c>
      <c r="AE648" s="8">
        <v>5.4</v>
      </c>
      <c r="AH648" s="8">
        <v>2</v>
      </c>
      <c r="AI648" s="8">
        <v>2</v>
      </c>
    </row>
    <row r="649" spans="1:36">
      <c r="A649" s="7">
        <f t="shared" si="185"/>
        <v>1</v>
      </c>
      <c r="B649" s="7" t="str">
        <f t="shared" si="189"/>
        <v>14FW ELS_10_SNAP_GR</v>
      </c>
      <c r="C649" s="7">
        <f t="shared" si="186"/>
        <v>1</v>
      </c>
      <c r="D649" s="7" t="str">
        <f t="shared" si="190"/>
        <v>동일모자14FW ELS_10_SNAP_GR</v>
      </c>
      <c r="E649" s="12" t="str">
        <f t="shared" si="191"/>
        <v>201401</v>
      </c>
      <c r="F649" s="347" t="str">
        <f>VLOOKUP($AA649,[3]주!$A:$F,6,FALSE)</f>
        <v>1월 4주</v>
      </c>
      <c r="G649" s="7">
        <f t="shared" si="187"/>
        <v>1</v>
      </c>
      <c r="H649" s="7" t="str">
        <f t="shared" si="192"/>
        <v>14FW ELS_10_SNAP_GR</v>
      </c>
      <c r="I649" s="7">
        <f t="shared" si="188"/>
        <v>1</v>
      </c>
      <c r="J649" s="7" t="str">
        <f t="shared" si="193"/>
        <v>동일모자14FW ELS_10_SNAP_GR</v>
      </c>
      <c r="K649" s="17">
        <f t="shared" si="194"/>
        <v>41712</v>
      </c>
      <c r="L649" s="12" t="str">
        <f t="shared" si="195"/>
        <v>201403</v>
      </c>
      <c r="M649" s="347" t="str">
        <f>VLOOKUP($K649,[3]주!$A:$F,6,FALSE)</f>
        <v>3월 2주</v>
      </c>
      <c r="N649" s="273" t="str">
        <f>IF(VLOOKUP($Z649,생산업체!$A:$C,2,FALSE)=1,"해외","국내")</f>
        <v>해외</v>
      </c>
      <c r="O649" s="12" t="str">
        <f>IF(VLOOKUP($U649,CODE!$K:$P,CODE!P$1,FALSE)="모자",T649,T649&amp;"-"&amp;VLOOKUP($U649,CODE!$K:$P,CODE!P$1,FALSE))</f>
        <v>ELS</v>
      </c>
      <c r="P649" s="11" t="s">
        <v>3</v>
      </c>
      <c r="R649" s="11">
        <v>10</v>
      </c>
      <c r="T649" s="8" t="s">
        <v>3</v>
      </c>
      <c r="U649" s="8" t="s">
        <v>50</v>
      </c>
      <c r="V649" s="8" t="s">
        <v>43</v>
      </c>
      <c r="W649" s="8" t="s">
        <v>1328</v>
      </c>
      <c r="X649" s="8" t="s">
        <v>900</v>
      </c>
      <c r="Y649" s="9">
        <v>1</v>
      </c>
      <c r="Z649" s="8" t="s">
        <v>44</v>
      </c>
      <c r="AA649" s="10">
        <v>41663</v>
      </c>
      <c r="AB649" s="10">
        <v>41691</v>
      </c>
      <c r="AC649" s="10">
        <v>41718</v>
      </c>
      <c r="AD649" s="10">
        <v>41712</v>
      </c>
      <c r="AE649" s="8">
        <v>5.15</v>
      </c>
      <c r="AH649" s="8">
        <v>3</v>
      </c>
      <c r="AI649" s="8">
        <v>2</v>
      </c>
    </row>
    <row r="650" spans="1:36">
      <c r="A650" s="7">
        <f t="shared" si="185"/>
        <v>1</v>
      </c>
      <c r="B650" s="7" t="str">
        <f t="shared" si="189"/>
        <v>14FW ELS_11_SNAP_GY</v>
      </c>
      <c r="C650" s="7">
        <f t="shared" si="186"/>
        <v>1</v>
      </c>
      <c r="D650" s="7" t="str">
        <f t="shared" si="190"/>
        <v>동일모자14FW ELS_11_SNAP_GY</v>
      </c>
      <c r="E650" s="12" t="str">
        <f t="shared" si="191"/>
        <v>201401</v>
      </c>
      <c r="F650" s="347" t="str">
        <f>VLOOKUP($AA650,[3]주!$A:$F,6,FALSE)</f>
        <v>1월 4주</v>
      </c>
      <c r="G650" s="7">
        <f t="shared" si="187"/>
        <v>1</v>
      </c>
      <c r="H650" s="7" t="str">
        <f t="shared" si="192"/>
        <v>14FW ELS_11_SNAP_GY</v>
      </c>
      <c r="I650" s="7">
        <f t="shared" si="188"/>
        <v>1</v>
      </c>
      <c r="J650" s="7" t="str">
        <f t="shared" si="193"/>
        <v>동일모자14FW ELS_11_SNAP_GY</v>
      </c>
      <c r="K650" s="17">
        <f t="shared" si="194"/>
        <v>41703</v>
      </c>
      <c r="L650" s="12" t="str">
        <f t="shared" si="195"/>
        <v>201403</v>
      </c>
      <c r="M650" s="347" t="str">
        <f>VLOOKUP($K650,[3]주!$A:$F,6,FALSE)</f>
        <v>3월 1주</v>
      </c>
      <c r="N650" s="273" t="str">
        <f>IF(VLOOKUP($Z650,생산업체!$A:$C,2,FALSE)=1,"해외","국내")</f>
        <v>해외</v>
      </c>
      <c r="O650" s="12" t="str">
        <f>IF(VLOOKUP($U650,CODE!$K:$P,CODE!P$1,FALSE)="모자",T650,T650&amp;"-"&amp;VLOOKUP($U650,CODE!$K:$P,CODE!P$1,FALSE))</f>
        <v>ELS</v>
      </c>
      <c r="P650" s="11" t="s">
        <v>3</v>
      </c>
      <c r="R650" s="11">
        <v>11</v>
      </c>
      <c r="T650" s="8" t="s">
        <v>3</v>
      </c>
      <c r="U650" s="8" t="s">
        <v>50</v>
      </c>
      <c r="V650" s="8" t="s">
        <v>43</v>
      </c>
      <c r="W650" s="8" t="s">
        <v>1329</v>
      </c>
      <c r="X650" s="8" t="s">
        <v>900</v>
      </c>
      <c r="Y650" s="9">
        <v>1</v>
      </c>
      <c r="Z650" s="8" t="s">
        <v>44</v>
      </c>
      <c r="AA650" s="10">
        <v>41663</v>
      </c>
      <c r="AB650" s="10">
        <v>41691</v>
      </c>
      <c r="AC650" s="10">
        <v>41718</v>
      </c>
      <c r="AD650" s="10">
        <v>41703</v>
      </c>
      <c r="AE650" s="8">
        <v>4.5999999999999996</v>
      </c>
      <c r="AH650" s="8">
        <v>2</v>
      </c>
      <c r="AI650" s="8">
        <v>0</v>
      </c>
    </row>
    <row r="651" spans="1:36">
      <c r="A651" s="7">
        <f t="shared" si="185"/>
        <v>1</v>
      </c>
      <c r="B651" s="7" t="str">
        <f t="shared" si="189"/>
        <v>14FW ELS 12_SNAP_BK</v>
      </c>
      <c r="C651" s="7">
        <f t="shared" si="186"/>
        <v>1</v>
      </c>
      <c r="D651" s="7" t="str">
        <f t="shared" si="190"/>
        <v>성진14FW ELS 12_SNAP_BK</v>
      </c>
      <c r="E651" s="12" t="str">
        <f t="shared" si="191"/>
        <v>201401</v>
      </c>
      <c r="F651" s="347" t="str">
        <f>VLOOKUP($AA651,[3]주!$A:$F,6,FALSE)</f>
        <v>1월 4주</v>
      </c>
      <c r="G651" s="7">
        <f t="shared" si="187"/>
        <v>1</v>
      </c>
      <c r="H651" s="7" t="str">
        <f t="shared" si="192"/>
        <v>14FW ELS 12_SNAP_BK</v>
      </c>
      <c r="I651" s="7">
        <f t="shared" si="188"/>
        <v>1</v>
      </c>
      <c r="J651" s="7" t="str">
        <f t="shared" si="193"/>
        <v>성진14FW ELS 12_SNAP_BK</v>
      </c>
      <c r="K651" s="17">
        <f t="shared" si="194"/>
        <v>41704</v>
      </c>
      <c r="L651" s="12" t="str">
        <f t="shared" si="195"/>
        <v>201403</v>
      </c>
      <c r="M651" s="347" t="str">
        <f>VLOOKUP($K651,[3]주!$A:$F,6,FALSE)</f>
        <v>3월 1주</v>
      </c>
      <c r="N651" s="273" t="str">
        <f>IF(VLOOKUP($Z651,생산업체!$A:$C,2,FALSE)=1,"해외","국내")</f>
        <v>해외</v>
      </c>
      <c r="O651" s="12" t="str">
        <f>IF(VLOOKUP($U651,CODE!$K:$P,CODE!P$1,FALSE)="모자",T651,T651&amp;"-"&amp;VLOOKUP($U651,CODE!$K:$P,CODE!P$1,FALSE))</f>
        <v>ELS</v>
      </c>
      <c r="P651" s="11" t="s">
        <v>3</v>
      </c>
      <c r="R651" s="11">
        <v>12</v>
      </c>
      <c r="T651" s="8" t="s">
        <v>3</v>
      </c>
      <c r="U651" s="8" t="s">
        <v>50</v>
      </c>
      <c r="V651" s="8" t="s">
        <v>43</v>
      </c>
      <c r="W651" s="8" t="s">
        <v>1330</v>
      </c>
      <c r="X651" s="8" t="s">
        <v>900</v>
      </c>
      <c r="Y651" s="9">
        <v>1</v>
      </c>
      <c r="Z651" s="8" t="s">
        <v>48</v>
      </c>
      <c r="AA651" s="10">
        <v>41663</v>
      </c>
      <c r="AB651" s="10">
        <v>41691</v>
      </c>
      <c r="AC651" s="10">
        <v>41718</v>
      </c>
      <c r="AD651" s="10">
        <v>41704</v>
      </c>
      <c r="AE651" s="8">
        <v>5.45</v>
      </c>
      <c r="AH651" s="8">
        <v>2</v>
      </c>
      <c r="AI651" s="8">
        <v>1</v>
      </c>
      <c r="AJ651" s="8" t="s">
        <v>1794</v>
      </c>
    </row>
    <row r="652" spans="1:36">
      <c r="A652" s="7">
        <f t="shared" si="185"/>
        <v>1</v>
      </c>
      <c r="B652" s="7" t="str">
        <f t="shared" si="189"/>
        <v>14FW ELS 13_SNAP_BK</v>
      </c>
      <c r="C652" s="7">
        <f t="shared" si="186"/>
        <v>1</v>
      </c>
      <c r="D652" s="7" t="str">
        <f t="shared" si="190"/>
        <v>성진14FW ELS 13_SNAP_BK</v>
      </c>
      <c r="E652" s="12" t="str">
        <f t="shared" si="191"/>
        <v>201401</v>
      </c>
      <c r="F652" s="347" t="str">
        <f>VLOOKUP($AA652,[3]주!$A:$F,6,FALSE)</f>
        <v>1월 4주</v>
      </c>
      <c r="G652" s="7">
        <f t="shared" si="187"/>
        <v>1</v>
      </c>
      <c r="H652" s="7" t="str">
        <f t="shared" si="192"/>
        <v>14FW ELS 13_SNAP_BK</v>
      </c>
      <c r="I652" s="7">
        <f t="shared" si="188"/>
        <v>1</v>
      </c>
      <c r="J652" s="7" t="str">
        <f t="shared" si="193"/>
        <v>성진14FW ELS 13_SNAP_BK</v>
      </c>
      <c r="K652" s="17">
        <f t="shared" si="194"/>
        <v>41719</v>
      </c>
      <c r="L652" s="12" t="str">
        <f t="shared" si="195"/>
        <v>201403</v>
      </c>
      <c r="M652" s="347" t="str">
        <f>VLOOKUP($K652,[3]주!$A:$F,6,FALSE)</f>
        <v>3월 2주</v>
      </c>
      <c r="N652" s="273" t="str">
        <f>IF(VLOOKUP($Z652,생산업체!$A:$C,2,FALSE)=1,"해외","국내")</f>
        <v>해외</v>
      </c>
      <c r="O652" s="12" t="str">
        <f>IF(VLOOKUP($U652,CODE!$K:$P,CODE!P$1,FALSE)="모자",T652,T652&amp;"-"&amp;VLOOKUP($U652,CODE!$K:$P,CODE!P$1,FALSE))</f>
        <v>ELS</v>
      </c>
      <c r="P652" s="11" t="s">
        <v>3</v>
      </c>
      <c r="R652" s="11">
        <v>13</v>
      </c>
      <c r="T652" s="8" t="s">
        <v>3</v>
      </c>
      <c r="U652" s="8" t="s">
        <v>50</v>
      </c>
      <c r="V652" s="8" t="s">
        <v>43</v>
      </c>
      <c r="W652" s="8" t="s">
        <v>1331</v>
      </c>
      <c r="X652" s="8" t="s">
        <v>900</v>
      </c>
      <c r="Y652" s="9">
        <v>1</v>
      </c>
      <c r="Z652" s="8" t="s">
        <v>48</v>
      </c>
      <c r="AA652" s="10">
        <v>41663</v>
      </c>
      <c r="AB652" s="10">
        <v>41691</v>
      </c>
      <c r="AC652" s="10">
        <v>41718</v>
      </c>
      <c r="AD652" s="10">
        <v>41719</v>
      </c>
      <c r="AE652" s="8">
        <v>5.7</v>
      </c>
      <c r="AH652" s="8">
        <v>3</v>
      </c>
      <c r="AI652" s="8">
        <v>1</v>
      </c>
    </row>
    <row r="653" spans="1:36">
      <c r="A653" s="7">
        <f t="shared" si="185"/>
        <v>1</v>
      </c>
      <c r="B653" s="7" t="str">
        <f t="shared" si="189"/>
        <v>14FW ELS 14_SNAP_GR</v>
      </c>
      <c r="C653" s="7">
        <f t="shared" si="186"/>
        <v>1</v>
      </c>
      <c r="D653" s="7" t="str">
        <f t="shared" si="190"/>
        <v>성진14FW ELS 14_SNAP_GR</v>
      </c>
      <c r="E653" s="12" t="str">
        <f t="shared" si="191"/>
        <v>201401</v>
      </c>
      <c r="F653" s="347" t="str">
        <f>VLOOKUP($AA653,[3]주!$A:$F,6,FALSE)</f>
        <v>1월 4주</v>
      </c>
      <c r="G653" s="7">
        <f t="shared" si="187"/>
        <v>1</v>
      </c>
      <c r="H653" s="7" t="str">
        <f t="shared" si="192"/>
        <v>14FW ELS 14_SNAP_GR</v>
      </c>
      <c r="I653" s="7">
        <f t="shared" si="188"/>
        <v>1</v>
      </c>
      <c r="J653" s="7" t="str">
        <f t="shared" si="193"/>
        <v>성진14FW ELS 14_SNAP_GR</v>
      </c>
      <c r="K653" s="17">
        <f t="shared" si="194"/>
        <v>41716</v>
      </c>
      <c r="L653" s="12" t="str">
        <f t="shared" si="195"/>
        <v>201403</v>
      </c>
      <c r="M653" s="347" t="str">
        <f>VLOOKUP($K653,[3]주!$A:$F,6,FALSE)</f>
        <v>3월 2주</v>
      </c>
      <c r="N653" s="273" t="str">
        <f>IF(VLOOKUP($Z653,생산업체!$A:$C,2,FALSE)=1,"해외","국내")</f>
        <v>해외</v>
      </c>
      <c r="O653" s="12" t="str">
        <f>IF(VLOOKUP($U653,CODE!$K:$P,CODE!P$1,FALSE)="모자",T653,T653&amp;"-"&amp;VLOOKUP($U653,CODE!$K:$P,CODE!P$1,FALSE))</f>
        <v>ELS</v>
      </c>
      <c r="P653" s="11" t="s">
        <v>3</v>
      </c>
      <c r="R653" s="11">
        <v>14</v>
      </c>
      <c r="T653" s="8" t="s">
        <v>3</v>
      </c>
      <c r="U653" s="8" t="s">
        <v>50</v>
      </c>
      <c r="V653" s="8" t="s">
        <v>43</v>
      </c>
      <c r="W653" s="8" t="s">
        <v>1332</v>
      </c>
      <c r="X653" s="8" t="s">
        <v>900</v>
      </c>
      <c r="Y653" s="9">
        <v>1</v>
      </c>
      <c r="Z653" s="8" t="s">
        <v>48</v>
      </c>
      <c r="AA653" s="10">
        <v>41663</v>
      </c>
      <c r="AB653" s="10">
        <v>41691</v>
      </c>
      <c r="AC653" s="10">
        <v>41718</v>
      </c>
      <c r="AD653" s="10">
        <v>41716</v>
      </c>
      <c r="AE653" s="8">
        <v>6.65</v>
      </c>
      <c r="AH653" s="8">
        <v>3</v>
      </c>
      <c r="AI653" s="8">
        <v>1</v>
      </c>
    </row>
    <row r="654" spans="1:36">
      <c r="A654" s="7">
        <f t="shared" si="185"/>
        <v>1</v>
      </c>
      <c r="B654" s="7" t="str">
        <f t="shared" si="189"/>
        <v>14FW ELS 15_SNAP_GY</v>
      </c>
      <c r="C654" s="7">
        <f t="shared" si="186"/>
        <v>1</v>
      </c>
      <c r="D654" s="7" t="str">
        <f t="shared" si="190"/>
        <v>동일모자14FW ELS 15_SNAP_GY</v>
      </c>
      <c r="E654" s="12" t="str">
        <f t="shared" si="191"/>
        <v>201401</v>
      </c>
      <c r="F654" s="347" t="str">
        <f>VLOOKUP($AA654,[3]주!$A:$F,6,FALSE)</f>
        <v>1월 4주</v>
      </c>
      <c r="G654" s="7">
        <f t="shared" si="187"/>
        <v>1</v>
      </c>
      <c r="H654" s="7" t="str">
        <f t="shared" si="192"/>
        <v>14FW ELS 15_SNAP_GY</v>
      </c>
      <c r="I654" s="7">
        <f t="shared" si="188"/>
        <v>1</v>
      </c>
      <c r="J654" s="7" t="str">
        <f t="shared" si="193"/>
        <v>동일모자14FW ELS 15_SNAP_GY</v>
      </c>
      <c r="K654" s="17">
        <f t="shared" si="194"/>
        <v>41712</v>
      </c>
      <c r="L654" s="12" t="str">
        <f t="shared" si="195"/>
        <v>201403</v>
      </c>
      <c r="M654" s="347" t="str">
        <f>VLOOKUP($K654,[3]주!$A:$F,6,FALSE)</f>
        <v>3월 2주</v>
      </c>
      <c r="N654" s="273" t="str">
        <f>IF(VLOOKUP($Z654,생산업체!$A:$C,2,FALSE)=1,"해외","국내")</f>
        <v>해외</v>
      </c>
      <c r="O654" s="12" t="str">
        <f>IF(VLOOKUP($U654,CODE!$K:$P,CODE!P$1,FALSE)="모자",T654,T654&amp;"-"&amp;VLOOKUP($U654,CODE!$K:$P,CODE!P$1,FALSE))</f>
        <v>ELS</v>
      </c>
      <c r="P654" s="11" t="s">
        <v>3</v>
      </c>
      <c r="R654" s="11">
        <v>15</v>
      </c>
      <c r="T654" s="8" t="s">
        <v>3</v>
      </c>
      <c r="U654" s="8" t="s">
        <v>50</v>
      </c>
      <c r="V654" s="8" t="s">
        <v>43</v>
      </c>
      <c r="W654" s="8" t="s">
        <v>1333</v>
      </c>
      <c r="X654" s="8" t="s">
        <v>900</v>
      </c>
      <c r="Y654" s="9">
        <v>1</v>
      </c>
      <c r="Z654" s="8" t="s">
        <v>44</v>
      </c>
      <c r="AA654" s="10">
        <v>41663</v>
      </c>
      <c r="AB654" s="10">
        <v>41691</v>
      </c>
      <c r="AC654" s="10">
        <v>41718</v>
      </c>
      <c r="AD654" s="10">
        <v>41712</v>
      </c>
      <c r="AE654" s="8">
        <v>5.25</v>
      </c>
      <c r="AH654" s="8">
        <v>3</v>
      </c>
      <c r="AI654" s="8">
        <v>2</v>
      </c>
    </row>
    <row r="655" spans="1:36">
      <c r="A655" s="7">
        <f t="shared" si="185"/>
        <v>1</v>
      </c>
      <c r="B655" s="7" t="str">
        <f t="shared" si="189"/>
        <v>14FW ELS 16_SNAP_RD</v>
      </c>
      <c r="C655" s="7">
        <f t="shared" si="186"/>
        <v>1</v>
      </c>
      <c r="D655" s="7" t="str">
        <f t="shared" si="190"/>
        <v>성진14FW ELS 16_SNAP_RD</v>
      </c>
      <c r="E655" s="12" t="str">
        <f t="shared" si="191"/>
        <v>201401</v>
      </c>
      <c r="F655" s="347" t="str">
        <f>VLOOKUP($AA655,[3]주!$A:$F,6,FALSE)</f>
        <v>1월 4주</v>
      </c>
      <c r="G655" s="7">
        <f t="shared" si="187"/>
        <v>1</v>
      </c>
      <c r="H655" s="7" t="str">
        <f t="shared" si="192"/>
        <v>14FW ELS 16_SNAP_RD</v>
      </c>
      <c r="I655" s="7">
        <f t="shared" si="188"/>
        <v>1</v>
      </c>
      <c r="J655" s="7" t="str">
        <f t="shared" si="193"/>
        <v>성진14FW ELS 16_SNAP_RD</v>
      </c>
      <c r="K655" s="17">
        <f t="shared" si="194"/>
        <v>41704</v>
      </c>
      <c r="L655" s="12" t="str">
        <f t="shared" si="195"/>
        <v>201403</v>
      </c>
      <c r="M655" s="347" t="str">
        <f>VLOOKUP($K655,[3]주!$A:$F,6,FALSE)</f>
        <v>3월 1주</v>
      </c>
      <c r="N655" s="273" t="str">
        <f>IF(VLOOKUP($Z655,생산업체!$A:$C,2,FALSE)=1,"해외","국내")</f>
        <v>해외</v>
      </c>
      <c r="O655" s="12" t="str">
        <f>IF(VLOOKUP($U655,CODE!$K:$P,CODE!P$1,FALSE)="모자",T655,T655&amp;"-"&amp;VLOOKUP($U655,CODE!$K:$P,CODE!P$1,FALSE))</f>
        <v>ELS</v>
      </c>
      <c r="P655" s="11" t="s">
        <v>3</v>
      </c>
      <c r="R655" s="11">
        <v>16</v>
      </c>
      <c r="T655" s="8" t="s">
        <v>3</v>
      </c>
      <c r="U655" s="8" t="s">
        <v>50</v>
      </c>
      <c r="V655" s="8" t="s">
        <v>43</v>
      </c>
      <c r="W655" s="8" t="s">
        <v>1334</v>
      </c>
      <c r="X655" s="8" t="s">
        <v>900</v>
      </c>
      <c r="Y655" s="9">
        <v>1</v>
      </c>
      <c r="Z655" s="8" t="s">
        <v>48</v>
      </c>
      <c r="AA655" s="10">
        <v>41663</v>
      </c>
      <c r="AB655" s="10">
        <v>41691</v>
      </c>
      <c r="AC655" s="10">
        <v>41718</v>
      </c>
      <c r="AD655" s="10">
        <v>41704</v>
      </c>
      <c r="AE655" s="8">
        <v>5.25</v>
      </c>
      <c r="AH655" s="8">
        <v>3</v>
      </c>
      <c r="AI655" s="8">
        <v>2</v>
      </c>
      <c r="AJ655" s="8" t="s">
        <v>1794</v>
      </c>
    </row>
    <row r="656" spans="1:36">
      <c r="A656" s="7">
        <f t="shared" si="185"/>
        <v>1</v>
      </c>
      <c r="B656" s="7" t="str">
        <f t="shared" si="189"/>
        <v>14FW ELS 17_SNAP_GR</v>
      </c>
      <c r="C656" s="7">
        <f t="shared" si="186"/>
        <v>1</v>
      </c>
      <c r="D656" s="7" t="str">
        <f t="shared" si="190"/>
        <v>QF14FW ELS 17_SNAP_GR</v>
      </c>
      <c r="E656" s="12" t="str">
        <f t="shared" si="191"/>
        <v>201401</v>
      </c>
      <c r="F656" s="347" t="str">
        <f>VLOOKUP($AA656,[3]주!$A:$F,6,FALSE)</f>
        <v>1월 4주</v>
      </c>
      <c r="G656" s="7">
        <f t="shared" si="187"/>
        <v>1</v>
      </c>
      <c r="H656" s="7" t="str">
        <f t="shared" si="192"/>
        <v>14FW ELS 17_SNAP_GR</v>
      </c>
      <c r="I656" s="7">
        <f t="shared" si="188"/>
        <v>1</v>
      </c>
      <c r="J656" s="7" t="str">
        <f t="shared" si="193"/>
        <v>QF14FW ELS 17_SNAP_GR</v>
      </c>
      <c r="K656" s="17">
        <f t="shared" si="194"/>
        <v>41711</v>
      </c>
      <c r="L656" s="12" t="str">
        <f t="shared" si="195"/>
        <v>201403</v>
      </c>
      <c r="M656" s="347" t="str">
        <f>VLOOKUP($K656,[3]주!$A:$F,6,FALSE)</f>
        <v>3월 2주</v>
      </c>
      <c r="N656" s="273" t="str">
        <f>IF(VLOOKUP($Z656,생산업체!$A:$C,2,FALSE)=1,"해외","국내")</f>
        <v>해외</v>
      </c>
      <c r="O656" s="12" t="str">
        <f>IF(VLOOKUP($U656,CODE!$K:$P,CODE!P$1,FALSE)="모자",T656,T656&amp;"-"&amp;VLOOKUP($U656,CODE!$K:$P,CODE!P$1,FALSE))</f>
        <v>ELS</v>
      </c>
      <c r="P656" s="11" t="s">
        <v>3</v>
      </c>
      <c r="R656" s="11">
        <v>17</v>
      </c>
      <c r="T656" s="8" t="s">
        <v>3</v>
      </c>
      <c r="U656" s="8" t="s">
        <v>50</v>
      </c>
      <c r="V656" s="8" t="s">
        <v>43</v>
      </c>
      <c r="W656" s="8" t="s">
        <v>1335</v>
      </c>
      <c r="X656" s="8" t="s">
        <v>900</v>
      </c>
      <c r="Y656" s="9">
        <v>1</v>
      </c>
      <c r="Z656" s="8" t="s">
        <v>792</v>
      </c>
      <c r="AA656" s="10">
        <v>41663</v>
      </c>
      <c r="AB656" s="10">
        <v>41691</v>
      </c>
      <c r="AC656" s="10">
        <v>41718</v>
      </c>
      <c r="AD656" s="10">
        <v>41711</v>
      </c>
      <c r="AE656" s="8">
        <v>2.5</v>
      </c>
      <c r="AH656" s="8">
        <v>2</v>
      </c>
      <c r="AI656" s="8">
        <v>0</v>
      </c>
    </row>
    <row r="657" spans="1:36">
      <c r="A657" s="7">
        <f t="shared" si="185"/>
        <v>1</v>
      </c>
      <c r="B657" s="7" t="str">
        <f t="shared" si="189"/>
        <v>14FW ELS 18_SNAP_GY</v>
      </c>
      <c r="C657" s="7">
        <f t="shared" si="186"/>
        <v>1</v>
      </c>
      <c r="D657" s="7" t="str">
        <f t="shared" si="190"/>
        <v>QF14FW ELS 18_SNAP_GY</v>
      </c>
      <c r="E657" s="12" t="str">
        <f t="shared" si="191"/>
        <v>201401</v>
      </c>
      <c r="F657" s="347" t="str">
        <f>VLOOKUP($AA657,[3]주!$A:$F,6,FALSE)</f>
        <v>1월 4주</v>
      </c>
      <c r="G657" s="7">
        <f t="shared" si="187"/>
        <v>1</v>
      </c>
      <c r="H657" s="7" t="str">
        <f t="shared" si="192"/>
        <v>14FW ELS 18_SNAP_GY</v>
      </c>
      <c r="I657" s="7">
        <f t="shared" si="188"/>
        <v>1</v>
      </c>
      <c r="J657" s="7" t="str">
        <f t="shared" si="193"/>
        <v>QF14FW ELS 18_SNAP_GY</v>
      </c>
      <c r="K657" s="17">
        <f t="shared" si="194"/>
        <v>41711</v>
      </c>
      <c r="L657" s="12" t="str">
        <f t="shared" si="195"/>
        <v>201403</v>
      </c>
      <c r="M657" s="347" t="str">
        <f>VLOOKUP($K657,[3]주!$A:$F,6,FALSE)</f>
        <v>3월 2주</v>
      </c>
      <c r="N657" s="273" t="str">
        <f>IF(VLOOKUP($Z657,생산업체!$A:$C,2,FALSE)=1,"해외","국내")</f>
        <v>해외</v>
      </c>
      <c r="O657" s="12" t="str">
        <f>IF(VLOOKUP($U657,CODE!$K:$P,CODE!P$1,FALSE)="모자",T657,T657&amp;"-"&amp;VLOOKUP($U657,CODE!$K:$P,CODE!P$1,FALSE))</f>
        <v>ELS</v>
      </c>
      <c r="P657" s="11" t="s">
        <v>3</v>
      </c>
      <c r="R657" s="11">
        <v>18</v>
      </c>
      <c r="T657" s="8" t="s">
        <v>3</v>
      </c>
      <c r="U657" s="8" t="s">
        <v>50</v>
      </c>
      <c r="V657" s="8" t="s">
        <v>43</v>
      </c>
      <c r="W657" s="8" t="s">
        <v>1336</v>
      </c>
      <c r="X657" s="8" t="s">
        <v>900</v>
      </c>
      <c r="Y657" s="9">
        <v>1</v>
      </c>
      <c r="Z657" s="8" t="s">
        <v>792</v>
      </c>
      <c r="AA657" s="10">
        <v>41663</v>
      </c>
      <c r="AB657" s="10">
        <v>41691</v>
      </c>
      <c r="AC657" s="10">
        <v>41718</v>
      </c>
      <c r="AD657" s="10">
        <v>41711</v>
      </c>
      <c r="AE657" s="8">
        <v>3.4</v>
      </c>
      <c r="AH657" s="8">
        <v>3</v>
      </c>
      <c r="AI657" s="8">
        <v>2</v>
      </c>
    </row>
    <row r="658" spans="1:36">
      <c r="A658" s="7">
        <f t="shared" si="185"/>
        <v>1</v>
      </c>
      <c r="B658" s="7" t="str">
        <f t="shared" si="189"/>
        <v>14FW ELS 19_SNAP_YE</v>
      </c>
      <c r="C658" s="7">
        <f t="shared" si="186"/>
        <v>1</v>
      </c>
      <c r="D658" s="7" t="str">
        <f t="shared" si="190"/>
        <v>성진14FW ELS 19_SNAP_YE</v>
      </c>
      <c r="E658" s="12" t="str">
        <f t="shared" si="191"/>
        <v>201401</v>
      </c>
      <c r="F658" s="347" t="str">
        <f>VLOOKUP($AA658,[3]주!$A:$F,6,FALSE)</f>
        <v>1월 4주</v>
      </c>
      <c r="G658" s="7">
        <f t="shared" si="187"/>
        <v>1</v>
      </c>
      <c r="H658" s="7" t="str">
        <f t="shared" si="192"/>
        <v>14FW ELS 19_SNAP_YE</v>
      </c>
      <c r="I658" s="7">
        <f t="shared" si="188"/>
        <v>1</v>
      </c>
      <c r="J658" s="7" t="str">
        <f t="shared" si="193"/>
        <v>성진14FW ELS 19_SNAP_YE</v>
      </c>
      <c r="K658" s="17">
        <f t="shared" si="194"/>
        <v>41704</v>
      </c>
      <c r="L658" s="12" t="str">
        <f t="shared" si="195"/>
        <v>201403</v>
      </c>
      <c r="M658" s="347" t="str">
        <f>VLOOKUP($K658,[3]주!$A:$F,6,FALSE)</f>
        <v>3월 1주</v>
      </c>
      <c r="N658" s="273" t="str">
        <f>IF(VLOOKUP($Z658,생산업체!$A:$C,2,FALSE)=1,"해외","국내")</f>
        <v>해외</v>
      </c>
      <c r="O658" s="12" t="str">
        <f>IF(VLOOKUP($U658,CODE!$K:$P,CODE!P$1,FALSE)="모자",T658,T658&amp;"-"&amp;VLOOKUP($U658,CODE!$K:$P,CODE!P$1,FALSE))</f>
        <v>ELS</v>
      </c>
      <c r="P658" s="11" t="s">
        <v>3</v>
      </c>
      <c r="R658" s="11">
        <v>19</v>
      </c>
      <c r="T658" s="8" t="s">
        <v>3</v>
      </c>
      <c r="U658" s="8" t="s">
        <v>50</v>
      </c>
      <c r="V658" s="8" t="s">
        <v>43</v>
      </c>
      <c r="W658" s="8" t="s">
        <v>1337</v>
      </c>
      <c r="X658" s="8" t="s">
        <v>900</v>
      </c>
      <c r="Y658" s="9">
        <v>1</v>
      </c>
      <c r="Z658" s="8" t="s">
        <v>48</v>
      </c>
      <c r="AA658" s="10">
        <v>41663</v>
      </c>
      <c r="AB658" s="10">
        <v>41691</v>
      </c>
      <c r="AC658" s="10">
        <v>41718</v>
      </c>
      <c r="AD658" s="10">
        <v>41704</v>
      </c>
      <c r="AE658" s="8">
        <v>5.15</v>
      </c>
      <c r="AH658" s="8">
        <v>3</v>
      </c>
      <c r="AI658" s="8">
        <v>2</v>
      </c>
      <c r="AJ658" s="8" t="s">
        <v>1794</v>
      </c>
    </row>
    <row r="659" spans="1:36">
      <c r="A659" s="7">
        <f t="shared" si="185"/>
        <v>1</v>
      </c>
      <c r="B659" s="7" t="str">
        <f t="shared" si="189"/>
        <v>14FW ELS 20_SNAP_NV</v>
      </c>
      <c r="C659" s="7">
        <f t="shared" si="186"/>
        <v>1</v>
      </c>
      <c r="D659" s="7" t="str">
        <f t="shared" si="190"/>
        <v>성진14FW ELS 20_SNAP_NV</v>
      </c>
      <c r="E659" s="12" t="str">
        <f t="shared" si="191"/>
        <v>201401</v>
      </c>
      <c r="F659" s="347" t="str">
        <f>VLOOKUP($AA659,[3]주!$A:$F,6,FALSE)</f>
        <v>1월 4주</v>
      </c>
      <c r="G659" s="7">
        <f t="shared" si="187"/>
        <v>1</v>
      </c>
      <c r="H659" s="7" t="str">
        <f t="shared" si="192"/>
        <v>14FW ELS 20_SNAP_NV</v>
      </c>
      <c r="I659" s="7">
        <f t="shared" si="188"/>
        <v>1</v>
      </c>
      <c r="J659" s="7" t="str">
        <f t="shared" si="193"/>
        <v>성진14FW ELS 20_SNAP_NV</v>
      </c>
      <c r="K659" s="17">
        <f t="shared" si="194"/>
        <v>41704</v>
      </c>
      <c r="L659" s="12" t="str">
        <f t="shared" si="195"/>
        <v>201403</v>
      </c>
      <c r="M659" s="347" t="str">
        <f>VLOOKUP($K659,[3]주!$A:$F,6,FALSE)</f>
        <v>3월 1주</v>
      </c>
      <c r="N659" s="273" t="str">
        <f>IF(VLOOKUP($Z659,생산업체!$A:$C,2,FALSE)=1,"해외","국내")</f>
        <v>해외</v>
      </c>
      <c r="O659" s="12" t="str">
        <f>IF(VLOOKUP($U659,CODE!$K:$P,CODE!P$1,FALSE)="모자",T659,T659&amp;"-"&amp;VLOOKUP($U659,CODE!$K:$P,CODE!P$1,FALSE))</f>
        <v>ELS</v>
      </c>
      <c r="P659" s="11" t="s">
        <v>3</v>
      </c>
      <c r="R659" s="11">
        <v>20</v>
      </c>
      <c r="T659" s="8" t="s">
        <v>3</v>
      </c>
      <c r="U659" s="8" t="s">
        <v>50</v>
      </c>
      <c r="V659" s="8" t="s">
        <v>43</v>
      </c>
      <c r="W659" s="8" t="s">
        <v>1338</v>
      </c>
      <c r="X659" s="8" t="s">
        <v>900</v>
      </c>
      <c r="Y659" s="9">
        <v>1</v>
      </c>
      <c r="Z659" s="8" t="s">
        <v>48</v>
      </c>
      <c r="AA659" s="10">
        <v>41663</v>
      </c>
      <c r="AB659" s="10">
        <v>41691</v>
      </c>
      <c r="AC659" s="10">
        <v>41718</v>
      </c>
      <c r="AD659" s="10">
        <v>41704</v>
      </c>
      <c r="AE659" s="8">
        <v>5.45</v>
      </c>
      <c r="AH659" s="8">
        <v>3</v>
      </c>
      <c r="AI659" s="8">
        <v>1</v>
      </c>
      <c r="AJ659" s="8" t="s">
        <v>1794</v>
      </c>
    </row>
    <row r="660" spans="1:36">
      <c r="A660" s="7">
        <f t="shared" si="185"/>
        <v>1</v>
      </c>
      <c r="B660" s="7" t="str">
        <f t="shared" si="189"/>
        <v>14FW ELS 21_SNAP_BK</v>
      </c>
      <c r="C660" s="7">
        <f t="shared" si="186"/>
        <v>1</v>
      </c>
      <c r="D660" s="7" t="str">
        <f t="shared" si="190"/>
        <v>성진14FW ELS 21_SNAP_BK</v>
      </c>
      <c r="E660" s="12" t="str">
        <f t="shared" si="191"/>
        <v>201401</v>
      </c>
      <c r="F660" s="347" t="str">
        <f>VLOOKUP($AA660,[3]주!$A:$F,6,FALSE)</f>
        <v>1월 4주</v>
      </c>
      <c r="G660" s="7">
        <f t="shared" si="187"/>
        <v>1</v>
      </c>
      <c r="H660" s="7" t="str">
        <f t="shared" si="192"/>
        <v>14FW ELS 21_SNAP_BK</v>
      </c>
      <c r="I660" s="7">
        <f t="shared" si="188"/>
        <v>1</v>
      </c>
      <c r="J660" s="7" t="str">
        <f t="shared" si="193"/>
        <v>성진14FW ELS 21_SNAP_BK</v>
      </c>
      <c r="K660" s="17">
        <f t="shared" si="194"/>
        <v>41702</v>
      </c>
      <c r="L660" s="12" t="str">
        <f t="shared" si="195"/>
        <v>201403</v>
      </c>
      <c r="M660" s="347" t="str">
        <f>VLOOKUP($K660,[3]주!$A:$F,6,FALSE)</f>
        <v>3월 1주</v>
      </c>
      <c r="N660" s="273" t="str">
        <f>IF(VLOOKUP($Z660,생산업체!$A:$C,2,FALSE)=1,"해외","국내")</f>
        <v>해외</v>
      </c>
      <c r="O660" s="12" t="str">
        <f>IF(VLOOKUP($U660,CODE!$K:$P,CODE!P$1,FALSE)="모자",T660,T660&amp;"-"&amp;VLOOKUP($U660,CODE!$K:$P,CODE!P$1,FALSE))</f>
        <v>ELS</v>
      </c>
      <c r="P660" s="11" t="s">
        <v>3</v>
      </c>
      <c r="R660" s="11">
        <v>21</v>
      </c>
      <c r="T660" s="8" t="s">
        <v>3</v>
      </c>
      <c r="U660" s="8" t="s">
        <v>50</v>
      </c>
      <c r="V660" s="8" t="s">
        <v>43</v>
      </c>
      <c r="W660" s="8" t="s">
        <v>1339</v>
      </c>
      <c r="X660" s="8" t="s">
        <v>900</v>
      </c>
      <c r="Y660" s="9">
        <v>1</v>
      </c>
      <c r="Z660" s="8" t="s">
        <v>48</v>
      </c>
      <c r="AA660" s="10">
        <v>41663</v>
      </c>
      <c r="AB660" s="10">
        <v>41691</v>
      </c>
      <c r="AC660" s="10">
        <v>41718</v>
      </c>
      <c r="AD660" s="10">
        <v>41702</v>
      </c>
      <c r="AE660" s="8">
        <v>4.75</v>
      </c>
      <c r="AH660" s="8">
        <v>2</v>
      </c>
      <c r="AI660" s="8">
        <v>1</v>
      </c>
      <c r="AJ660" s="8" t="s">
        <v>1794</v>
      </c>
    </row>
    <row r="661" spans="1:36">
      <c r="A661" s="7">
        <f t="shared" si="185"/>
        <v>1</v>
      </c>
      <c r="B661" s="7" t="str">
        <f t="shared" si="189"/>
        <v>14FW ELS 22_SNAP_YE</v>
      </c>
      <c r="C661" s="7">
        <f t="shared" si="186"/>
        <v>1</v>
      </c>
      <c r="D661" s="7" t="str">
        <f t="shared" si="190"/>
        <v>성진14FW ELS 22_SNAP_YE</v>
      </c>
      <c r="E661" s="12" t="str">
        <f t="shared" si="191"/>
        <v>201401</v>
      </c>
      <c r="F661" s="347" t="str">
        <f>VLOOKUP($AA661,[3]주!$A:$F,6,FALSE)</f>
        <v>1월 4주</v>
      </c>
      <c r="G661" s="7">
        <f t="shared" si="187"/>
        <v>1</v>
      </c>
      <c r="H661" s="7" t="str">
        <f t="shared" si="192"/>
        <v>14FW ELS 22_SNAP_YE</v>
      </c>
      <c r="I661" s="7">
        <f t="shared" si="188"/>
        <v>1</v>
      </c>
      <c r="J661" s="7" t="str">
        <f t="shared" si="193"/>
        <v>성진14FW ELS 22_SNAP_YE</v>
      </c>
      <c r="K661" s="17">
        <f t="shared" si="194"/>
        <v>41702</v>
      </c>
      <c r="L661" s="12" t="str">
        <f t="shared" si="195"/>
        <v>201403</v>
      </c>
      <c r="M661" s="347" t="str">
        <f>VLOOKUP($K661,[3]주!$A:$F,6,FALSE)</f>
        <v>3월 1주</v>
      </c>
      <c r="N661" s="273" t="str">
        <f>IF(VLOOKUP($Z661,생산업체!$A:$C,2,FALSE)=1,"해외","국내")</f>
        <v>해외</v>
      </c>
      <c r="O661" s="12" t="str">
        <f>IF(VLOOKUP($U661,CODE!$K:$P,CODE!P$1,FALSE)="모자",T661,T661&amp;"-"&amp;VLOOKUP($U661,CODE!$K:$P,CODE!P$1,FALSE))</f>
        <v>ELS</v>
      </c>
      <c r="P661" s="11" t="s">
        <v>3</v>
      </c>
      <c r="R661" s="11">
        <v>22</v>
      </c>
      <c r="T661" s="8" t="s">
        <v>3</v>
      </c>
      <c r="U661" s="8" t="s">
        <v>50</v>
      </c>
      <c r="V661" s="8" t="s">
        <v>43</v>
      </c>
      <c r="W661" s="8" t="s">
        <v>1340</v>
      </c>
      <c r="X661" s="8" t="s">
        <v>900</v>
      </c>
      <c r="Y661" s="9">
        <v>1</v>
      </c>
      <c r="Z661" s="8" t="s">
        <v>48</v>
      </c>
      <c r="AA661" s="10">
        <v>41663</v>
      </c>
      <c r="AB661" s="10">
        <v>41691</v>
      </c>
      <c r="AC661" s="10">
        <v>41718</v>
      </c>
      <c r="AD661" s="10">
        <v>41702</v>
      </c>
      <c r="AE661" s="8">
        <v>4.45</v>
      </c>
      <c r="AH661" s="8">
        <v>2</v>
      </c>
      <c r="AI661" s="8">
        <v>2</v>
      </c>
      <c r="AJ661" s="8" t="s">
        <v>1794</v>
      </c>
    </row>
    <row r="662" spans="1:36">
      <c r="A662" s="7">
        <f t="shared" si="185"/>
        <v>1</v>
      </c>
      <c r="B662" s="7" t="str">
        <f t="shared" si="189"/>
        <v>14FW ELS 23_SNAP_D.GY</v>
      </c>
      <c r="C662" s="7">
        <f t="shared" si="186"/>
        <v>1</v>
      </c>
      <c r="D662" s="7" t="str">
        <f t="shared" si="190"/>
        <v>QF14FW ELS 23_SNAP_D.GY</v>
      </c>
      <c r="E662" s="12" t="str">
        <f t="shared" si="191"/>
        <v>201401</v>
      </c>
      <c r="F662" s="347" t="str">
        <f>VLOOKUP($AA662,[3]주!$A:$F,6,FALSE)</f>
        <v>1월 4주</v>
      </c>
      <c r="G662" s="7">
        <f t="shared" si="187"/>
        <v>1</v>
      </c>
      <c r="H662" s="7" t="str">
        <f t="shared" si="192"/>
        <v>14FW ELS 23_SNAP_D.GY</v>
      </c>
      <c r="I662" s="7">
        <f t="shared" si="188"/>
        <v>1</v>
      </c>
      <c r="J662" s="7" t="str">
        <f t="shared" si="193"/>
        <v>QF14FW ELS 23_SNAP_D.GY</v>
      </c>
      <c r="K662" s="17">
        <f t="shared" si="194"/>
        <v>41715</v>
      </c>
      <c r="L662" s="12" t="str">
        <f t="shared" si="195"/>
        <v>201403</v>
      </c>
      <c r="M662" s="347" t="str">
        <f>VLOOKUP($K662,[3]주!$A:$F,6,FALSE)</f>
        <v>3월 2주</v>
      </c>
      <c r="N662" s="273" t="str">
        <f>IF(VLOOKUP($Z662,생산업체!$A:$C,2,FALSE)=1,"해외","국내")</f>
        <v>해외</v>
      </c>
      <c r="O662" s="12" t="str">
        <f>IF(VLOOKUP($U662,CODE!$K:$P,CODE!P$1,FALSE)="모자",T662,T662&amp;"-"&amp;VLOOKUP($U662,CODE!$K:$P,CODE!P$1,FALSE))</f>
        <v>ELS</v>
      </c>
      <c r="P662" s="11" t="s">
        <v>3</v>
      </c>
      <c r="R662" s="11">
        <v>23</v>
      </c>
      <c r="T662" s="8" t="s">
        <v>3</v>
      </c>
      <c r="U662" s="8" t="s">
        <v>35</v>
      </c>
      <c r="V662" s="8" t="s">
        <v>43</v>
      </c>
      <c r="W662" s="8" t="s">
        <v>1341</v>
      </c>
      <c r="X662" s="8" t="s">
        <v>900</v>
      </c>
      <c r="Y662" s="9">
        <v>1</v>
      </c>
      <c r="Z662" s="8" t="s">
        <v>792</v>
      </c>
      <c r="AA662" s="10">
        <v>41663</v>
      </c>
      <c r="AB662" s="10">
        <v>41691</v>
      </c>
      <c r="AC662" s="10">
        <v>41718</v>
      </c>
      <c r="AD662" s="10">
        <v>41715</v>
      </c>
      <c r="AE662" s="8">
        <v>4.5999999999999996</v>
      </c>
      <c r="AG662" s="8" t="s">
        <v>1342</v>
      </c>
      <c r="AH662" s="8">
        <v>5</v>
      </c>
      <c r="AI662" s="8">
        <v>5</v>
      </c>
    </row>
    <row r="663" spans="1:36">
      <c r="A663" s="7">
        <f t="shared" si="185"/>
        <v>1</v>
      </c>
      <c r="B663" s="7" t="str">
        <f t="shared" si="189"/>
        <v>14FW ELS 24_SNAP_YE</v>
      </c>
      <c r="C663" s="7">
        <f t="shared" si="186"/>
        <v>1</v>
      </c>
      <c r="D663" s="7" t="str">
        <f t="shared" si="190"/>
        <v>QF14FW ELS 24_SNAP_YE</v>
      </c>
      <c r="E663" s="12" t="str">
        <f t="shared" si="191"/>
        <v>201401</v>
      </c>
      <c r="F663" s="347" t="str">
        <f>VLOOKUP($AA663,[3]주!$A:$F,6,FALSE)</f>
        <v>1월 4주</v>
      </c>
      <c r="G663" s="7">
        <f t="shared" si="187"/>
        <v>1</v>
      </c>
      <c r="H663" s="7" t="str">
        <f t="shared" si="192"/>
        <v>14FW ELS 24_SNAP_YE</v>
      </c>
      <c r="I663" s="7">
        <f t="shared" si="188"/>
        <v>1</v>
      </c>
      <c r="J663" s="7" t="str">
        <f t="shared" si="193"/>
        <v>QF14FW ELS 24_SNAP_YE</v>
      </c>
      <c r="K663" s="17">
        <f t="shared" si="194"/>
        <v>41715</v>
      </c>
      <c r="L663" s="12" t="str">
        <f t="shared" si="195"/>
        <v>201403</v>
      </c>
      <c r="M663" s="347" t="str">
        <f>VLOOKUP($K663,[3]주!$A:$F,6,FALSE)</f>
        <v>3월 2주</v>
      </c>
      <c r="N663" s="273" t="str">
        <f>IF(VLOOKUP($Z663,생산업체!$A:$C,2,FALSE)=1,"해외","국내")</f>
        <v>해외</v>
      </c>
      <c r="O663" s="12" t="str">
        <f>IF(VLOOKUP($U663,CODE!$K:$P,CODE!P$1,FALSE)="모자",T663,T663&amp;"-"&amp;VLOOKUP($U663,CODE!$K:$P,CODE!P$1,FALSE))</f>
        <v>ELS</v>
      </c>
      <c r="P663" s="11" t="s">
        <v>3</v>
      </c>
      <c r="R663" s="11">
        <v>24</v>
      </c>
      <c r="T663" s="8" t="s">
        <v>3</v>
      </c>
      <c r="U663" s="8" t="s">
        <v>35</v>
      </c>
      <c r="V663" s="8" t="s">
        <v>43</v>
      </c>
      <c r="W663" s="8" t="s">
        <v>1343</v>
      </c>
      <c r="X663" s="8" t="s">
        <v>900</v>
      </c>
      <c r="Y663" s="9">
        <v>1</v>
      </c>
      <c r="Z663" s="8" t="s">
        <v>792</v>
      </c>
      <c r="AA663" s="10">
        <v>41663</v>
      </c>
      <c r="AB663" s="10">
        <v>41691</v>
      </c>
      <c r="AC663" s="10">
        <v>41718</v>
      </c>
      <c r="AD663" s="10">
        <v>41715</v>
      </c>
      <c r="AE663" s="8">
        <v>3.5</v>
      </c>
      <c r="AH663" s="8">
        <v>4</v>
      </c>
      <c r="AI663" s="8">
        <v>2</v>
      </c>
    </row>
    <row r="664" spans="1:36">
      <c r="A664" s="7">
        <f t="shared" si="185"/>
        <v>1</v>
      </c>
      <c r="B664" s="7" t="str">
        <f t="shared" si="189"/>
        <v>14FW ELS_25_KNIT_BK</v>
      </c>
      <c r="C664" s="7">
        <f t="shared" si="186"/>
        <v>1</v>
      </c>
      <c r="D664" s="7" t="str">
        <f t="shared" si="190"/>
        <v>FOREMOST14FW ELS_25_KNIT_BK</v>
      </c>
      <c r="E664" s="12" t="str">
        <f t="shared" si="191"/>
        <v>201401</v>
      </c>
      <c r="F664" s="347" t="str">
        <f>VLOOKUP($AA664,[3]주!$A:$F,6,FALSE)</f>
        <v>1월 4주</v>
      </c>
      <c r="G664" s="7">
        <f t="shared" si="187"/>
        <v>1</v>
      </c>
      <c r="H664" s="7" t="str">
        <f t="shared" si="192"/>
        <v>14FW ELS_25_KNIT_BK</v>
      </c>
      <c r="I664" s="7">
        <f t="shared" si="188"/>
        <v>1</v>
      </c>
      <c r="J664" s="7" t="str">
        <f t="shared" si="193"/>
        <v>FOREMOST14FW ELS_25_KNIT_BK</v>
      </c>
      <c r="K664" s="17">
        <f t="shared" si="194"/>
        <v>41708</v>
      </c>
      <c r="L664" s="12" t="str">
        <f t="shared" si="195"/>
        <v>201403</v>
      </c>
      <c r="M664" s="347" t="str">
        <f>VLOOKUP($K664,[3]주!$A:$F,6,FALSE)</f>
        <v>3월 2주</v>
      </c>
      <c r="N664" s="273" t="str">
        <f>IF(VLOOKUP($Z664,생산업체!$A:$C,2,FALSE)=1,"해외","국내")</f>
        <v>해외</v>
      </c>
      <c r="O664" s="12" t="str">
        <f>IF(VLOOKUP($U664,CODE!$K:$P,CODE!P$1,FALSE)="모자",T664,T664&amp;"-"&amp;VLOOKUP($U664,CODE!$K:$P,CODE!P$1,FALSE))</f>
        <v>ELS</v>
      </c>
      <c r="P664" s="11" t="s">
        <v>3</v>
      </c>
      <c r="R664" s="11">
        <v>25</v>
      </c>
      <c r="T664" s="8" t="s">
        <v>3</v>
      </c>
      <c r="U664" s="8" t="s">
        <v>56</v>
      </c>
      <c r="V664" s="8" t="s">
        <v>43</v>
      </c>
      <c r="W664" s="8" t="s">
        <v>1287</v>
      </c>
      <c r="X664" s="8" t="s">
        <v>900</v>
      </c>
      <c r="Y664" s="9">
        <v>1</v>
      </c>
      <c r="Z664" s="8" t="s">
        <v>6</v>
      </c>
      <c r="AA664" s="10">
        <v>41663</v>
      </c>
      <c r="AB664" s="10">
        <v>41691</v>
      </c>
      <c r="AC664" s="10">
        <v>41718</v>
      </c>
      <c r="AD664" s="10">
        <v>41708</v>
      </c>
      <c r="AE664" s="8">
        <v>5.15</v>
      </c>
      <c r="AH664" s="8">
        <v>2</v>
      </c>
      <c r="AI664" s="8">
        <v>2</v>
      </c>
      <c r="AJ664" s="8" t="s">
        <v>2064</v>
      </c>
    </row>
    <row r="665" spans="1:36">
      <c r="A665" s="7">
        <f t="shared" si="185"/>
        <v>1</v>
      </c>
      <c r="B665" s="7" t="str">
        <f t="shared" si="189"/>
        <v>14FW ELS_26_KNIT_RD</v>
      </c>
      <c r="C665" s="7">
        <f t="shared" si="186"/>
        <v>1</v>
      </c>
      <c r="D665" s="7" t="str">
        <f t="shared" si="190"/>
        <v>FOREMOST14FW ELS_26_KNIT_RD</v>
      </c>
      <c r="E665" s="12" t="str">
        <f t="shared" si="191"/>
        <v>201401</v>
      </c>
      <c r="F665" s="347" t="str">
        <f>VLOOKUP($AA665,[3]주!$A:$F,6,FALSE)</f>
        <v>1월 4주</v>
      </c>
      <c r="G665" s="7">
        <f t="shared" si="187"/>
        <v>1</v>
      </c>
      <c r="H665" s="7" t="str">
        <f t="shared" si="192"/>
        <v>14FW ELS_26_KNIT_RD</v>
      </c>
      <c r="I665" s="7">
        <f t="shared" si="188"/>
        <v>1</v>
      </c>
      <c r="J665" s="7" t="str">
        <f t="shared" si="193"/>
        <v>FOREMOST14FW ELS_26_KNIT_RD</v>
      </c>
      <c r="K665" s="17">
        <f t="shared" si="194"/>
        <v>41708</v>
      </c>
      <c r="L665" s="12" t="str">
        <f t="shared" si="195"/>
        <v>201403</v>
      </c>
      <c r="M665" s="347" t="str">
        <f>VLOOKUP($K665,[3]주!$A:$F,6,FALSE)</f>
        <v>3월 2주</v>
      </c>
      <c r="N665" s="273" t="str">
        <f>IF(VLOOKUP($Z665,생산업체!$A:$C,2,FALSE)=1,"해외","국내")</f>
        <v>해외</v>
      </c>
      <c r="O665" s="12" t="str">
        <f>IF(VLOOKUP($U665,CODE!$K:$P,CODE!P$1,FALSE)="모자",T665,T665&amp;"-"&amp;VLOOKUP($U665,CODE!$K:$P,CODE!P$1,FALSE))</f>
        <v>ELS</v>
      </c>
      <c r="P665" s="11" t="s">
        <v>3</v>
      </c>
      <c r="R665" s="11">
        <v>26</v>
      </c>
      <c r="T665" s="8" t="s">
        <v>3</v>
      </c>
      <c r="U665" s="8" t="s">
        <v>56</v>
      </c>
      <c r="V665" s="8" t="s">
        <v>43</v>
      </c>
      <c r="W665" s="8" t="s">
        <v>1288</v>
      </c>
      <c r="X665" s="8" t="s">
        <v>900</v>
      </c>
      <c r="Y665" s="9">
        <v>1</v>
      </c>
      <c r="Z665" s="8" t="s">
        <v>6</v>
      </c>
      <c r="AA665" s="10">
        <v>41663</v>
      </c>
      <c r="AB665" s="10">
        <v>41691</v>
      </c>
      <c r="AC665" s="10">
        <v>41718</v>
      </c>
      <c r="AD665" s="10">
        <v>41708</v>
      </c>
      <c r="AE665" s="8">
        <v>4.5</v>
      </c>
      <c r="AH665" s="8">
        <v>2</v>
      </c>
      <c r="AI665" s="8">
        <v>2</v>
      </c>
      <c r="AJ665" s="8" t="s">
        <v>2065</v>
      </c>
    </row>
    <row r="666" spans="1:36">
      <c r="A666" s="7">
        <f t="shared" si="185"/>
        <v>1</v>
      </c>
      <c r="B666" s="7" t="str">
        <f t="shared" si="189"/>
        <v>14FW ELS_27_KNIT_PK</v>
      </c>
      <c r="C666" s="7">
        <f t="shared" si="186"/>
        <v>1</v>
      </c>
      <c r="D666" s="7" t="str">
        <f t="shared" si="190"/>
        <v>FOREMOST14FW ELS_27_KNIT_PK</v>
      </c>
      <c r="E666" s="12" t="str">
        <f t="shared" si="191"/>
        <v>201401</v>
      </c>
      <c r="F666" s="347" t="str">
        <f>VLOOKUP($AA666,[3]주!$A:$F,6,FALSE)</f>
        <v>1월 4주</v>
      </c>
      <c r="G666" s="7">
        <f t="shared" si="187"/>
        <v>1</v>
      </c>
      <c r="H666" s="7" t="str">
        <f t="shared" si="192"/>
        <v>14FW ELS_27_KNIT_PK</v>
      </c>
      <c r="I666" s="7">
        <f t="shared" si="188"/>
        <v>1</v>
      </c>
      <c r="J666" s="7" t="str">
        <f t="shared" si="193"/>
        <v>FOREMOST14FW ELS_27_KNIT_PK</v>
      </c>
      <c r="K666" s="17">
        <f t="shared" si="194"/>
        <v>41708</v>
      </c>
      <c r="L666" s="12" t="str">
        <f t="shared" si="195"/>
        <v>201403</v>
      </c>
      <c r="M666" s="347" t="str">
        <f>VLOOKUP($K666,[3]주!$A:$F,6,FALSE)</f>
        <v>3월 2주</v>
      </c>
      <c r="N666" s="273" t="str">
        <f>IF(VLOOKUP($Z666,생산업체!$A:$C,2,FALSE)=1,"해외","국내")</f>
        <v>해외</v>
      </c>
      <c r="O666" s="12" t="str">
        <f>IF(VLOOKUP($U666,CODE!$K:$P,CODE!P$1,FALSE)="모자",T666,T666&amp;"-"&amp;VLOOKUP($U666,CODE!$K:$P,CODE!P$1,FALSE))</f>
        <v>ELS</v>
      </c>
      <c r="P666" s="11" t="s">
        <v>3</v>
      </c>
      <c r="R666" s="11">
        <v>27</v>
      </c>
      <c r="T666" s="8" t="s">
        <v>3</v>
      </c>
      <c r="U666" s="8" t="s">
        <v>56</v>
      </c>
      <c r="V666" s="8" t="s">
        <v>43</v>
      </c>
      <c r="W666" s="8" t="s">
        <v>1289</v>
      </c>
      <c r="X666" s="8" t="s">
        <v>900</v>
      </c>
      <c r="Y666" s="9">
        <v>1</v>
      </c>
      <c r="Z666" s="8" t="s">
        <v>6</v>
      </c>
      <c r="AA666" s="10">
        <v>41663</v>
      </c>
      <c r="AB666" s="10">
        <v>41691</v>
      </c>
      <c r="AC666" s="10">
        <v>41718</v>
      </c>
      <c r="AD666" s="10">
        <v>41708</v>
      </c>
      <c r="AE666" s="8">
        <v>4.7</v>
      </c>
      <c r="AH666" s="8">
        <v>2</v>
      </c>
      <c r="AI666" s="8">
        <v>2</v>
      </c>
      <c r="AJ666" s="8" t="s">
        <v>2064</v>
      </c>
    </row>
    <row r="667" spans="1:36">
      <c r="A667" s="7">
        <f t="shared" si="185"/>
        <v>1</v>
      </c>
      <c r="B667" s="7" t="str">
        <f t="shared" si="189"/>
        <v>14FW ELS_28_KNIT_BK</v>
      </c>
      <c r="C667" s="7">
        <f t="shared" si="186"/>
        <v>1</v>
      </c>
      <c r="D667" s="7" t="str">
        <f t="shared" si="190"/>
        <v>FOREMOST14FW ELS_28_KNIT_BK</v>
      </c>
      <c r="E667" s="12" t="str">
        <f t="shared" si="191"/>
        <v>201401</v>
      </c>
      <c r="F667" s="347" t="str">
        <f>VLOOKUP($AA667,[3]주!$A:$F,6,FALSE)</f>
        <v>1월 4주</v>
      </c>
      <c r="G667" s="7">
        <f t="shared" si="187"/>
        <v>1</v>
      </c>
      <c r="H667" s="7" t="str">
        <f t="shared" si="192"/>
        <v>14FW ELS_28_KNIT_BK</v>
      </c>
      <c r="I667" s="7">
        <f t="shared" si="188"/>
        <v>1</v>
      </c>
      <c r="J667" s="7" t="str">
        <f t="shared" si="193"/>
        <v>FOREMOST14FW ELS_28_KNIT_BK</v>
      </c>
      <c r="K667" s="17">
        <f t="shared" si="194"/>
        <v>41708</v>
      </c>
      <c r="L667" s="12" t="str">
        <f t="shared" si="195"/>
        <v>201403</v>
      </c>
      <c r="M667" s="347" t="str">
        <f>VLOOKUP($K667,[3]주!$A:$F,6,FALSE)</f>
        <v>3월 2주</v>
      </c>
      <c r="N667" s="273" t="str">
        <f>IF(VLOOKUP($Z667,생산업체!$A:$C,2,FALSE)=1,"해외","국내")</f>
        <v>해외</v>
      </c>
      <c r="O667" s="12" t="str">
        <f>IF(VLOOKUP($U667,CODE!$K:$P,CODE!P$1,FALSE)="모자",T667,T667&amp;"-"&amp;VLOOKUP($U667,CODE!$K:$P,CODE!P$1,FALSE))</f>
        <v>ELS</v>
      </c>
      <c r="P667" s="11" t="s">
        <v>3</v>
      </c>
      <c r="R667" s="11">
        <v>28</v>
      </c>
      <c r="T667" s="8" t="s">
        <v>3</v>
      </c>
      <c r="U667" s="8" t="s">
        <v>56</v>
      </c>
      <c r="V667" s="8" t="s">
        <v>43</v>
      </c>
      <c r="W667" s="8" t="s">
        <v>1290</v>
      </c>
      <c r="X667" s="8" t="s">
        <v>900</v>
      </c>
      <c r="Y667" s="9">
        <v>1</v>
      </c>
      <c r="Z667" s="8" t="s">
        <v>6</v>
      </c>
      <c r="AA667" s="10">
        <v>41663</v>
      </c>
      <c r="AB667" s="10">
        <v>41691</v>
      </c>
      <c r="AC667" s="10">
        <v>41718</v>
      </c>
      <c r="AD667" s="10">
        <v>41708</v>
      </c>
      <c r="AE667" s="8">
        <v>4.8</v>
      </c>
      <c r="AH667" s="8">
        <v>1</v>
      </c>
      <c r="AI667" s="8">
        <v>1</v>
      </c>
    </row>
    <row r="668" spans="1:36">
      <c r="A668" s="7">
        <f t="shared" si="185"/>
        <v>1</v>
      </c>
      <c r="B668" s="7" t="str">
        <f t="shared" si="189"/>
        <v>14FW ELS_29_KNIT_GY</v>
      </c>
      <c r="C668" s="7">
        <f t="shared" si="186"/>
        <v>1</v>
      </c>
      <c r="D668" s="7" t="str">
        <f t="shared" si="190"/>
        <v>FOREMOST14FW ELS_29_KNIT_GY</v>
      </c>
      <c r="E668" s="12" t="str">
        <f t="shared" si="191"/>
        <v>201401</v>
      </c>
      <c r="F668" s="347" t="str">
        <f>VLOOKUP($AA668,[3]주!$A:$F,6,FALSE)</f>
        <v>1월 4주</v>
      </c>
      <c r="G668" s="7">
        <f t="shared" si="187"/>
        <v>1</v>
      </c>
      <c r="H668" s="7" t="str">
        <f t="shared" si="192"/>
        <v>14FW ELS_29_KNIT_GY</v>
      </c>
      <c r="I668" s="7">
        <f t="shared" si="188"/>
        <v>1</v>
      </c>
      <c r="J668" s="7" t="str">
        <f t="shared" si="193"/>
        <v>FOREMOST14FW ELS_29_KNIT_GY</v>
      </c>
      <c r="K668" s="17">
        <f t="shared" si="194"/>
        <v>41708</v>
      </c>
      <c r="L668" s="12" t="str">
        <f t="shared" si="195"/>
        <v>201403</v>
      </c>
      <c r="M668" s="347" t="str">
        <f>VLOOKUP($K668,[3]주!$A:$F,6,FALSE)</f>
        <v>3월 2주</v>
      </c>
      <c r="N668" s="273" t="str">
        <f>IF(VLOOKUP($Z668,생산업체!$A:$C,2,FALSE)=1,"해외","국내")</f>
        <v>해외</v>
      </c>
      <c r="O668" s="12" t="str">
        <f>IF(VLOOKUP($U668,CODE!$K:$P,CODE!P$1,FALSE)="모자",T668,T668&amp;"-"&amp;VLOOKUP($U668,CODE!$K:$P,CODE!P$1,FALSE))</f>
        <v>ELS</v>
      </c>
      <c r="P668" s="11" t="s">
        <v>3</v>
      </c>
      <c r="R668" s="11">
        <v>29</v>
      </c>
      <c r="T668" s="8" t="s">
        <v>3</v>
      </c>
      <c r="U668" s="8" t="s">
        <v>56</v>
      </c>
      <c r="V668" s="8" t="s">
        <v>43</v>
      </c>
      <c r="W668" s="8" t="s">
        <v>1291</v>
      </c>
      <c r="X668" s="8" t="s">
        <v>900</v>
      </c>
      <c r="Y668" s="9">
        <v>1</v>
      </c>
      <c r="Z668" s="8" t="s">
        <v>6</v>
      </c>
      <c r="AA668" s="10">
        <v>41663</v>
      </c>
      <c r="AB668" s="10">
        <v>41691</v>
      </c>
      <c r="AC668" s="10">
        <v>41718</v>
      </c>
      <c r="AD668" s="10">
        <v>41708</v>
      </c>
      <c r="AE668" s="8">
        <v>4.55</v>
      </c>
      <c r="AH668" s="8">
        <v>1</v>
      </c>
      <c r="AI668" s="8">
        <v>1</v>
      </c>
    </row>
    <row r="669" spans="1:36">
      <c r="A669" s="7">
        <f t="shared" si="185"/>
        <v>1</v>
      </c>
      <c r="B669" s="7" t="str">
        <f t="shared" si="189"/>
        <v>14FW ELS_30_KNIT GLOBE_D.GY</v>
      </c>
      <c r="C669" s="7">
        <f t="shared" si="186"/>
        <v>1</v>
      </c>
      <c r="D669" s="7" t="str">
        <f t="shared" si="190"/>
        <v>FOREMOST14FW ELS_30_KNIT GLOBE_D.GY</v>
      </c>
      <c r="E669" s="12" t="str">
        <f t="shared" si="191"/>
        <v>201401</v>
      </c>
      <c r="F669" s="347" t="str">
        <f>VLOOKUP($AA669,[3]주!$A:$F,6,FALSE)</f>
        <v>1월 4주</v>
      </c>
      <c r="G669" s="7">
        <f t="shared" si="187"/>
        <v>1</v>
      </c>
      <c r="H669" s="7" t="str">
        <f t="shared" si="192"/>
        <v>14FW ELS_30_KNIT GLOBE_D.GY</v>
      </c>
      <c r="I669" s="7">
        <f t="shared" si="188"/>
        <v>1</v>
      </c>
      <c r="J669" s="7" t="str">
        <f t="shared" si="193"/>
        <v>FOREMOST14FW ELS_30_KNIT GLOBE_D.GY</v>
      </c>
      <c r="K669" s="17">
        <f t="shared" si="194"/>
        <v>41705</v>
      </c>
      <c r="L669" s="12" t="str">
        <f t="shared" si="195"/>
        <v>201403</v>
      </c>
      <c r="M669" s="347" t="str">
        <f>VLOOKUP($K669,[3]주!$A:$F,6,FALSE)</f>
        <v>3월 1주</v>
      </c>
      <c r="N669" s="273" t="str">
        <f>IF(VLOOKUP($Z669,생산업체!$A:$C,2,FALSE)=1,"해외","국내")</f>
        <v>해외</v>
      </c>
      <c r="O669" s="12" t="str">
        <f>IF(VLOOKUP($U669,CODE!$K:$P,CODE!P$1,FALSE)="모자",T669,T669&amp;"-"&amp;VLOOKUP($U669,CODE!$K:$P,CODE!P$1,FALSE))</f>
        <v>ELS-ACC</v>
      </c>
      <c r="P669" s="11" t="s">
        <v>58</v>
      </c>
      <c r="R669" s="11">
        <v>30</v>
      </c>
      <c r="T669" s="8" t="s">
        <v>3</v>
      </c>
      <c r="U669" s="8" t="s">
        <v>55</v>
      </c>
      <c r="V669" s="8" t="s">
        <v>43</v>
      </c>
      <c r="W669" s="8" t="s">
        <v>1292</v>
      </c>
      <c r="X669" s="8" t="s">
        <v>900</v>
      </c>
      <c r="Y669" s="9">
        <v>1</v>
      </c>
      <c r="Z669" s="8" t="s">
        <v>6</v>
      </c>
      <c r="AA669" s="10">
        <v>41663</v>
      </c>
      <c r="AB669" s="10">
        <v>41691</v>
      </c>
      <c r="AC669" s="10">
        <v>41718</v>
      </c>
      <c r="AD669" s="10">
        <v>41705</v>
      </c>
      <c r="AE669" s="8">
        <v>5.3</v>
      </c>
      <c r="AG669" s="8" t="s">
        <v>1293</v>
      </c>
      <c r="AH669" s="8">
        <v>3</v>
      </c>
      <c r="AI669" s="8">
        <v>3</v>
      </c>
    </row>
    <row r="670" spans="1:36">
      <c r="A670" s="7">
        <f t="shared" si="185"/>
        <v>1</v>
      </c>
      <c r="B670" s="7" t="str">
        <f t="shared" si="189"/>
        <v>14FW ELS_31_KNIT GLOBE_GY</v>
      </c>
      <c r="C670" s="7">
        <f t="shared" si="186"/>
        <v>1</v>
      </c>
      <c r="D670" s="7" t="str">
        <f t="shared" si="190"/>
        <v>FOREMOST14FW ELS_31_KNIT GLOBE_GY</v>
      </c>
      <c r="E670" s="12" t="str">
        <f t="shared" si="191"/>
        <v>201401</v>
      </c>
      <c r="F670" s="347" t="str">
        <f>VLOOKUP($AA670,[3]주!$A:$F,6,FALSE)</f>
        <v>1월 4주</v>
      </c>
      <c r="G670" s="7">
        <f t="shared" si="187"/>
        <v>1</v>
      </c>
      <c r="H670" s="7" t="str">
        <f t="shared" si="192"/>
        <v>14FW ELS_31_KNIT GLOBE_GY</v>
      </c>
      <c r="I670" s="7">
        <f t="shared" si="188"/>
        <v>1</v>
      </c>
      <c r="J670" s="7" t="str">
        <f t="shared" si="193"/>
        <v>FOREMOST14FW ELS_31_KNIT GLOBE_GY</v>
      </c>
      <c r="K670" s="17">
        <f t="shared" si="194"/>
        <v>41705</v>
      </c>
      <c r="L670" s="12" t="str">
        <f t="shared" si="195"/>
        <v>201403</v>
      </c>
      <c r="M670" s="347" t="str">
        <f>VLOOKUP($K670,[3]주!$A:$F,6,FALSE)</f>
        <v>3월 1주</v>
      </c>
      <c r="N670" s="273" t="str">
        <f>IF(VLOOKUP($Z670,생산업체!$A:$C,2,FALSE)=1,"해외","국내")</f>
        <v>해외</v>
      </c>
      <c r="O670" s="12" t="str">
        <f>IF(VLOOKUP($U670,CODE!$K:$P,CODE!P$1,FALSE)="모자",T670,T670&amp;"-"&amp;VLOOKUP($U670,CODE!$K:$P,CODE!P$1,FALSE))</f>
        <v>ELS-ACC</v>
      </c>
      <c r="P670" s="11" t="s">
        <v>58</v>
      </c>
      <c r="R670" s="11">
        <v>31</v>
      </c>
      <c r="T670" s="8" t="s">
        <v>3</v>
      </c>
      <c r="U670" s="8" t="s">
        <v>55</v>
      </c>
      <c r="V670" s="8" t="s">
        <v>43</v>
      </c>
      <c r="W670" s="8" t="s">
        <v>1294</v>
      </c>
      <c r="X670" s="8" t="s">
        <v>900</v>
      </c>
      <c r="Y670" s="9">
        <v>1</v>
      </c>
      <c r="Z670" s="8" t="s">
        <v>6</v>
      </c>
      <c r="AA670" s="10">
        <v>41663</v>
      </c>
      <c r="AB670" s="10">
        <v>41691</v>
      </c>
      <c r="AC670" s="10">
        <v>41718</v>
      </c>
      <c r="AD670" s="10">
        <v>41705</v>
      </c>
      <c r="AE670" s="8">
        <v>5.2</v>
      </c>
      <c r="AH670" s="8">
        <v>3</v>
      </c>
      <c r="AI670" s="8">
        <v>3</v>
      </c>
    </row>
    <row r="671" spans="1:36">
      <c r="A671" s="7">
        <f t="shared" si="185"/>
        <v>1</v>
      </c>
      <c r="B671" s="7" t="str">
        <f t="shared" si="189"/>
        <v>14FW ELS_32_KNIT GLOBE_YE</v>
      </c>
      <c r="C671" s="7">
        <f t="shared" si="186"/>
        <v>1</v>
      </c>
      <c r="D671" s="7" t="str">
        <f t="shared" si="190"/>
        <v>FOREMOST14FW ELS_32_KNIT GLOBE_YE</v>
      </c>
      <c r="E671" s="12" t="str">
        <f t="shared" si="191"/>
        <v>201401</v>
      </c>
      <c r="F671" s="347" t="str">
        <f>VLOOKUP($AA671,[3]주!$A:$F,6,FALSE)</f>
        <v>1월 4주</v>
      </c>
      <c r="G671" s="7">
        <f t="shared" si="187"/>
        <v>1</v>
      </c>
      <c r="H671" s="7" t="str">
        <f t="shared" si="192"/>
        <v>14FW ELS_32_KNIT GLOBE_YE</v>
      </c>
      <c r="I671" s="7">
        <f t="shared" si="188"/>
        <v>1</v>
      </c>
      <c r="J671" s="7" t="str">
        <f t="shared" si="193"/>
        <v>FOREMOST14FW ELS_32_KNIT GLOBE_YE</v>
      </c>
      <c r="K671" s="17">
        <f t="shared" si="194"/>
        <v>41745</v>
      </c>
      <c r="L671" s="12" t="str">
        <f t="shared" si="195"/>
        <v>201404</v>
      </c>
      <c r="M671" s="347" t="str">
        <f>VLOOKUP($K671,[3]주!$A:$F,6,FALSE)</f>
        <v>3월 2주</v>
      </c>
      <c r="N671" s="273" t="str">
        <f>IF(VLOOKUP($Z671,생산업체!$A:$C,2,FALSE)=1,"해외","국내")</f>
        <v>해외</v>
      </c>
      <c r="O671" s="12" t="str">
        <f>IF(VLOOKUP($U671,CODE!$K:$P,CODE!P$1,FALSE)="모자",T671,T671&amp;"-"&amp;VLOOKUP($U671,CODE!$K:$P,CODE!P$1,FALSE))</f>
        <v>ELS-ACC</v>
      </c>
      <c r="P671" s="11" t="s">
        <v>58</v>
      </c>
      <c r="R671" s="11">
        <v>32</v>
      </c>
      <c r="T671" s="8" t="s">
        <v>3</v>
      </c>
      <c r="U671" s="8" t="s">
        <v>55</v>
      </c>
      <c r="V671" s="8" t="s">
        <v>43</v>
      </c>
      <c r="W671" s="8" t="s">
        <v>1295</v>
      </c>
      <c r="X671" s="8" t="s">
        <v>905</v>
      </c>
      <c r="Y671" s="9">
        <v>1</v>
      </c>
      <c r="Z671" s="8" t="s">
        <v>6</v>
      </c>
      <c r="AA671" s="10">
        <v>41663</v>
      </c>
      <c r="AB671" s="10">
        <v>41691</v>
      </c>
      <c r="AC671" s="10">
        <v>41743</v>
      </c>
      <c r="AD671" s="10">
        <v>41745</v>
      </c>
      <c r="AE671" s="8">
        <v>7.4</v>
      </c>
      <c r="AG671" s="8" t="s">
        <v>1296</v>
      </c>
      <c r="AH671" s="8">
        <v>4</v>
      </c>
      <c r="AI671" s="8">
        <v>4</v>
      </c>
      <c r="AJ671" s="8" t="s">
        <v>1736</v>
      </c>
    </row>
    <row r="672" spans="1:36">
      <c r="A672" s="7">
        <f t="shared" si="185"/>
        <v>1</v>
      </c>
      <c r="B672" s="7" t="str">
        <f t="shared" si="189"/>
        <v>14FW ELS_33_KNIT GLOBE_BK</v>
      </c>
      <c r="C672" s="7">
        <f t="shared" si="186"/>
        <v>1</v>
      </c>
      <c r="D672" s="7" t="str">
        <f t="shared" si="190"/>
        <v>FOREMOST14FW ELS_33_KNIT GLOBE_BK</v>
      </c>
      <c r="E672" s="12" t="str">
        <f t="shared" si="191"/>
        <v>201401</v>
      </c>
      <c r="F672" s="347" t="str">
        <f>VLOOKUP($AA672,[3]주!$A:$F,6,FALSE)</f>
        <v>1월 4주</v>
      </c>
      <c r="G672" s="7">
        <f t="shared" si="187"/>
        <v>1</v>
      </c>
      <c r="H672" s="7" t="str">
        <f t="shared" si="192"/>
        <v>14FW ELS_33_KNIT GLOBE_BK</v>
      </c>
      <c r="I672" s="7">
        <f t="shared" si="188"/>
        <v>1</v>
      </c>
      <c r="J672" s="7" t="str">
        <f t="shared" si="193"/>
        <v>FOREMOST14FW ELS_33_KNIT GLOBE_BK</v>
      </c>
      <c r="K672" s="17">
        <f t="shared" si="194"/>
        <v>41745</v>
      </c>
      <c r="L672" s="12" t="str">
        <f t="shared" si="195"/>
        <v>201404</v>
      </c>
      <c r="M672" s="347" t="str">
        <f>VLOOKUP($K672,[3]주!$A:$F,6,FALSE)</f>
        <v>3월 2주</v>
      </c>
      <c r="N672" s="273" t="str">
        <f>IF(VLOOKUP($Z672,생산업체!$A:$C,2,FALSE)=1,"해외","국내")</f>
        <v>해외</v>
      </c>
      <c r="O672" s="12" t="str">
        <f>IF(VLOOKUP($U672,CODE!$K:$P,CODE!P$1,FALSE)="모자",T672,T672&amp;"-"&amp;VLOOKUP($U672,CODE!$K:$P,CODE!P$1,FALSE))</f>
        <v>ELS-ACC</v>
      </c>
      <c r="P672" s="11" t="s">
        <v>58</v>
      </c>
      <c r="R672" s="11">
        <v>33</v>
      </c>
      <c r="T672" s="8" t="s">
        <v>3</v>
      </c>
      <c r="U672" s="8" t="s">
        <v>55</v>
      </c>
      <c r="V672" s="8" t="s">
        <v>43</v>
      </c>
      <c r="W672" s="8" t="s">
        <v>1297</v>
      </c>
      <c r="X672" s="8" t="s">
        <v>905</v>
      </c>
      <c r="Y672" s="9">
        <v>1</v>
      </c>
      <c r="Z672" s="8" t="s">
        <v>6</v>
      </c>
      <c r="AA672" s="10">
        <v>41663</v>
      </c>
      <c r="AB672" s="10">
        <v>41691</v>
      </c>
      <c r="AC672" s="10">
        <v>41743</v>
      </c>
      <c r="AD672" s="10">
        <v>41745</v>
      </c>
      <c r="AE672" s="8">
        <v>7.4</v>
      </c>
      <c r="AH672" s="8">
        <v>4</v>
      </c>
      <c r="AI672" s="8">
        <v>4</v>
      </c>
      <c r="AJ672" s="8" t="s">
        <v>1736</v>
      </c>
    </row>
    <row r="673" spans="1:36">
      <c r="A673" s="7">
        <f t="shared" si="185"/>
        <v>1</v>
      </c>
      <c r="B673" s="7" t="str">
        <f t="shared" si="189"/>
        <v>14FW ELS 34_KNIT_BK</v>
      </c>
      <c r="C673" s="7">
        <f t="shared" si="186"/>
        <v>1</v>
      </c>
      <c r="D673" s="7" t="str">
        <f t="shared" si="190"/>
        <v>FOREMOST14FW ELS 34_KNIT_BK</v>
      </c>
      <c r="E673" s="12" t="str">
        <f t="shared" si="191"/>
        <v>201403</v>
      </c>
      <c r="F673" s="347" t="str">
        <f>VLOOKUP($AA673,[3]주!$A:$F,6,FALSE)</f>
        <v>3월 1주</v>
      </c>
      <c r="G673" s="7">
        <f t="shared" si="187"/>
        <v>1</v>
      </c>
      <c r="H673" s="7" t="str">
        <f t="shared" si="192"/>
        <v>14FW ELS 34_KNIT_BK</v>
      </c>
      <c r="I673" s="7">
        <f t="shared" si="188"/>
        <v>1</v>
      </c>
      <c r="J673" s="7" t="str">
        <f t="shared" si="193"/>
        <v>FOREMOST14FW ELS 34_KNIT_BK</v>
      </c>
      <c r="K673" s="17">
        <f t="shared" si="194"/>
        <v>41737</v>
      </c>
      <c r="L673" s="12" t="str">
        <f t="shared" si="195"/>
        <v>201404</v>
      </c>
      <c r="M673" s="347" t="str">
        <f>VLOOKUP($K673,[3]주!$A:$F,6,FALSE)</f>
        <v>3월 2주</v>
      </c>
      <c r="N673" s="273" t="str">
        <f>IF(VLOOKUP($Z673,생산업체!$A:$C,2,FALSE)=1,"해외","국내")</f>
        <v>해외</v>
      </c>
      <c r="O673" s="12" t="str">
        <f>IF(VLOOKUP($U673,CODE!$K:$P,CODE!P$1,FALSE)="모자",T673,T673&amp;"-"&amp;VLOOKUP($U673,CODE!$K:$P,CODE!P$1,FALSE))</f>
        <v>ELS</v>
      </c>
      <c r="P673" s="11" t="s">
        <v>3</v>
      </c>
      <c r="R673" s="11">
        <v>34</v>
      </c>
      <c r="T673" s="8" t="s">
        <v>3</v>
      </c>
      <c r="U673" s="8" t="s">
        <v>56</v>
      </c>
      <c r="V673" s="8" t="s">
        <v>43</v>
      </c>
      <c r="W673" s="8" t="s">
        <v>1795</v>
      </c>
      <c r="X673" s="8" t="s">
        <v>900</v>
      </c>
      <c r="Y673" s="9">
        <v>1</v>
      </c>
      <c r="Z673" s="8" t="s">
        <v>6</v>
      </c>
      <c r="AA673" s="10">
        <v>41705</v>
      </c>
      <c r="AB673" s="10">
        <v>41733</v>
      </c>
      <c r="AC673" s="10">
        <v>41747</v>
      </c>
      <c r="AD673" s="10">
        <v>41737</v>
      </c>
      <c r="AE673" s="8">
        <v>4.5</v>
      </c>
      <c r="AH673" s="8">
        <v>3</v>
      </c>
      <c r="AI673" s="8">
        <v>3</v>
      </c>
      <c r="AJ673" s="8" t="s">
        <v>1796</v>
      </c>
    </row>
    <row r="674" spans="1:36">
      <c r="A674" s="7">
        <f t="shared" si="185"/>
        <v>1</v>
      </c>
      <c r="B674" s="7" t="str">
        <f t="shared" si="189"/>
        <v>14FW ELS 34_KNIT_NV</v>
      </c>
      <c r="C674" s="7">
        <f t="shared" si="186"/>
        <v>1</v>
      </c>
      <c r="D674" s="7" t="str">
        <f t="shared" si="190"/>
        <v>FOREMOST14FW ELS 34_KNIT_NV</v>
      </c>
      <c r="E674" s="12" t="str">
        <f t="shared" si="191"/>
        <v>201403</v>
      </c>
      <c r="F674" s="347" t="str">
        <f>VLOOKUP($AA674,[3]주!$A:$F,6,FALSE)</f>
        <v>3월 1주</v>
      </c>
      <c r="G674" s="7">
        <f t="shared" si="187"/>
        <v>1</v>
      </c>
      <c r="H674" s="7" t="str">
        <f t="shared" si="192"/>
        <v>14FW ELS 34_KNIT_NV</v>
      </c>
      <c r="I674" s="7">
        <f t="shared" si="188"/>
        <v>1</v>
      </c>
      <c r="J674" s="7" t="str">
        <f t="shared" si="193"/>
        <v>FOREMOST14FW ELS 34_KNIT_NV</v>
      </c>
      <c r="K674" s="17">
        <f t="shared" si="194"/>
        <v>41745</v>
      </c>
      <c r="L674" s="12" t="str">
        <f t="shared" si="195"/>
        <v>201404</v>
      </c>
      <c r="M674" s="347" t="str">
        <f>VLOOKUP($K674,[3]주!$A:$F,6,FALSE)</f>
        <v>3월 2주</v>
      </c>
      <c r="N674" s="273" t="str">
        <f>IF(VLOOKUP($Z674,생산업체!$A:$C,2,FALSE)=1,"해외","국내")</f>
        <v>해외</v>
      </c>
      <c r="O674" s="12" t="str">
        <f>IF(VLOOKUP($U674,CODE!$K:$P,CODE!P$1,FALSE)="모자",T674,T674&amp;"-"&amp;VLOOKUP($U674,CODE!$K:$P,CODE!P$1,FALSE))</f>
        <v>ELS</v>
      </c>
      <c r="P674" s="11" t="s">
        <v>3</v>
      </c>
      <c r="R674" s="11">
        <v>35</v>
      </c>
      <c r="T674" s="8" t="s">
        <v>3</v>
      </c>
      <c r="U674" s="8" t="s">
        <v>56</v>
      </c>
      <c r="V674" s="8" t="s">
        <v>43</v>
      </c>
      <c r="W674" s="8" t="s">
        <v>1797</v>
      </c>
      <c r="X674" s="8" t="s">
        <v>900</v>
      </c>
      <c r="Y674" s="9">
        <v>1</v>
      </c>
      <c r="Z674" s="8" t="s">
        <v>6</v>
      </c>
      <c r="AA674" s="10">
        <v>41705</v>
      </c>
      <c r="AB674" s="10">
        <v>41733</v>
      </c>
      <c r="AC674" s="10">
        <v>41747</v>
      </c>
      <c r="AD674" s="10">
        <v>41745</v>
      </c>
      <c r="AE674" s="8">
        <v>4.5</v>
      </c>
      <c r="AH674" s="8">
        <v>3</v>
      </c>
      <c r="AI674" s="8">
        <v>3</v>
      </c>
      <c r="AJ674" s="8" t="s">
        <v>1796</v>
      </c>
    </row>
    <row r="675" spans="1:36">
      <c r="A675" s="7">
        <f t="shared" si="185"/>
        <v>1</v>
      </c>
      <c r="B675" s="7" t="str">
        <f t="shared" si="189"/>
        <v>14FW ELS 35_KNIT_BL</v>
      </c>
      <c r="C675" s="7">
        <f t="shared" si="186"/>
        <v>1</v>
      </c>
      <c r="D675" s="7" t="str">
        <f t="shared" si="190"/>
        <v>FOREMOST14FW ELS 35_KNIT_BL</v>
      </c>
      <c r="E675" s="12" t="str">
        <f t="shared" si="191"/>
        <v>201403</v>
      </c>
      <c r="F675" s="347" t="str">
        <f>VLOOKUP($AA675,[3]주!$A:$F,6,FALSE)</f>
        <v>3월 1주</v>
      </c>
      <c r="G675" s="7">
        <f t="shared" si="187"/>
        <v>1</v>
      </c>
      <c r="H675" s="7" t="str">
        <f t="shared" si="192"/>
        <v>14FW ELS 35_KNIT_BL</v>
      </c>
      <c r="I675" s="7">
        <f t="shared" si="188"/>
        <v>1</v>
      </c>
      <c r="J675" s="7" t="str">
        <f t="shared" si="193"/>
        <v>FOREMOST14FW ELS 35_KNIT_BL</v>
      </c>
      <c r="K675" s="17">
        <f t="shared" si="194"/>
        <v>41740</v>
      </c>
      <c r="L675" s="12" t="str">
        <f t="shared" si="195"/>
        <v>201404</v>
      </c>
      <c r="M675" s="347" t="str">
        <f>VLOOKUP($K675,[3]주!$A:$F,6,FALSE)</f>
        <v>3월 2주</v>
      </c>
      <c r="N675" s="273" t="str">
        <f>IF(VLOOKUP($Z675,생산업체!$A:$C,2,FALSE)=1,"해외","국내")</f>
        <v>해외</v>
      </c>
      <c r="O675" s="12" t="str">
        <f>IF(VLOOKUP($U675,CODE!$K:$P,CODE!P$1,FALSE)="모자",T675,T675&amp;"-"&amp;VLOOKUP($U675,CODE!$K:$P,CODE!P$1,FALSE))</f>
        <v>ELS</v>
      </c>
      <c r="P675" s="11" t="s">
        <v>3</v>
      </c>
      <c r="R675" s="11">
        <v>36</v>
      </c>
      <c r="T675" s="8" t="s">
        <v>3</v>
      </c>
      <c r="U675" s="8" t="s">
        <v>56</v>
      </c>
      <c r="V675" s="8" t="s">
        <v>43</v>
      </c>
      <c r="W675" s="8" t="s">
        <v>1798</v>
      </c>
      <c r="X675" s="8" t="s">
        <v>900</v>
      </c>
      <c r="Y675" s="9">
        <v>1</v>
      </c>
      <c r="Z675" s="8" t="s">
        <v>6</v>
      </c>
      <c r="AA675" s="10">
        <v>41705</v>
      </c>
      <c r="AB675" s="10">
        <v>41733</v>
      </c>
      <c r="AC675" s="10">
        <v>41747</v>
      </c>
      <c r="AD675" s="10">
        <v>41740</v>
      </c>
      <c r="AE675" s="8">
        <v>4.25</v>
      </c>
      <c r="AH675" s="8">
        <v>3</v>
      </c>
      <c r="AI675" s="8">
        <v>3</v>
      </c>
      <c r="AJ675" s="8" t="s">
        <v>1796</v>
      </c>
    </row>
    <row r="676" spans="1:36">
      <c r="A676" s="7">
        <f t="shared" ref="A676:A695" si="196">IF(B676="",0,1/COUNTIF(B:B,B676))</f>
        <v>1</v>
      </c>
      <c r="B676" s="7" t="str">
        <f t="shared" ref="B676:B695" si="197">IF(AA676="","",W676)</f>
        <v>14FW ELS 36_KNIT_GR</v>
      </c>
      <c r="C676" s="7">
        <f t="shared" ref="C676:C695" si="198">IF(D676="",0,1/COUNTIF(D:D,D676))</f>
        <v>1</v>
      </c>
      <c r="D676" s="7" t="str">
        <f t="shared" ref="D676:D695" si="199">IF(AA676="","",Z676&amp;W676)</f>
        <v>FOREMOST14FW ELS 36_KNIT_GR</v>
      </c>
      <c r="E676" s="12" t="str">
        <f t="shared" ref="E676:E695" si="200">IF(YEAR(AA676)&lt;10,0&amp;YEAR(AA676),YEAR(AA676))&amp;IF(MONTH(AA676)&lt;10,0&amp;MONTH(AA676),MONTH(AA676))</f>
        <v>201403</v>
      </c>
      <c r="F676" s="347" t="str">
        <f>VLOOKUP($AA676,[3]주!$A:$F,6,FALSE)</f>
        <v>3월 1주</v>
      </c>
      <c r="G676" s="7">
        <f t="shared" ref="G676:G695" si="201">IF(H676="",0,1/COUNTIF(H:H,H676))</f>
        <v>1</v>
      </c>
      <c r="H676" s="7" t="str">
        <f t="shared" ref="H676:H695" si="202">IF(AD676="","",W676)</f>
        <v>14FW ELS 36_KNIT_GR</v>
      </c>
      <c r="I676" s="7">
        <f t="shared" ref="I676:I695" si="203">IF(J676="",0,1/COUNTIF(J:J,J676))</f>
        <v>1</v>
      </c>
      <c r="J676" s="7" t="str">
        <f t="shared" ref="J676:J695" si="204">IF(AD676="","",Z676&amp;W676)</f>
        <v>FOREMOST14FW ELS 36_KNIT_GR</v>
      </c>
      <c r="K676" s="17">
        <f t="shared" ref="K676:K695" si="205">IF(AD676="",AC676,AD676)</f>
        <v>41740</v>
      </c>
      <c r="L676" s="12" t="str">
        <f t="shared" ref="L676:L695" si="206">IF(YEAR(K676)&lt;10,0&amp;YEAR(K676),YEAR(K676))&amp;IF(MONTH(K676)&lt;10,0&amp;MONTH(K676),MONTH(K676))</f>
        <v>201404</v>
      </c>
      <c r="M676" s="347" t="str">
        <f>VLOOKUP($K676,[3]주!$A:$F,6,FALSE)</f>
        <v>3월 2주</v>
      </c>
      <c r="N676" s="273" t="str">
        <f>IF(VLOOKUP($Z676,생산업체!$A:$C,2,FALSE)=1,"해외","국내")</f>
        <v>해외</v>
      </c>
      <c r="O676" s="12" t="str">
        <f>IF(VLOOKUP($U676,CODE!$K:$P,CODE!P$1,FALSE)="모자",T676,T676&amp;"-"&amp;VLOOKUP($U676,CODE!$K:$P,CODE!P$1,FALSE))</f>
        <v>ELS</v>
      </c>
      <c r="P676" s="11" t="s">
        <v>3</v>
      </c>
      <c r="R676" s="11">
        <v>37</v>
      </c>
      <c r="T676" s="8" t="s">
        <v>3</v>
      </c>
      <c r="U676" s="8" t="s">
        <v>56</v>
      </c>
      <c r="V676" s="8" t="s">
        <v>43</v>
      </c>
      <c r="W676" s="8" t="s">
        <v>1799</v>
      </c>
      <c r="X676" s="8" t="s">
        <v>900</v>
      </c>
      <c r="Y676" s="9">
        <v>1</v>
      </c>
      <c r="Z676" s="8" t="s">
        <v>6</v>
      </c>
      <c r="AA676" s="10">
        <v>41705</v>
      </c>
      <c r="AB676" s="10">
        <v>41733</v>
      </c>
      <c r="AC676" s="10">
        <v>41747</v>
      </c>
      <c r="AD676" s="10">
        <v>41740</v>
      </c>
      <c r="AE676" s="8">
        <v>4.25</v>
      </c>
      <c r="AH676" s="8">
        <v>3</v>
      </c>
      <c r="AI676" s="8">
        <v>3</v>
      </c>
      <c r="AJ676" s="8" t="s">
        <v>1796</v>
      </c>
    </row>
    <row r="677" spans="1:36">
      <c r="A677" s="7">
        <f t="shared" si="196"/>
        <v>1</v>
      </c>
      <c r="B677" s="7" t="str">
        <f t="shared" si="197"/>
        <v>14FW ELS 37_TROOPER_BL_KIDS</v>
      </c>
      <c r="C677" s="7">
        <f t="shared" si="198"/>
        <v>1</v>
      </c>
      <c r="D677" s="7" t="str">
        <f t="shared" si="199"/>
        <v>동일모자14FW ELS 37_TROOPER_BL_KIDS</v>
      </c>
      <c r="E677" s="12" t="str">
        <f t="shared" si="200"/>
        <v>201403</v>
      </c>
      <c r="F677" s="347" t="str">
        <f>VLOOKUP($AA677,[3]주!$A:$F,6,FALSE)</f>
        <v>3월 1주</v>
      </c>
      <c r="G677" s="7">
        <f t="shared" si="201"/>
        <v>1</v>
      </c>
      <c r="H677" s="7" t="str">
        <f t="shared" si="202"/>
        <v>14FW ELS 37_TROOPER_BL_KIDS</v>
      </c>
      <c r="I677" s="7">
        <f t="shared" si="203"/>
        <v>1</v>
      </c>
      <c r="J677" s="7" t="str">
        <f t="shared" si="204"/>
        <v>동일모자14FW ELS 37_TROOPER_BL_KIDS</v>
      </c>
      <c r="K677" s="17">
        <f t="shared" si="205"/>
        <v>41736</v>
      </c>
      <c r="L677" s="12" t="str">
        <f t="shared" si="206"/>
        <v>201404</v>
      </c>
      <c r="M677" s="347" t="str">
        <f>VLOOKUP($K677,[3]주!$A:$F,6,FALSE)</f>
        <v>3월 2주</v>
      </c>
      <c r="N677" s="273" t="str">
        <f>IF(VLOOKUP($Z677,생산업체!$A:$C,2,FALSE)=1,"해외","국내")</f>
        <v>해외</v>
      </c>
      <c r="O677" s="12" t="str">
        <f>IF(VLOOKUP($U677,CODE!$K:$P,CODE!P$1,FALSE)="모자",T677,T677&amp;"-"&amp;VLOOKUP($U677,CODE!$K:$P,CODE!P$1,FALSE))</f>
        <v>ELS</v>
      </c>
      <c r="P677" s="11" t="s">
        <v>3</v>
      </c>
      <c r="R677" s="11">
        <v>38</v>
      </c>
      <c r="T677" s="8" t="s">
        <v>3</v>
      </c>
      <c r="U677" s="8" t="s">
        <v>28</v>
      </c>
      <c r="V677" s="8" t="s">
        <v>43</v>
      </c>
      <c r="W677" s="8" t="s">
        <v>1800</v>
      </c>
      <c r="X677" s="8" t="s">
        <v>905</v>
      </c>
      <c r="Y677" s="9">
        <v>1</v>
      </c>
      <c r="Z677" s="8" t="s">
        <v>44</v>
      </c>
      <c r="AA677" s="10">
        <v>41705</v>
      </c>
      <c r="AB677" s="10">
        <v>41733</v>
      </c>
      <c r="AC677" s="10">
        <v>41739</v>
      </c>
      <c r="AD677" s="10">
        <v>41736</v>
      </c>
      <c r="AE677" s="8">
        <v>8.85</v>
      </c>
      <c r="AH677" s="8">
        <v>5</v>
      </c>
      <c r="AI677" s="8">
        <v>3</v>
      </c>
      <c r="AJ677" s="8" t="s">
        <v>1801</v>
      </c>
    </row>
    <row r="678" spans="1:36">
      <c r="A678" s="7">
        <f t="shared" si="196"/>
        <v>1</v>
      </c>
      <c r="B678" s="7" t="str">
        <f t="shared" si="197"/>
        <v>14FW ELS 37_TROOPER_MT_KIDS</v>
      </c>
      <c r="C678" s="7">
        <f t="shared" si="198"/>
        <v>1</v>
      </c>
      <c r="D678" s="7" t="str">
        <f t="shared" si="199"/>
        <v>동일모자14FW ELS 37_TROOPER_MT_KIDS</v>
      </c>
      <c r="E678" s="12" t="str">
        <f t="shared" si="200"/>
        <v>201403</v>
      </c>
      <c r="F678" s="347" t="str">
        <f>VLOOKUP($AA678,[3]주!$A:$F,6,FALSE)</f>
        <v>3월 1주</v>
      </c>
      <c r="G678" s="7">
        <f t="shared" si="201"/>
        <v>1</v>
      </c>
      <c r="H678" s="7" t="str">
        <f t="shared" si="202"/>
        <v>14FW ELS 37_TROOPER_MT_KIDS</v>
      </c>
      <c r="I678" s="7">
        <f t="shared" si="203"/>
        <v>1</v>
      </c>
      <c r="J678" s="7" t="str">
        <f t="shared" si="204"/>
        <v>동일모자14FW ELS 37_TROOPER_MT_KIDS</v>
      </c>
      <c r="K678" s="17">
        <f t="shared" si="205"/>
        <v>41736</v>
      </c>
      <c r="L678" s="12" t="str">
        <f t="shared" si="206"/>
        <v>201404</v>
      </c>
      <c r="M678" s="347" t="str">
        <f>VLOOKUP($K678,[3]주!$A:$F,6,FALSE)</f>
        <v>3월 2주</v>
      </c>
      <c r="N678" s="273" t="str">
        <f>IF(VLOOKUP($Z678,생산업체!$A:$C,2,FALSE)=1,"해외","국내")</f>
        <v>해외</v>
      </c>
      <c r="O678" s="12" t="str">
        <f>IF(VLOOKUP($U678,CODE!$K:$P,CODE!P$1,FALSE)="모자",T678,T678&amp;"-"&amp;VLOOKUP($U678,CODE!$K:$P,CODE!P$1,FALSE))</f>
        <v>ELS</v>
      </c>
      <c r="P678" s="11" t="s">
        <v>3</v>
      </c>
      <c r="R678" s="11">
        <v>39</v>
      </c>
      <c r="T678" s="8" t="s">
        <v>3</v>
      </c>
      <c r="U678" s="8" t="s">
        <v>28</v>
      </c>
      <c r="V678" s="8" t="s">
        <v>43</v>
      </c>
      <c r="W678" s="8" t="s">
        <v>1802</v>
      </c>
      <c r="X678" s="8" t="s">
        <v>905</v>
      </c>
      <c r="Y678" s="9">
        <v>1</v>
      </c>
      <c r="Z678" s="8" t="s">
        <v>44</v>
      </c>
      <c r="AA678" s="10">
        <v>41705</v>
      </c>
      <c r="AB678" s="10">
        <v>41733</v>
      </c>
      <c r="AC678" s="10">
        <v>41739</v>
      </c>
      <c r="AD678" s="10">
        <v>41736</v>
      </c>
      <c r="AE678" s="8">
        <v>8.85</v>
      </c>
      <c r="AH678" s="8">
        <v>5</v>
      </c>
      <c r="AI678" s="8">
        <v>3</v>
      </c>
      <c r="AJ678" s="8" t="s">
        <v>1803</v>
      </c>
    </row>
    <row r="679" spans="1:36">
      <c r="A679" s="7">
        <f t="shared" si="196"/>
        <v>1</v>
      </c>
      <c r="B679" s="7" t="str">
        <f t="shared" si="197"/>
        <v>14FW ELS 37_TROOPER_OR_KIDS</v>
      </c>
      <c r="C679" s="7">
        <f t="shared" si="198"/>
        <v>1</v>
      </c>
      <c r="D679" s="7" t="str">
        <f t="shared" si="199"/>
        <v>동일모자14FW ELS 37_TROOPER_OR_KIDS</v>
      </c>
      <c r="E679" s="12" t="str">
        <f t="shared" si="200"/>
        <v>201403</v>
      </c>
      <c r="F679" s="347" t="str">
        <f>VLOOKUP($AA679,[3]주!$A:$F,6,FALSE)</f>
        <v>3월 1주</v>
      </c>
      <c r="G679" s="7">
        <f t="shared" si="201"/>
        <v>1</v>
      </c>
      <c r="H679" s="7" t="str">
        <f t="shared" si="202"/>
        <v>14FW ELS 37_TROOPER_OR_KIDS</v>
      </c>
      <c r="I679" s="7">
        <f t="shared" si="203"/>
        <v>1</v>
      </c>
      <c r="J679" s="7" t="str">
        <f t="shared" si="204"/>
        <v>동일모자14FW ELS 37_TROOPER_OR_KIDS</v>
      </c>
      <c r="K679" s="17">
        <f t="shared" si="205"/>
        <v>41736</v>
      </c>
      <c r="L679" s="12" t="str">
        <f t="shared" si="206"/>
        <v>201404</v>
      </c>
      <c r="M679" s="347" t="str">
        <f>VLOOKUP($K679,[3]주!$A:$F,6,FALSE)</f>
        <v>3월 2주</v>
      </c>
      <c r="N679" s="273" t="str">
        <f>IF(VLOOKUP($Z679,생산업체!$A:$C,2,FALSE)=1,"해외","국내")</f>
        <v>해외</v>
      </c>
      <c r="O679" s="12" t="str">
        <f>IF(VLOOKUP($U679,CODE!$K:$P,CODE!P$1,FALSE)="모자",T679,T679&amp;"-"&amp;VLOOKUP($U679,CODE!$K:$P,CODE!P$1,FALSE))</f>
        <v>ELS</v>
      </c>
      <c r="P679" s="11" t="s">
        <v>3</v>
      </c>
      <c r="R679" s="11">
        <v>40</v>
      </c>
      <c r="T679" s="8" t="s">
        <v>3</v>
      </c>
      <c r="U679" s="8" t="s">
        <v>28</v>
      </c>
      <c r="V679" s="8" t="s">
        <v>43</v>
      </c>
      <c r="W679" s="8" t="s">
        <v>1804</v>
      </c>
      <c r="X679" s="8" t="s">
        <v>905</v>
      </c>
      <c r="Y679" s="9">
        <v>1</v>
      </c>
      <c r="Z679" s="8" t="s">
        <v>44</v>
      </c>
      <c r="AA679" s="10">
        <v>41705</v>
      </c>
      <c r="AB679" s="10">
        <v>41733</v>
      </c>
      <c r="AC679" s="10">
        <v>41739</v>
      </c>
      <c r="AD679" s="10">
        <v>41736</v>
      </c>
      <c r="AE679" s="8">
        <v>8.85</v>
      </c>
      <c r="AH679" s="8">
        <v>5</v>
      </c>
      <c r="AI679" s="8">
        <v>3</v>
      </c>
      <c r="AJ679" s="8" t="s">
        <v>1801</v>
      </c>
    </row>
    <row r="680" spans="1:36">
      <c r="A680" s="7">
        <f t="shared" si="196"/>
        <v>1</v>
      </c>
      <c r="B680" s="7" t="str">
        <f t="shared" si="197"/>
        <v>14FW ELS 38_TROOPER_NV</v>
      </c>
      <c r="C680" s="7">
        <f t="shared" si="198"/>
        <v>1</v>
      </c>
      <c r="D680" s="7" t="str">
        <f t="shared" si="199"/>
        <v>FOREMOST14FW ELS 38_TROOPER_NV</v>
      </c>
      <c r="E680" s="12" t="str">
        <f t="shared" si="200"/>
        <v>201403</v>
      </c>
      <c r="F680" s="347" t="str">
        <f>VLOOKUP($AA680,[3]주!$A:$F,6,FALSE)</f>
        <v>3월 1주</v>
      </c>
      <c r="G680" s="7">
        <f t="shared" si="201"/>
        <v>1</v>
      </c>
      <c r="H680" s="7" t="str">
        <f t="shared" si="202"/>
        <v>14FW ELS 38_TROOPER_NV</v>
      </c>
      <c r="I680" s="7">
        <f t="shared" si="203"/>
        <v>1</v>
      </c>
      <c r="J680" s="7" t="str">
        <f t="shared" si="204"/>
        <v>FOREMOST14FW ELS 38_TROOPER_NV</v>
      </c>
      <c r="K680" s="17">
        <f t="shared" si="205"/>
        <v>41743</v>
      </c>
      <c r="L680" s="12" t="str">
        <f t="shared" si="206"/>
        <v>201404</v>
      </c>
      <c r="M680" s="347" t="str">
        <f>VLOOKUP($K680,[3]주!$A:$F,6,FALSE)</f>
        <v>3월 2주</v>
      </c>
      <c r="N680" s="273" t="str">
        <f>IF(VLOOKUP($Z680,생산업체!$A:$C,2,FALSE)=1,"해외","국내")</f>
        <v>해외</v>
      </c>
      <c r="O680" s="12" t="str">
        <f>IF(VLOOKUP($U680,CODE!$K:$P,CODE!P$1,FALSE)="모자",T680,T680&amp;"-"&amp;VLOOKUP($U680,CODE!$K:$P,CODE!P$1,FALSE))</f>
        <v>ELS</v>
      </c>
      <c r="P680" s="11" t="s">
        <v>3</v>
      </c>
      <c r="R680" s="11">
        <v>41</v>
      </c>
      <c r="T680" s="8" t="s">
        <v>3</v>
      </c>
      <c r="U680" s="8" t="s">
        <v>28</v>
      </c>
      <c r="V680" s="8" t="s">
        <v>43</v>
      </c>
      <c r="W680" s="8" t="s">
        <v>1805</v>
      </c>
      <c r="X680" s="8" t="s">
        <v>900</v>
      </c>
      <c r="Y680" s="9">
        <v>1</v>
      </c>
      <c r="Z680" s="8" t="s">
        <v>6</v>
      </c>
      <c r="AA680" s="10">
        <v>41705</v>
      </c>
      <c r="AB680" s="10">
        <v>41733</v>
      </c>
      <c r="AC680" s="10">
        <v>41747</v>
      </c>
      <c r="AD680" s="10">
        <v>41743</v>
      </c>
      <c r="AH680" s="8">
        <v>3</v>
      </c>
      <c r="AI680" s="8">
        <v>2</v>
      </c>
    </row>
    <row r="681" spans="1:36">
      <c r="A681" s="7">
        <f t="shared" si="196"/>
        <v>1</v>
      </c>
      <c r="B681" s="7" t="str">
        <f t="shared" si="197"/>
        <v>14FW ELS 38_TROOPER_NV_KIDS</v>
      </c>
      <c r="C681" s="7">
        <f t="shared" si="198"/>
        <v>1</v>
      </c>
      <c r="D681" s="7" t="str">
        <f t="shared" si="199"/>
        <v>FOREMOST14FW ELS 38_TROOPER_NV_KIDS</v>
      </c>
      <c r="E681" s="12" t="str">
        <f t="shared" si="200"/>
        <v>201403</v>
      </c>
      <c r="F681" s="347" t="str">
        <f>VLOOKUP($AA681,[3]주!$A:$F,6,FALSE)</f>
        <v>3월 1주</v>
      </c>
      <c r="G681" s="7">
        <f t="shared" si="201"/>
        <v>1</v>
      </c>
      <c r="H681" s="7" t="str">
        <f t="shared" si="202"/>
        <v>14FW ELS 38_TROOPER_NV_KIDS</v>
      </c>
      <c r="I681" s="7">
        <f t="shared" si="203"/>
        <v>1</v>
      </c>
      <c r="J681" s="7" t="str">
        <f t="shared" si="204"/>
        <v>FOREMOST14FW ELS 38_TROOPER_NV_KIDS</v>
      </c>
      <c r="K681" s="17">
        <f t="shared" si="205"/>
        <v>41743</v>
      </c>
      <c r="L681" s="12" t="str">
        <f t="shared" si="206"/>
        <v>201404</v>
      </c>
      <c r="M681" s="347" t="str">
        <f>VLOOKUP($K681,[3]주!$A:$F,6,FALSE)</f>
        <v>3월 2주</v>
      </c>
      <c r="N681" s="273" t="str">
        <f>IF(VLOOKUP($Z681,생산업체!$A:$C,2,FALSE)=1,"해외","국내")</f>
        <v>해외</v>
      </c>
      <c r="O681" s="12" t="str">
        <f>IF(VLOOKUP($U681,CODE!$K:$P,CODE!P$1,FALSE)="모자",T681,T681&amp;"-"&amp;VLOOKUP($U681,CODE!$K:$P,CODE!P$1,FALSE))</f>
        <v>ELS</v>
      </c>
      <c r="P681" s="11" t="s">
        <v>3</v>
      </c>
      <c r="R681" s="11">
        <v>42</v>
      </c>
      <c r="T681" s="8" t="s">
        <v>3</v>
      </c>
      <c r="U681" s="8" t="s">
        <v>28</v>
      </c>
      <c r="V681" s="8" t="s">
        <v>43</v>
      </c>
      <c r="W681" s="8" t="s">
        <v>1806</v>
      </c>
      <c r="X681" s="8" t="s">
        <v>905</v>
      </c>
      <c r="Y681" s="9">
        <v>1</v>
      </c>
      <c r="Z681" s="8" t="s">
        <v>6</v>
      </c>
      <c r="AA681" s="10">
        <v>41705</v>
      </c>
      <c r="AB681" s="10">
        <v>41733</v>
      </c>
      <c r="AC681" s="10">
        <v>41747</v>
      </c>
      <c r="AD681" s="10">
        <v>41743</v>
      </c>
      <c r="AH681" s="8">
        <v>3</v>
      </c>
      <c r="AI681" s="8">
        <v>2</v>
      </c>
      <c r="AJ681" s="8" t="s">
        <v>1801</v>
      </c>
    </row>
    <row r="682" spans="1:36">
      <c r="A682" s="7">
        <f t="shared" si="196"/>
        <v>1</v>
      </c>
      <c r="B682" s="7" t="str">
        <f t="shared" si="197"/>
        <v>14FW ELS 39_WIRE_OR</v>
      </c>
      <c r="C682" s="7">
        <f t="shared" si="198"/>
        <v>1</v>
      </c>
      <c r="D682" s="7" t="str">
        <f t="shared" si="199"/>
        <v>FOREMOST14FW ELS 39_WIRE_OR</v>
      </c>
      <c r="E682" s="12" t="str">
        <f t="shared" si="200"/>
        <v>201403</v>
      </c>
      <c r="F682" s="347" t="str">
        <f>VLOOKUP($AA682,[3]주!$A:$F,6,FALSE)</f>
        <v>3월 1주</v>
      </c>
      <c r="G682" s="7">
        <f t="shared" si="201"/>
        <v>1</v>
      </c>
      <c r="H682" s="7" t="str">
        <f t="shared" si="202"/>
        <v>14FW ELS 39_WIRE_OR</v>
      </c>
      <c r="I682" s="7">
        <f t="shared" si="203"/>
        <v>1</v>
      </c>
      <c r="J682" s="7" t="str">
        <f t="shared" si="204"/>
        <v>FOREMOST14FW ELS 39_WIRE_OR</v>
      </c>
      <c r="K682" s="17">
        <f t="shared" si="205"/>
        <v>41737</v>
      </c>
      <c r="L682" s="12" t="str">
        <f t="shared" si="206"/>
        <v>201404</v>
      </c>
      <c r="M682" s="347" t="str">
        <f>VLOOKUP($K682,[3]주!$A:$F,6,FALSE)</f>
        <v>3월 2주</v>
      </c>
      <c r="N682" s="273" t="str">
        <f>IF(VLOOKUP($Z682,생산업체!$A:$C,2,FALSE)=1,"해외","국내")</f>
        <v>해외</v>
      </c>
      <c r="O682" s="12" t="str">
        <f>IF(VLOOKUP($U682,CODE!$K:$P,CODE!P$1,FALSE)="모자",T682,T682&amp;"-"&amp;VLOOKUP($U682,CODE!$K:$P,CODE!P$1,FALSE))</f>
        <v>ELS</v>
      </c>
      <c r="P682" s="11" t="s">
        <v>3</v>
      </c>
      <c r="R682" s="11">
        <v>43</v>
      </c>
      <c r="T682" s="8" t="s">
        <v>3</v>
      </c>
      <c r="U682" s="8" t="s">
        <v>35</v>
      </c>
      <c r="V682" s="8" t="s">
        <v>43</v>
      </c>
      <c r="W682" s="8" t="s">
        <v>1807</v>
      </c>
      <c r="X682" s="8" t="s">
        <v>905</v>
      </c>
      <c r="Y682" s="9">
        <v>1</v>
      </c>
      <c r="Z682" s="8" t="s">
        <v>6</v>
      </c>
      <c r="AA682" s="10">
        <v>41705</v>
      </c>
      <c r="AB682" s="10">
        <v>41733</v>
      </c>
      <c r="AC682" s="10">
        <v>41747</v>
      </c>
      <c r="AD682" s="10">
        <v>41737</v>
      </c>
      <c r="AE682" s="8">
        <v>4.8499999999999996</v>
      </c>
      <c r="AH682" s="8">
        <v>3</v>
      </c>
      <c r="AI682" s="8">
        <v>1</v>
      </c>
      <c r="AJ682" s="8" t="s">
        <v>1801</v>
      </c>
    </row>
    <row r="683" spans="1:36">
      <c r="A683" s="7">
        <f t="shared" si="196"/>
        <v>1</v>
      </c>
      <c r="B683" s="7" t="str">
        <f t="shared" si="197"/>
        <v>14FW ELS 40_TROOPER_RD</v>
      </c>
      <c r="C683" s="7">
        <f t="shared" si="198"/>
        <v>1</v>
      </c>
      <c r="D683" s="7" t="str">
        <f t="shared" si="199"/>
        <v>FOREMOST14FW ELS 40_TROOPER_RD</v>
      </c>
      <c r="E683" s="12" t="str">
        <f t="shared" si="200"/>
        <v>201403</v>
      </c>
      <c r="F683" s="347" t="str">
        <f>VLOOKUP($AA683,[3]주!$A:$F,6,FALSE)</f>
        <v>3월 1주</v>
      </c>
      <c r="G683" s="7">
        <f t="shared" si="201"/>
        <v>1</v>
      </c>
      <c r="H683" s="7" t="str">
        <f t="shared" si="202"/>
        <v>14FW ELS 40_TROOPER_RD</v>
      </c>
      <c r="I683" s="7">
        <f t="shared" si="203"/>
        <v>1</v>
      </c>
      <c r="J683" s="7" t="str">
        <f t="shared" si="204"/>
        <v>FOREMOST14FW ELS 40_TROOPER_RD</v>
      </c>
      <c r="K683" s="17">
        <f t="shared" si="205"/>
        <v>41743</v>
      </c>
      <c r="L683" s="12" t="str">
        <f t="shared" si="206"/>
        <v>201404</v>
      </c>
      <c r="M683" s="347" t="str">
        <f>VLOOKUP($K683,[3]주!$A:$F,6,FALSE)</f>
        <v>3월 2주</v>
      </c>
      <c r="N683" s="273" t="str">
        <f>IF(VLOOKUP($Z683,생산업체!$A:$C,2,FALSE)=1,"해외","국내")</f>
        <v>해외</v>
      </c>
      <c r="O683" s="12" t="str">
        <f>IF(VLOOKUP($U683,CODE!$K:$P,CODE!P$1,FALSE)="모자",T683,T683&amp;"-"&amp;VLOOKUP($U683,CODE!$K:$P,CODE!P$1,FALSE))</f>
        <v>ELS</v>
      </c>
      <c r="P683" s="11" t="s">
        <v>3</v>
      </c>
      <c r="R683" s="11">
        <v>44</v>
      </c>
      <c r="T683" s="8" t="s">
        <v>3</v>
      </c>
      <c r="U683" s="8" t="s">
        <v>28</v>
      </c>
      <c r="V683" s="8" t="s">
        <v>43</v>
      </c>
      <c r="W683" s="8" t="s">
        <v>1808</v>
      </c>
      <c r="X683" s="8" t="s">
        <v>900</v>
      </c>
      <c r="Y683" s="9">
        <v>1</v>
      </c>
      <c r="Z683" s="8" t="s">
        <v>6</v>
      </c>
      <c r="AA683" s="10">
        <v>41705</v>
      </c>
      <c r="AB683" s="10">
        <v>41733</v>
      </c>
      <c r="AC683" s="10">
        <v>41747</v>
      </c>
      <c r="AD683" s="10">
        <v>41743</v>
      </c>
      <c r="AE683" s="8">
        <v>7.2</v>
      </c>
      <c r="AH683" s="8">
        <v>4</v>
      </c>
      <c r="AI683" s="8">
        <v>3</v>
      </c>
    </row>
    <row r="684" spans="1:36">
      <c r="A684" s="7">
        <f t="shared" si="196"/>
        <v>1</v>
      </c>
      <c r="B684" s="7" t="str">
        <f t="shared" si="197"/>
        <v>14FW ELS 41_SNAP_BL</v>
      </c>
      <c r="C684" s="7">
        <f t="shared" si="198"/>
        <v>1</v>
      </c>
      <c r="D684" s="7" t="str">
        <f t="shared" si="199"/>
        <v>동일모자14FW ELS 41_SNAP_BL</v>
      </c>
      <c r="E684" s="12" t="str">
        <f t="shared" si="200"/>
        <v>201403</v>
      </c>
      <c r="F684" s="347" t="str">
        <f>VLOOKUP($AA684,[3]주!$A:$F,6,FALSE)</f>
        <v>3월 1주</v>
      </c>
      <c r="G684" s="7">
        <f t="shared" si="201"/>
        <v>1</v>
      </c>
      <c r="H684" s="7" t="str">
        <f t="shared" si="202"/>
        <v>14FW ELS 41_SNAP_BL</v>
      </c>
      <c r="I684" s="7">
        <f t="shared" si="203"/>
        <v>1</v>
      </c>
      <c r="J684" s="7" t="str">
        <f t="shared" si="204"/>
        <v>동일모자14FW ELS 41_SNAP_BL</v>
      </c>
      <c r="K684" s="17">
        <f t="shared" si="205"/>
        <v>41736</v>
      </c>
      <c r="L684" s="12" t="str">
        <f t="shared" si="206"/>
        <v>201404</v>
      </c>
      <c r="M684" s="347" t="str">
        <f>VLOOKUP($K684,[3]주!$A:$F,6,FALSE)</f>
        <v>3월 2주</v>
      </c>
      <c r="N684" s="273" t="str">
        <f>IF(VLOOKUP($Z684,생산업체!$A:$C,2,FALSE)=1,"해외","국내")</f>
        <v>해외</v>
      </c>
      <c r="O684" s="12" t="str">
        <f>IF(VLOOKUP($U684,CODE!$K:$P,CODE!P$1,FALSE)="모자",T684,T684&amp;"-"&amp;VLOOKUP($U684,CODE!$K:$P,CODE!P$1,FALSE))</f>
        <v>ELS</v>
      </c>
      <c r="P684" s="11" t="s">
        <v>3</v>
      </c>
      <c r="R684" s="11">
        <v>45</v>
      </c>
      <c r="T684" s="8" t="s">
        <v>3</v>
      </c>
      <c r="U684" s="8" t="s">
        <v>35</v>
      </c>
      <c r="V684" s="8" t="s">
        <v>43</v>
      </c>
      <c r="W684" s="8" t="s">
        <v>1809</v>
      </c>
      <c r="X684" s="8" t="s">
        <v>900</v>
      </c>
      <c r="Y684" s="9">
        <v>1</v>
      </c>
      <c r="Z684" s="8" t="s">
        <v>44</v>
      </c>
      <c r="AA684" s="10">
        <v>41705</v>
      </c>
      <c r="AB684" s="10">
        <v>41733</v>
      </c>
      <c r="AC684" s="10">
        <v>41739</v>
      </c>
      <c r="AD684" s="10">
        <v>41736</v>
      </c>
      <c r="AE684" s="8">
        <v>6.7</v>
      </c>
      <c r="AH684" s="8">
        <v>4</v>
      </c>
      <c r="AI684" s="8">
        <v>2</v>
      </c>
    </row>
    <row r="685" spans="1:36">
      <c r="A685" s="7">
        <f t="shared" si="196"/>
        <v>1</v>
      </c>
      <c r="B685" s="7" t="str">
        <f t="shared" si="197"/>
        <v>14FW ELS 41_SNAP_BL_KIDS</v>
      </c>
      <c r="C685" s="7">
        <f t="shared" si="198"/>
        <v>1</v>
      </c>
      <c r="D685" s="7" t="str">
        <f t="shared" si="199"/>
        <v>동일모자14FW ELS 41_SNAP_BL_KIDS</v>
      </c>
      <c r="E685" s="12" t="str">
        <f t="shared" si="200"/>
        <v>201403</v>
      </c>
      <c r="F685" s="347" t="str">
        <f>VLOOKUP($AA685,[3]주!$A:$F,6,FALSE)</f>
        <v>3월 1주</v>
      </c>
      <c r="G685" s="7">
        <f t="shared" si="201"/>
        <v>1</v>
      </c>
      <c r="H685" s="7" t="str">
        <f t="shared" si="202"/>
        <v>14FW ELS 41_SNAP_BL_KIDS</v>
      </c>
      <c r="I685" s="7">
        <f t="shared" si="203"/>
        <v>1</v>
      </c>
      <c r="J685" s="7" t="str">
        <f t="shared" si="204"/>
        <v>동일모자14FW ELS 41_SNAP_BL_KIDS</v>
      </c>
      <c r="K685" s="17">
        <f t="shared" si="205"/>
        <v>41736</v>
      </c>
      <c r="L685" s="12" t="str">
        <f t="shared" si="206"/>
        <v>201404</v>
      </c>
      <c r="M685" s="347" t="str">
        <f>VLOOKUP($K685,[3]주!$A:$F,6,FALSE)</f>
        <v>3월 2주</v>
      </c>
      <c r="N685" s="273" t="str">
        <f>IF(VLOOKUP($Z685,생산업체!$A:$C,2,FALSE)=1,"해외","국내")</f>
        <v>해외</v>
      </c>
      <c r="O685" s="12" t="str">
        <f>IF(VLOOKUP($U685,CODE!$K:$P,CODE!P$1,FALSE)="모자",T685,T685&amp;"-"&amp;VLOOKUP($U685,CODE!$K:$P,CODE!P$1,FALSE))</f>
        <v>ELS</v>
      </c>
      <c r="P685" s="11" t="s">
        <v>3</v>
      </c>
      <c r="R685" s="11">
        <v>46</v>
      </c>
      <c r="T685" s="8" t="s">
        <v>3</v>
      </c>
      <c r="U685" s="8" t="s">
        <v>35</v>
      </c>
      <c r="V685" s="8" t="s">
        <v>43</v>
      </c>
      <c r="W685" s="8" t="s">
        <v>1810</v>
      </c>
      <c r="X685" s="8" t="s">
        <v>905</v>
      </c>
      <c r="Y685" s="9">
        <v>1</v>
      </c>
      <c r="Z685" s="8" t="s">
        <v>44</v>
      </c>
      <c r="AA685" s="10">
        <v>41705</v>
      </c>
      <c r="AB685" s="10">
        <v>41733</v>
      </c>
      <c r="AC685" s="10">
        <v>41739</v>
      </c>
      <c r="AD685" s="10">
        <v>41736</v>
      </c>
      <c r="AE685" s="8">
        <v>6.55</v>
      </c>
      <c r="AH685" s="8">
        <v>4</v>
      </c>
      <c r="AI685" s="8">
        <v>2</v>
      </c>
      <c r="AJ685" s="8" t="s">
        <v>1801</v>
      </c>
    </row>
    <row r="686" spans="1:36">
      <c r="A686" s="7">
        <f t="shared" si="196"/>
        <v>1</v>
      </c>
      <c r="B686" s="7" t="str">
        <f t="shared" si="197"/>
        <v>14FW ELS 42_SNAP_GY</v>
      </c>
      <c r="C686" s="7">
        <f t="shared" si="198"/>
        <v>1</v>
      </c>
      <c r="D686" s="7" t="str">
        <f t="shared" si="199"/>
        <v>동일모자14FW ELS 42_SNAP_GY</v>
      </c>
      <c r="E686" s="12" t="str">
        <f t="shared" si="200"/>
        <v>201403</v>
      </c>
      <c r="F686" s="347" t="str">
        <f>VLOOKUP($AA686,[3]주!$A:$F,6,FALSE)</f>
        <v>3월 1주</v>
      </c>
      <c r="G686" s="7">
        <f t="shared" si="201"/>
        <v>1</v>
      </c>
      <c r="H686" s="7" t="str">
        <f t="shared" si="202"/>
        <v>14FW ELS 42_SNAP_GY</v>
      </c>
      <c r="I686" s="7">
        <f t="shared" si="203"/>
        <v>1</v>
      </c>
      <c r="J686" s="7" t="str">
        <f t="shared" si="204"/>
        <v>동일모자14FW ELS 42_SNAP_GY</v>
      </c>
      <c r="K686" s="17">
        <f t="shared" si="205"/>
        <v>41736</v>
      </c>
      <c r="L686" s="12" t="str">
        <f t="shared" si="206"/>
        <v>201404</v>
      </c>
      <c r="M686" s="347" t="str">
        <f>VLOOKUP($K686,[3]주!$A:$F,6,FALSE)</f>
        <v>3월 2주</v>
      </c>
      <c r="N686" s="273" t="str">
        <f>IF(VLOOKUP($Z686,생산업체!$A:$C,2,FALSE)=1,"해외","국내")</f>
        <v>해외</v>
      </c>
      <c r="O686" s="12" t="str">
        <f>IF(VLOOKUP($U686,CODE!$K:$P,CODE!P$1,FALSE)="모자",T686,T686&amp;"-"&amp;VLOOKUP($U686,CODE!$K:$P,CODE!P$1,FALSE))</f>
        <v>ELS</v>
      </c>
      <c r="P686" s="11" t="s">
        <v>3</v>
      </c>
      <c r="R686" s="11">
        <v>47</v>
      </c>
      <c r="T686" s="8" t="s">
        <v>3</v>
      </c>
      <c r="U686" s="8" t="s">
        <v>35</v>
      </c>
      <c r="V686" s="8" t="s">
        <v>43</v>
      </c>
      <c r="W686" s="8" t="s">
        <v>1811</v>
      </c>
      <c r="X686" s="8" t="s">
        <v>900</v>
      </c>
      <c r="Y686" s="9">
        <v>1</v>
      </c>
      <c r="Z686" s="8" t="s">
        <v>44</v>
      </c>
      <c r="AA686" s="10">
        <v>41705</v>
      </c>
      <c r="AB686" s="10">
        <v>41733</v>
      </c>
      <c r="AC686" s="10">
        <v>41739</v>
      </c>
      <c r="AD686" s="10">
        <v>41736</v>
      </c>
      <c r="AE686" s="8">
        <v>7.95</v>
      </c>
      <c r="AH686" s="8">
        <v>4</v>
      </c>
      <c r="AI686" s="8">
        <v>3</v>
      </c>
    </row>
    <row r="687" spans="1:36">
      <c r="A687" s="7">
        <f t="shared" si="196"/>
        <v>1</v>
      </c>
      <c r="B687" s="7" t="str">
        <f t="shared" si="197"/>
        <v>14FW ELS_44_SNAP_BK</v>
      </c>
      <c r="C687" s="7">
        <f t="shared" si="198"/>
        <v>1</v>
      </c>
      <c r="D687" s="7" t="str">
        <f t="shared" si="199"/>
        <v>성진14FW ELS_44_SNAP_BK</v>
      </c>
      <c r="E687" s="12" t="str">
        <f t="shared" si="200"/>
        <v>201403</v>
      </c>
      <c r="F687" s="347" t="str">
        <f>VLOOKUP($AA687,[3]주!$A:$F,6,FALSE)</f>
        <v>3월 1주</v>
      </c>
      <c r="G687" s="7">
        <f t="shared" si="201"/>
        <v>1</v>
      </c>
      <c r="H687" s="7" t="str">
        <f t="shared" si="202"/>
        <v>14FW ELS_44_SNAP_BK</v>
      </c>
      <c r="I687" s="7">
        <f t="shared" si="203"/>
        <v>1</v>
      </c>
      <c r="J687" s="7" t="str">
        <f t="shared" si="204"/>
        <v>성진14FW ELS_44_SNAP_BK</v>
      </c>
      <c r="K687" s="17">
        <f t="shared" si="205"/>
        <v>41751</v>
      </c>
      <c r="L687" s="12" t="str">
        <f t="shared" si="206"/>
        <v>201404</v>
      </c>
      <c r="M687" s="347" t="str">
        <f>VLOOKUP($K687,[3]주!$A:$F,6,FALSE)</f>
        <v>3월 2주</v>
      </c>
      <c r="N687" s="273" t="str">
        <f>IF(VLOOKUP($Z687,생산업체!$A:$C,2,FALSE)=1,"해외","국내")</f>
        <v>해외</v>
      </c>
      <c r="O687" s="12" t="str">
        <f>IF(VLOOKUP($U687,CODE!$K:$P,CODE!P$1,FALSE)="모자",T687,T687&amp;"-"&amp;VLOOKUP($U687,CODE!$K:$P,CODE!P$1,FALSE))</f>
        <v>ELS</v>
      </c>
      <c r="P687" s="11" t="s">
        <v>3</v>
      </c>
      <c r="R687" s="11">
        <v>48</v>
      </c>
      <c r="T687" s="8" t="s">
        <v>3</v>
      </c>
      <c r="U687" s="8" t="s">
        <v>35</v>
      </c>
      <c r="V687" s="8" t="s">
        <v>43</v>
      </c>
      <c r="W687" s="8" t="s">
        <v>1812</v>
      </c>
      <c r="X687" s="8" t="s">
        <v>900</v>
      </c>
      <c r="Y687" s="9">
        <v>1</v>
      </c>
      <c r="Z687" s="8" t="s">
        <v>48</v>
      </c>
      <c r="AA687" s="10">
        <v>41705</v>
      </c>
      <c r="AB687" s="10">
        <v>41733</v>
      </c>
      <c r="AC687" s="10">
        <v>41747</v>
      </c>
      <c r="AD687" s="10">
        <v>41751</v>
      </c>
      <c r="AH687" s="8">
        <v>3</v>
      </c>
      <c r="AI687" s="8">
        <v>2</v>
      </c>
    </row>
    <row r="688" spans="1:36">
      <c r="A688" s="7">
        <f t="shared" si="196"/>
        <v>1</v>
      </c>
      <c r="B688" s="7" t="str">
        <f t="shared" si="197"/>
        <v>14FW ELS_45_SNAP_RD</v>
      </c>
      <c r="C688" s="7">
        <f t="shared" si="198"/>
        <v>1</v>
      </c>
      <c r="D688" s="7" t="str">
        <f t="shared" si="199"/>
        <v>동일모자14FW ELS_45_SNAP_RD</v>
      </c>
      <c r="E688" s="12" t="str">
        <f t="shared" si="200"/>
        <v>201403</v>
      </c>
      <c r="F688" s="347" t="str">
        <f>VLOOKUP($AA688,[3]주!$A:$F,6,FALSE)</f>
        <v>3월 1주</v>
      </c>
      <c r="G688" s="7">
        <f t="shared" si="201"/>
        <v>1</v>
      </c>
      <c r="H688" s="7" t="str">
        <f t="shared" si="202"/>
        <v>14FW ELS_45_SNAP_RD</v>
      </c>
      <c r="I688" s="7">
        <f t="shared" si="203"/>
        <v>1</v>
      </c>
      <c r="J688" s="7" t="str">
        <f t="shared" si="204"/>
        <v>동일모자14FW ELS_45_SNAP_RD</v>
      </c>
      <c r="K688" s="17">
        <f t="shared" si="205"/>
        <v>41736</v>
      </c>
      <c r="L688" s="12" t="str">
        <f t="shared" si="206"/>
        <v>201404</v>
      </c>
      <c r="M688" s="347" t="str">
        <f>VLOOKUP($K688,[3]주!$A:$F,6,FALSE)</f>
        <v>3월 2주</v>
      </c>
      <c r="N688" s="273" t="str">
        <f>IF(VLOOKUP($Z688,생산업체!$A:$C,2,FALSE)=1,"해외","국내")</f>
        <v>해외</v>
      </c>
      <c r="O688" s="12" t="str">
        <f>IF(VLOOKUP($U688,CODE!$K:$P,CODE!P$1,FALSE)="모자",T688,T688&amp;"-"&amp;VLOOKUP($U688,CODE!$K:$P,CODE!P$1,FALSE))</f>
        <v>ELS</v>
      </c>
      <c r="P688" s="11" t="s">
        <v>3</v>
      </c>
      <c r="R688" s="11">
        <v>49</v>
      </c>
      <c r="T688" s="8" t="s">
        <v>3</v>
      </c>
      <c r="U688" s="8" t="s">
        <v>35</v>
      </c>
      <c r="V688" s="8" t="s">
        <v>43</v>
      </c>
      <c r="W688" s="8" t="s">
        <v>1813</v>
      </c>
      <c r="X688" s="8" t="s">
        <v>900</v>
      </c>
      <c r="Y688" s="9">
        <v>1</v>
      </c>
      <c r="Z688" s="8" t="s">
        <v>44</v>
      </c>
      <c r="AA688" s="10">
        <v>41705</v>
      </c>
      <c r="AB688" s="10">
        <v>41733</v>
      </c>
      <c r="AC688" s="10">
        <v>41739</v>
      </c>
      <c r="AD688" s="10">
        <v>41736</v>
      </c>
      <c r="AE688" s="8">
        <v>6.9</v>
      </c>
      <c r="AH688" s="8">
        <v>4</v>
      </c>
      <c r="AI688" s="8">
        <v>2</v>
      </c>
      <c r="AJ688" s="8" t="s">
        <v>2114</v>
      </c>
    </row>
    <row r="689" spans="1:36">
      <c r="A689" s="7">
        <f t="shared" si="196"/>
        <v>1</v>
      </c>
      <c r="B689" s="7" t="str">
        <f t="shared" si="197"/>
        <v>14FW ELS_46_SNAP_GR</v>
      </c>
      <c r="C689" s="7">
        <f t="shared" si="198"/>
        <v>1</v>
      </c>
      <c r="D689" s="7" t="str">
        <f t="shared" si="199"/>
        <v>성진14FW ELS_46_SNAP_GR</v>
      </c>
      <c r="E689" s="12" t="str">
        <f t="shared" si="200"/>
        <v>201403</v>
      </c>
      <c r="F689" s="347" t="str">
        <f>VLOOKUP($AA689,[3]주!$A:$F,6,FALSE)</f>
        <v>3월 1주</v>
      </c>
      <c r="G689" s="7">
        <f t="shared" si="201"/>
        <v>1</v>
      </c>
      <c r="H689" s="7" t="str">
        <f t="shared" si="202"/>
        <v>14FW ELS_46_SNAP_GR</v>
      </c>
      <c r="I689" s="7">
        <f t="shared" si="203"/>
        <v>1</v>
      </c>
      <c r="J689" s="7" t="str">
        <f t="shared" si="204"/>
        <v>성진14FW ELS_46_SNAP_GR</v>
      </c>
      <c r="K689" s="17">
        <f t="shared" si="205"/>
        <v>41751</v>
      </c>
      <c r="L689" s="12" t="str">
        <f t="shared" si="206"/>
        <v>201404</v>
      </c>
      <c r="M689" s="347" t="str">
        <f>VLOOKUP($K689,[3]주!$A:$F,6,FALSE)</f>
        <v>3월 2주</v>
      </c>
      <c r="N689" s="273" t="str">
        <f>IF(VLOOKUP($Z689,생산업체!$A:$C,2,FALSE)=1,"해외","국내")</f>
        <v>해외</v>
      </c>
      <c r="O689" s="12" t="str">
        <f>IF(VLOOKUP($U689,CODE!$K:$P,CODE!P$1,FALSE)="모자",T689,T689&amp;"-"&amp;VLOOKUP($U689,CODE!$K:$P,CODE!P$1,FALSE))</f>
        <v>ELS</v>
      </c>
      <c r="P689" s="11" t="s">
        <v>3</v>
      </c>
      <c r="R689" s="11">
        <v>50</v>
      </c>
      <c r="T689" s="8" t="s">
        <v>3</v>
      </c>
      <c r="U689" s="8" t="s">
        <v>35</v>
      </c>
      <c r="V689" s="8" t="s">
        <v>43</v>
      </c>
      <c r="W689" s="8" t="s">
        <v>1814</v>
      </c>
      <c r="X689" s="8" t="s">
        <v>900</v>
      </c>
      <c r="Y689" s="9">
        <v>1</v>
      </c>
      <c r="Z689" s="8" t="s">
        <v>48</v>
      </c>
      <c r="AA689" s="10">
        <v>41705</v>
      </c>
      <c r="AB689" s="10">
        <v>41733</v>
      </c>
      <c r="AC689" s="10">
        <v>41747</v>
      </c>
      <c r="AD689" s="10">
        <v>41751</v>
      </c>
      <c r="AH689" s="8">
        <v>3</v>
      </c>
      <c r="AI689" s="8">
        <v>2</v>
      </c>
      <c r="AJ689" s="8" t="s">
        <v>1815</v>
      </c>
    </row>
    <row r="690" spans="1:36">
      <c r="A690" s="7">
        <f t="shared" si="196"/>
        <v>1</v>
      </c>
      <c r="B690" s="7" t="str">
        <f t="shared" si="197"/>
        <v>14FW ELS_46_SNAP_RD</v>
      </c>
      <c r="C690" s="7">
        <f t="shared" si="198"/>
        <v>1</v>
      </c>
      <c r="D690" s="7" t="str">
        <f t="shared" si="199"/>
        <v>성진14FW ELS_46_SNAP_RD</v>
      </c>
      <c r="E690" s="12" t="str">
        <f t="shared" si="200"/>
        <v>201403</v>
      </c>
      <c r="F690" s="347" t="str">
        <f>VLOOKUP($AA690,[3]주!$A:$F,6,FALSE)</f>
        <v>3월 1주</v>
      </c>
      <c r="G690" s="7">
        <f t="shared" si="201"/>
        <v>1</v>
      </c>
      <c r="H690" s="7" t="str">
        <f t="shared" si="202"/>
        <v>14FW ELS_46_SNAP_RD</v>
      </c>
      <c r="I690" s="7">
        <f t="shared" si="203"/>
        <v>1</v>
      </c>
      <c r="J690" s="7" t="str">
        <f t="shared" si="204"/>
        <v>성진14FW ELS_46_SNAP_RD</v>
      </c>
      <c r="K690" s="17">
        <f t="shared" si="205"/>
        <v>41751</v>
      </c>
      <c r="L690" s="12" t="str">
        <f t="shared" si="206"/>
        <v>201404</v>
      </c>
      <c r="M690" s="347" t="str">
        <f>VLOOKUP($K690,[3]주!$A:$F,6,FALSE)</f>
        <v>3월 2주</v>
      </c>
      <c r="N690" s="273" t="str">
        <f>IF(VLOOKUP($Z690,생산업체!$A:$C,2,FALSE)=1,"해외","국내")</f>
        <v>해외</v>
      </c>
      <c r="O690" s="12" t="str">
        <f>IF(VLOOKUP($U690,CODE!$K:$P,CODE!P$1,FALSE)="모자",T690,T690&amp;"-"&amp;VLOOKUP($U690,CODE!$K:$P,CODE!P$1,FALSE))</f>
        <v>ELS</v>
      </c>
      <c r="P690" s="11" t="s">
        <v>3</v>
      </c>
      <c r="R690" s="11">
        <v>51</v>
      </c>
      <c r="T690" s="8" t="s">
        <v>3</v>
      </c>
      <c r="U690" s="8" t="s">
        <v>35</v>
      </c>
      <c r="V690" s="8" t="s">
        <v>43</v>
      </c>
      <c r="W690" s="8" t="s">
        <v>1816</v>
      </c>
      <c r="X690" s="8" t="s">
        <v>900</v>
      </c>
      <c r="Y690" s="9">
        <v>1</v>
      </c>
      <c r="Z690" s="8" t="s">
        <v>48</v>
      </c>
      <c r="AA690" s="10">
        <v>41705</v>
      </c>
      <c r="AB690" s="10">
        <v>41733</v>
      </c>
      <c r="AC690" s="10">
        <v>41747</v>
      </c>
      <c r="AD690" s="10">
        <v>41751</v>
      </c>
      <c r="AH690" s="8">
        <v>3</v>
      </c>
      <c r="AI690" s="8">
        <v>2</v>
      </c>
      <c r="AJ690" s="8" t="s">
        <v>1815</v>
      </c>
    </row>
    <row r="691" spans="1:36">
      <c r="A691" s="7">
        <f t="shared" si="196"/>
        <v>1</v>
      </c>
      <c r="B691" s="7" t="str">
        <f t="shared" si="197"/>
        <v>14FW ELS_47_SNAP_PP</v>
      </c>
      <c r="C691" s="7">
        <f t="shared" si="198"/>
        <v>1</v>
      </c>
      <c r="D691" s="7" t="str">
        <f t="shared" si="199"/>
        <v>동일모자14FW ELS_47_SNAP_PP</v>
      </c>
      <c r="E691" s="12" t="str">
        <f t="shared" si="200"/>
        <v>201403</v>
      </c>
      <c r="F691" s="347" t="str">
        <f>VLOOKUP($AA691,[3]주!$A:$F,6,FALSE)</f>
        <v>3월 1주</v>
      </c>
      <c r="G691" s="7">
        <f t="shared" si="201"/>
        <v>1</v>
      </c>
      <c r="H691" s="7" t="str">
        <f t="shared" si="202"/>
        <v>14FW ELS_47_SNAP_PP</v>
      </c>
      <c r="I691" s="7">
        <f t="shared" si="203"/>
        <v>1</v>
      </c>
      <c r="J691" s="7" t="str">
        <f t="shared" si="204"/>
        <v>동일모자14FW ELS_47_SNAP_PP</v>
      </c>
      <c r="K691" s="17">
        <f t="shared" si="205"/>
        <v>41736</v>
      </c>
      <c r="L691" s="12" t="str">
        <f t="shared" si="206"/>
        <v>201404</v>
      </c>
      <c r="M691" s="347" t="str">
        <f>VLOOKUP($K691,[3]주!$A:$F,6,FALSE)</f>
        <v>3월 2주</v>
      </c>
      <c r="N691" s="273" t="str">
        <f>IF(VLOOKUP($Z691,생산업체!$A:$C,2,FALSE)=1,"해외","국내")</f>
        <v>해외</v>
      </c>
      <c r="O691" s="12" t="str">
        <f>IF(VLOOKUP($U691,CODE!$K:$P,CODE!P$1,FALSE)="모자",T691,T691&amp;"-"&amp;VLOOKUP($U691,CODE!$K:$P,CODE!P$1,FALSE))</f>
        <v>ELS</v>
      </c>
      <c r="P691" s="11" t="s">
        <v>3</v>
      </c>
      <c r="R691" s="11">
        <v>52</v>
      </c>
      <c r="T691" s="8" t="s">
        <v>3</v>
      </c>
      <c r="U691" s="8" t="s">
        <v>38</v>
      </c>
      <c r="V691" s="8" t="s">
        <v>43</v>
      </c>
      <c r="W691" s="8" t="s">
        <v>1817</v>
      </c>
      <c r="X691" s="8" t="s">
        <v>905</v>
      </c>
      <c r="Y691" s="9">
        <v>1</v>
      </c>
      <c r="Z691" s="8" t="s">
        <v>44</v>
      </c>
      <c r="AA691" s="10">
        <v>41705</v>
      </c>
      <c r="AB691" s="10">
        <v>41733</v>
      </c>
      <c r="AC691" s="10">
        <v>41739</v>
      </c>
      <c r="AD691" s="10">
        <v>41736</v>
      </c>
      <c r="AE691" s="8">
        <v>7.85</v>
      </c>
      <c r="AH691" s="8">
        <v>4</v>
      </c>
      <c r="AI691" s="8" t="s">
        <v>87</v>
      </c>
      <c r="AJ691" s="8" t="s">
        <v>2115</v>
      </c>
    </row>
    <row r="692" spans="1:36">
      <c r="A692" s="7">
        <f t="shared" si="196"/>
        <v>1</v>
      </c>
      <c r="B692" s="7" t="str">
        <f t="shared" si="197"/>
        <v>14FW ELS_48_TROOPER_BK</v>
      </c>
      <c r="C692" s="7">
        <f t="shared" si="198"/>
        <v>1</v>
      </c>
      <c r="D692" s="7" t="str">
        <f t="shared" si="199"/>
        <v>FOREMOST14FW ELS_48_TROOPER_BK</v>
      </c>
      <c r="E692" s="12" t="str">
        <f t="shared" si="200"/>
        <v>201403</v>
      </c>
      <c r="F692" s="347" t="str">
        <f>VLOOKUP($AA692,[3]주!$A:$F,6,FALSE)</f>
        <v>3월 1주</v>
      </c>
      <c r="G692" s="7">
        <f t="shared" si="201"/>
        <v>1</v>
      </c>
      <c r="H692" s="7" t="str">
        <f t="shared" si="202"/>
        <v>14FW ELS_48_TROOPER_BK</v>
      </c>
      <c r="I692" s="7">
        <f t="shared" si="203"/>
        <v>1</v>
      </c>
      <c r="J692" s="7" t="str">
        <f t="shared" si="204"/>
        <v>FOREMOST14FW ELS_48_TROOPER_BK</v>
      </c>
      <c r="K692" s="17">
        <f t="shared" si="205"/>
        <v>41745</v>
      </c>
      <c r="L692" s="12" t="str">
        <f t="shared" si="206"/>
        <v>201404</v>
      </c>
      <c r="M692" s="347" t="str">
        <f>VLOOKUP($K692,[3]주!$A:$F,6,FALSE)</f>
        <v>3월 2주</v>
      </c>
      <c r="N692" s="273" t="str">
        <f>IF(VLOOKUP($Z692,생산업체!$A:$C,2,FALSE)=1,"해외","국내")</f>
        <v>해외</v>
      </c>
      <c r="O692" s="12" t="str">
        <f>IF(VLOOKUP($U692,CODE!$K:$P,CODE!P$1,FALSE)="모자",T692,T692&amp;"-"&amp;VLOOKUP($U692,CODE!$K:$P,CODE!P$1,FALSE))</f>
        <v>ELS</v>
      </c>
      <c r="P692" s="11" t="s">
        <v>3</v>
      </c>
      <c r="R692" s="11">
        <v>53</v>
      </c>
      <c r="T692" s="8" t="s">
        <v>3</v>
      </c>
      <c r="U692" s="8" t="s">
        <v>28</v>
      </c>
      <c r="V692" s="8" t="s">
        <v>43</v>
      </c>
      <c r="W692" s="8" t="s">
        <v>1818</v>
      </c>
      <c r="X692" s="8" t="s">
        <v>900</v>
      </c>
      <c r="Y692" s="9">
        <v>1</v>
      </c>
      <c r="Z692" s="8" t="s">
        <v>6</v>
      </c>
      <c r="AA692" s="10">
        <v>41705</v>
      </c>
      <c r="AB692" s="10">
        <v>41733</v>
      </c>
      <c r="AC692" s="10">
        <v>41747</v>
      </c>
      <c r="AD692" s="10">
        <v>41745</v>
      </c>
      <c r="AE692" s="8">
        <v>8.5</v>
      </c>
      <c r="AH692" s="8">
        <v>2</v>
      </c>
      <c r="AI692" s="8">
        <v>1</v>
      </c>
      <c r="AJ692" s="8" t="s">
        <v>1819</v>
      </c>
    </row>
    <row r="693" spans="1:36">
      <c r="A693" s="7">
        <f t="shared" si="196"/>
        <v>1</v>
      </c>
      <c r="B693" s="7" t="str">
        <f t="shared" si="197"/>
        <v>14FW ELS_49_TROOPER_NV</v>
      </c>
      <c r="C693" s="7">
        <f t="shared" si="198"/>
        <v>1</v>
      </c>
      <c r="D693" s="7" t="str">
        <f t="shared" si="199"/>
        <v>FOREMOST14FW ELS_49_TROOPER_NV</v>
      </c>
      <c r="E693" s="12" t="str">
        <f t="shared" si="200"/>
        <v>201403</v>
      </c>
      <c r="F693" s="347" t="str">
        <f>VLOOKUP($AA693,[3]주!$A:$F,6,FALSE)</f>
        <v>3월 1주</v>
      </c>
      <c r="G693" s="7">
        <f t="shared" si="201"/>
        <v>1</v>
      </c>
      <c r="H693" s="7" t="str">
        <f t="shared" si="202"/>
        <v>14FW ELS_49_TROOPER_NV</v>
      </c>
      <c r="I693" s="7">
        <f t="shared" si="203"/>
        <v>1</v>
      </c>
      <c r="J693" s="7" t="str">
        <f t="shared" si="204"/>
        <v>FOREMOST14FW ELS_49_TROOPER_NV</v>
      </c>
      <c r="K693" s="17">
        <f t="shared" si="205"/>
        <v>41750</v>
      </c>
      <c r="L693" s="12" t="str">
        <f t="shared" si="206"/>
        <v>201404</v>
      </c>
      <c r="M693" s="347" t="str">
        <f>VLOOKUP($K693,[3]주!$A:$F,6,FALSE)</f>
        <v>3월 2주</v>
      </c>
      <c r="N693" s="273" t="str">
        <f>IF(VLOOKUP($Z693,생산업체!$A:$C,2,FALSE)=1,"해외","국내")</f>
        <v>해외</v>
      </c>
      <c r="O693" s="12" t="str">
        <f>IF(VLOOKUP($U693,CODE!$K:$P,CODE!P$1,FALSE)="모자",T693,T693&amp;"-"&amp;VLOOKUP($U693,CODE!$K:$P,CODE!P$1,FALSE))</f>
        <v>ELS</v>
      </c>
      <c r="P693" s="11" t="s">
        <v>3</v>
      </c>
      <c r="R693" s="11">
        <v>54</v>
      </c>
      <c r="T693" s="8" t="s">
        <v>3</v>
      </c>
      <c r="U693" s="8" t="s">
        <v>28</v>
      </c>
      <c r="V693" s="8" t="s">
        <v>43</v>
      </c>
      <c r="W693" s="8" t="s">
        <v>1820</v>
      </c>
      <c r="X693" s="8" t="s">
        <v>900</v>
      </c>
      <c r="Y693" s="9">
        <v>1</v>
      </c>
      <c r="Z693" s="8" t="s">
        <v>6</v>
      </c>
      <c r="AA693" s="10">
        <v>41705</v>
      </c>
      <c r="AB693" s="10">
        <v>41733</v>
      </c>
      <c r="AC693" s="10">
        <v>41747</v>
      </c>
      <c r="AD693" s="10">
        <v>41750</v>
      </c>
      <c r="AH693" s="8">
        <v>3</v>
      </c>
      <c r="AI693" s="8">
        <v>3</v>
      </c>
      <c r="AJ693" s="8" t="s">
        <v>1821</v>
      </c>
    </row>
    <row r="694" spans="1:36">
      <c r="A694" s="7">
        <f t="shared" si="196"/>
        <v>1</v>
      </c>
      <c r="B694" s="7" t="str">
        <f t="shared" si="197"/>
        <v>14FW ELS_50_TROOPER_BK</v>
      </c>
      <c r="C694" s="7">
        <f t="shared" si="198"/>
        <v>1</v>
      </c>
      <c r="D694" s="7" t="str">
        <f t="shared" si="199"/>
        <v>FOREMOST14FW ELS_50_TROOPER_BK</v>
      </c>
      <c r="E694" s="12" t="str">
        <f t="shared" si="200"/>
        <v>201403</v>
      </c>
      <c r="F694" s="347" t="str">
        <f>VLOOKUP($AA694,[3]주!$A:$F,6,FALSE)</f>
        <v>3월 1주</v>
      </c>
      <c r="G694" s="7">
        <f t="shared" si="201"/>
        <v>1</v>
      </c>
      <c r="H694" s="7" t="str">
        <f t="shared" si="202"/>
        <v>14FW ELS_50_TROOPER_BK</v>
      </c>
      <c r="I694" s="7">
        <f t="shared" si="203"/>
        <v>1</v>
      </c>
      <c r="J694" s="7" t="str">
        <f t="shared" si="204"/>
        <v>FOREMOST14FW ELS_50_TROOPER_BK</v>
      </c>
      <c r="K694" s="17">
        <f t="shared" si="205"/>
        <v>41740</v>
      </c>
      <c r="L694" s="12" t="str">
        <f t="shared" si="206"/>
        <v>201404</v>
      </c>
      <c r="M694" s="347" t="str">
        <f>VLOOKUP($K694,[3]주!$A:$F,6,FALSE)</f>
        <v>3월 2주</v>
      </c>
      <c r="N694" s="273" t="str">
        <f>IF(VLOOKUP($Z694,생산업체!$A:$C,2,FALSE)=1,"해외","국내")</f>
        <v>해외</v>
      </c>
      <c r="O694" s="12" t="str">
        <f>IF(VLOOKUP($U694,CODE!$K:$P,CODE!P$1,FALSE)="모자",T694,T694&amp;"-"&amp;VLOOKUP($U694,CODE!$K:$P,CODE!P$1,FALSE))</f>
        <v>ELS</v>
      </c>
      <c r="P694" s="11" t="s">
        <v>3</v>
      </c>
      <c r="R694" s="11">
        <v>55</v>
      </c>
      <c r="T694" s="8" t="s">
        <v>3</v>
      </c>
      <c r="U694" s="8" t="s">
        <v>28</v>
      </c>
      <c r="V694" s="8" t="s">
        <v>43</v>
      </c>
      <c r="W694" s="8" t="s">
        <v>1822</v>
      </c>
      <c r="X694" s="8" t="s">
        <v>900</v>
      </c>
      <c r="Y694" s="9">
        <v>1</v>
      </c>
      <c r="Z694" s="8" t="s">
        <v>6</v>
      </c>
      <c r="AA694" s="10">
        <v>41705</v>
      </c>
      <c r="AB694" s="10">
        <v>41733</v>
      </c>
      <c r="AC694" s="10">
        <v>41747</v>
      </c>
      <c r="AD694" s="10">
        <v>41740</v>
      </c>
      <c r="AE694" s="8">
        <v>5.7</v>
      </c>
      <c r="AH694" s="8">
        <v>3</v>
      </c>
      <c r="AI694" s="8">
        <v>3</v>
      </c>
    </row>
    <row r="695" spans="1:36">
      <c r="A695" s="7">
        <f t="shared" si="196"/>
        <v>1</v>
      </c>
      <c r="B695" s="7" t="str">
        <f t="shared" si="197"/>
        <v>14SS ELS SHOULDER BAG_01_BK</v>
      </c>
      <c r="C695" s="7">
        <f t="shared" si="198"/>
        <v>1</v>
      </c>
      <c r="D695" s="7" t="str">
        <f t="shared" si="199"/>
        <v>바이칼14SS ELS SHOULDER BAG_01_BK</v>
      </c>
      <c r="E695" s="12" t="str">
        <f t="shared" si="200"/>
        <v>201403</v>
      </c>
      <c r="F695" s="347" t="str">
        <f>VLOOKUP($AA695,[3]주!$A:$F,6,FALSE)</f>
        <v>3월 2주</v>
      </c>
      <c r="G695" s="7">
        <f t="shared" si="201"/>
        <v>1</v>
      </c>
      <c r="H695" s="7" t="str">
        <f t="shared" si="202"/>
        <v>14SS ELS SHOULDER BAG_01_BK</v>
      </c>
      <c r="I695" s="7">
        <f t="shared" si="203"/>
        <v>1</v>
      </c>
      <c r="J695" s="7" t="str">
        <f t="shared" si="204"/>
        <v>바이칼14SS ELS SHOULDER BAG_01_BK</v>
      </c>
      <c r="K695" s="17">
        <f t="shared" si="205"/>
        <v>41712</v>
      </c>
      <c r="L695" s="12" t="str">
        <f t="shared" si="206"/>
        <v>201403</v>
      </c>
      <c r="M695" s="347" t="str">
        <f>VLOOKUP($K695,[3]주!$A:$F,6,FALSE)</f>
        <v>3월 2주</v>
      </c>
      <c r="N695" s="273" t="str">
        <f>IF(VLOOKUP($Z695,생산업체!$A:$C,2,FALSE)=1,"해외","국내")</f>
        <v>해외</v>
      </c>
      <c r="O695" s="12" t="str">
        <f>IF(VLOOKUP($U695,CODE!$K:$P,CODE!P$1,FALSE)="모자",T695,T695&amp;"-"&amp;VLOOKUP($U695,CODE!$K:$P,CODE!P$1,FALSE))</f>
        <v>ELS-가방</v>
      </c>
      <c r="P695" s="11" t="s">
        <v>30</v>
      </c>
      <c r="R695" s="11">
        <v>56</v>
      </c>
      <c r="T695" s="8" t="s">
        <v>3</v>
      </c>
      <c r="U695" s="8" t="s">
        <v>1835</v>
      </c>
      <c r="V695" s="8" t="s">
        <v>43</v>
      </c>
      <c r="W695" s="8" t="s">
        <v>1836</v>
      </c>
      <c r="X695" s="8" t="s">
        <v>900</v>
      </c>
      <c r="Y695" s="9">
        <v>1</v>
      </c>
      <c r="Z695" s="8" t="s">
        <v>1837</v>
      </c>
      <c r="AA695" s="10">
        <v>41708</v>
      </c>
      <c r="AB695" s="10">
        <v>41736</v>
      </c>
      <c r="AC695" s="10">
        <v>41715</v>
      </c>
      <c r="AD695" s="10">
        <v>41712</v>
      </c>
      <c r="AF695" s="8">
        <v>5841</v>
      </c>
      <c r="AH695" s="8">
        <v>2</v>
      </c>
      <c r="AJ695" s="8" t="s">
        <v>1838</v>
      </c>
    </row>
    <row r="696" spans="1:36">
      <c r="A696" s="7">
        <f t="shared" ref="A696:A759" si="207">IF(B696="",0,1/COUNTIF(B:B,B696))</f>
        <v>1</v>
      </c>
      <c r="B696" s="7" t="str">
        <f t="shared" ref="B696:B759" si="208">IF(AA696="","",W696)</f>
        <v>14SS ELS SHOULDER BAG_02_YE</v>
      </c>
      <c r="C696" s="7">
        <f t="shared" ref="C696:C759" si="209">IF(D696="",0,1/COUNTIF(D:D,D696))</f>
        <v>1</v>
      </c>
      <c r="D696" s="7" t="str">
        <f t="shared" ref="D696:D759" si="210">IF(AA696="","",Z696&amp;W696)</f>
        <v>바이칼14SS ELS SHOULDER BAG_02_YE</v>
      </c>
      <c r="E696" s="12" t="str">
        <f t="shared" ref="E696:E759" si="211">IF(YEAR(AA696)&lt;10,0&amp;YEAR(AA696),YEAR(AA696))&amp;IF(MONTH(AA696)&lt;10,0&amp;MONTH(AA696),MONTH(AA696))</f>
        <v>201403</v>
      </c>
      <c r="F696" s="347" t="str">
        <f>VLOOKUP($AA696,[3]주!$A:$F,6,FALSE)</f>
        <v>3월 2주</v>
      </c>
      <c r="G696" s="7">
        <f t="shared" ref="G696:G759" si="212">IF(H696="",0,1/COUNTIF(H:H,H696))</f>
        <v>1</v>
      </c>
      <c r="H696" s="7" t="str">
        <f t="shared" ref="H696:H759" si="213">IF(AD696="","",W696)</f>
        <v>14SS ELS SHOULDER BAG_02_YE</v>
      </c>
      <c r="I696" s="7">
        <f t="shared" ref="I696:I759" si="214">IF(J696="",0,1/COUNTIF(J:J,J696))</f>
        <v>1</v>
      </c>
      <c r="J696" s="7" t="str">
        <f t="shared" ref="J696:J759" si="215">IF(AD696="","",Z696&amp;W696)</f>
        <v>바이칼14SS ELS SHOULDER BAG_02_YE</v>
      </c>
      <c r="K696" s="17">
        <f t="shared" ref="K696:K759" si="216">IF(AD696="",AC696,AD696)</f>
        <v>41712</v>
      </c>
      <c r="L696" s="12" t="str">
        <f t="shared" ref="L696:L759" si="217">IF(YEAR(K696)&lt;10,0&amp;YEAR(K696),YEAR(K696))&amp;IF(MONTH(K696)&lt;10,0&amp;MONTH(K696),MONTH(K696))</f>
        <v>201403</v>
      </c>
      <c r="M696" s="347" t="str">
        <f>VLOOKUP($K696,[3]주!$A:$F,6,FALSE)</f>
        <v>3월 2주</v>
      </c>
      <c r="N696" s="273" t="str">
        <f>IF(VLOOKUP($Z696,생산업체!$A:$C,2,FALSE)=1,"해외","국내")</f>
        <v>해외</v>
      </c>
      <c r="O696" s="12" t="str">
        <f>IF(VLOOKUP($U696,CODE!$K:$P,CODE!P$1,FALSE)="모자",T696,T696&amp;"-"&amp;VLOOKUP($U696,CODE!$K:$P,CODE!P$1,FALSE))</f>
        <v>ELS-가방</v>
      </c>
      <c r="P696" s="11" t="s">
        <v>30</v>
      </c>
      <c r="R696" s="11">
        <v>57</v>
      </c>
      <c r="T696" s="8" t="s">
        <v>3</v>
      </c>
      <c r="U696" s="8" t="s">
        <v>1835</v>
      </c>
      <c r="V696" s="8" t="s">
        <v>43</v>
      </c>
      <c r="W696" s="8" t="s">
        <v>1839</v>
      </c>
      <c r="X696" s="8" t="s">
        <v>900</v>
      </c>
      <c r="Y696" s="9">
        <v>1</v>
      </c>
      <c r="Z696" s="8" t="s">
        <v>1837</v>
      </c>
      <c r="AA696" s="10">
        <v>41708</v>
      </c>
      <c r="AB696" s="10">
        <v>41736</v>
      </c>
      <c r="AC696" s="10">
        <v>41715</v>
      </c>
      <c r="AD696" s="10">
        <v>41712</v>
      </c>
      <c r="AF696" s="8">
        <v>5841</v>
      </c>
      <c r="AH696" s="8">
        <v>2</v>
      </c>
      <c r="AJ696" s="8" t="s">
        <v>1838</v>
      </c>
    </row>
    <row r="697" spans="1:36">
      <c r="A697" s="7">
        <f t="shared" si="207"/>
        <v>1</v>
      </c>
      <c r="B697" s="7" t="str">
        <f t="shared" si="208"/>
        <v>14SS ELS BACKPACK_07_BK</v>
      </c>
      <c r="C697" s="7">
        <f t="shared" si="209"/>
        <v>1</v>
      </c>
      <c r="D697" s="7" t="str">
        <f t="shared" si="210"/>
        <v>바이칼14SS ELS BACKPACK_07_BK</v>
      </c>
      <c r="E697" s="12" t="str">
        <f t="shared" si="211"/>
        <v>201403</v>
      </c>
      <c r="F697" s="347" t="str">
        <f>VLOOKUP($AA697,[3]주!$A:$F,6,FALSE)</f>
        <v>3월 2주</v>
      </c>
      <c r="G697" s="7">
        <f t="shared" si="212"/>
        <v>1</v>
      </c>
      <c r="H697" s="7" t="str">
        <f t="shared" si="213"/>
        <v>14SS ELS BACKPACK_07_BK</v>
      </c>
      <c r="I697" s="7">
        <f t="shared" si="214"/>
        <v>1</v>
      </c>
      <c r="J697" s="7" t="str">
        <f t="shared" si="215"/>
        <v>바이칼14SS ELS BACKPACK_07_BK</v>
      </c>
      <c r="K697" s="17">
        <f t="shared" si="216"/>
        <v>41715</v>
      </c>
      <c r="L697" s="12" t="str">
        <f t="shared" si="217"/>
        <v>201403</v>
      </c>
      <c r="M697" s="347" t="str">
        <f>VLOOKUP($K697,[3]주!$A:$F,6,FALSE)</f>
        <v>3월 2주</v>
      </c>
      <c r="N697" s="273" t="str">
        <f>IF(VLOOKUP($Z697,생산업체!$A:$C,2,FALSE)=1,"해외","국내")</f>
        <v>해외</v>
      </c>
      <c r="O697" s="12" t="str">
        <f>IF(VLOOKUP($U697,CODE!$K:$P,CODE!P$1,FALSE)="모자",T697,T697&amp;"-"&amp;VLOOKUP($U697,CODE!$K:$P,CODE!P$1,FALSE))</f>
        <v>ELS-가방</v>
      </c>
      <c r="P697" s="11" t="s">
        <v>30</v>
      </c>
      <c r="R697" s="11">
        <v>58</v>
      </c>
      <c r="T697" s="8" t="s">
        <v>3</v>
      </c>
      <c r="U697" s="8" t="s">
        <v>31</v>
      </c>
      <c r="V697" s="8" t="s">
        <v>43</v>
      </c>
      <c r="W697" s="8" t="s">
        <v>1840</v>
      </c>
      <c r="X697" s="8" t="s">
        <v>900</v>
      </c>
      <c r="Y697" s="9">
        <v>1</v>
      </c>
      <c r="Z697" s="8" t="s">
        <v>1837</v>
      </c>
      <c r="AA697" s="10">
        <v>41712</v>
      </c>
      <c r="AB697" s="10">
        <v>41740</v>
      </c>
      <c r="AC697" s="10">
        <v>41715</v>
      </c>
      <c r="AD697" s="10">
        <v>41715</v>
      </c>
      <c r="AF697" s="8">
        <v>18250</v>
      </c>
      <c r="AH697" s="8">
        <v>2</v>
      </c>
      <c r="AJ697" s="8" t="s">
        <v>1841</v>
      </c>
    </row>
    <row r="698" spans="1:36">
      <c r="A698" s="7">
        <f t="shared" si="207"/>
        <v>1</v>
      </c>
      <c r="B698" s="7" t="str">
        <f t="shared" si="208"/>
        <v>14FW ELS BACKPACK_01_BK</v>
      </c>
      <c r="C698" s="7">
        <f t="shared" si="209"/>
        <v>1</v>
      </c>
      <c r="D698" s="7" t="str">
        <f t="shared" si="210"/>
        <v>바이칼14FW ELS BACKPACK_01_BK</v>
      </c>
      <c r="E698" s="12" t="str">
        <f t="shared" si="211"/>
        <v>201403</v>
      </c>
      <c r="F698" s="347" t="str">
        <f>VLOOKUP($AA698,[3]주!$A:$F,6,FALSE)</f>
        <v>3월 2주</v>
      </c>
      <c r="G698" s="7">
        <f t="shared" si="212"/>
        <v>1</v>
      </c>
      <c r="H698" s="7" t="str">
        <f t="shared" si="213"/>
        <v>14FW ELS BACKPACK_01_BK</v>
      </c>
      <c r="I698" s="7">
        <f t="shared" si="214"/>
        <v>1</v>
      </c>
      <c r="J698" s="7" t="str">
        <f t="shared" si="215"/>
        <v>바이칼14FW ELS BACKPACK_01_BK</v>
      </c>
      <c r="K698" s="17">
        <f t="shared" si="216"/>
        <v>41730</v>
      </c>
      <c r="L698" s="12" t="str">
        <f t="shared" si="217"/>
        <v>201404</v>
      </c>
      <c r="M698" s="347" t="str">
        <f>VLOOKUP($K698,[3]주!$A:$F,6,FALSE)</f>
        <v>3월 2주</v>
      </c>
      <c r="N698" s="273" t="str">
        <f>IF(VLOOKUP($Z698,생산업체!$A:$C,2,FALSE)=1,"해외","국내")</f>
        <v>해외</v>
      </c>
      <c r="O698" s="12" t="str">
        <f>IF(VLOOKUP($U698,CODE!$K:$P,CODE!P$1,FALSE)="모자",T698,T698&amp;"-"&amp;VLOOKUP($U698,CODE!$K:$P,CODE!P$1,FALSE))</f>
        <v>ELS-가방</v>
      </c>
      <c r="P698" s="11" t="s">
        <v>30</v>
      </c>
      <c r="R698" s="11">
        <v>59</v>
      </c>
      <c r="T698" s="8" t="s">
        <v>3</v>
      </c>
      <c r="U698" s="8" t="s">
        <v>31</v>
      </c>
      <c r="V698" s="8" t="s">
        <v>43</v>
      </c>
      <c r="W698" s="8" t="s">
        <v>1842</v>
      </c>
      <c r="X698" s="8" t="s">
        <v>900</v>
      </c>
      <c r="Y698" s="9">
        <v>1</v>
      </c>
      <c r="Z698" s="8" t="s">
        <v>1837</v>
      </c>
      <c r="AA698" s="10">
        <v>41715</v>
      </c>
      <c r="AB698" s="10">
        <v>41743</v>
      </c>
      <c r="AC698" s="10">
        <v>41739</v>
      </c>
      <c r="AD698" s="10">
        <v>41730</v>
      </c>
      <c r="AF698" s="8">
        <v>23941</v>
      </c>
      <c r="AH698" s="8">
        <v>2</v>
      </c>
      <c r="AJ698" s="8" t="s">
        <v>2237</v>
      </c>
    </row>
    <row r="699" spans="1:36">
      <c r="A699" s="7">
        <f t="shared" si="207"/>
        <v>1</v>
      </c>
      <c r="B699" s="7" t="str">
        <f t="shared" si="208"/>
        <v>14FW ELS BACKPACK_02_BK</v>
      </c>
      <c r="C699" s="7">
        <f t="shared" si="209"/>
        <v>1</v>
      </c>
      <c r="D699" s="7" t="str">
        <f t="shared" si="210"/>
        <v>바이칼14FW ELS BACKPACK_02_BK</v>
      </c>
      <c r="E699" s="12" t="str">
        <f t="shared" si="211"/>
        <v>201403</v>
      </c>
      <c r="F699" s="347" t="str">
        <f>VLOOKUP($AA699,[3]주!$A:$F,6,FALSE)</f>
        <v>3월 2주</v>
      </c>
      <c r="G699" s="7">
        <f t="shared" si="212"/>
        <v>1</v>
      </c>
      <c r="H699" s="7" t="str">
        <f t="shared" si="213"/>
        <v>14FW ELS BACKPACK_02_BK</v>
      </c>
      <c r="I699" s="7">
        <f t="shared" si="214"/>
        <v>1</v>
      </c>
      <c r="J699" s="7" t="str">
        <f t="shared" si="215"/>
        <v>바이칼14FW ELS BACKPACK_02_BK</v>
      </c>
      <c r="K699" s="17">
        <f t="shared" si="216"/>
        <v>41730</v>
      </c>
      <c r="L699" s="12" t="str">
        <f t="shared" si="217"/>
        <v>201404</v>
      </c>
      <c r="M699" s="347" t="str">
        <f>VLOOKUP($K699,[3]주!$A:$F,6,FALSE)</f>
        <v>3월 2주</v>
      </c>
      <c r="N699" s="273" t="str">
        <f>IF(VLOOKUP($Z699,생산업체!$A:$C,2,FALSE)=1,"해외","국내")</f>
        <v>해외</v>
      </c>
      <c r="O699" s="12" t="str">
        <f>IF(VLOOKUP($U699,CODE!$K:$P,CODE!P$1,FALSE)="모자",T699,T699&amp;"-"&amp;VLOOKUP($U699,CODE!$K:$P,CODE!P$1,FALSE))</f>
        <v>ELS-가방</v>
      </c>
      <c r="P699" s="11" t="s">
        <v>30</v>
      </c>
      <c r="R699" s="11">
        <v>60</v>
      </c>
      <c r="T699" s="8" t="s">
        <v>3</v>
      </c>
      <c r="U699" s="8" t="s">
        <v>31</v>
      </c>
      <c r="V699" s="8" t="s">
        <v>43</v>
      </c>
      <c r="W699" s="8" t="s">
        <v>1843</v>
      </c>
      <c r="X699" s="8" t="s">
        <v>900</v>
      </c>
      <c r="Y699" s="9">
        <v>1</v>
      </c>
      <c r="Z699" s="8" t="s">
        <v>1837</v>
      </c>
      <c r="AA699" s="10">
        <v>41715</v>
      </c>
      <c r="AB699" s="10">
        <v>41743</v>
      </c>
      <c r="AC699" s="10">
        <v>41739</v>
      </c>
      <c r="AD699" s="10">
        <v>41730</v>
      </c>
      <c r="AF699" s="8">
        <v>26198</v>
      </c>
      <c r="AH699" s="8">
        <v>1</v>
      </c>
      <c r="AI699" s="8">
        <v>1</v>
      </c>
      <c r="AJ699" s="8" t="s">
        <v>2237</v>
      </c>
    </row>
    <row r="700" spans="1:36">
      <c r="A700" s="7">
        <f t="shared" si="207"/>
        <v>1</v>
      </c>
      <c r="B700" s="7" t="str">
        <f t="shared" si="208"/>
        <v>14FW ELS BACKPACK_03_BK</v>
      </c>
      <c r="C700" s="7">
        <f t="shared" si="209"/>
        <v>1</v>
      </c>
      <c r="D700" s="7" t="str">
        <f t="shared" si="210"/>
        <v>바이칼14FW ELS BACKPACK_03_BK</v>
      </c>
      <c r="E700" s="12" t="str">
        <f t="shared" si="211"/>
        <v>201403</v>
      </c>
      <c r="F700" s="347" t="str">
        <f>VLOOKUP($AA700,[3]주!$A:$F,6,FALSE)</f>
        <v>3월 2주</v>
      </c>
      <c r="G700" s="7">
        <f t="shared" si="212"/>
        <v>1</v>
      </c>
      <c r="H700" s="7" t="str">
        <f t="shared" si="213"/>
        <v>14FW ELS BACKPACK_03_BK</v>
      </c>
      <c r="I700" s="7">
        <f t="shared" si="214"/>
        <v>1</v>
      </c>
      <c r="J700" s="7" t="str">
        <f t="shared" si="215"/>
        <v>바이칼14FW ELS BACKPACK_03_BK</v>
      </c>
      <c r="K700" s="17">
        <f t="shared" si="216"/>
        <v>41730</v>
      </c>
      <c r="L700" s="12" t="str">
        <f t="shared" si="217"/>
        <v>201404</v>
      </c>
      <c r="M700" s="347" t="str">
        <f>VLOOKUP($K700,[3]주!$A:$F,6,FALSE)</f>
        <v>3월 2주</v>
      </c>
      <c r="N700" s="273" t="str">
        <f>IF(VLOOKUP($Z700,생산업체!$A:$C,2,FALSE)=1,"해외","국내")</f>
        <v>해외</v>
      </c>
      <c r="O700" s="12" t="str">
        <f>IF(VLOOKUP($U700,CODE!$K:$P,CODE!P$1,FALSE)="모자",T700,T700&amp;"-"&amp;VLOOKUP($U700,CODE!$K:$P,CODE!P$1,FALSE))</f>
        <v>ELS-가방</v>
      </c>
      <c r="P700" s="11" t="s">
        <v>30</v>
      </c>
      <c r="R700" s="11">
        <v>61</v>
      </c>
      <c r="T700" s="8" t="s">
        <v>3</v>
      </c>
      <c r="U700" s="8" t="s">
        <v>31</v>
      </c>
      <c r="V700" s="8" t="s">
        <v>43</v>
      </c>
      <c r="W700" s="8" t="s">
        <v>1844</v>
      </c>
      <c r="X700" s="8" t="s">
        <v>900</v>
      </c>
      <c r="Y700" s="9">
        <v>1</v>
      </c>
      <c r="Z700" s="8" t="s">
        <v>1837</v>
      </c>
      <c r="AA700" s="10">
        <v>41715</v>
      </c>
      <c r="AB700" s="10">
        <v>41743</v>
      </c>
      <c r="AC700" s="10">
        <v>41739</v>
      </c>
      <c r="AD700" s="10">
        <v>41730</v>
      </c>
      <c r="AF700" s="8">
        <v>24360</v>
      </c>
      <c r="AH700" s="8">
        <v>2</v>
      </c>
      <c r="AI700" s="8">
        <v>2</v>
      </c>
      <c r="AJ700" s="8" t="s">
        <v>2237</v>
      </c>
    </row>
    <row r="701" spans="1:36">
      <c r="A701" s="7">
        <f t="shared" si="207"/>
        <v>1</v>
      </c>
      <c r="B701" s="7" t="str">
        <f t="shared" si="208"/>
        <v>14FW ELS BACKPACK_04_PP_KIDS</v>
      </c>
      <c r="C701" s="7">
        <f t="shared" si="209"/>
        <v>1</v>
      </c>
      <c r="D701" s="7" t="str">
        <f t="shared" si="210"/>
        <v>바이칼14FW ELS BACKPACK_04_PP_KIDS</v>
      </c>
      <c r="E701" s="12" t="str">
        <f t="shared" si="211"/>
        <v>201403</v>
      </c>
      <c r="F701" s="347" t="str">
        <f>VLOOKUP($AA701,[3]주!$A:$F,6,FALSE)</f>
        <v>3월 2주</v>
      </c>
      <c r="G701" s="7">
        <f t="shared" si="212"/>
        <v>1</v>
      </c>
      <c r="H701" s="7" t="str">
        <f t="shared" si="213"/>
        <v>14FW ELS BACKPACK_04_PP_KIDS</v>
      </c>
      <c r="I701" s="7">
        <f t="shared" si="214"/>
        <v>1</v>
      </c>
      <c r="J701" s="7" t="str">
        <f t="shared" si="215"/>
        <v>바이칼14FW ELS BACKPACK_04_PP_KIDS</v>
      </c>
      <c r="K701" s="17">
        <f t="shared" si="216"/>
        <v>41740</v>
      </c>
      <c r="L701" s="12" t="str">
        <f t="shared" si="217"/>
        <v>201404</v>
      </c>
      <c r="M701" s="347" t="str">
        <f>VLOOKUP($K701,[3]주!$A:$F,6,FALSE)</f>
        <v>3월 2주</v>
      </c>
      <c r="N701" s="273" t="str">
        <f>IF(VLOOKUP($Z701,생산업체!$A:$C,2,FALSE)=1,"해외","국내")</f>
        <v>해외</v>
      </c>
      <c r="O701" s="12" t="str">
        <f>IF(VLOOKUP($U701,CODE!$K:$P,CODE!P$1,FALSE)="모자",T701,T701&amp;"-"&amp;VLOOKUP($U701,CODE!$K:$P,CODE!P$1,FALSE))</f>
        <v>ELS-가방</v>
      </c>
      <c r="P701" s="11" t="s">
        <v>30</v>
      </c>
      <c r="R701" s="11">
        <v>62</v>
      </c>
      <c r="T701" s="8" t="s">
        <v>3</v>
      </c>
      <c r="U701" s="8" t="s">
        <v>31</v>
      </c>
      <c r="V701" s="8" t="s">
        <v>43</v>
      </c>
      <c r="W701" s="8" t="s">
        <v>1845</v>
      </c>
      <c r="X701" s="8" t="s">
        <v>905</v>
      </c>
      <c r="Y701" s="9">
        <v>1</v>
      </c>
      <c r="Z701" s="8" t="s">
        <v>1837</v>
      </c>
      <c r="AA701" s="10">
        <v>41715</v>
      </c>
      <c r="AB701" s="10">
        <v>41743</v>
      </c>
      <c r="AC701" s="10">
        <v>41739</v>
      </c>
      <c r="AD701" s="10">
        <v>41740</v>
      </c>
      <c r="AF701" s="8">
        <v>29547</v>
      </c>
      <c r="AH701" s="8">
        <v>9</v>
      </c>
      <c r="AI701" s="8">
        <v>6</v>
      </c>
      <c r="AJ701" s="8" t="s">
        <v>2238</v>
      </c>
    </row>
    <row r="702" spans="1:36">
      <c r="A702" s="7">
        <f t="shared" si="207"/>
        <v>1</v>
      </c>
      <c r="B702" s="7" t="str">
        <f t="shared" si="208"/>
        <v>14FW ELS BACKPACK_05_BL_TOD</v>
      </c>
      <c r="C702" s="7">
        <f t="shared" si="209"/>
        <v>1</v>
      </c>
      <c r="D702" s="7" t="str">
        <f t="shared" si="210"/>
        <v>바이칼14FW ELS BACKPACK_05_BL_TOD</v>
      </c>
      <c r="E702" s="12" t="str">
        <f t="shared" si="211"/>
        <v>201403</v>
      </c>
      <c r="F702" s="347" t="str">
        <f>VLOOKUP($AA702,[3]주!$A:$F,6,FALSE)</f>
        <v>3월 2주</v>
      </c>
      <c r="G702" s="7">
        <f t="shared" si="212"/>
        <v>1</v>
      </c>
      <c r="H702" s="7" t="str">
        <f t="shared" si="213"/>
        <v>14FW ELS BACKPACK_05_BL_TOD</v>
      </c>
      <c r="I702" s="7">
        <f t="shared" si="214"/>
        <v>1</v>
      </c>
      <c r="J702" s="7" t="str">
        <f t="shared" si="215"/>
        <v>바이칼14FW ELS BACKPACK_05_BL_TOD</v>
      </c>
      <c r="K702" s="17">
        <f t="shared" si="216"/>
        <v>41740</v>
      </c>
      <c r="L702" s="12" t="str">
        <f t="shared" si="217"/>
        <v>201404</v>
      </c>
      <c r="M702" s="347" t="str">
        <f>VLOOKUP($K702,[3]주!$A:$F,6,FALSE)</f>
        <v>3월 2주</v>
      </c>
      <c r="N702" s="273" t="str">
        <f>IF(VLOOKUP($Z702,생산업체!$A:$C,2,FALSE)=1,"해외","국내")</f>
        <v>해외</v>
      </c>
      <c r="O702" s="12" t="str">
        <f>IF(VLOOKUP($U702,CODE!$K:$P,CODE!P$1,FALSE)="모자",T702,T702&amp;"-"&amp;VLOOKUP($U702,CODE!$K:$P,CODE!P$1,FALSE))</f>
        <v>ELS-가방</v>
      </c>
      <c r="P702" s="11" t="s">
        <v>30</v>
      </c>
      <c r="R702" s="11">
        <v>63</v>
      </c>
      <c r="T702" s="8" t="s">
        <v>3</v>
      </c>
      <c r="U702" s="8" t="s">
        <v>31</v>
      </c>
      <c r="V702" s="8" t="s">
        <v>43</v>
      </c>
      <c r="W702" s="8" t="s">
        <v>1846</v>
      </c>
      <c r="X702" s="8" t="s">
        <v>1847</v>
      </c>
      <c r="Y702" s="9">
        <v>1</v>
      </c>
      <c r="Z702" s="8" t="s">
        <v>1837</v>
      </c>
      <c r="AA702" s="10">
        <v>41715</v>
      </c>
      <c r="AB702" s="10">
        <v>41743</v>
      </c>
      <c r="AC702" s="10">
        <v>41739</v>
      </c>
      <c r="AD702" s="10">
        <v>41740</v>
      </c>
      <c r="AF702" s="8">
        <v>21891</v>
      </c>
      <c r="AH702" s="8">
        <v>7</v>
      </c>
      <c r="AI702" s="8">
        <v>3</v>
      </c>
      <c r="AJ702" s="8" t="s">
        <v>2239</v>
      </c>
    </row>
    <row r="703" spans="1:36">
      <c r="A703" s="7">
        <f t="shared" si="207"/>
        <v>1</v>
      </c>
      <c r="B703" s="7" t="str">
        <f t="shared" si="208"/>
        <v>14FW ELS_14_SNAP_GR</v>
      </c>
      <c r="C703" s="7">
        <f t="shared" si="209"/>
        <v>1</v>
      </c>
      <c r="D703" s="7" t="str">
        <f t="shared" si="210"/>
        <v>성진14FW ELS_14_SNAP_GR</v>
      </c>
      <c r="E703" s="12" t="str">
        <f t="shared" si="211"/>
        <v>201404</v>
      </c>
      <c r="F703" s="347" t="str">
        <f>VLOOKUP($AA703,[3]주!$A:$F,6,FALSE)</f>
        <v>3월 2주</v>
      </c>
      <c r="G703" s="7">
        <f t="shared" si="212"/>
        <v>0</v>
      </c>
      <c r="H703" s="7" t="str">
        <f t="shared" si="213"/>
        <v/>
      </c>
      <c r="I703" s="7">
        <f t="shared" si="214"/>
        <v>0</v>
      </c>
      <c r="J703" s="7" t="str">
        <f t="shared" si="215"/>
        <v/>
      </c>
      <c r="K703" s="17">
        <f t="shared" si="216"/>
        <v>41769</v>
      </c>
      <c r="L703" s="12" t="str">
        <f t="shared" si="217"/>
        <v>201405</v>
      </c>
      <c r="M703" s="347" t="str">
        <f>VLOOKUP($K703,[3]주!$A:$F,6,FALSE)</f>
        <v>3월 2주</v>
      </c>
      <c r="N703" s="273" t="str">
        <f>IF(VLOOKUP($Z703,생산업체!$A:$C,2,FALSE)=1,"해외","국내")</f>
        <v>해외</v>
      </c>
      <c r="O703" s="12" t="str">
        <f>IF(VLOOKUP($U703,CODE!$K:$P,CODE!P$1,FALSE)="모자",T703,T703&amp;"-"&amp;VLOOKUP($U703,CODE!$K:$P,CODE!P$1,FALSE))</f>
        <v>ELS</v>
      </c>
      <c r="P703" s="11" t="s">
        <v>3</v>
      </c>
      <c r="R703" s="11">
        <v>64</v>
      </c>
      <c r="T703" s="8" t="s">
        <v>3</v>
      </c>
      <c r="U703" s="8" t="s">
        <v>2116</v>
      </c>
      <c r="V703" s="8" t="s">
        <v>43</v>
      </c>
      <c r="W703" s="8" t="s">
        <v>2117</v>
      </c>
      <c r="X703" s="8" t="s">
        <v>900</v>
      </c>
      <c r="Y703" s="9">
        <v>1</v>
      </c>
      <c r="Z703" s="8" t="s">
        <v>48</v>
      </c>
      <c r="AA703" s="10">
        <v>41740</v>
      </c>
      <c r="AB703" s="10">
        <v>41768</v>
      </c>
      <c r="AC703" s="10">
        <v>41769</v>
      </c>
      <c r="AH703" s="8">
        <v>3</v>
      </c>
      <c r="AI703" s="8">
        <v>1</v>
      </c>
      <c r="AJ703" s="8" t="s">
        <v>2118</v>
      </c>
    </row>
    <row r="704" spans="1:36">
      <c r="A704" s="7">
        <f t="shared" si="207"/>
        <v>1</v>
      </c>
      <c r="B704" s="7" t="str">
        <f t="shared" si="208"/>
        <v>14FW ELS_18_SNAP_GY</v>
      </c>
      <c r="C704" s="7">
        <f t="shared" si="209"/>
        <v>1</v>
      </c>
      <c r="D704" s="7" t="str">
        <f t="shared" si="210"/>
        <v>성진14FW ELS_18_SNAP_GY</v>
      </c>
      <c r="E704" s="12" t="str">
        <f t="shared" si="211"/>
        <v>201404</v>
      </c>
      <c r="F704" s="347" t="str">
        <f>VLOOKUP($AA704,[3]주!$A:$F,6,FALSE)</f>
        <v>3월 2주</v>
      </c>
      <c r="G704" s="7">
        <f t="shared" si="212"/>
        <v>0</v>
      </c>
      <c r="H704" s="7" t="str">
        <f t="shared" si="213"/>
        <v/>
      </c>
      <c r="I704" s="7">
        <f t="shared" si="214"/>
        <v>0</v>
      </c>
      <c r="J704" s="7" t="str">
        <f t="shared" si="215"/>
        <v/>
      </c>
      <c r="K704" s="17">
        <f t="shared" si="216"/>
        <v>41769</v>
      </c>
      <c r="L704" s="12" t="str">
        <f t="shared" si="217"/>
        <v>201405</v>
      </c>
      <c r="M704" s="347" t="str">
        <f>VLOOKUP($K704,[3]주!$A:$F,6,FALSE)</f>
        <v>3월 2주</v>
      </c>
      <c r="N704" s="273" t="str">
        <f>IF(VLOOKUP($Z704,생산업체!$A:$C,2,FALSE)=1,"해외","국내")</f>
        <v>해외</v>
      </c>
      <c r="O704" s="12" t="str">
        <f>IF(VLOOKUP($U704,CODE!$K:$P,CODE!P$1,FALSE)="모자",T704,T704&amp;"-"&amp;VLOOKUP($U704,CODE!$K:$P,CODE!P$1,FALSE))</f>
        <v>ELS</v>
      </c>
      <c r="P704" s="11" t="s">
        <v>3</v>
      </c>
      <c r="R704" s="11">
        <v>65</v>
      </c>
      <c r="T704" s="8" t="s">
        <v>3</v>
      </c>
      <c r="U704" s="8" t="s">
        <v>2116</v>
      </c>
      <c r="V704" s="8" t="s">
        <v>43</v>
      </c>
      <c r="W704" s="8" t="s">
        <v>2119</v>
      </c>
      <c r="X704" s="8" t="s">
        <v>900</v>
      </c>
      <c r="Y704" s="9">
        <v>1</v>
      </c>
      <c r="Z704" s="8" t="s">
        <v>48</v>
      </c>
      <c r="AA704" s="10">
        <v>41740</v>
      </c>
      <c r="AB704" s="10">
        <v>41768</v>
      </c>
      <c r="AC704" s="10">
        <v>41769</v>
      </c>
      <c r="AH704" s="8">
        <v>2</v>
      </c>
      <c r="AI704" s="8">
        <v>2</v>
      </c>
    </row>
    <row r="705" spans="1:36">
      <c r="A705" s="7">
        <f t="shared" si="207"/>
        <v>1</v>
      </c>
      <c r="B705" s="7" t="str">
        <f t="shared" si="208"/>
        <v>14FW ELS_56_SNAP_BK</v>
      </c>
      <c r="C705" s="7">
        <f t="shared" si="209"/>
        <v>1</v>
      </c>
      <c r="D705" s="7" t="str">
        <f t="shared" si="210"/>
        <v>동일모자14FW ELS_56_SNAP_BK</v>
      </c>
      <c r="E705" s="12" t="str">
        <f t="shared" si="211"/>
        <v>201404</v>
      </c>
      <c r="F705" s="347" t="str">
        <f>VLOOKUP($AA705,[3]주!$A:$F,6,FALSE)</f>
        <v>3월 2주</v>
      </c>
      <c r="G705" s="7">
        <f t="shared" si="212"/>
        <v>1</v>
      </c>
      <c r="H705" s="7" t="str">
        <f t="shared" si="213"/>
        <v>14FW ELS_56_SNAP_BK</v>
      </c>
      <c r="I705" s="7">
        <f t="shared" si="214"/>
        <v>1</v>
      </c>
      <c r="J705" s="7" t="str">
        <f t="shared" si="215"/>
        <v>동일모자14FW ELS_56_SNAP_BK</v>
      </c>
      <c r="K705" s="17">
        <f t="shared" si="216"/>
        <v>41758</v>
      </c>
      <c r="L705" s="12" t="str">
        <f t="shared" si="217"/>
        <v>201404</v>
      </c>
      <c r="M705" s="347" t="str">
        <f>VLOOKUP($K705,[3]주!$A:$F,6,FALSE)</f>
        <v>3월 2주</v>
      </c>
      <c r="N705" s="273" t="str">
        <f>IF(VLOOKUP($Z705,생산업체!$A:$C,2,FALSE)=1,"해외","국내")</f>
        <v>해외</v>
      </c>
      <c r="O705" s="12" t="str">
        <f>IF(VLOOKUP($U705,CODE!$K:$P,CODE!P$1,FALSE)="모자",T705,T705&amp;"-"&amp;VLOOKUP($U705,CODE!$K:$P,CODE!P$1,FALSE))</f>
        <v>ELS</v>
      </c>
      <c r="P705" s="11" t="s">
        <v>3</v>
      </c>
      <c r="R705" s="11">
        <v>66</v>
      </c>
      <c r="T705" s="8" t="s">
        <v>3</v>
      </c>
      <c r="U705" s="8" t="s">
        <v>2116</v>
      </c>
      <c r="V705" s="8" t="s">
        <v>43</v>
      </c>
      <c r="W705" s="8" t="s">
        <v>2120</v>
      </c>
      <c r="X705" s="8" t="s">
        <v>900</v>
      </c>
      <c r="Y705" s="9">
        <v>1</v>
      </c>
      <c r="Z705" s="8" t="s">
        <v>44</v>
      </c>
      <c r="AA705" s="10">
        <v>41740</v>
      </c>
      <c r="AB705" s="10">
        <v>41768</v>
      </c>
      <c r="AC705" s="10">
        <v>41769</v>
      </c>
      <c r="AD705" s="10">
        <v>41758</v>
      </c>
      <c r="AE705" s="8">
        <v>5.85</v>
      </c>
      <c r="AH705" s="8">
        <v>2</v>
      </c>
      <c r="AI705" s="8">
        <v>2</v>
      </c>
    </row>
    <row r="706" spans="1:36">
      <c r="A706" s="7">
        <f t="shared" si="207"/>
        <v>1</v>
      </c>
      <c r="B706" s="7" t="str">
        <f t="shared" si="208"/>
        <v>14FW ELS_57_SNAP_BK</v>
      </c>
      <c r="C706" s="7">
        <f t="shared" si="209"/>
        <v>1</v>
      </c>
      <c r="D706" s="7" t="str">
        <f t="shared" si="210"/>
        <v>동일모자14FW ELS_57_SNAP_BK</v>
      </c>
      <c r="E706" s="12" t="str">
        <f t="shared" si="211"/>
        <v>201404</v>
      </c>
      <c r="F706" s="347" t="str">
        <f>VLOOKUP($AA706,[3]주!$A:$F,6,FALSE)</f>
        <v>3월 2주</v>
      </c>
      <c r="G706" s="7">
        <f t="shared" si="212"/>
        <v>1</v>
      </c>
      <c r="H706" s="7" t="str">
        <f t="shared" si="213"/>
        <v>14FW ELS_57_SNAP_BK</v>
      </c>
      <c r="I706" s="7">
        <f t="shared" si="214"/>
        <v>1</v>
      </c>
      <c r="J706" s="7" t="str">
        <f t="shared" si="215"/>
        <v>동일모자14FW ELS_57_SNAP_BK</v>
      </c>
      <c r="K706" s="17">
        <f t="shared" si="216"/>
        <v>41758</v>
      </c>
      <c r="L706" s="12" t="str">
        <f t="shared" si="217"/>
        <v>201404</v>
      </c>
      <c r="M706" s="347" t="str">
        <f>VLOOKUP($K706,[3]주!$A:$F,6,FALSE)</f>
        <v>3월 2주</v>
      </c>
      <c r="N706" s="273" t="str">
        <f>IF(VLOOKUP($Z706,생산업체!$A:$C,2,FALSE)=1,"해외","국내")</f>
        <v>해외</v>
      </c>
      <c r="O706" s="12" t="str">
        <f>IF(VLOOKUP($U706,CODE!$K:$P,CODE!P$1,FALSE)="모자",T706,T706&amp;"-"&amp;VLOOKUP($U706,CODE!$K:$P,CODE!P$1,FALSE))</f>
        <v>ELS</v>
      </c>
      <c r="P706" s="11" t="s">
        <v>3</v>
      </c>
      <c r="R706" s="11">
        <v>67</v>
      </c>
      <c r="T706" s="8" t="s">
        <v>3</v>
      </c>
      <c r="U706" s="8" t="s">
        <v>2116</v>
      </c>
      <c r="V706" s="8" t="s">
        <v>43</v>
      </c>
      <c r="W706" s="8" t="s">
        <v>2121</v>
      </c>
      <c r="X706" s="8" t="s">
        <v>900</v>
      </c>
      <c r="Y706" s="9">
        <v>1</v>
      </c>
      <c r="Z706" s="8" t="s">
        <v>44</v>
      </c>
      <c r="AA706" s="10">
        <v>41740</v>
      </c>
      <c r="AB706" s="10">
        <v>41768</v>
      </c>
      <c r="AC706" s="10">
        <v>41769</v>
      </c>
      <c r="AD706" s="10">
        <v>41758</v>
      </c>
      <c r="AE706" s="8">
        <v>5.6</v>
      </c>
      <c r="AH706" s="8">
        <v>1</v>
      </c>
      <c r="AI706" s="8">
        <v>1</v>
      </c>
    </row>
    <row r="707" spans="1:36">
      <c r="A707" s="7">
        <f t="shared" si="207"/>
        <v>1</v>
      </c>
      <c r="B707" s="7" t="str">
        <f t="shared" si="208"/>
        <v>14FW ELS_58_SNAP_BK</v>
      </c>
      <c r="C707" s="7">
        <f t="shared" si="209"/>
        <v>1</v>
      </c>
      <c r="D707" s="7" t="str">
        <f t="shared" si="210"/>
        <v>동일모자14FW ELS_58_SNAP_BK</v>
      </c>
      <c r="E707" s="12" t="str">
        <f t="shared" si="211"/>
        <v>201404</v>
      </c>
      <c r="F707" s="347" t="str">
        <f>VLOOKUP($AA707,[3]주!$A:$F,6,FALSE)</f>
        <v>3월 2주</v>
      </c>
      <c r="G707" s="7">
        <f t="shared" si="212"/>
        <v>1</v>
      </c>
      <c r="H707" s="7" t="str">
        <f t="shared" si="213"/>
        <v>14FW ELS_58_SNAP_BK</v>
      </c>
      <c r="I707" s="7">
        <f t="shared" si="214"/>
        <v>1</v>
      </c>
      <c r="J707" s="7" t="str">
        <f t="shared" si="215"/>
        <v>동일모자14FW ELS_58_SNAP_BK</v>
      </c>
      <c r="K707" s="17">
        <f t="shared" si="216"/>
        <v>41758</v>
      </c>
      <c r="L707" s="12" t="str">
        <f t="shared" si="217"/>
        <v>201404</v>
      </c>
      <c r="M707" s="347" t="str">
        <f>VLOOKUP($K707,[3]주!$A:$F,6,FALSE)</f>
        <v>3월 2주</v>
      </c>
      <c r="N707" s="273" t="str">
        <f>IF(VLOOKUP($Z707,생산업체!$A:$C,2,FALSE)=1,"해외","국내")</f>
        <v>해외</v>
      </c>
      <c r="O707" s="12" t="str">
        <f>IF(VLOOKUP($U707,CODE!$K:$P,CODE!P$1,FALSE)="모자",T707,T707&amp;"-"&amp;VLOOKUP($U707,CODE!$K:$P,CODE!P$1,FALSE))</f>
        <v>ELS</v>
      </c>
      <c r="P707" s="11" t="s">
        <v>3</v>
      </c>
      <c r="R707" s="11">
        <v>68</v>
      </c>
      <c r="T707" s="8" t="s">
        <v>3</v>
      </c>
      <c r="U707" s="8" t="s">
        <v>2116</v>
      </c>
      <c r="V707" s="8" t="s">
        <v>43</v>
      </c>
      <c r="W707" s="8" t="s">
        <v>2122</v>
      </c>
      <c r="X707" s="8" t="s">
        <v>900</v>
      </c>
      <c r="Y707" s="9">
        <v>1</v>
      </c>
      <c r="Z707" s="8" t="s">
        <v>44</v>
      </c>
      <c r="AA707" s="10">
        <v>41740</v>
      </c>
      <c r="AB707" s="10">
        <v>41768</v>
      </c>
      <c r="AC707" s="10">
        <v>41769</v>
      </c>
      <c r="AD707" s="10">
        <v>41758</v>
      </c>
      <c r="AE707" s="8">
        <v>5.65</v>
      </c>
      <c r="AH707" s="8">
        <v>1</v>
      </c>
      <c r="AI707" s="8">
        <v>1</v>
      </c>
    </row>
    <row r="708" spans="1:36">
      <c r="A708" s="7">
        <f t="shared" si="207"/>
        <v>1</v>
      </c>
      <c r="B708" s="7" t="str">
        <f t="shared" si="208"/>
        <v>14FW ELS_59_SNAP_BK</v>
      </c>
      <c r="C708" s="7">
        <f t="shared" si="209"/>
        <v>1</v>
      </c>
      <c r="D708" s="7" t="str">
        <f t="shared" si="210"/>
        <v>동일모자14FW ELS_59_SNAP_BK</v>
      </c>
      <c r="E708" s="12" t="str">
        <f t="shared" si="211"/>
        <v>201404</v>
      </c>
      <c r="F708" s="347" t="str">
        <f>VLOOKUP($AA708,[3]주!$A:$F,6,FALSE)</f>
        <v>3월 2주</v>
      </c>
      <c r="G708" s="7">
        <f t="shared" si="212"/>
        <v>1</v>
      </c>
      <c r="H708" s="7" t="str">
        <f t="shared" si="213"/>
        <v>14FW ELS_59_SNAP_BK</v>
      </c>
      <c r="I708" s="7">
        <f t="shared" si="214"/>
        <v>1</v>
      </c>
      <c r="J708" s="7" t="str">
        <f t="shared" si="215"/>
        <v>동일모자14FW ELS_59_SNAP_BK</v>
      </c>
      <c r="K708" s="17">
        <f t="shared" si="216"/>
        <v>41758</v>
      </c>
      <c r="L708" s="12" t="str">
        <f t="shared" si="217"/>
        <v>201404</v>
      </c>
      <c r="M708" s="347" t="str">
        <f>VLOOKUP($K708,[3]주!$A:$F,6,FALSE)</f>
        <v>3월 2주</v>
      </c>
      <c r="N708" s="273" t="str">
        <f>IF(VLOOKUP($Z708,생산업체!$A:$C,2,FALSE)=1,"해외","국내")</f>
        <v>해외</v>
      </c>
      <c r="O708" s="12" t="str">
        <f>IF(VLOOKUP($U708,CODE!$K:$P,CODE!P$1,FALSE)="모자",T708,T708&amp;"-"&amp;VLOOKUP($U708,CODE!$K:$P,CODE!P$1,FALSE))</f>
        <v>ELS</v>
      </c>
      <c r="P708" s="11" t="s">
        <v>3</v>
      </c>
      <c r="R708" s="11">
        <v>69</v>
      </c>
      <c r="T708" s="8" t="s">
        <v>3</v>
      </c>
      <c r="U708" s="8" t="s">
        <v>2116</v>
      </c>
      <c r="V708" s="8" t="s">
        <v>43</v>
      </c>
      <c r="W708" s="8" t="s">
        <v>2123</v>
      </c>
      <c r="X708" s="8" t="s">
        <v>900</v>
      </c>
      <c r="Y708" s="9">
        <v>1</v>
      </c>
      <c r="Z708" s="8" t="s">
        <v>44</v>
      </c>
      <c r="AA708" s="10">
        <v>41740</v>
      </c>
      <c r="AB708" s="10">
        <v>41768</v>
      </c>
      <c r="AC708" s="10">
        <v>41769</v>
      </c>
      <c r="AD708" s="10">
        <v>41758</v>
      </c>
      <c r="AE708" s="8">
        <v>5.55</v>
      </c>
      <c r="AH708" s="8">
        <v>2</v>
      </c>
      <c r="AI708" s="8">
        <v>2</v>
      </c>
    </row>
    <row r="709" spans="1:36">
      <c r="A709" s="7">
        <f t="shared" si="207"/>
        <v>1</v>
      </c>
      <c r="B709" s="7" t="str">
        <f t="shared" si="208"/>
        <v>14FW ELS_60_SNAP_GY</v>
      </c>
      <c r="C709" s="7">
        <f t="shared" si="209"/>
        <v>1</v>
      </c>
      <c r="D709" s="7" t="str">
        <f t="shared" si="210"/>
        <v>동일모자14FW ELS_60_SNAP_GY</v>
      </c>
      <c r="E709" s="12" t="str">
        <f t="shared" si="211"/>
        <v>201404</v>
      </c>
      <c r="F709" s="347" t="str">
        <f>VLOOKUP($AA709,[3]주!$A:$F,6,FALSE)</f>
        <v>3월 2주</v>
      </c>
      <c r="G709" s="7">
        <f t="shared" si="212"/>
        <v>1</v>
      </c>
      <c r="H709" s="7" t="str">
        <f t="shared" si="213"/>
        <v>14FW ELS_60_SNAP_GY</v>
      </c>
      <c r="I709" s="7">
        <f t="shared" si="214"/>
        <v>1</v>
      </c>
      <c r="J709" s="7" t="str">
        <f t="shared" si="215"/>
        <v>동일모자14FW ELS_60_SNAP_GY</v>
      </c>
      <c r="K709" s="17">
        <f t="shared" si="216"/>
        <v>41758</v>
      </c>
      <c r="L709" s="12" t="str">
        <f t="shared" si="217"/>
        <v>201404</v>
      </c>
      <c r="M709" s="347" t="str">
        <f>VLOOKUP($K709,[3]주!$A:$F,6,FALSE)</f>
        <v>3월 2주</v>
      </c>
      <c r="N709" s="273" t="str">
        <f>IF(VLOOKUP($Z709,생산업체!$A:$C,2,FALSE)=1,"해외","국내")</f>
        <v>해외</v>
      </c>
      <c r="O709" s="12" t="str">
        <f>IF(VLOOKUP($U709,CODE!$K:$P,CODE!P$1,FALSE)="모자",T709,T709&amp;"-"&amp;VLOOKUP($U709,CODE!$K:$P,CODE!P$1,FALSE))</f>
        <v>ELS</v>
      </c>
      <c r="P709" s="11" t="s">
        <v>3</v>
      </c>
      <c r="R709" s="11">
        <v>70</v>
      </c>
      <c r="T709" s="8" t="s">
        <v>3</v>
      </c>
      <c r="U709" s="8" t="s">
        <v>2116</v>
      </c>
      <c r="V709" s="8" t="s">
        <v>43</v>
      </c>
      <c r="W709" s="8" t="s">
        <v>2124</v>
      </c>
      <c r="X709" s="8" t="s">
        <v>900</v>
      </c>
      <c r="Y709" s="9">
        <v>1</v>
      </c>
      <c r="Z709" s="8" t="s">
        <v>44</v>
      </c>
      <c r="AA709" s="10">
        <v>41740</v>
      </c>
      <c r="AB709" s="10">
        <v>41768</v>
      </c>
      <c r="AC709" s="10">
        <v>41769</v>
      </c>
      <c r="AD709" s="10">
        <v>41758</v>
      </c>
      <c r="AE709" s="8">
        <v>5.6</v>
      </c>
      <c r="AH709" s="8">
        <v>2</v>
      </c>
      <c r="AI709" s="8">
        <v>2</v>
      </c>
    </row>
    <row r="710" spans="1:36">
      <c r="A710" s="7">
        <f t="shared" si="207"/>
        <v>1</v>
      </c>
      <c r="B710" s="7" t="str">
        <f t="shared" si="208"/>
        <v>14FW ELS_61_SNAP_GY</v>
      </c>
      <c r="C710" s="7">
        <f t="shared" si="209"/>
        <v>1</v>
      </c>
      <c r="D710" s="7" t="str">
        <f t="shared" si="210"/>
        <v>동일모자14FW ELS_61_SNAP_GY</v>
      </c>
      <c r="E710" s="12" t="str">
        <f t="shared" si="211"/>
        <v>201404</v>
      </c>
      <c r="F710" s="347" t="str">
        <f>VLOOKUP($AA710,[3]주!$A:$F,6,FALSE)</f>
        <v>3월 2주</v>
      </c>
      <c r="G710" s="7">
        <f t="shared" si="212"/>
        <v>1</v>
      </c>
      <c r="H710" s="7" t="str">
        <f t="shared" si="213"/>
        <v>14FW ELS_61_SNAP_GY</v>
      </c>
      <c r="I710" s="7">
        <f t="shared" si="214"/>
        <v>1</v>
      </c>
      <c r="J710" s="7" t="str">
        <f t="shared" si="215"/>
        <v>동일모자14FW ELS_61_SNAP_GY</v>
      </c>
      <c r="K710" s="17">
        <f t="shared" si="216"/>
        <v>41758</v>
      </c>
      <c r="L710" s="12" t="str">
        <f t="shared" si="217"/>
        <v>201404</v>
      </c>
      <c r="M710" s="347" t="str">
        <f>VLOOKUP($K710,[3]주!$A:$F,6,FALSE)</f>
        <v>3월 2주</v>
      </c>
      <c r="N710" s="273" t="str">
        <f>IF(VLOOKUP($Z710,생산업체!$A:$C,2,FALSE)=1,"해외","국내")</f>
        <v>해외</v>
      </c>
      <c r="O710" s="12" t="str">
        <f>IF(VLOOKUP($U710,CODE!$K:$P,CODE!P$1,FALSE)="모자",T710,T710&amp;"-"&amp;VLOOKUP($U710,CODE!$K:$P,CODE!P$1,FALSE))</f>
        <v>ELS</v>
      </c>
      <c r="P710" s="11" t="s">
        <v>3</v>
      </c>
      <c r="R710" s="11">
        <v>71</v>
      </c>
      <c r="T710" s="8" t="s">
        <v>3</v>
      </c>
      <c r="U710" s="8" t="s">
        <v>2116</v>
      </c>
      <c r="V710" s="8" t="s">
        <v>43</v>
      </c>
      <c r="W710" s="8" t="s">
        <v>2125</v>
      </c>
      <c r="X710" s="8" t="s">
        <v>900</v>
      </c>
      <c r="Y710" s="9">
        <v>1</v>
      </c>
      <c r="Z710" s="8" t="s">
        <v>44</v>
      </c>
      <c r="AA710" s="10">
        <v>41745</v>
      </c>
      <c r="AB710" s="10">
        <v>41773</v>
      </c>
      <c r="AC710" s="10">
        <v>41779</v>
      </c>
      <c r="AD710" s="10">
        <v>41758</v>
      </c>
      <c r="AE710" s="8">
        <v>6.4</v>
      </c>
      <c r="AH710" s="8">
        <v>3</v>
      </c>
      <c r="AI710" s="8">
        <v>2</v>
      </c>
    </row>
    <row r="711" spans="1:36">
      <c r="A711" s="7">
        <f t="shared" si="207"/>
        <v>1</v>
      </c>
      <c r="B711" s="7" t="str">
        <f t="shared" si="208"/>
        <v>14FW ELS_62_CURVED PK</v>
      </c>
      <c r="C711" s="7">
        <f t="shared" si="209"/>
        <v>1</v>
      </c>
      <c r="D711" s="7" t="str">
        <f t="shared" si="210"/>
        <v>동일모자14FW ELS_62_CURVED PK</v>
      </c>
      <c r="E711" s="12" t="str">
        <f t="shared" si="211"/>
        <v>201404</v>
      </c>
      <c r="F711" s="347" t="str">
        <f>VLOOKUP($AA711,[3]주!$A:$F,6,FALSE)</f>
        <v>3월 2주</v>
      </c>
      <c r="G711" s="7">
        <f t="shared" si="212"/>
        <v>1</v>
      </c>
      <c r="H711" s="7" t="str">
        <f t="shared" si="213"/>
        <v>14FW ELS_62_CURVED PK</v>
      </c>
      <c r="I711" s="7">
        <f t="shared" si="214"/>
        <v>1</v>
      </c>
      <c r="J711" s="7" t="str">
        <f t="shared" si="215"/>
        <v>동일모자14FW ELS_62_CURVED PK</v>
      </c>
      <c r="K711" s="17">
        <f t="shared" si="216"/>
        <v>41758</v>
      </c>
      <c r="L711" s="12" t="str">
        <f t="shared" si="217"/>
        <v>201404</v>
      </c>
      <c r="M711" s="347" t="str">
        <f>VLOOKUP($K711,[3]주!$A:$F,6,FALSE)</f>
        <v>3월 2주</v>
      </c>
      <c r="N711" s="273" t="str">
        <f>IF(VLOOKUP($Z711,생산업체!$A:$C,2,FALSE)=1,"해외","국내")</f>
        <v>해외</v>
      </c>
      <c r="O711" s="12" t="str">
        <f>IF(VLOOKUP($U711,CODE!$K:$P,CODE!P$1,FALSE)="모자",T711,T711&amp;"-"&amp;VLOOKUP($U711,CODE!$K:$P,CODE!P$1,FALSE))</f>
        <v>ELS</v>
      </c>
      <c r="P711" s="11" t="s">
        <v>3</v>
      </c>
      <c r="R711" s="11">
        <v>72</v>
      </c>
      <c r="T711" s="8" t="s">
        <v>3</v>
      </c>
      <c r="U711" s="8" t="s">
        <v>35</v>
      </c>
      <c r="V711" s="8" t="s">
        <v>43</v>
      </c>
      <c r="W711" s="8" t="s">
        <v>2126</v>
      </c>
      <c r="X711" s="8" t="s">
        <v>900</v>
      </c>
      <c r="Y711" s="9">
        <v>1</v>
      </c>
      <c r="Z711" s="8" t="s">
        <v>44</v>
      </c>
      <c r="AA711" s="10">
        <v>41745</v>
      </c>
      <c r="AB711" s="10">
        <v>41773</v>
      </c>
      <c r="AC711" s="10">
        <v>41779</v>
      </c>
      <c r="AD711" s="10">
        <v>41758</v>
      </c>
      <c r="AE711" s="8">
        <v>7.65</v>
      </c>
      <c r="AH711" s="8">
        <v>4</v>
      </c>
      <c r="AI711" s="8">
        <v>4</v>
      </c>
    </row>
    <row r="712" spans="1:36">
      <c r="A712" s="7">
        <f t="shared" si="207"/>
        <v>1</v>
      </c>
      <c r="B712" s="7" t="str">
        <f t="shared" si="208"/>
        <v>14FW ELS_63_SNAP_BK</v>
      </c>
      <c r="C712" s="7">
        <f t="shared" si="209"/>
        <v>1</v>
      </c>
      <c r="D712" s="7" t="str">
        <f t="shared" si="210"/>
        <v>동일모자14FW ELS_63_SNAP_BK</v>
      </c>
      <c r="E712" s="12" t="str">
        <f t="shared" si="211"/>
        <v>201404</v>
      </c>
      <c r="F712" s="347" t="str">
        <f>VLOOKUP($AA712,[3]주!$A:$F,6,FALSE)</f>
        <v>3월 2주</v>
      </c>
      <c r="G712" s="7">
        <f t="shared" si="212"/>
        <v>1</v>
      </c>
      <c r="H712" s="7" t="str">
        <f t="shared" si="213"/>
        <v>14FW ELS_63_SNAP_BK</v>
      </c>
      <c r="I712" s="7">
        <f t="shared" si="214"/>
        <v>1</v>
      </c>
      <c r="J712" s="7" t="str">
        <f t="shared" si="215"/>
        <v>동일모자14FW ELS_63_SNAP_BK</v>
      </c>
      <c r="K712" s="17">
        <f t="shared" si="216"/>
        <v>41758</v>
      </c>
      <c r="L712" s="12" t="str">
        <f t="shared" si="217"/>
        <v>201404</v>
      </c>
      <c r="M712" s="347" t="str">
        <f>VLOOKUP($K712,[3]주!$A:$F,6,FALSE)</f>
        <v>3월 2주</v>
      </c>
      <c r="N712" s="273" t="str">
        <f>IF(VLOOKUP($Z712,생산업체!$A:$C,2,FALSE)=1,"해외","국내")</f>
        <v>해외</v>
      </c>
      <c r="O712" s="12" t="str">
        <f>IF(VLOOKUP($U712,CODE!$K:$P,CODE!P$1,FALSE)="모자",T712,T712&amp;"-"&amp;VLOOKUP($U712,CODE!$K:$P,CODE!P$1,FALSE))</f>
        <v>ELS</v>
      </c>
      <c r="P712" s="11" t="s">
        <v>3</v>
      </c>
      <c r="R712" s="11">
        <v>73</v>
      </c>
      <c r="T712" s="8" t="s">
        <v>3</v>
      </c>
      <c r="U712" s="8" t="s">
        <v>2116</v>
      </c>
      <c r="V712" s="8" t="s">
        <v>43</v>
      </c>
      <c r="W712" s="8" t="s">
        <v>2127</v>
      </c>
      <c r="X712" s="8" t="s">
        <v>900</v>
      </c>
      <c r="Y712" s="9">
        <v>1</v>
      </c>
      <c r="Z712" s="8" t="s">
        <v>44</v>
      </c>
      <c r="AA712" s="10">
        <v>41745</v>
      </c>
      <c r="AB712" s="10">
        <v>41773</v>
      </c>
      <c r="AC712" s="10">
        <v>41779</v>
      </c>
      <c r="AD712" s="10">
        <v>41758</v>
      </c>
      <c r="AE712" s="8">
        <v>4.45</v>
      </c>
      <c r="AH712" s="8">
        <v>3</v>
      </c>
      <c r="AI712" s="8">
        <v>1</v>
      </c>
    </row>
    <row r="713" spans="1:36">
      <c r="A713" s="7">
        <f t="shared" si="207"/>
        <v>1</v>
      </c>
      <c r="B713" s="7" t="str">
        <f t="shared" si="208"/>
        <v>14FW ELS_64_SNAP_GY</v>
      </c>
      <c r="C713" s="7">
        <f t="shared" si="209"/>
        <v>1</v>
      </c>
      <c r="D713" s="7" t="str">
        <f t="shared" si="210"/>
        <v>동일모자14FW ELS_64_SNAP_GY</v>
      </c>
      <c r="E713" s="12" t="str">
        <f t="shared" si="211"/>
        <v>201404</v>
      </c>
      <c r="F713" s="347" t="str">
        <f>VLOOKUP($AA713,[3]주!$A:$F,6,FALSE)</f>
        <v>3월 2주</v>
      </c>
      <c r="G713" s="7">
        <f t="shared" si="212"/>
        <v>1</v>
      </c>
      <c r="H713" s="7" t="str">
        <f t="shared" si="213"/>
        <v>14FW ELS_64_SNAP_GY</v>
      </c>
      <c r="I713" s="7">
        <f t="shared" si="214"/>
        <v>1</v>
      </c>
      <c r="J713" s="7" t="str">
        <f t="shared" si="215"/>
        <v>동일모자14FW ELS_64_SNAP_GY</v>
      </c>
      <c r="K713" s="17">
        <f t="shared" si="216"/>
        <v>41758</v>
      </c>
      <c r="L713" s="12" t="str">
        <f t="shared" si="217"/>
        <v>201404</v>
      </c>
      <c r="M713" s="347" t="str">
        <f>VLOOKUP($K713,[3]주!$A:$F,6,FALSE)</f>
        <v>3월 2주</v>
      </c>
      <c r="N713" s="273" t="str">
        <f>IF(VLOOKUP($Z713,생산업체!$A:$C,2,FALSE)=1,"해외","국내")</f>
        <v>해외</v>
      </c>
      <c r="O713" s="12" t="str">
        <f>IF(VLOOKUP($U713,CODE!$K:$P,CODE!P$1,FALSE)="모자",T713,T713&amp;"-"&amp;VLOOKUP($U713,CODE!$K:$P,CODE!P$1,FALSE))</f>
        <v>ELS</v>
      </c>
      <c r="P713" s="11" t="s">
        <v>3</v>
      </c>
      <c r="R713" s="11">
        <v>74</v>
      </c>
      <c r="T713" s="8" t="s">
        <v>3</v>
      </c>
      <c r="U713" s="8" t="s">
        <v>2116</v>
      </c>
      <c r="V713" s="8" t="s">
        <v>43</v>
      </c>
      <c r="W713" s="8" t="s">
        <v>2128</v>
      </c>
      <c r="X713" s="8" t="s">
        <v>900</v>
      </c>
      <c r="Y713" s="9">
        <v>1</v>
      </c>
      <c r="Z713" s="8" t="s">
        <v>44</v>
      </c>
      <c r="AA713" s="10">
        <v>41745</v>
      </c>
      <c r="AB713" s="10">
        <v>41773</v>
      </c>
      <c r="AC713" s="10">
        <v>41779</v>
      </c>
      <c r="AD713" s="10">
        <v>41758</v>
      </c>
      <c r="AE713" s="8">
        <v>3.95</v>
      </c>
      <c r="AH713" s="8">
        <v>2</v>
      </c>
      <c r="AI713" s="8">
        <v>1</v>
      </c>
    </row>
    <row r="714" spans="1:36">
      <c r="A714" s="7">
        <f t="shared" si="207"/>
        <v>1</v>
      </c>
      <c r="B714" s="7" t="str">
        <f t="shared" si="208"/>
        <v>14FW ELS_65_SNAP_BK</v>
      </c>
      <c r="C714" s="7">
        <f t="shared" si="209"/>
        <v>1</v>
      </c>
      <c r="D714" s="7" t="str">
        <f t="shared" si="210"/>
        <v>성진14FW ELS_65_SNAP_BK</v>
      </c>
      <c r="E714" s="12" t="str">
        <f t="shared" si="211"/>
        <v>201404</v>
      </c>
      <c r="F714" s="347" t="str">
        <f>VLOOKUP($AA714,[3]주!$A:$F,6,FALSE)</f>
        <v>3월 2주</v>
      </c>
      <c r="G714" s="7">
        <f t="shared" si="212"/>
        <v>0</v>
      </c>
      <c r="H714" s="7" t="str">
        <f t="shared" si="213"/>
        <v/>
      </c>
      <c r="I714" s="7">
        <f t="shared" si="214"/>
        <v>0</v>
      </c>
      <c r="J714" s="7" t="str">
        <f t="shared" si="215"/>
        <v/>
      </c>
      <c r="K714" s="17">
        <f t="shared" si="216"/>
        <v>41779</v>
      </c>
      <c r="L714" s="12" t="str">
        <f t="shared" si="217"/>
        <v>201405</v>
      </c>
      <c r="M714" s="347" t="str">
        <f>VLOOKUP($K714,[3]주!$A:$F,6,FALSE)</f>
        <v>3월 2주</v>
      </c>
      <c r="N714" s="273" t="str">
        <f>IF(VLOOKUP($Z714,생산업체!$A:$C,2,FALSE)=1,"해외","국내")</f>
        <v>해외</v>
      </c>
      <c r="O714" s="12" t="str">
        <f>IF(VLOOKUP($U714,CODE!$K:$P,CODE!P$1,FALSE)="모자",T714,T714&amp;"-"&amp;VLOOKUP($U714,CODE!$K:$P,CODE!P$1,FALSE))</f>
        <v>ELS</v>
      </c>
      <c r="P714" s="11" t="s">
        <v>3</v>
      </c>
      <c r="R714" s="11">
        <v>75</v>
      </c>
      <c r="T714" s="8" t="s">
        <v>3</v>
      </c>
      <c r="U714" s="8" t="s">
        <v>2116</v>
      </c>
      <c r="V714" s="8" t="s">
        <v>43</v>
      </c>
      <c r="W714" s="8" t="s">
        <v>2129</v>
      </c>
      <c r="X714" s="8" t="s">
        <v>900</v>
      </c>
      <c r="Y714" s="9">
        <v>1</v>
      </c>
      <c r="Z714" s="8" t="s">
        <v>48</v>
      </c>
      <c r="AA714" s="10">
        <v>41746</v>
      </c>
      <c r="AB714" s="10">
        <v>41774</v>
      </c>
      <c r="AC714" s="10">
        <v>41779</v>
      </c>
      <c r="AH714" s="8">
        <v>2</v>
      </c>
      <c r="AI714" s="8">
        <v>1</v>
      </c>
    </row>
    <row r="715" spans="1:36">
      <c r="A715" s="7">
        <f t="shared" si="207"/>
        <v>1</v>
      </c>
      <c r="B715" s="7" t="str">
        <f t="shared" si="208"/>
        <v>14FW ELS_66_SNAP_BK</v>
      </c>
      <c r="C715" s="7">
        <f t="shared" si="209"/>
        <v>1</v>
      </c>
      <c r="D715" s="7" t="str">
        <f t="shared" si="210"/>
        <v>QF14FW ELS_66_SNAP_BK</v>
      </c>
      <c r="E715" s="12" t="str">
        <f t="shared" si="211"/>
        <v>201404</v>
      </c>
      <c r="F715" s="347" t="str">
        <f>VLOOKUP($AA715,[3]주!$A:$F,6,FALSE)</f>
        <v>3월 2주</v>
      </c>
      <c r="G715" s="7">
        <f t="shared" si="212"/>
        <v>0</v>
      </c>
      <c r="H715" s="7" t="str">
        <f t="shared" si="213"/>
        <v/>
      </c>
      <c r="I715" s="7">
        <f t="shared" si="214"/>
        <v>0</v>
      </c>
      <c r="J715" s="7" t="str">
        <f t="shared" si="215"/>
        <v/>
      </c>
      <c r="K715" s="17">
        <f t="shared" si="216"/>
        <v>41779</v>
      </c>
      <c r="L715" s="12" t="str">
        <f t="shared" si="217"/>
        <v>201405</v>
      </c>
      <c r="M715" s="347" t="str">
        <f>VLOOKUP($K715,[3]주!$A:$F,6,FALSE)</f>
        <v>3월 2주</v>
      </c>
      <c r="N715" s="273" t="str">
        <f>IF(VLOOKUP($Z715,생산업체!$A:$C,2,FALSE)=1,"해외","국내")</f>
        <v>해외</v>
      </c>
      <c r="O715" s="12" t="str">
        <f>IF(VLOOKUP($U715,CODE!$K:$P,CODE!P$1,FALSE)="모자",T715,T715&amp;"-"&amp;VLOOKUP($U715,CODE!$K:$P,CODE!P$1,FALSE))</f>
        <v>ELS</v>
      </c>
      <c r="P715" s="11" t="s">
        <v>3</v>
      </c>
      <c r="R715" s="11">
        <v>76</v>
      </c>
      <c r="T715" s="8" t="s">
        <v>3</v>
      </c>
      <c r="U715" s="8" t="s">
        <v>2116</v>
      </c>
      <c r="V715" s="8" t="s">
        <v>43</v>
      </c>
      <c r="W715" s="8" t="s">
        <v>2130</v>
      </c>
      <c r="X715" s="8" t="s">
        <v>900</v>
      </c>
      <c r="Y715" s="9">
        <v>1</v>
      </c>
      <c r="Z715" s="8" t="s">
        <v>792</v>
      </c>
      <c r="AA715" s="10">
        <v>41745</v>
      </c>
      <c r="AB715" s="10">
        <v>41773</v>
      </c>
      <c r="AC715" s="10">
        <v>41779</v>
      </c>
      <c r="AH715" s="8">
        <v>2</v>
      </c>
      <c r="AI715" s="8">
        <v>2</v>
      </c>
    </row>
    <row r="716" spans="1:36">
      <c r="A716" s="7">
        <f t="shared" si="207"/>
        <v>1</v>
      </c>
      <c r="B716" s="7" t="str">
        <f t="shared" si="208"/>
        <v>14FW ELS_67_FITTED_RD</v>
      </c>
      <c r="C716" s="7">
        <f t="shared" si="209"/>
        <v>1</v>
      </c>
      <c r="D716" s="7" t="str">
        <f t="shared" si="210"/>
        <v>QF14FW ELS_67_FITTED_RD</v>
      </c>
      <c r="E716" s="12" t="str">
        <f t="shared" si="211"/>
        <v>201404</v>
      </c>
      <c r="F716" s="347" t="str">
        <f>VLOOKUP($AA716,[3]주!$A:$F,6,FALSE)</f>
        <v>3월 2주</v>
      </c>
      <c r="G716" s="7">
        <f t="shared" si="212"/>
        <v>0</v>
      </c>
      <c r="H716" s="7" t="str">
        <f t="shared" si="213"/>
        <v/>
      </c>
      <c r="I716" s="7">
        <f t="shared" si="214"/>
        <v>0</v>
      </c>
      <c r="J716" s="7" t="str">
        <f t="shared" si="215"/>
        <v/>
      </c>
      <c r="K716" s="17">
        <f t="shared" si="216"/>
        <v>41779</v>
      </c>
      <c r="L716" s="12" t="str">
        <f t="shared" si="217"/>
        <v>201405</v>
      </c>
      <c r="M716" s="347" t="str">
        <f>VLOOKUP($K716,[3]주!$A:$F,6,FALSE)</f>
        <v>3월 2주</v>
      </c>
      <c r="N716" s="273" t="str">
        <f>IF(VLOOKUP($Z716,생산업체!$A:$C,2,FALSE)=1,"해외","국내")</f>
        <v>해외</v>
      </c>
      <c r="O716" s="12" t="str">
        <f>IF(VLOOKUP($U716,CODE!$K:$P,CODE!P$1,FALSE)="모자",T716,T716&amp;"-"&amp;VLOOKUP($U716,CODE!$K:$P,CODE!P$1,FALSE))</f>
        <v>ELS</v>
      </c>
      <c r="P716" s="11" t="s">
        <v>3</v>
      </c>
      <c r="R716" s="11">
        <v>77</v>
      </c>
      <c r="T716" s="8" t="s">
        <v>3</v>
      </c>
      <c r="U716" s="8" t="s">
        <v>50</v>
      </c>
      <c r="V716" s="8" t="s">
        <v>43</v>
      </c>
      <c r="W716" s="8" t="s">
        <v>2131</v>
      </c>
      <c r="X716" s="8" t="s">
        <v>900</v>
      </c>
      <c r="Y716" s="9">
        <v>1</v>
      </c>
      <c r="Z716" s="8" t="s">
        <v>792</v>
      </c>
      <c r="AA716" s="10">
        <v>41745</v>
      </c>
      <c r="AB716" s="10">
        <v>41773</v>
      </c>
      <c r="AC716" s="10">
        <v>41779</v>
      </c>
      <c r="AH716" s="8">
        <v>2</v>
      </c>
      <c r="AI716" s="8">
        <v>2</v>
      </c>
    </row>
    <row r="717" spans="1:36">
      <c r="A717" s="7">
        <f t="shared" si="207"/>
        <v>1</v>
      </c>
      <c r="B717" s="7" t="str">
        <f t="shared" si="208"/>
        <v>14FW ELS_68_FITTED_BK</v>
      </c>
      <c r="C717" s="7">
        <f t="shared" si="209"/>
        <v>1</v>
      </c>
      <c r="D717" s="7" t="str">
        <f t="shared" si="210"/>
        <v>QF14FW ELS_68_FITTED_BK</v>
      </c>
      <c r="E717" s="12" t="str">
        <f t="shared" si="211"/>
        <v>201404</v>
      </c>
      <c r="F717" s="347" t="str">
        <f>VLOOKUP($AA717,[3]주!$A:$F,6,FALSE)</f>
        <v>3월 2주</v>
      </c>
      <c r="G717" s="7">
        <f t="shared" si="212"/>
        <v>0</v>
      </c>
      <c r="H717" s="7" t="str">
        <f t="shared" si="213"/>
        <v/>
      </c>
      <c r="I717" s="7">
        <f t="shared" si="214"/>
        <v>0</v>
      </c>
      <c r="J717" s="7" t="str">
        <f t="shared" si="215"/>
        <v/>
      </c>
      <c r="K717" s="17">
        <f t="shared" si="216"/>
        <v>41779</v>
      </c>
      <c r="L717" s="12" t="str">
        <f t="shared" si="217"/>
        <v>201405</v>
      </c>
      <c r="M717" s="347" t="str">
        <f>VLOOKUP($K717,[3]주!$A:$F,6,FALSE)</f>
        <v>3월 2주</v>
      </c>
      <c r="N717" s="273" t="str">
        <f>IF(VLOOKUP($Z717,생산업체!$A:$C,2,FALSE)=1,"해외","국내")</f>
        <v>해외</v>
      </c>
      <c r="O717" s="12" t="str">
        <f>IF(VLOOKUP($U717,CODE!$K:$P,CODE!P$1,FALSE)="모자",T717,T717&amp;"-"&amp;VLOOKUP($U717,CODE!$K:$P,CODE!P$1,FALSE))</f>
        <v>ELS</v>
      </c>
      <c r="P717" s="11" t="s">
        <v>3</v>
      </c>
      <c r="R717" s="11">
        <v>78</v>
      </c>
      <c r="T717" s="8" t="s">
        <v>3</v>
      </c>
      <c r="U717" s="8" t="s">
        <v>50</v>
      </c>
      <c r="V717" s="8" t="s">
        <v>43</v>
      </c>
      <c r="W717" s="8" t="s">
        <v>2132</v>
      </c>
      <c r="X717" s="8" t="s">
        <v>900</v>
      </c>
      <c r="Y717" s="9">
        <v>1</v>
      </c>
      <c r="Z717" s="8" t="s">
        <v>792</v>
      </c>
      <c r="AA717" s="10">
        <v>41745</v>
      </c>
      <c r="AB717" s="10">
        <v>41773</v>
      </c>
      <c r="AC717" s="10">
        <v>41779</v>
      </c>
      <c r="AH717" s="8">
        <v>1</v>
      </c>
      <c r="AI717" s="8">
        <v>1</v>
      </c>
    </row>
    <row r="718" spans="1:36">
      <c r="A718" s="7">
        <f t="shared" si="207"/>
        <v>1</v>
      </c>
      <c r="B718" s="7" t="str">
        <f t="shared" si="208"/>
        <v>14FW ELS_69_FITTED_BK</v>
      </c>
      <c r="C718" s="7">
        <f t="shared" si="209"/>
        <v>1</v>
      </c>
      <c r="D718" s="7" t="str">
        <f t="shared" si="210"/>
        <v>QF14FW ELS_69_FITTED_BK</v>
      </c>
      <c r="E718" s="12" t="str">
        <f t="shared" si="211"/>
        <v>201404</v>
      </c>
      <c r="F718" s="347" t="str">
        <f>VLOOKUP($AA718,[3]주!$A:$F,6,FALSE)</f>
        <v>3월 2주</v>
      </c>
      <c r="G718" s="7">
        <f t="shared" si="212"/>
        <v>0</v>
      </c>
      <c r="H718" s="7" t="str">
        <f t="shared" si="213"/>
        <v/>
      </c>
      <c r="I718" s="7">
        <f t="shared" si="214"/>
        <v>0</v>
      </c>
      <c r="J718" s="7" t="str">
        <f t="shared" si="215"/>
        <v/>
      </c>
      <c r="K718" s="17">
        <f t="shared" si="216"/>
        <v>41779</v>
      </c>
      <c r="L718" s="12" t="str">
        <f t="shared" si="217"/>
        <v>201405</v>
      </c>
      <c r="M718" s="347" t="str">
        <f>VLOOKUP($K718,[3]주!$A:$F,6,FALSE)</f>
        <v>3월 2주</v>
      </c>
      <c r="N718" s="273" t="str">
        <f>IF(VLOOKUP($Z718,생산업체!$A:$C,2,FALSE)=1,"해외","국내")</f>
        <v>해외</v>
      </c>
      <c r="O718" s="12" t="str">
        <f>IF(VLOOKUP($U718,CODE!$K:$P,CODE!P$1,FALSE)="모자",T718,T718&amp;"-"&amp;VLOOKUP($U718,CODE!$K:$P,CODE!P$1,FALSE))</f>
        <v>ELS</v>
      </c>
      <c r="P718" s="11" t="s">
        <v>3</v>
      </c>
      <c r="R718" s="11">
        <v>79</v>
      </c>
      <c r="T718" s="8" t="s">
        <v>3</v>
      </c>
      <c r="U718" s="8" t="s">
        <v>50</v>
      </c>
      <c r="V718" s="8" t="s">
        <v>43</v>
      </c>
      <c r="W718" s="8" t="s">
        <v>2133</v>
      </c>
      <c r="X718" s="8" t="s">
        <v>900</v>
      </c>
      <c r="Y718" s="9">
        <v>1</v>
      </c>
      <c r="Z718" s="8" t="s">
        <v>792</v>
      </c>
      <c r="AA718" s="10">
        <v>41745</v>
      </c>
      <c r="AB718" s="10">
        <v>41773</v>
      </c>
      <c r="AC718" s="10">
        <v>41779</v>
      </c>
      <c r="AH718" s="8">
        <v>2</v>
      </c>
      <c r="AI718" s="8">
        <v>2</v>
      </c>
    </row>
    <row r="719" spans="1:36">
      <c r="A719" s="7">
        <f t="shared" si="207"/>
        <v>1</v>
      </c>
      <c r="B719" s="7" t="str">
        <f t="shared" si="208"/>
        <v>14FW ELS_70_HAT_BK</v>
      </c>
      <c r="C719" s="7">
        <f t="shared" si="209"/>
        <v>1</v>
      </c>
      <c r="D719" s="7" t="str">
        <f t="shared" si="210"/>
        <v>FOREMOST14FW ELS_70_HAT_BK</v>
      </c>
      <c r="E719" s="12" t="str">
        <f t="shared" si="211"/>
        <v>201404</v>
      </c>
      <c r="F719" s="347" t="str">
        <f>VLOOKUP($AA719,[3]주!$A:$F,6,FALSE)</f>
        <v>3월 2주</v>
      </c>
      <c r="G719" s="7">
        <f t="shared" si="212"/>
        <v>1</v>
      </c>
      <c r="H719" s="7" t="str">
        <f t="shared" si="213"/>
        <v>14FW ELS_70_HAT_BK</v>
      </c>
      <c r="I719" s="7">
        <f t="shared" si="214"/>
        <v>1</v>
      </c>
      <c r="J719" s="7" t="str">
        <f t="shared" si="215"/>
        <v>FOREMOST14FW ELS_70_HAT_BK</v>
      </c>
      <c r="K719" s="17">
        <f t="shared" si="216"/>
        <v>41771</v>
      </c>
      <c r="L719" s="12" t="str">
        <f t="shared" si="217"/>
        <v>201405</v>
      </c>
      <c r="M719" s="347" t="str">
        <f>VLOOKUP($K719,[3]주!$A:$F,6,FALSE)</f>
        <v>3월 2주</v>
      </c>
      <c r="N719" s="273" t="str">
        <f>IF(VLOOKUP($Z719,생산업체!$A:$C,2,FALSE)=1,"해외","국내")</f>
        <v>해외</v>
      </c>
      <c r="O719" s="12" t="str">
        <f>IF(VLOOKUP($U719,CODE!$K:$P,CODE!P$1,FALSE)="모자",T719,T719&amp;"-"&amp;VLOOKUP($U719,CODE!$K:$P,CODE!P$1,FALSE))</f>
        <v>ELS</v>
      </c>
      <c r="P719" s="11" t="s">
        <v>3</v>
      </c>
      <c r="R719" s="11">
        <v>80</v>
      </c>
      <c r="T719" s="8" t="s">
        <v>3</v>
      </c>
      <c r="U719" s="8" t="s">
        <v>60</v>
      </c>
      <c r="V719" s="8" t="s">
        <v>43</v>
      </c>
      <c r="W719" s="8" t="s">
        <v>2134</v>
      </c>
      <c r="X719" s="8" t="s">
        <v>900</v>
      </c>
      <c r="Y719" s="9">
        <v>1</v>
      </c>
      <c r="Z719" s="8" t="s">
        <v>6</v>
      </c>
      <c r="AA719" s="10">
        <v>41746</v>
      </c>
      <c r="AB719" s="10">
        <v>41774</v>
      </c>
      <c r="AC719" s="10">
        <v>41779</v>
      </c>
      <c r="AD719" s="10">
        <v>41771</v>
      </c>
      <c r="AH719" s="8">
        <v>2</v>
      </c>
      <c r="AI719" s="8">
        <v>2</v>
      </c>
      <c r="AJ719" s="8" t="s">
        <v>2135</v>
      </c>
    </row>
    <row r="720" spans="1:36">
      <c r="A720" s="7">
        <f t="shared" si="207"/>
        <v>1</v>
      </c>
      <c r="B720" s="7" t="str">
        <f t="shared" si="208"/>
        <v>14FW ELS_71_HAT_BK</v>
      </c>
      <c r="C720" s="7">
        <f t="shared" si="209"/>
        <v>1</v>
      </c>
      <c r="D720" s="7" t="str">
        <f t="shared" si="210"/>
        <v>FOREMOST14FW ELS_71_HAT_BK</v>
      </c>
      <c r="E720" s="12" t="str">
        <f t="shared" si="211"/>
        <v>201404</v>
      </c>
      <c r="F720" s="347" t="str">
        <f>VLOOKUP($AA720,[3]주!$A:$F,6,FALSE)</f>
        <v>3월 2주</v>
      </c>
      <c r="G720" s="7">
        <f t="shared" si="212"/>
        <v>1</v>
      </c>
      <c r="H720" s="7" t="str">
        <f t="shared" si="213"/>
        <v>14FW ELS_71_HAT_BK</v>
      </c>
      <c r="I720" s="7">
        <f t="shared" si="214"/>
        <v>1</v>
      </c>
      <c r="J720" s="7" t="str">
        <f t="shared" si="215"/>
        <v>FOREMOST14FW ELS_71_HAT_BK</v>
      </c>
      <c r="K720" s="17">
        <f t="shared" si="216"/>
        <v>41771</v>
      </c>
      <c r="L720" s="12" t="str">
        <f t="shared" si="217"/>
        <v>201405</v>
      </c>
      <c r="M720" s="347" t="str">
        <f>VLOOKUP($K720,[3]주!$A:$F,6,FALSE)</f>
        <v>3월 2주</v>
      </c>
      <c r="N720" s="273" t="str">
        <f>IF(VLOOKUP($Z720,생산업체!$A:$C,2,FALSE)=1,"해외","국내")</f>
        <v>해외</v>
      </c>
      <c r="O720" s="12" t="str">
        <f>IF(VLOOKUP($U720,CODE!$K:$P,CODE!P$1,FALSE)="모자",T720,T720&amp;"-"&amp;VLOOKUP($U720,CODE!$K:$P,CODE!P$1,FALSE))</f>
        <v>ELS</v>
      </c>
      <c r="P720" s="11" t="s">
        <v>3</v>
      </c>
      <c r="R720" s="11">
        <v>81</v>
      </c>
      <c r="T720" s="8" t="s">
        <v>3</v>
      </c>
      <c r="U720" s="8" t="s">
        <v>60</v>
      </c>
      <c r="V720" s="8" t="s">
        <v>43</v>
      </c>
      <c r="W720" s="8" t="s">
        <v>2136</v>
      </c>
      <c r="X720" s="8" t="s">
        <v>900</v>
      </c>
      <c r="Y720" s="9">
        <v>1</v>
      </c>
      <c r="Z720" s="8" t="s">
        <v>6</v>
      </c>
      <c r="AA720" s="10">
        <v>41746</v>
      </c>
      <c r="AB720" s="10">
        <v>41774</v>
      </c>
      <c r="AC720" s="10">
        <v>41779</v>
      </c>
      <c r="AD720" s="10">
        <v>41771</v>
      </c>
      <c r="AH720" s="8">
        <v>3</v>
      </c>
      <c r="AI720" s="8">
        <v>2</v>
      </c>
      <c r="AJ720" s="8" t="s">
        <v>2135</v>
      </c>
    </row>
    <row r="721" spans="1:35">
      <c r="A721" s="7">
        <f t="shared" si="207"/>
        <v>1</v>
      </c>
      <c r="B721" s="7" t="str">
        <f t="shared" si="208"/>
        <v>14FW ELS BACKPACK_04_PP_KIDS (REVISED)</v>
      </c>
      <c r="C721" s="7">
        <f t="shared" si="209"/>
        <v>1</v>
      </c>
      <c r="D721" s="7" t="str">
        <f t="shared" si="210"/>
        <v>바이칼14FW ELS BACKPACK_04_PP_KIDS (REVISED)</v>
      </c>
      <c r="E721" s="12" t="str">
        <f t="shared" si="211"/>
        <v>201405</v>
      </c>
      <c r="F721" s="347" t="str">
        <f>VLOOKUP($AA721,[3]주!$A:$F,6,FALSE)</f>
        <v>3월 2주</v>
      </c>
      <c r="G721" s="7">
        <f t="shared" si="212"/>
        <v>1</v>
      </c>
      <c r="H721" s="7" t="str">
        <f t="shared" si="213"/>
        <v>14FW ELS BACKPACK_04_PP_KIDS (REVISED)</v>
      </c>
      <c r="I721" s="7">
        <f t="shared" si="214"/>
        <v>1</v>
      </c>
      <c r="J721" s="7" t="str">
        <f t="shared" si="215"/>
        <v>바이칼14FW ELS BACKPACK_04_PP_KIDS (REVISED)</v>
      </c>
      <c r="K721" s="17">
        <f t="shared" si="216"/>
        <v>41773</v>
      </c>
      <c r="L721" s="12" t="str">
        <f t="shared" si="217"/>
        <v>201405</v>
      </c>
      <c r="M721" s="347" t="str">
        <f>VLOOKUP($K721,[3]주!$A:$F,6,FALSE)</f>
        <v>3월 2주</v>
      </c>
      <c r="N721" s="273" t="str">
        <f>IF(VLOOKUP($Z721,생산업체!$A:$C,2,FALSE)=1,"해외","국내")</f>
        <v>해외</v>
      </c>
      <c r="O721" s="12" t="str">
        <f>IF(VLOOKUP($U721,CODE!$K:$P,CODE!P$1,FALSE)="모자",T721,T721&amp;"-"&amp;VLOOKUP($U721,CODE!$K:$P,CODE!P$1,FALSE))</f>
        <v>ELS-가방</v>
      </c>
      <c r="P721" s="11" t="s">
        <v>30</v>
      </c>
      <c r="R721" s="11">
        <v>82</v>
      </c>
      <c r="T721" s="8" t="s">
        <v>3</v>
      </c>
      <c r="U721" s="8" t="s">
        <v>31</v>
      </c>
      <c r="V721" s="8" t="s">
        <v>43</v>
      </c>
      <c r="W721" s="8" t="s">
        <v>2240</v>
      </c>
      <c r="X721" s="8" t="s">
        <v>905</v>
      </c>
      <c r="Y721" s="9">
        <v>1</v>
      </c>
      <c r="Z721" s="8" t="s">
        <v>1837</v>
      </c>
      <c r="AA721" s="10">
        <v>41761</v>
      </c>
      <c r="AB721" s="10">
        <v>41789</v>
      </c>
      <c r="AC721" s="10">
        <v>41775</v>
      </c>
      <c r="AD721" s="10">
        <v>41773</v>
      </c>
      <c r="AF721" s="8">
        <v>22635</v>
      </c>
      <c r="AH721" s="8">
        <v>8</v>
      </c>
    </row>
    <row r="722" spans="1:35">
      <c r="A722" s="7">
        <f t="shared" si="207"/>
        <v>1</v>
      </c>
      <c r="B722" s="7" t="str">
        <f t="shared" si="208"/>
        <v>14FW ELS BACKPACK_05_PK_TOD</v>
      </c>
      <c r="C722" s="7">
        <f t="shared" si="209"/>
        <v>1</v>
      </c>
      <c r="D722" s="7" t="str">
        <f t="shared" si="210"/>
        <v>바이칼14FW ELS BACKPACK_05_PK_TOD</v>
      </c>
      <c r="E722" s="12" t="str">
        <f t="shared" si="211"/>
        <v>201405</v>
      </c>
      <c r="F722" s="347" t="str">
        <f>VLOOKUP($AA722,[3]주!$A:$F,6,FALSE)</f>
        <v>3월 2주</v>
      </c>
      <c r="G722" s="7">
        <f t="shared" si="212"/>
        <v>1</v>
      </c>
      <c r="H722" s="7" t="str">
        <f t="shared" si="213"/>
        <v>14FW ELS BACKPACK_05_PK_TOD</v>
      </c>
      <c r="I722" s="7">
        <f t="shared" si="214"/>
        <v>1</v>
      </c>
      <c r="J722" s="7" t="str">
        <f t="shared" si="215"/>
        <v>바이칼14FW ELS BACKPACK_05_PK_TOD</v>
      </c>
      <c r="K722" s="17">
        <f t="shared" si="216"/>
        <v>41773</v>
      </c>
      <c r="L722" s="12" t="str">
        <f t="shared" si="217"/>
        <v>201405</v>
      </c>
      <c r="M722" s="347" t="str">
        <f>VLOOKUP($K722,[3]주!$A:$F,6,FALSE)</f>
        <v>3월 2주</v>
      </c>
      <c r="N722" s="273" t="str">
        <f>IF(VLOOKUP($Z722,생산업체!$A:$C,2,FALSE)=1,"해외","국내")</f>
        <v>해외</v>
      </c>
      <c r="O722" s="12" t="str">
        <f>IF(VLOOKUP($U722,CODE!$K:$P,CODE!P$1,FALSE)="모자",T722,T722&amp;"-"&amp;VLOOKUP($U722,CODE!$K:$P,CODE!P$1,FALSE))</f>
        <v>ELS-가방</v>
      </c>
      <c r="P722" s="11" t="s">
        <v>30</v>
      </c>
      <c r="R722" s="11">
        <v>83</v>
      </c>
      <c r="T722" s="8" t="s">
        <v>3</v>
      </c>
      <c r="U722" s="8" t="s">
        <v>31</v>
      </c>
      <c r="V722" s="8" t="s">
        <v>43</v>
      </c>
      <c r="W722" s="8" t="s">
        <v>2241</v>
      </c>
      <c r="X722" s="8" t="s">
        <v>1847</v>
      </c>
      <c r="Y722" s="9">
        <v>1</v>
      </c>
      <c r="Z722" s="8" t="s">
        <v>1837</v>
      </c>
      <c r="AA722" s="10">
        <v>41761</v>
      </c>
      <c r="AB722" s="10">
        <v>41789</v>
      </c>
      <c r="AC722" s="10">
        <v>41775</v>
      </c>
      <c r="AD722" s="10">
        <v>41773</v>
      </c>
      <c r="AF722" s="8">
        <v>19796</v>
      </c>
      <c r="AH722" s="8">
        <v>4</v>
      </c>
    </row>
    <row r="723" spans="1:35">
      <c r="A723" s="7">
        <f t="shared" si="207"/>
        <v>1</v>
      </c>
      <c r="B723" s="7" t="str">
        <f t="shared" si="208"/>
        <v>14FW ELS_72__EAR KNIT_GR_KIDS</v>
      </c>
      <c r="C723" s="7">
        <f t="shared" si="209"/>
        <v>1</v>
      </c>
      <c r="D723" s="7" t="str">
        <f t="shared" si="210"/>
        <v>FOREMOST14FW ELS_72__EAR KNIT_GR_KIDS</v>
      </c>
      <c r="E723" s="12" t="str">
        <f t="shared" si="211"/>
        <v>201405</v>
      </c>
      <c r="F723" s="347" t="str">
        <f>VLOOKUP($AA723,[3]주!$A:$F,6,FALSE)</f>
        <v>3월 2주</v>
      </c>
      <c r="G723" s="7">
        <f t="shared" si="212"/>
        <v>0</v>
      </c>
      <c r="H723" s="7" t="str">
        <f t="shared" si="213"/>
        <v/>
      </c>
      <c r="I723" s="7">
        <f t="shared" si="214"/>
        <v>0</v>
      </c>
      <c r="J723" s="7" t="str">
        <f t="shared" si="215"/>
        <v/>
      </c>
      <c r="K723" s="17">
        <f t="shared" si="216"/>
        <v>41806</v>
      </c>
      <c r="L723" s="12" t="str">
        <f t="shared" si="217"/>
        <v>201406</v>
      </c>
      <c r="M723" s="347" t="str">
        <f>VLOOKUP($K723,[3]주!$A:$F,6,FALSE)</f>
        <v>3월 2주</v>
      </c>
      <c r="N723" s="273" t="str">
        <f>IF(VLOOKUP($Z723,생산업체!$A:$C,2,FALSE)=1,"해외","국내")</f>
        <v>해외</v>
      </c>
      <c r="O723" s="12" t="str">
        <f>IF(VLOOKUP($U723,CODE!$K:$P,CODE!P$1,FALSE)="모자",T723,T723&amp;"-"&amp;VLOOKUP($U723,CODE!$K:$P,CODE!P$1,FALSE))</f>
        <v>ELS</v>
      </c>
      <c r="P723" s="11" t="s">
        <v>3</v>
      </c>
      <c r="R723" s="11">
        <v>84</v>
      </c>
      <c r="T723" s="8" t="s">
        <v>3</v>
      </c>
      <c r="U723" s="8" t="s">
        <v>28</v>
      </c>
      <c r="V723" s="8" t="s">
        <v>43</v>
      </c>
      <c r="W723" s="8" t="s">
        <v>2242</v>
      </c>
      <c r="X723" s="8" t="s">
        <v>905</v>
      </c>
      <c r="Y723" s="9">
        <v>1</v>
      </c>
      <c r="Z723" s="8" t="s">
        <v>6</v>
      </c>
      <c r="AA723" s="10">
        <v>41778</v>
      </c>
      <c r="AB723" s="10">
        <v>41806</v>
      </c>
      <c r="AC723" s="10">
        <v>41806</v>
      </c>
      <c r="AH723" s="8">
        <v>2</v>
      </c>
      <c r="AI723" s="8">
        <v>2</v>
      </c>
    </row>
    <row r="724" spans="1:35">
      <c r="A724" s="7">
        <f t="shared" si="207"/>
        <v>1</v>
      </c>
      <c r="B724" s="7" t="str">
        <f t="shared" si="208"/>
        <v>14FW ELS_73_TROOPER_BK_KIDS</v>
      </c>
      <c r="C724" s="7">
        <f t="shared" si="209"/>
        <v>1</v>
      </c>
      <c r="D724" s="7" t="str">
        <f t="shared" si="210"/>
        <v>FOREMOST14FW ELS_73_TROOPER_BK_KIDS</v>
      </c>
      <c r="E724" s="12" t="str">
        <f t="shared" si="211"/>
        <v>201405</v>
      </c>
      <c r="F724" s="347" t="str">
        <f>VLOOKUP($AA724,[3]주!$A:$F,6,FALSE)</f>
        <v>3월 2주</v>
      </c>
      <c r="G724" s="7">
        <f t="shared" si="212"/>
        <v>0</v>
      </c>
      <c r="H724" s="7" t="str">
        <f t="shared" si="213"/>
        <v/>
      </c>
      <c r="I724" s="7">
        <f t="shared" si="214"/>
        <v>0</v>
      </c>
      <c r="J724" s="7" t="str">
        <f t="shared" si="215"/>
        <v/>
      </c>
      <c r="K724" s="17">
        <f t="shared" si="216"/>
        <v>41806</v>
      </c>
      <c r="L724" s="12" t="str">
        <f t="shared" si="217"/>
        <v>201406</v>
      </c>
      <c r="M724" s="347" t="str">
        <f>VLOOKUP($K724,[3]주!$A:$F,6,FALSE)</f>
        <v>3월 2주</v>
      </c>
      <c r="N724" s="273" t="str">
        <f>IF(VLOOKUP($Z724,생산업체!$A:$C,2,FALSE)=1,"해외","국내")</f>
        <v>해외</v>
      </c>
      <c r="O724" s="12" t="str">
        <f>IF(VLOOKUP($U724,CODE!$K:$P,CODE!P$1,FALSE)="모자",T724,T724&amp;"-"&amp;VLOOKUP($U724,CODE!$K:$P,CODE!P$1,FALSE))</f>
        <v>ELS</v>
      </c>
      <c r="P724" s="11" t="s">
        <v>3</v>
      </c>
      <c r="R724" s="11">
        <v>85</v>
      </c>
      <c r="T724" s="8" t="s">
        <v>3</v>
      </c>
      <c r="U724" s="8" t="s">
        <v>28</v>
      </c>
      <c r="V724" s="8" t="s">
        <v>43</v>
      </c>
      <c r="W724" s="8" t="s">
        <v>2243</v>
      </c>
      <c r="X724" s="8" t="s">
        <v>905</v>
      </c>
      <c r="Y724" s="9">
        <v>1</v>
      </c>
      <c r="Z724" s="8" t="s">
        <v>6</v>
      </c>
      <c r="AA724" s="10">
        <v>41778</v>
      </c>
      <c r="AB724" s="10">
        <v>41806</v>
      </c>
      <c r="AC724" s="10">
        <v>41806</v>
      </c>
      <c r="AH724" s="8">
        <v>2</v>
      </c>
      <c r="AI724" s="8">
        <v>2</v>
      </c>
    </row>
    <row r="725" spans="1:35">
      <c r="A725" s="7">
        <f t="shared" si="207"/>
        <v>1</v>
      </c>
      <c r="B725" s="7" t="str">
        <f t="shared" si="208"/>
        <v>14FW ELS_74__EAR KNIT_BL_KIDS</v>
      </c>
      <c r="C725" s="7">
        <f t="shared" si="209"/>
        <v>1</v>
      </c>
      <c r="D725" s="7" t="str">
        <f t="shared" si="210"/>
        <v>FOREMOST14FW ELS_74__EAR KNIT_BL_KIDS</v>
      </c>
      <c r="E725" s="12" t="str">
        <f t="shared" si="211"/>
        <v>201405</v>
      </c>
      <c r="F725" s="347" t="str">
        <f>VLOOKUP($AA725,[3]주!$A:$F,6,FALSE)</f>
        <v>3월 2주</v>
      </c>
      <c r="G725" s="7">
        <f t="shared" si="212"/>
        <v>0</v>
      </c>
      <c r="H725" s="7" t="str">
        <f t="shared" si="213"/>
        <v/>
      </c>
      <c r="I725" s="7">
        <f t="shared" si="214"/>
        <v>0</v>
      </c>
      <c r="J725" s="7" t="str">
        <f t="shared" si="215"/>
        <v/>
      </c>
      <c r="K725" s="17">
        <f t="shared" si="216"/>
        <v>41806</v>
      </c>
      <c r="L725" s="12" t="str">
        <f t="shared" si="217"/>
        <v>201406</v>
      </c>
      <c r="M725" s="347" t="str">
        <f>VLOOKUP($K725,[3]주!$A:$F,6,FALSE)</f>
        <v>3월 2주</v>
      </c>
      <c r="N725" s="273" t="str">
        <f>IF(VLOOKUP($Z725,생산업체!$A:$C,2,FALSE)=1,"해외","국내")</f>
        <v>해외</v>
      </c>
      <c r="O725" s="12" t="str">
        <f>IF(VLOOKUP($U725,CODE!$K:$P,CODE!P$1,FALSE)="모자",T725,T725&amp;"-"&amp;VLOOKUP($U725,CODE!$K:$P,CODE!P$1,FALSE))</f>
        <v>ELS</v>
      </c>
      <c r="P725" s="11" t="s">
        <v>3</v>
      </c>
      <c r="R725" s="11">
        <v>86</v>
      </c>
      <c r="T725" s="8" t="s">
        <v>3</v>
      </c>
      <c r="U725" s="8" t="s">
        <v>28</v>
      </c>
      <c r="V725" s="8" t="s">
        <v>43</v>
      </c>
      <c r="W725" s="8" t="s">
        <v>2244</v>
      </c>
      <c r="X725" s="8" t="s">
        <v>905</v>
      </c>
      <c r="Y725" s="9">
        <v>1</v>
      </c>
      <c r="Z725" s="8" t="s">
        <v>6</v>
      </c>
      <c r="AA725" s="10">
        <v>41778</v>
      </c>
      <c r="AB725" s="10">
        <v>41806</v>
      </c>
      <c r="AC725" s="10">
        <v>41806</v>
      </c>
      <c r="AH725" s="8">
        <v>4</v>
      </c>
      <c r="AI725" s="8">
        <v>4</v>
      </c>
    </row>
    <row r="726" spans="1:35">
      <c r="A726" s="7">
        <f t="shared" si="207"/>
        <v>1</v>
      </c>
      <c r="B726" s="7" t="str">
        <f t="shared" si="208"/>
        <v>14FW ELS_74__EAR KNIT_PK_KIDS</v>
      </c>
      <c r="C726" s="7">
        <f t="shared" si="209"/>
        <v>1</v>
      </c>
      <c r="D726" s="7" t="str">
        <f t="shared" si="210"/>
        <v>FOREMOST14FW ELS_74__EAR KNIT_PK_KIDS</v>
      </c>
      <c r="E726" s="12" t="str">
        <f t="shared" si="211"/>
        <v>201405</v>
      </c>
      <c r="F726" s="347" t="str">
        <f>VLOOKUP($AA726,[3]주!$A:$F,6,FALSE)</f>
        <v>3월 2주</v>
      </c>
      <c r="G726" s="7">
        <f t="shared" si="212"/>
        <v>0</v>
      </c>
      <c r="H726" s="7" t="str">
        <f t="shared" si="213"/>
        <v/>
      </c>
      <c r="I726" s="7">
        <f t="shared" si="214"/>
        <v>0</v>
      </c>
      <c r="J726" s="7" t="str">
        <f t="shared" si="215"/>
        <v/>
      </c>
      <c r="K726" s="17">
        <f t="shared" si="216"/>
        <v>41806</v>
      </c>
      <c r="L726" s="12" t="str">
        <f t="shared" si="217"/>
        <v>201406</v>
      </c>
      <c r="M726" s="347" t="str">
        <f>VLOOKUP($K726,[3]주!$A:$F,6,FALSE)</f>
        <v>3월 2주</v>
      </c>
      <c r="N726" s="273" t="str">
        <f>IF(VLOOKUP($Z726,생산업체!$A:$C,2,FALSE)=1,"해외","국내")</f>
        <v>해외</v>
      </c>
      <c r="O726" s="12" t="str">
        <f>IF(VLOOKUP($U726,CODE!$K:$P,CODE!P$1,FALSE)="모자",T726,T726&amp;"-"&amp;VLOOKUP($U726,CODE!$K:$P,CODE!P$1,FALSE))</f>
        <v>ELS</v>
      </c>
      <c r="P726" s="11" t="s">
        <v>3</v>
      </c>
      <c r="R726" s="11">
        <v>87</v>
      </c>
      <c r="T726" s="8" t="s">
        <v>3</v>
      </c>
      <c r="U726" s="8" t="s">
        <v>28</v>
      </c>
      <c r="V726" s="8" t="s">
        <v>43</v>
      </c>
      <c r="W726" s="8" t="s">
        <v>2245</v>
      </c>
      <c r="X726" s="8" t="s">
        <v>905</v>
      </c>
      <c r="Y726" s="9">
        <v>1</v>
      </c>
      <c r="Z726" s="8" t="s">
        <v>6</v>
      </c>
      <c r="AA726" s="10">
        <v>41778</v>
      </c>
      <c r="AB726" s="10">
        <v>41806</v>
      </c>
      <c r="AC726" s="10">
        <v>41806</v>
      </c>
      <c r="AH726" s="8">
        <v>4</v>
      </c>
      <c r="AI726" s="8">
        <v>4</v>
      </c>
    </row>
    <row r="727" spans="1:35">
      <c r="A727" s="7">
        <f t="shared" si="207"/>
        <v>1</v>
      </c>
      <c r="B727" s="7" t="str">
        <f t="shared" si="208"/>
        <v>14FW ELS_75_TROOPER_NV_KIDS</v>
      </c>
      <c r="C727" s="7">
        <f t="shared" si="209"/>
        <v>1</v>
      </c>
      <c r="D727" s="7" t="str">
        <f t="shared" si="210"/>
        <v>FOREMOST14FW ELS_75_TROOPER_NV_KIDS</v>
      </c>
      <c r="E727" s="12" t="str">
        <f t="shared" si="211"/>
        <v>201405</v>
      </c>
      <c r="F727" s="347" t="str">
        <f>VLOOKUP($AA727,[3]주!$A:$F,6,FALSE)</f>
        <v>3월 2주</v>
      </c>
      <c r="G727" s="7">
        <f t="shared" si="212"/>
        <v>0</v>
      </c>
      <c r="H727" s="7" t="str">
        <f t="shared" si="213"/>
        <v/>
      </c>
      <c r="I727" s="7">
        <f t="shared" si="214"/>
        <v>0</v>
      </c>
      <c r="J727" s="7" t="str">
        <f t="shared" si="215"/>
        <v/>
      </c>
      <c r="K727" s="17">
        <f t="shared" si="216"/>
        <v>41806</v>
      </c>
      <c r="L727" s="12" t="str">
        <f t="shared" si="217"/>
        <v>201406</v>
      </c>
      <c r="M727" s="347" t="str">
        <f>VLOOKUP($K727,[3]주!$A:$F,6,FALSE)</f>
        <v>3월 2주</v>
      </c>
      <c r="N727" s="273" t="str">
        <f>IF(VLOOKUP($Z727,생산업체!$A:$C,2,FALSE)=1,"해외","국내")</f>
        <v>해외</v>
      </c>
      <c r="O727" s="12" t="str">
        <f>IF(VLOOKUP($U727,CODE!$K:$P,CODE!P$1,FALSE)="모자",T727,T727&amp;"-"&amp;VLOOKUP($U727,CODE!$K:$P,CODE!P$1,FALSE))</f>
        <v>ELS</v>
      </c>
      <c r="P727" s="11" t="s">
        <v>3</v>
      </c>
      <c r="R727" s="11">
        <v>88</v>
      </c>
      <c r="T727" s="8" t="s">
        <v>3</v>
      </c>
      <c r="U727" s="8" t="s">
        <v>28</v>
      </c>
      <c r="V727" s="8" t="s">
        <v>43</v>
      </c>
      <c r="W727" s="8" t="s">
        <v>2246</v>
      </c>
      <c r="X727" s="8" t="s">
        <v>905</v>
      </c>
      <c r="Y727" s="9">
        <v>1</v>
      </c>
      <c r="Z727" s="8" t="s">
        <v>6</v>
      </c>
      <c r="AA727" s="10">
        <v>41778</v>
      </c>
      <c r="AB727" s="10">
        <v>41806</v>
      </c>
      <c r="AC727" s="10">
        <v>41806</v>
      </c>
      <c r="AH727" s="8">
        <v>3</v>
      </c>
      <c r="AI727" s="8">
        <v>3</v>
      </c>
    </row>
    <row r="728" spans="1:35">
      <c r="A728" s="7">
        <f t="shared" si="207"/>
        <v>1</v>
      </c>
      <c r="B728" s="7" t="str">
        <f t="shared" si="208"/>
        <v>14FW ELS_75_TROOPER_PK_KIDS</v>
      </c>
      <c r="C728" s="7">
        <f t="shared" si="209"/>
        <v>1</v>
      </c>
      <c r="D728" s="7" t="str">
        <f t="shared" si="210"/>
        <v>FOREMOST14FW ELS_75_TROOPER_PK_KIDS</v>
      </c>
      <c r="E728" s="12" t="str">
        <f t="shared" si="211"/>
        <v>201405</v>
      </c>
      <c r="F728" s="347" t="str">
        <f>VLOOKUP($AA728,[3]주!$A:$F,6,FALSE)</f>
        <v>3월 2주</v>
      </c>
      <c r="G728" s="7">
        <f t="shared" si="212"/>
        <v>0</v>
      </c>
      <c r="H728" s="7" t="str">
        <f t="shared" si="213"/>
        <v/>
      </c>
      <c r="I728" s="7">
        <f t="shared" si="214"/>
        <v>0</v>
      </c>
      <c r="J728" s="7" t="str">
        <f t="shared" si="215"/>
        <v/>
      </c>
      <c r="K728" s="17">
        <f t="shared" si="216"/>
        <v>41806</v>
      </c>
      <c r="L728" s="12" t="str">
        <f t="shared" si="217"/>
        <v>201406</v>
      </c>
      <c r="M728" s="347" t="str">
        <f>VLOOKUP($K728,[3]주!$A:$F,6,FALSE)</f>
        <v>3월 2주</v>
      </c>
      <c r="N728" s="273" t="str">
        <f>IF(VLOOKUP($Z728,생산업체!$A:$C,2,FALSE)=1,"해외","국내")</f>
        <v>해외</v>
      </c>
      <c r="O728" s="12" t="str">
        <f>IF(VLOOKUP($U728,CODE!$K:$P,CODE!P$1,FALSE)="모자",T728,T728&amp;"-"&amp;VLOOKUP($U728,CODE!$K:$P,CODE!P$1,FALSE))</f>
        <v>ELS</v>
      </c>
      <c r="P728" s="11" t="s">
        <v>3</v>
      </c>
      <c r="R728" s="11">
        <v>89</v>
      </c>
      <c r="T728" s="8" t="s">
        <v>3</v>
      </c>
      <c r="U728" s="8" t="s">
        <v>28</v>
      </c>
      <c r="V728" s="8" t="s">
        <v>43</v>
      </c>
      <c r="W728" s="8" t="s">
        <v>2247</v>
      </c>
      <c r="X728" s="8" t="s">
        <v>905</v>
      </c>
      <c r="Y728" s="9">
        <v>1</v>
      </c>
      <c r="Z728" s="8" t="s">
        <v>6</v>
      </c>
      <c r="AA728" s="10">
        <v>41778</v>
      </c>
      <c r="AB728" s="10">
        <v>41806</v>
      </c>
      <c r="AC728" s="10">
        <v>41806</v>
      </c>
      <c r="AH728" s="8">
        <v>3</v>
      </c>
      <c r="AI728" s="8">
        <v>3</v>
      </c>
    </row>
    <row r="729" spans="1:35">
      <c r="A729" s="7">
        <f t="shared" si="207"/>
        <v>1</v>
      </c>
      <c r="B729" s="7" t="str">
        <f t="shared" si="208"/>
        <v>14FW ELS 76_KNIT_BK</v>
      </c>
      <c r="C729" s="7">
        <f t="shared" si="209"/>
        <v>1</v>
      </c>
      <c r="D729" s="7" t="str">
        <f t="shared" si="210"/>
        <v>Y&amp;Y14FW ELS 76_KNIT_BK</v>
      </c>
      <c r="E729" s="12" t="str">
        <f t="shared" si="211"/>
        <v>201405</v>
      </c>
      <c r="F729" s="347" t="str">
        <f>VLOOKUP($AA729,[3]주!$A:$F,6,FALSE)</f>
        <v>3월 2주</v>
      </c>
      <c r="G729" s="7">
        <f t="shared" si="212"/>
        <v>0</v>
      </c>
      <c r="H729" s="7" t="str">
        <f t="shared" si="213"/>
        <v/>
      </c>
      <c r="I729" s="7">
        <f t="shared" si="214"/>
        <v>0</v>
      </c>
      <c r="J729" s="7" t="str">
        <f t="shared" si="215"/>
        <v/>
      </c>
      <c r="K729" s="17">
        <f t="shared" si="216"/>
        <v>41806</v>
      </c>
      <c r="L729" s="12" t="str">
        <f t="shared" si="217"/>
        <v>201406</v>
      </c>
      <c r="M729" s="347" t="str">
        <f>VLOOKUP($K729,[3]주!$A:$F,6,FALSE)</f>
        <v>3월 2주</v>
      </c>
      <c r="N729" s="273" t="str">
        <f>IF(VLOOKUP($Z729,생산업체!$A:$C,2,FALSE)=1,"해외","국내")</f>
        <v>해외</v>
      </c>
      <c r="O729" s="12" t="str">
        <f>IF(VLOOKUP($U729,CODE!$K:$P,CODE!P$1,FALSE)="모자",T729,T729&amp;"-"&amp;VLOOKUP($U729,CODE!$K:$P,CODE!P$1,FALSE))</f>
        <v>ELS</v>
      </c>
      <c r="P729" s="11" t="s">
        <v>3</v>
      </c>
      <c r="R729" s="11">
        <v>90</v>
      </c>
      <c r="T729" s="8" t="s">
        <v>3</v>
      </c>
      <c r="U729" s="8" t="s">
        <v>56</v>
      </c>
      <c r="V729" s="8" t="s">
        <v>43</v>
      </c>
      <c r="W729" s="8" t="s">
        <v>2248</v>
      </c>
      <c r="X729" s="8" t="s">
        <v>900</v>
      </c>
      <c r="Y729" s="9">
        <v>1</v>
      </c>
      <c r="Z729" s="8" t="s">
        <v>1415</v>
      </c>
      <c r="AA729" s="10">
        <v>41778</v>
      </c>
      <c r="AB729" s="10">
        <v>41806</v>
      </c>
      <c r="AC729" s="10">
        <v>41806</v>
      </c>
      <c r="AH729" s="8">
        <v>3</v>
      </c>
      <c r="AI729" s="8">
        <v>3</v>
      </c>
    </row>
    <row r="730" spans="1:35">
      <c r="A730" s="7">
        <f t="shared" si="207"/>
        <v>1</v>
      </c>
      <c r="B730" s="7" t="str">
        <f t="shared" si="208"/>
        <v>14FW ELS 76_KNIT_NV</v>
      </c>
      <c r="C730" s="7">
        <f t="shared" si="209"/>
        <v>1</v>
      </c>
      <c r="D730" s="7" t="str">
        <f t="shared" si="210"/>
        <v>Y&amp;Y14FW ELS 76_KNIT_NV</v>
      </c>
      <c r="E730" s="12" t="str">
        <f t="shared" si="211"/>
        <v>201405</v>
      </c>
      <c r="F730" s="347" t="str">
        <f>VLOOKUP($AA730,[3]주!$A:$F,6,FALSE)</f>
        <v>3월 2주</v>
      </c>
      <c r="G730" s="7">
        <f t="shared" si="212"/>
        <v>0</v>
      </c>
      <c r="H730" s="7" t="str">
        <f t="shared" si="213"/>
        <v/>
      </c>
      <c r="I730" s="7">
        <f t="shared" si="214"/>
        <v>0</v>
      </c>
      <c r="J730" s="7" t="str">
        <f t="shared" si="215"/>
        <v/>
      </c>
      <c r="K730" s="17">
        <f t="shared" si="216"/>
        <v>41806</v>
      </c>
      <c r="L730" s="12" t="str">
        <f t="shared" si="217"/>
        <v>201406</v>
      </c>
      <c r="M730" s="347" t="str">
        <f>VLOOKUP($K730,[3]주!$A:$F,6,FALSE)</f>
        <v>3월 2주</v>
      </c>
      <c r="N730" s="273" t="str">
        <f>IF(VLOOKUP($Z730,생산업체!$A:$C,2,FALSE)=1,"해외","국내")</f>
        <v>해외</v>
      </c>
      <c r="O730" s="12" t="str">
        <f>IF(VLOOKUP($U730,CODE!$K:$P,CODE!P$1,FALSE)="모자",T730,T730&amp;"-"&amp;VLOOKUP($U730,CODE!$K:$P,CODE!P$1,FALSE))</f>
        <v>ELS</v>
      </c>
      <c r="P730" s="11" t="s">
        <v>3</v>
      </c>
      <c r="R730" s="11">
        <v>91</v>
      </c>
      <c r="T730" s="8" t="s">
        <v>3</v>
      </c>
      <c r="U730" s="8" t="s">
        <v>56</v>
      </c>
      <c r="V730" s="8" t="s">
        <v>43</v>
      </c>
      <c r="W730" s="8" t="s">
        <v>2249</v>
      </c>
      <c r="X730" s="8" t="s">
        <v>900</v>
      </c>
      <c r="Y730" s="9">
        <v>1</v>
      </c>
      <c r="Z730" s="8" t="s">
        <v>1415</v>
      </c>
      <c r="AA730" s="10">
        <v>41778</v>
      </c>
      <c r="AB730" s="10">
        <v>41806</v>
      </c>
      <c r="AC730" s="10">
        <v>41806</v>
      </c>
      <c r="AH730" s="8">
        <v>3</v>
      </c>
      <c r="AI730" s="8">
        <v>3</v>
      </c>
    </row>
    <row r="731" spans="1:35">
      <c r="A731" s="7">
        <f t="shared" si="207"/>
        <v>1</v>
      </c>
      <c r="B731" s="7" t="str">
        <f t="shared" si="208"/>
        <v>14FW ELS 77_KNIT_PK_KIDS</v>
      </c>
      <c r="C731" s="7">
        <f t="shared" si="209"/>
        <v>1</v>
      </c>
      <c r="D731" s="7" t="str">
        <f t="shared" si="210"/>
        <v>Y&amp;Y14FW ELS 77_KNIT_PK_KIDS</v>
      </c>
      <c r="E731" s="12" t="str">
        <f t="shared" si="211"/>
        <v>201405</v>
      </c>
      <c r="F731" s="347" t="str">
        <f>VLOOKUP($AA731,[3]주!$A:$F,6,FALSE)</f>
        <v>3월 2주</v>
      </c>
      <c r="G731" s="7">
        <f t="shared" si="212"/>
        <v>0</v>
      </c>
      <c r="H731" s="7" t="str">
        <f t="shared" si="213"/>
        <v/>
      </c>
      <c r="I731" s="7">
        <f t="shared" si="214"/>
        <v>0</v>
      </c>
      <c r="J731" s="7" t="str">
        <f t="shared" si="215"/>
        <v/>
      </c>
      <c r="K731" s="17">
        <f t="shared" si="216"/>
        <v>41806</v>
      </c>
      <c r="L731" s="12" t="str">
        <f t="shared" si="217"/>
        <v>201406</v>
      </c>
      <c r="M731" s="347" t="str">
        <f>VLOOKUP($K731,[3]주!$A:$F,6,FALSE)</f>
        <v>3월 2주</v>
      </c>
      <c r="N731" s="273" t="str">
        <f>IF(VLOOKUP($Z731,생산업체!$A:$C,2,FALSE)=1,"해외","국내")</f>
        <v>해외</v>
      </c>
      <c r="O731" s="12" t="str">
        <f>IF(VLOOKUP($U731,CODE!$K:$P,CODE!P$1,FALSE)="모자",T731,T731&amp;"-"&amp;VLOOKUP($U731,CODE!$K:$P,CODE!P$1,FALSE))</f>
        <v>ELS</v>
      </c>
      <c r="P731" s="11" t="s">
        <v>3</v>
      </c>
      <c r="R731" s="11">
        <v>92</v>
      </c>
      <c r="T731" s="8" t="s">
        <v>3</v>
      </c>
      <c r="U731" s="8" t="s">
        <v>56</v>
      </c>
      <c r="V731" s="8" t="s">
        <v>43</v>
      </c>
      <c r="W731" s="8" t="s">
        <v>2250</v>
      </c>
      <c r="X731" s="8" t="s">
        <v>905</v>
      </c>
      <c r="Y731" s="9">
        <v>1</v>
      </c>
      <c r="Z731" s="8" t="s">
        <v>1415</v>
      </c>
      <c r="AA731" s="10">
        <v>41778</v>
      </c>
      <c r="AB731" s="10">
        <v>41806</v>
      </c>
      <c r="AC731" s="10">
        <v>41806</v>
      </c>
      <c r="AH731" s="8">
        <v>2</v>
      </c>
      <c r="AI731" s="8">
        <v>2</v>
      </c>
    </row>
    <row r="732" spans="1:35">
      <c r="A732" s="7">
        <f t="shared" si="207"/>
        <v>1</v>
      </c>
      <c r="B732" s="7" t="str">
        <f t="shared" si="208"/>
        <v>14FW ELS 77_KNIT_BL_KIDS</v>
      </c>
      <c r="C732" s="7">
        <f t="shared" si="209"/>
        <v>1</v>
      </c>
      <c r="D732" s="7" t="str">
        <f t="shared" si="210"/>
        <v>Y&amp;Y14FW ELS 77_KNIT_BL_KIDS</v>
      </c>
      <c r="E732" s="12" t="str">
        <f t="shared" si="211"/>
        <v>201405</v>
      </c>
      <c r="F732" s="347" t="str">
        <f>VLOOKUP($AA732,[3]주!$A:$F,6,FALSE)</f>
        <v>3월 2주</v>
      </c>
      <c r="G732" s="7">
        <f t="shared" si="212"/>
        <v>0</v>
      </c>
      <c r="H732" s="7" t="str">
        <f t="shared" si="213"/>
        <v/>
      </c>
      <c r="I732" s="7">
        <f t="shared" si="214"/>
        <v>0</v>
      </c>
      <c r="J732" s="7" t="str">
        <f t="shared" si="215"/>
        <v/>
      </c>
      <c r="K732" s="17">
        <f t="shared" si="216"/>
        <v>41806</v>
      </c>
      <c r="L732" s="12" t="str">
        <f t="shared" si="217"/>
        <v>201406</v>
      </c>
      <c r="M732" s="347" t="str">
        <f>VLOOKUP($K732,[3]주!$A:$F,6,FALSE)</f>
        <v>3월 2주</v>
      </c>
      <c r="N732" s="273" t="str">
        <f>IF(VLOOKUP($Z732,생산업체!$A:$C,2,FALSE)=1,"해외","국내")</f>
        <v>해외</v>
      </c>
      <c r="O732" s="12" t="str">
        <f>IF(VLOOKUP($U732,CODE!$K:$P,CODE!P$1,FALSE)="모자",T732,T732&amp;"-"&amp;VLOOKUP($U732,CODE!$K:$P,CODE!P$1,FALSE))</f>
        <v>ELS</v>
      </c>
      <c r="P732" s="11" t="s">
        <v>3</v>
      </c>
      <c r="R732" s="11">
        <v>93</v>
      </c>
      <c r="T732" s="8" t="s">
        <v>3</v>
      </c>
      <c r="U732" s="8" t="s">
        <v>56</v>
      </c>
      <c r="V732" s="8" t="s">
        <v>43</v>
      </c>
      <c r="W732" s="8" t="s">
        <v>2251</v>
      </c>
      <c r="X732" s="8" t="s">
        <v>905</v>
      </c>
      <c r="Y732" s="9">
        <v>1</v>
      </c>
      <c r="Z732" s="8" t="s">
        <v>1415</v>
      </c>
      <c r="AA732" s="10">
        <v>41778</v>
      </c>
      <c r="AB732" s="10">
        <v>41806</v>
      </c>
      <c r="AC732" s="10">
        <v>41806</v>
      </c>
      <c r="AH732" s="8">
        <v>2</v>
      </c>
      <c r="AI732" s="8">
        <v>2</v>
      </c>
    </row>
    <row r="733" spans="1:35">
      <c r="A733" s="7">
        <f t="shared" si="207"/>
        <v>1</v>
      </c>
      <c r="B733" s="7" t="str">
        <f t="shared" si="208"/>
        <v>14FW ELS_78_KNIT_BK</v>
      </c>
      <c r="C733" s="7">
        <f t="shared" si="209"/>
        <v>1</v>
      </c>
      <c r="D733" s="7" t="str">
        <f t="shared" si="210"/>
        <v>Y&amp;Y14FW ELS_78_KNIT_BK</v>
      </c>
      <c r="E733" s="12" t="str">
        <f t="shared" si="211"/>
        <v>201405</v>
      </c>
      <c r="F733" s="347" t="str">
        <f>VLOOKUP($AA733,[3]주!$A:$F,6,FALSE)</f>
        <v>3월 2주</v>
      </c>
      <c r="G733" s="7">
        <f t="shared" si="212"/>
        <v>0</v>
      </c>
      <c r="H733" s="7" t="str">
        <f t="shared" si="213"/>
        <v/>
      </c>
      <c r="I733" s="7">
        <f t="shared" si="214"/>
        <v>0</v>
      </c>
      <c r="J733" s="7" t="str">
        <f t="shared" si="215"/>
        <v/>
      </c>
      <c r="K733" s="17">
        <f t="shared" si="216"/>
        <v>41806</v>
      </c>
      <c r="L733" s="12" t="str">
        <f t="shared" si="217"/>
        <v>201406</v>
      </c>
      <c r="M733" s="347" t="str">
        <f>VLOOKUP($K733,[3]주!$A:$F,6,FALSE)</f>
        <v>3월 2주</v>
      </c>
      <c r="N733" s="273" t="str">
        <f>IF(VLOOKUP($Z733,생산업체!$A:$C,2,FALSE)=1,"해외","국내")</f>
        <v>해외</v>
      </c>
      <c r="O733" s="12" t="str">
        <f>IF(VLOOKUP($U733,CODE!$K:$P,CODE!P$1,FALSE)="모자",T733,T733&amp;"-"&amp;VLOOKUP($U733,CODE!$K:$P,CODE!P$1,FALSE))</f>
        <v>ELS</v>
      </c>
      <c r="P733" s="11" t="s">
        <v>3</v>
      </c>
      <c r="R733" s="11">
        <v>94</v>
      </c>
      <c r="T733" s="8" t="s">
        <v>3</v>
      </c>
      <c r="U733" s="8" t="s">
        <v>56</v>
      </c>
      <c r="V733" s="8" t="s">
        <v>43</v>
      </c>
      <c r="W733" s="8" t="s">
        <v>2252</v>
      </c>
      <c r="X733" s="8" t="s">
        <v>900</v>
      </c>
      <c r="Y733" s="9">
        <v>1</v>
      </c>
      <c r="Z733" s="8" t="s">
        <v>1415</v>
      </c>
      <c r="AA733" s="10">
        <v>41778</v>
      </c>
      <c r="AB733" s="10">
        <v>41806</v>
      </c>
      <c r="AC733" s="10">
        <v>41806</v>
      </c>
      <c r="AH733" s="8">
        <v>2</v>
      </c>
      <c r="AI733" s="8">
        <v>1</v>
      </c>
    </row>
    <row r="734" spans="1:35">
      <c r="A734" s="7">
        <f t="shared" si="207"/>
        <v>1</v>
      </c>
      <c r="B734" s="7" t="str">
        <f t="shared" si="208"/>
        <v>14FW H.coustic CAP-01_BK</v>
      </c>
      <c r="C734" s="7">
        <f t="shared" si="209"/>
        <v>1</v>
      </c>
      <c r="D734" s="7" t="str">
        <f t="shared" si="210"/>
        <v>동일모자14FW H.coustic CAP-01_BK</v>
      </c>
      <c r="E734" s="12" t="str">
        <f t="shared" si="211"/>
        <v>201402</v>
      </c>
      <c r="F734" s="347" t="str">
        <f>VLOOKUP($AA734,[3]주!$A:$F,6,FALSE)</f>
        <v>2월 2주</v>
      </c>
      <c r="G734" s="7">
        <f t="shared" si="212"/>
        <v>1</v>
      </c>
      <c r="H734" s="7" t="str">
        <f t="shared" si="213"/>
        <v>14FW H.coustic CAP-01_BK</v>
      </c>
      <c r="I734" s="7">
        <f t="shared" si="214"/>
        <v>1</v>
      </c>
      <c r="J734" s="7" t="str">
        <f t="shared" si="215"/>
        <v>동일모자14FW H.coustic CAP-01_BK</v>
      </c>
      <c r="K734" s="17">
        <f t="shared" si="216"/>
        <v>41716</v>
      </c>
      <c r="L734" s="12" t="str">
        <f t="shared" si="217"/>
        <v>201403</v>
      </c>
      <c r="M734" s="347" t="str">
        <f>VLOOKUP($K734,[3]주!$A:$F,6,FALSE)</f>
        <v>3월 2주</v>
      </c>
      <c r="N734" s="273" t="str">
        <f>IF(VLOOKUP($Z734,생산업체!$A:$C,2,FALSE)=1,"해외","국내")</f>
        <v>해외</v>
      </c>
      <c r="O734" s="12" t="str">
        <f>IF(VLOOKUP($U734,CODE!$K:$P,CODE!P$1,FALSE)="모자",T734,T734&amp;"-"&amp;VLOOKUP($U734,CODE!$K:$P,CODE!P$1,FALSE))</f>
        <v>HCU</v>
      </c>
      <c r="P734" s="11" t="s">
        <v>57</v>
      </c>
      <c r="R734" s="11">
        <v>1</v>
      </c>
      <c r="T734" s="8" t="s">
        <v>57</v>
      </c>
      <c r="U734" s="8" t="s">
        <v>33</v>
      </c>
      <c r="V734" s="8" t="s">
        <v>43</v>
      </c>
      <c r="W734" s="8" t="s">
        <v>1358</v>
      </c>
      <c r="X734" s="8" t="s">
        <v>900</v>
      </c>
      <c r="Y734" s="9">
        <v>1</v>
      </c>
      <c r="Z734" s="8" t="s">
        <v>44</v>
      </c>
      <c r="AA734" s="10">
        <v>41680</v>
      </c>
      <c r="AB734" s="10">
        <v>41708</v>
      </c>
      <c r="AC734" s="10">
        <v>41717</v>
      </c>
      <c r="AD734" s="10">
        <v>41716</v>
      </c>
      <c r="AE734" s="8">
        <v>5.85</v>
      </c>
      <c r="AH734" s="8">
        <v>3</v>
      </c>
      <c r="AI734" s="8">
        <v>2</v>
      </c>
    </row>
    <row r="735" spans="1:35">
      <c r="A735" s="7">
        <f t="shared" si="207"/>
        <v>1</v>
      </c>
      <c r="B735" s="7" t="str">
        <f t="shared" si="208"/>
        <v>14FW H.coustic CAP-02_BK</v>
      </c>
      <c r="C735" s="7">
        <f t="shared" si="209"/>
        <v>1</v>
      </c>
      <c r="D735" s="7" t="str">
        <f t="shared" si="210"/>
        <v>동일모자14FW H.coustic CAP-02_BK</v>
      </c>
      <c r="E735" s="12" t="str">
        <f t="shared" si="211"/>
        <v>201402</v>
      </c>
      <c r="F735" s="347" t="str">
        <f>VLOOKUP($AA735,[3]주!$A:$F,6,FALSE)</f>
        <v>2월 2주</v>
      </c>
      <c r="G735" s="7">
        <f t="shared" si="212"/>
        <v>1</v>
      </c>
      <c r="H735" s="7" t="str">
        <f t="shared" si="213"/>
        <v>14FW H.coustic CAP-02_BK</v>
      </c>
      <c r="I735" s="7">
        <f t="shared" si="214"/>
        <v>1</v>
      </c>
      <c r="J735" s="7" t="str">
        <f t="shared" si="215"/>
        <v>동일모자14FW H.coustic CAP-02_BK</v>
      </c>
      <c r="K735" s="17">
        <f t="shared" si="216"/>
        <v>41716</v>
      </c>
      <c r="L735" s="12" t="str">
        <f t="shared" si="217"/>
        <v>201403</v>
      </c>
      <c r="M735" s="347" t="str">
        <f>VLOOKUP($K735,[3]주!$A:$F,6,FALSE)</f>
        <v>3월 2주</v>
      </c>
      <c r="N735" s="273" t="str">
        <f>IF(VLOOKUP($Z735,생산업체!$A:$C,2,FALSE)=1,"해외","국내")</f>
        <v>해외</v>
      </c>
      <c r="O735" s="12" t="str">
        <f>IF(VLOOKUP($U735,CODE!$K:$P,CODE!P$1,FALSE)="모자",T735,T735&amp;"-"&amp;VLOOKUP($U735,CODE!$K:$P,CODE!P$1,FALSE))</f>
        <v>HCU</v>
      </c>
      <c r="P735" s="11" t="s">
        <v>57</v>
      </c>
      <c r="R735" s="11">
        <v>2</v>
      </c>
      <c r="T735" s="8" t="s">
        <v>57</v>
      </c>
      <c r="U735" s="8" t="s">
        <v>33</v>
      </c>
      <c r="V735" s="8" t="s">
        <v>43</v>
      </c>
      <c r="W735" s="8" t="s">
        <v>1359</v>
      </c>
      <c r="X735" s="8" t="s">
        <v>900</v>
      </c>
      <c r="Y735" s="9">
        <v>1</v>
      </c>
      <c r="Z735" s="8" t="s">
        <v>44</v>
      </c>
      <c r="AA735" s="10">
        <v>41680</v>
      </c>
      <c r="AB735" s="10">
        <v>41708</v>
      </c>
      <c r="AC735" s="10">
        <v>41717</v>
      </c>
      <c r="AD735" s="10">
        <v>41716</v>
      </c>
      <c r="AE735" s="8">
        <v>5.85</v>
      </c>
      <c r="AH735" s="8">
        <v>3</v>
      </c>
      <c r="AI735" s="8">
        <v>2</v>
      </c>
    </row>
    <row r="736" spans="1:35">
      <c r="A736" s="7">
        <f t="shared" si="207"/>
        <v>1</v>
      </c>
      <c r="B736" s="7" t="str">
        <f t="shared" si="208"/>
        <v>14FW H.coustic CAP-03_BK</v>
      </c>
      <c r="C736" s="7">
        <f t="shared" si="209"/>
        <v>1</v>
      </c>
      <c r="D736" s="7" t="str">
        <f t="shared" si="210"/>
        <v>동일모자14FW H.coustic CAP-03_BK</v>
      </c>
      <c r="E736" s="12" t="str">
        <f t="shared" si="211"/>
        <v>201402</v>
      </c>
      <c r="F736" s="347" t="str">
        <f>VLOOKUP($AA736,[3]주!$A:$F,6,FALSE)</f>
        <v>2월 2주</v>
      </c>
      <c r="G736" s="7">
        <f t="shared" si="212"/>
        <v>1</v>
      </c>
      <c r="H736" s="7" t="str">
        <f t="shared" si="213"/>
        <v>14FW H.coustic CAP-03_BK</v>
      </c>
      <c r="I736" s="7">
        <f t="shared" si="214"/>
        <v>1</v>
      </c>
      <c r="J736" s="7" t="str">
        <f t="shared" si="215"/>
        <v>동일모자14FW H.coustic CAP-03_BK</v>
      </c>
      <c r="K736" s="17">
        <f t="shared" si="216"/>
        <v>41716</v>
      </c>
      <c r="L736" s="12" t="str">
        <f t="shared" si="217"/>
        <v>201403</v>
      </c>
      <c r="M736" s="347" t="str">
        <f>VLOOKUP($K736,[3]주!$A:$F,6,FALSE)</f>
        <v>3월 2주</v>
      </c>
      <c r="N736" s="273" t="str">
        <f>IF(VLOOKUP($Z736,생산업체!$A:$C,2,FALSE)=1,"해외","국내")</f>
        <v>해외</v>
      </c>
      <c r="O736" s="12" t="str">
        <f>IF(VLOOKUP($U736,CODE!$K:$P,CODE!P$1,FALSE)="모자",T736,T736&amp;"-"&amp;VLOOKUP($U736,CODE!$K:$P,CODE!P$1,FALSE))</f>
        <v>HCU</v>
      </c>
      <c r="P736" s="11" t="s">
        <v>57</v>
      </c>
      <c r="R736" s="11">
        <v>3</v>
      </c>
      <c r="T736" s="8" t="s">
        <v>57</v>
      </c>
      <c r="U736" s="8" t="s">
        <v>33</v>
      </c>
      <c r="V736" s="8" t="s">
        <v>43</v>
      </c>
      <c r="W736" s="8" t="s">
        <v>1360</v>
      </c>
      <c r="X736" s="8" t="s">
        <v>900</v>
      </c>
      <c r="Y736" s="9">
        <v>1</v>
      </c>
      <c r="Z736" s="8" t="s">
        <v>44</v>
      </c>
      <c r="AA736" s="10">
        <v>41680</v>
      </c>
      <c r="AB736" s="10">
        <v>41708</v>
      </c>
      <c r="AC736" s="10">
        <v>41717</v>
      </c>
      <c r="AD736" s="10">
        <v>41716</v>
      </c>
      <c r="AE736" s="8">
        <v>5.6</v>
      </c>
      <c r="AH736" s="8">
        <v>3</v>
      </c>
      <c r="AI736" s="8">
        <v>2</v>
      </c>
    </row>
    <row r="737" spans="1:36">
      <c r="A737" s="7">
        <f t="shared" si="207"/>
        <v>1</v>
      </c>
      <c r="B737" s="7" t="str">
        <f t="shared" si="208"/>
        <v>14FW H.coustic CAP-04_NY</v>
      </c>
      <c r="C737" s="7">
        <f t="shared" si="209"/>
        <v>1</v>
      </c>
      <c r="D737" s="7" t="str">
        <f t="shared" si="210"/>
        <v>동일모자14FW H.coustic CAP-04_NY</v>
      </c>
      <c r="E737" s="12" t="str">
        <f t="shared" si="211"/>
        <v>201402</v>
      </c>
      <c r="F737" s="347" t="str">
        <f>VLOOKUP($AA737,[3]주!$A:$F,6,FALSE)</f>
        <v>2월 2주</v>
      </c>
      <c r="G737" s="7">
        <f t="shared" si="212"/>
        <v>1</v>
      </c>
      <c r="H737" s="7" t="str">
        <f t="shared" si="213"/>
        <v>14FW H.coustic CAP-04_NY</v>
      </c>
      <c r="I737" s="7">
        <f t="shared" si="214"/>
        <v>1</v>
      </c>
      <c r="J737" s="7" t="str">
        <f t="shared" si="215"/>
        <v>동일모자14FW H.coustic CAP-04_NY</v>
      </c>
      <c r="K737" s="17">
        <f t="shared" si="216"/>
        <v>41719</v>
      </c>
      <c r="L737" s="12" t="str">
        <f t="shared" si="217"/>
        <v>201403</v>
      </c>
      <c r="M737" s="347" t="str">
        <f>VLOOKUP($K737,[3]주!$A:$F,6,FALSE)</f>
        <v>3월 2주</v>
      </c>
      <c r="N737" s="273" t="str">
        <f>IF(VLOOKUP($Z737,생산업체!$A:$C,2,FALSE)=1,"해외","국내")</f>
        <v>해외</v>
      </c>
      <c r="O737" s="12" t="str">
        <f>IF(VLOOKUP($U737,CODE!$K:$P,CODE!P$1,FALSE)="모자",T737,T737&amp;"-"&amp;VLOOKUP($U737,CODE!$K:$P,CODE!P$1,FALSE))</f>
        <v>HCU</v>
      </c>
      <c r="P737" s="11" t="s">
        <v>57</v>
      </c>
      <c r="R737" s="11">
        <v>4</v>
      </c>
      <c r="T737" s="8" t="s">
        <v>57</v>
      </c>
      <c r="U737" s="8" t="s">
        <v>33</v>
      </c>
      <c r="V737" s="8" t="s">
        <v>43</v>
      </c>
      <c r="W737" s="8" t="s">
        <v>1361</v>
      </c>
      <c r="X737" s="8" t="s">
        <v>900</v>
      </c>
      <c r="Y737" s="9">
        <v>1</v>
      </c>
      <c r="Z737" s="8" t="s">
        <v>44</v>
      </c>
      <c r="AA737" s="10">
        <v>41680</v>
      </c>
      <c r="AB737" s="10">
        <v>41708</v>
      </c>
      <c r="AC737" s="10">
        <v>41717</v>
      </c>
      <c r="AD737" s="10">
        <v>41719</v>
      </c>
      <c r="AE737" s="8">
        <v>5.0999999999999996</v>
      </c>
      <c r="AH737" s="8">
        <v>4</v>
      </c>
      <c r="AI737" s="8">
        <v>2</v>
      </c>
    </row>
    <row r="738" spans="1:36">
      <c r="A738" s="7">
        <f t="shared" si="207"/>
        <v>1</v>
      </c>
      <c r="B738" s="7" t="str">
        <f t="shared" si="208"/>
        <v>14FW H.coustic CAP-05_GY</v>
      </c>
      <c r="C738" s="7">
        <f t="shared" si="209"/>
        <v>1</v>
      </c>
      <c r="D738" s="7" t="str">
        <f t="shared" si="210"/>
        <v>동일모자14FW H.coustic CAP-05_GY</v>
      </c>
      <c r="E738" s="12" t="str">
        <f t="shared" si="211"/>
        <v>201402</v>
      </c>
      <c r="F738" s="347" t="str">
        <f>VLOOKUP($AA738,[3]주!$A:$F,6,FALSE)</f>
        <v>2월 2주</v>
      </c>
      <c r="G738" s="7">
        <f t="shared" si="212"/>
        <v>1</v>
      </c>
      <c r="H738" s="7" t="str">
        <f t="shared" si="213"/>
        <v>14FW H.coustic CAP-05_GY</v>
      </c>
      <c r="I738" s="7">
        <f t="shared" si="214"/>
        <v>1</v>
      </c>
      <c r="J738" s="7" t="str">
        <f t="shared" si="215"/>
        <v>동일모자14FW H.coustic CAP-05_GY</v>
      </c>
      <c r="K738" s="17">
        <f t="shared" si="216"/>
        <v>41719</v>
      </c>
      <c r="L738" s="12" t="str">
        <f t="shared" si="217"/>
        <v>201403</v>
      </c>
      <c r="M738" s="347" t="str">
        <f>VLOOKUP($K738,[3]주!$A:$F,6,FALSE)</f>
        <v>3월 2주</v>
      </c>
      <c r="N738" s="273" t="str">
        <f>IF(VLOOKUP($Z738,생산업체!$A:$C,2,FALSE)=1,"해외","국내")</f>
        <v>해외</v>
      </c>
      <c r="O738" s="12" t="str">
        <f>IF(VLOOKUP($U738,CODE!$K:$P,CODE!P$1,FALSE)="모자",T738,T738&amp;"-"&amp;VLOOKUP($U738,CODE!$K:$P,CODE!P$1,FALSE))</f>
        <v>HCU</v>
      </c>
      <c r="P738" s="11" t="s">
        <v>57</v>
      </c>
      <c r="R738" s="11">
        <v>5</v>
      </c>
      <c r="T738" s="8" t="s">
        <v>57</v>
      </c>
      <c r="U738" s="8" t="s">
        <v>33</v>
      </c>
      <c r="V738" s="8" t="s">
        <v>43</v>
      </c>
      <c r="W738" s="8" t="s">
        <v>1362</v>
      </c>
      <c r="X738" s="8" t="s">
        <v>900</v>
      </c>
      <c r="Y738" s="9">
        <v>1</v>
      </c>
      <c r="Z738" s="8" t="s">
        <v>44</v>
      </c>
      <c r="AA738" s="10">
        <v>41680</v>
      </c>
      <c r="AB738" s="10">
        <v>41708</v>
      </c>
      <c r="AC738" s="10">
        <v>41717</v>
      </c>
      <c r="AD738" s="10">
        <v>41719</v>
      </c>
      <c r="AE738" s="8">
        <v>4.8</v>
      </c>
      <c r="AH738" s="8">
        <v>4</v>
      </c>
      <c r="AI738" s="8" t="s">
        <v>87</v>
      </c>
    </row>
    <row r="739" spans="1:36">
      <c r="A739" s="7">
        <f t="shared" si="207"/>
        <v>1</v>
      </c>
      <c r="B739" s="7" t="str">
        <f t="shared" si="208"/>
        <v>14FW H.coustic CAP-06_KH</v>
      </c>
      <c r="C739" s="7">
        <f t="shared" si="209"/>
        <v>1</v>
      </c>
      <c r="D739" s="7" t="str">
        <f t="shared" si="210"/>
        <v>동일모자14FW H.coustic CAP-06_KH</v>
      </c>
      <c r="E739" s="12" t="str">
        <f t="shared" si="211"/>
        <v>201402</v>
      </c>
      <c r="F739" s="347" t="str">
        <f>VLOOKUP($AA739,[3]주!$A:$F,6,FALSE)</f>
        <v>2월 2주</v>
      </c>
      <c r="G739" s="7">
        <f t="shared" si="212"/>
        <v>1</v>
      </c>
      <c r="H739" s="7" t="str">
        <f t="shared" si="213"/>
        <v>14FW H.coustic CAP-06_KH</v>
      </c>
      <c r="I739" s="7">
        <f t="shared" si="214"/>
        <v>1</v>
      </c>
      <c r="J739" s="7" t="str">
        <f t="shared" si="215"/>
        <v>동일모자14FW H.coustic CAP-06_KH</v>
      </c>
      <c r="K739" s="17">
        <f t="shared" si="216"/>
        <v>41716</v>
      </c>
      <c r="L739" s="12" t="str">
        <f t="shared" si="217"/>
        <v>201403</v>
      </c>
      <c r="M739" s="347" t="str">
        <f>VLOOKUP($K739,[3]주!$A:$F,6,FALSE)</f>
        <v>3월 2주</v>
      </c>
      <c r="N739" s="273" t="str">
        <f>IF(VLOOKUP($Z739,생산업체!$A:$C,2,FALSE)=1,"해외","국내")</f>
        <v>해외</v>
      </c>
      <c r="O739" s="12" t="str">
        <f>IF(VLOOKUP($U739,CODE!$K:$P,CODE!P$1,FALSE)="모자",T739,T739&amp;"-"&amp;VLOOKUP($U739,CODE!$K:$P,CODE!P$1,FALSE))</f>
        <v>HCU</v>
      </c>
      <c r="P739" s="11" t="s">
        <v>57</v>
      </c>
      <c r="R739" s="11">
        <v>6</v>
      </c>
      <c r="T739" s="8" t="s">
        <v>57</v>
      </c>
      <c r="U739" s="8" t="s">
        <v>33</v>
      </c>
      <c r="V739" s="8" t="s">
        <v>43</v>
      </c>
      <c r="W739" s="8" t="s">
        <v>1363</v>
      </c>
      <c r="X739" s="8" t="s">
        <v>900</v>
      </c>
      <c r="Y739" s="9">
        <v>1</v>
      </c>
      <c r="Z739" s="8" t="s">
        <v>44</v>
      </c>
      <c r="AA739" s="10">
        <v>41680</v>
      </c>
      <c r="AB739" s="10">
        <v>41708</v>
      </c>
      <c r="AC739" s="10">
        <v>41717</v>
      </c>
      <c r="AD739" s="10">
        <v>41716</v>
      </c>
      <c r="AE739" s="8">
        <v>5.6</v>
      </c>
      <c r="AH739" s="8">
        <v>4</v>
      </c>
      <c r="AI739" s="8">
        <v>3</v>
      </c>
    </row>
    <row r="740" spans="1:36">
      <c r="A740" s="7">
        <f t="shared" si="207"/>
        <v>1</v>
      </c>
      <c r="B740" s="7" t="str">
        <f t="shared" si="208"/>
        <v>14FW H.coustic CAP-07_KH</v>
      </c>
      <c r="C740" s="7">
        <f t="shared" si="209"/>
        <v>1</v>
      </c>
      <c r="D740" s="7" t="str">
        <f t="shared" si="210"/>
        <v>동일모자14FW H.coustic CAP-07_KH</v>
      </c>
      <c r="E740" s="12" t="str">
        <f t="shared" si="211"/>
        <v>201402</v>
      </c>
      <c r="F740" s="347" t="str">
        <f>VLOOKUP($AA740,[3]주!$A:$F,6,FALSE)</f>
        <v>2월 2주</v>
      </c>
      <c r="G740" s="7">
        <f t="shared" si="212"/>
        <v>1</v>
      </c>
      <c r="H740" s="7" t="str">
        <f t="shared" si="213"/>
        <v>14FW H.coustic CAP-07_KH</v>
      </c>
      <c r="I740" s="7">
        <f t="shared" si="214"/>
        <v>1</v>
      </c>
      <c r="J740" s="7" t="str">
        <f t="shared" si="215"/>
        <v>동일모자14FW H.coustic CAP-07_KH</v>
      </c>
      <c r="K740" s="17">
        <f t="shared" si="216"/>
        <v>41716</v>
      </c>
      <c r="L740" s="12" t="str">
        <f t="shared" si="217"/>
        <v>201403</v>
      </c>
      <c r="M740" s="347" t="str">
        <f>VLOOKUP($K740,[3]주!$A:$F,6,FALSE)</f>
        <v>3월 2주</v>
      </c>
      <c r="N740" s="273" t="str">
        <f>IF(VLOOKUP($Z740,생산업체!$A:$C,2,FALSE)=1,"해외","국내")</f>
        <v>해외</v>
      </c>
      <c r="O740" s="12" t="str">
        <f>IF(VLOOKUP($U740,CODE!$K:$P,CODE!P$1,FALSE)="모자",T740,T740&amp;"-"&amp;VLOOKUP($U740,CODE!$K:$P,CODE!P$1,FALSE))</f>
        <v>HCU</v>
      </c>
      <c r="P740" s="11" t="s">
        <v>57</v>
      </c>
      <c r="R740" s="11">
        <v>7</v>
      </c>
      <c r="T740" s="8" t="s">
        <v>57</v>
      </c>
      <c r="U740" s="8" t="s">
        <v>33</v>
      </c>
      <c r="V740" s="8" t="s">
        <v>43</v>
      </c>
      <c r="W740" s="8" t="s">
        <v>1364</v>
      </c>
      <c r="X740" s="8" t="s">
        <v>900</v>
      </c>
      <c r="Y740" s="9">
        <v>1</v>
      </c>
      <c r="Z740" s="8" t="s">
        <v>44</v>
      </c>
      <c r="AA740" s="10">
        <v>41680</v>
      </c>
      <c r="AB740" s="10">
        <v>41708</v>
      </c>
      <c r="AC740" s="10">
        <v>41717</v>
      </c>
      <c r="AD740" s="10">
        <v>41716</v>
      </c>
      <c r="AE740" s="8">
        <v>5.5</v>
      </c>
      <c r="AH740" s="8">
        <v>3</v>
      </c>
      <c r="AI740" s="8">
        <v>2</v>
      </c>
    </row>
    <row r="741" spans="1:36">
      <c r="A741" s="7">
        <f t="shared" si="207"/>
        <v>1</v>
      </c>
      <c r="B741" s="7" t="str">
        <f t="shared" si="208"/>
        <v>14FW_ELSTINKO_
DOWN JUMPER_01_RD</v>
      </c>
      <c r="C741" s="7">
        <f t="shared" si="209"/>
        <v>1</v>
      </c>
      <c r="D741" s="7" t="str">
        <f t="shared" si="210"/>
        <v>대경14FW_ELSTINKO_
DOWN JUMPER_01_RD</v>
      </c>
      <c r="E741" s="12" t="str">
        <f t="shared" si="211"/>
        <v>201401</v>
      </c>
      <c r="F741" s="347" t="str">
        <f>VLOOKUP($AA741,[3]주!$A:$F,6,FALSE)</f>
        <v>1월 3주</v>
      </c>
      <c r="G741" s="7">
        <f t="shared" si="212"/>
        <v>1</v>
      </c>
      <c r="H741" s="7" t="str">
        <f t="shared" si="213"/>
        <v>14FW_ELSTINKO_
DOWN JUMPER_01_RD</v>
      </c>
      <c r="I741" s="7">
        <f t="shared" si="214"/>
        <v>1</v>
      </c>
      <c r="J741" s="7" t="str">
        <f t="shared" si="215"/>
        <v>대경14FW_ELSTINKO_
DOWN JUMPER_01_RD</v>
      </c>
      <c r="K741" s="17">
        <f t="shared" si="216"/>
        <v>41689</v>
      </c>
      <c r="L741" s="12" t="str">
        <f t="shared" si="217"/>
        <v>201402</v>
      </c>
      <c r="M741" s="347" t="str">
        <f>VLOOKUP($K741,[3]주!$A:$F,6,FALSE)</f>
        <v>2월 3주</v>
      </c>
      <c r="N741" s="273" t="str">
        <f>IF(VLOOKUP($Z741,생산업체!$A:$C,2,FALSE)=1,"해외","국내")</f>
        <v>해외</v>
      </c>
      <c r="O741" s="12" t="str">
        <f>IF(VLOOKUP($U741,CODE!$K:$P,CODE!P$1,FALSE)="모자",T741,T741&amp;"-"&amp;VLOOKUP($U741,CODE!$K:$P,CODE!P$1,FALSE))</f>
        <v>ELS-의류</v>
      </c>
      <c r="P741" s="11" t="s">
        <v>41</v>
      </c>
      <c r="R741" s="11">
        <v>8</v>
      </c>
      <c r="T741" s="8" t="s">
        <v>3</v>
      </c>
      <c r="U741" s="8" t="s">
        <v>26</v>
      </c>
      <c r="V741" s="8" t="s">
        <v>43</v>
      </c>
      <c r="W741" s="8" t="s">
        <v>1400</v>
      </c>
      <c r="X741" s="8" t="s">
        <v>900</v>
      </c>
      <c r="Y741" s="9">
        <v>1</v>
      </c>
      <c r="Z741" s="8" t="s">
        <v>1401</v>
      </c>
      <c r="AA741" s="10">
        <v>41653</v>
      </c>
      <c r="AB741" s="10">
        <v>41681</v>
      </c>
      <c r="AC741" s="10">
        <v>41690</v>
      </c>
      <c r="AD741" s="10">
        <v>41689</v>
      </c>
      <c r="AE741" s="8">
        <v>43.6</v>
      </c>
      <c r="AF741" s="8">
        <v>49638.6</v>
      </c>
      <c r="AG741" s="8" t="s">
        <v>1402</v>
      </c>
      <c r="AJ741" s="8" t="s">
        <v>1689</v>
      </c>
    </row>
    <row r="742" spans="1:36">
      <c r="A742" s="7">
        <f t="shared" si="207"/>
        <v>1</v>
      </c>
      <c r="B742" s="7" t="str">
        <f t="shared" si="208"/>
        <v>14FW_ELSTINKO_
DOWN JUMPER_02_BK</v>
      </c>
      <c r="C742" s="7">
        <f t="shared" si="209"/>
        <v>1</v>
      </c>
      <c r="D742" s="7" t="str">
        <f t="shared" si="210"/>
        <v>대경14FW_ELSTINKO_
DOWN JUMPER_02_BK</v>
      </c>
      <c r="E742" s="12" t="str">
        <f t="shared" si="211"/>
        <v>201401</v>
      </c>
      <c r="F742" s="347" t="str">
        <f>VLOOKUP($AA742,[3]주!$A:$F,6,FALSE)</f>
        <v>1월 1주</v>
      </c>
      <c r="G742" s="7">
        <f t="shared" si="212"/>
        <v>1</v>
      </c>
      <c r="H742" s="7" t="str">
        <f t="shared" si="213"/>
        <v>14FW_ELSTINKO_
DOWN JUMPER_02_BK</v>
      </c>
      <c r="I742" s="7">
        <f t="shared" si="214"/>
        <v>1</v>
      </c>
      <c r="J742" s="7" t="str">
        <f t="shared" si="215"/>
        <v>대경14FW_ELSTINKO_
DOWN JUMPER_02_BK</v>
      </c>
      <c r="K742" s="17">
        <f t="shared" si="216"/>
        <v>41689</v>
      </c>
      <c r="L742" s="12" t="str">
        <f t="shared" si="217"/>
        <v>201402</v>
      </c>
      <c r="M742" s="347" t="str">
        <f>VLOOKUP($K742,[3]주!$A:$F,6,FALSE)</f>
        <v>2월 3주</v>
      </c>
      <c r="N742" s="273" t="str">
        <f>IF(VLOOKUP($Z742,생산업체!$A:$C,2,FALSE)=1,"해외","국내")</f>
        <v>해외</v>
      </c>
      <c r="O742" s="12" t="str">
        <f>IF(VLOOKUP($U742,CODE!$K:$P,CODE!P$1,FALSE)="모자",T742,T742&amp;"-"&amp;VLOOKUP($U742,CODE!$K:$P,CODE!P$1,FALSE))</f>
        <v>ELS-의류</v>
      </c>
      <c r="P742" s="11" t="s">
        <v>41</v>
      </c>
      <c r="R742" s="11">
        <v>9</v>
      </c>
      <c r="T742" s="8" t="s">
        <v>3</v>
      </c>
      <c r="U742" s="8" t="s">
        <v>26</v>
      </c>
      <c r="V742" s="8" t="s">
        <v>43</v>
      </c>
      <c r="W742" s="8" t="s">
        <v>1403</v>
      </c>
      <c r="X742" s="8" t="s">
        <v>900</v>
      </c>
      <c r="Y742" s="9">
        <v>1</v>
      </c>
      <c r="Z742" s="8" t="s">
        <v>1401</v>
      </c>
      <c r="AA742" s="10">
        <v>41643</v>
      </c>
      <c r="AB742" s="10">
        <v>41671</v>
      </c>
      <c r="AC742" s="10">
        <v>41690</v>
      </c>
      <c r="AD742" s="10">
        <v>41689</v>
      </c>
      <c r="AE742" s="8">
        <v>44.37</v>
      </c>
      <c r="AF742" s="8">
        <v>50515.244999999995</v>
      </c>
      <c r="AJ742" s="8" t="s">
        <v>1690</v>
      </c>
    </row>
    <row r="743" spans="1:36">
      <c r="A743" s="7">
        <f t="shared" si="207"/>
        <v>1</v>
      </c>
      <c r="B743" s="7" t="str">
        <f t="shared" si="208"/>
        <v>14FW_ELSTINKO_
DOWN_JUMPER_03_NV</v>
      </c>
      <c r="C743" s="7">
        <f t="shared" si="209"/>
        <v>1</v>
      </c>
      <c r="D743" s="7" t="str">
        <f t="shared" si="210"/>
        <v>대경14FW_ELSTINKO_
DOWN_JUMPER_03_NV</v>
      </c>
      <c r="E743" s="12" t="str">
        <f t="shared" si="211"/>
        <v>201401</v>
      </c>
      <c r="F743" s="347" t="str">
        <f>VLOOKUP($AA743,[3]주!$A:$F,6,FALSE)</f>
        <v>1월 3주</v>
      </c>
      <c r="G743" s="7">
        <f t="shared" si="212"/>
        <v>1</v>
      </c>
      <c r="H743" s="7" t="str">
        <f t="shared" si="213"/>
        <v>14FW_ELSTINKO_
DOWN_JUMPER_03_NV</v>
      </c>
      <c r="I743" s="7">
        <f t="shared" si="214"/>
        <v>1</v>
      </c>
      <c r="J743" s="7" t="str">
        <f t="shared" si="215"/>
        <v>대경14FW_ELSTINKO_
DOWN_JUMPER_03_NV</v>
      </c>
      <c r="K743" s="17">
        <f t="shared" si="216"/>
        <v>41689</v>
      </c>
      <c r="L743" s="12" t="str">
        <f t="shared" si="217"/>
        <v>201402</v>
      </c>
      <c r="M743" s="347" t="str">
        <f>VLOOKUP($K743,[3]주!$A:$F,6,FALSE)</f>
        <v>2월 3주</v>
      </c>
      <c r="N743" s="273" t="str">
        <f>IF(VLOOKUP($Z743,생산업체!$A:$C,2,FALSE)=1,"해외","국내")</f>
        <v>해외</v>
      </c>
      <c r="O743" s="12" t="str">
        <f>IF(VLOOKUP($U743,CODE!$K:$P,CODE!P$1,FALSE)="모자",T743,T743&amp;"-"&amp;VLOOKUP($U743,CODE!$K:$P,CODE!P$1,FALSE))</f>
        <v>ELS-의류</v>
      </c>
      <c r="P743" s="11" t="s">
        <v>41</v>
      </c>
      <c r="R743" s="11">
        <v>10</v>
      </c>
      <c r="T743" s="8" t="s">
        <v>3</v>
      </c>
      <c r="U743" s="8" t="s">
        <v>26</v>
      </c>
      <c r="V743" s="8" t="s">
        <v>43</v>
      </c>
      <c r="W743" s="8" t="s">
        <v>1404</v>
      </c>
      <c r="X743" s="8" t="s">
        <v>900</v>
      </c>
      <c r="Y743" s="9">
        <v>1</v>
      </c>
      <c r="Z743" s="8" t="s">
        <v>1401</v>
      </c>
      <c r="AA743" s="10">
        <v>41653</v>
      </c>
      <c r="AB743" s="10">
        <v>41681</v>
      </c>
      <c r="AC743" s="10">
        <v>41690</v>
      </c>
      <c r="AD743" s="10">
        <v>41689</v>
      </c>
      <c r="AE743" s="8">
        <v>41.62</v>
      </c>
      <c r="AF743" s="8">
        <v>47384.369999999995</v>
      </c>
      <c r="AJ743" s="8" t="s">
        <v>1691</v>
      </c>
    </row>
    <row r="744" spans="1:36">
      <c r="A744" s="7">
        <f t="shared" si="207"/>
        <v>1</v>
      </c>
      <c r="B744" s="7" t="str">
        <f t="shared" si="208"/>
        <v>14FW_ELSTINKO_
DOWN_JUMPER_04_BK</v>
      </c>
      <c r="C744" s="7">
        <f t="shared" si="209"/>
        <v>1</v>
      </c>
      <c r="D744" s="7" t="str">
        <f t="shared" si="210"/>
        <v>대경14FW_ELSTINKO_
DOWN_JUMPER_04_BK</v>
      </c>
      <c r="E744" s="12" t="str">
        <f t="shared" si="211"/>
        <v>201401</v>
      </c>
      <c r="F744" s="347" t="str">
        <f>VLOOKUP($AA744,[3]주!$A:$F,6,FALSE)</f>
        <v>1월 3주</v>
      </c>
      <c r="G744" s="7">
        <f t="shared" si="212"/>
        <v>1</v>
      </c>
      <c r="H744" s="7" t="str">
        <f t="shared" si="213"/>
        <v>14FW_ELSTINKO_
DOWN_JUMPER_04_BK</v>
      </c>
      <c r="I744" s="7">
        <f t="shared" si="214"/>
        <v>1</v>
      </c>
      <c r="J744" s="7" t="str">
        <f t="shared" si="215"/>
        <v>대경14FW_ELSTINKO_
DOWN_JUMPER_04_BK</v>
      </c>
      <c r="K744" s="17">
        <f t="shared" si="216"/>
        <v>41689</v>
      </c>
      <c r="L744" s="12" t="str">
        <f t="shared" si="217"/>
        <v>201402</v>
      </c>
      <c r="M744" s="347" t="str">
        <f>VLOOKUP($K744,[3]주!$A:$F,6,FALSE)</f>
        <v>2월 3주</v>
      </c>
      <c r="N744" s="273" t="str">
        <f>IF(VLOOKUP($Z744,생산업체!$A:$C,2,FALSE)=1,"해외","국내")</f>
        <v>해외</v>
      </c>
      <c r="O744" s="12" t="str">
        <f>IF(VLOOKUP($U744,CODE!$K:$P,CODE!P$1,FALSE)="모자",T744,T744&amp;"-"&amp;VLOOKUP($U744,CODE!$K:$P,CODE!P$1,FALSE))</f>
        <v>ELS-의류</v>
      </c>
      <c r="P744" s="11" t="s">
        <v>41</v>
      </c>
      <c r="R744" s="11">
        <v>11</v>
      </c>
      <c r="T744" s="8" t="s">
        <v>3</v>
      </c>
      <c r="U744" s="8" t="s">
        <v>26</v>
      </c>
      <c r="V744" s="8" t="s">
        <v>43</v>
      </c>
      <c r="W744" s="8" t="s">
        <v>1405</v>
      </c>
      <c r="X744" s="8" t="s">
        <v>900</v>
      </c>
      <c r="Y744" s="9">
        <v>1</v>
      </c>
      <c r="Z744" s="8" t="s">
        <v>1401</v>
      </c>
      <c r="AA744" s="10">
        <v>41653</v>
      </c>
      <c r="AB744" s="10">
        <v>41681</v>
      </c>
      <c r="AC744" s="10">
        <v>41690</v>
      </c>
      <c r="AD744" s="10">
        <v>41689</v>
      </c>
      <c r="AE744" s="8">
        <v>50.24</v>
      </c>
      <c r="AF744" s="8">
        <v>57198.239999999998</v>
      </c>
      <c r="AJ744" s="8" t="s">
        <v>1692</v>
      </c>
    </row>
    <row r="745" spans="1:36">
      <c r="A745" s="7">
        <f t="shared" si="207"/>
        <v>1</v>
      </c>
      <c r="B745" s="7" t="str">
        <f t="shared" si="208"/>
        <v>14FW_ELSTINKO_
DOWN_JUMPER_03_OR_KIDS</v>
      </c>
      <c r="C745" s="7">
        <f t="shared" si="209"/>
        <v>1</v>
      </c>
      <c r="D745" s="7" t="str">
        <f t="shared" si="210"/>
        <v>대경14FW_ELSTINKO_
DOWN_JUMPER_03_OR_KIDS</v>
      </c>
      <c r="E745" s="12" t="str">
        <f t="shared" si="211"/>
        <v>201401</v>
      </c>
      <c r="F745" s="347" t="str">
        <f>VLOOKUP($AA745,[3]주!$A:$F,6,FALSE)</f>
        <v>1월 3주</v>
      </c>
      <c r="G745" s="7">
        <f t="shared" si="212"/>
        <v>1</v>
      </c>
      <c r="H745" s="7" t="str">
        <f t="shared" si="213"/>
        <v>14FW_ELSTINKO_
DOWN_JUMPER_03_OR_KIDS</v>
      </c>
      <c r="I745" s="7">
        <f t="shared" si="214"/>
        <v>1</v>
      </c>
      <c r="J745" s="7" t="str">
        <f t="shared" si="215"/>
        <v>대경14FW_ELSTINKO_
DOWN_JUMPER_03_OR_KIDS</v>
      </c>
      <c r="K745" s="17">
        <f t="shared" si="216"/>
        <v>41689</v>
      </c>
      <c r="L745" s="12" t="str">
        <f t="shared" si="217"/>
        <v>201402</v>
      </c>
      <c r="M745" s="347" t="str">
        <f>VLOOKUP($K745,[3]주!$A:$F,6,FALSE)</f>
        <v>2월 3주</v>
      </c>
      <c r="N745" s="273" t="str">
        <f>IF(VLOOKUP($Z745,생산업체!$A:$C,2,FALSE)=1,"해외","국내")</f>
        <v>해외</v>
      </c>
      <c r="O745" s="12" t="str">
        <f>IF(VLOOKUP($U745,CODE!$K:$P,CODE!P$1,FALSE)="모자",T745,T745&amp;"-"&amp;VLOOKUP($U745,CODE!$K:$P,CODE!P$1,FALSE))</f>
        <v>ELS-의류</v>
      </c>
      <c r="P745" s="11" t="s">
        <v>41</v>
      </c>
      <c r="R745" s="11">
        <v>12</v>
      </c>
      <c r="T745" s="8" t="s">
        <v>3</v>
      </c>
      <c r="U745" s="8" t="s">
        <v>26</v>
      </c>
      <c r="V745" s="8" t="s">
        <v>43</v>
      </c>
      <c r="W745" s="8" t="s">
        <v>1406</v>
      </c>
      <c r="X745" s="8" t="s">
        <v>905</v>
      </c>
      <c r="Y745" s="9">
        <v>1</v>
      </c>
      <c r="Z745" s="8" t="s">
        <v>1401</v>
      </c>
      <c r="AA745" s="10">
        <v>41653</v>
      </c>
      <c r="AB745" s="10">
        <v>41681</v>
      </c>
      <c r="AC745" s="10">
        <v>41690</v>
      </c>
      <c r="AD745" s="10">
        <v>41689</v>
      </c>
      <c r="AE745" s="8">
        <v>40.520000000000003</v>
      </c>
      <c r="AF745" s="8">
        <v>46132.02</v>
      </c>
      <c r="AJ745" s="8" t="s">
        <v>1693</v>
      </c>
    </row>
    <row r="746" spans="1:36">
      <c r="A746" s="7">
        <f t="shared" si="207"/>
        <v>1</v>
      </c>
      <c r="B746" s="7" t="str">
        <f t="shared" si="208"/>
        <v>14FW VB_MTM_01_BK</v>
      </c>
      <c r="C746" s="7">
        <f t="shared" si="209"/>
        <v>1</v>
      </c>
      <c r="D746" s="7" t="str">
        <f t="shared" si="210"/>
        <v>아트인드림14FW VB_MTM_01_BK</v>
      </c>
      <c r="E746" s="12" t="str">
        <f t="shared" si="211"/>
        <v>201402</v>
      </c>
      <c r="F746" s="347" t="str">
        <f>VLOOKUP($AA746,[3]주!$A:$F,6,FALSE)</f>
        <v>2월 2주</v>
      </c>
      <c r="G746" s="7">
        <f t="shared" si="212"/>
        <v>1</v>
      </c>
      <c r="H746" s="7" t="str">
        <f t="shared" si="213"/>
        <v>14FW VB_MTM_01_BK</v>
      </c>
      <c r="I746" s="7">
        <f t="shared" si="214"/>
        <v>1</v>
      </c>
      <c r="J746" s="7" t="str">
        <f t="shared" si="215"/>
        <v>아트인드림14FW VB_MTM_01_BK</v>
      </c>
      <c r="K746" s="17">
        <f t="shared" si="216"/>
        <v>41703</v>
      </c>
      <c r="L746" s="12" t="str">
        <f t="shared" si="217"/>
        <v>201403</v>
      </c>
      <c r="M746" s="347" t="str">
        <f>VLOOKUP($K746,[3]주!$A:$F,6,FALSE)</f>
        <v>3월 1주</v>
      </c>
      <c r="N746" s="273" t="str">
        <f>IF(VLOOKUP($Z746,생산업체!$A:$C,2,FALSE)=1,"해외","국내")</f>
        <v>국내</v>
      </c>
      <c r="O746" s="12" t="str">
        <f>IF(VLOOKUP($U746,CODE!$K:$P,CODE!P$1,FALSE)="모자",T746,T746&amp;"-"&amp;VLOOKUP($U746,CODE!$K:$P,CODE!P$1,FALSE))</f>
        <v>VBL-의류</v>
      </c>
      <c r="P746" s="11" t="s">
        <v>1407</v>
      </c>
      <c r="R746" s="11">
        <v>13</v>
      </c>
      <c r="T746" s="8" t="s">
        <v>39</v>
      </c>
      <c r="U746" s="8" t="s">
        <v>27</v>
      </c>
      <c r="V746" s="8" t="s">
        <v>43</v>
      </c>
      <c r="W746" s="8" t="s">
        <v>1408</v>
      </c>
      <c r="X746" s="8" t="s">
        <v>900</v>
      </c>
      <c r="Y746" s="9">
        <v>1</v>
      </c>
      <c r="Z746" s="8" t="s">
        <v>1409</v>
      </c>
      <c r="AA746" s="10">
        <v>41683</v>
      </c>
      <c r="AB746" s="10">
        <v>41704</v>
      </c>
      <c r="AC746" s="10">
        <v>41704</v>
      </c>
      <c r="AD746" s="10">
        <v>41703</v>
      </c>
      <c r="AF746" s="8">
        <v>18600</v>
      </c>
      <c r="AJ746" s="8" t="s">
        <v>1694</v>
      </c>
    </row>
    <row r="747" spans="1:36">
      <c r="A747" s="7">
        <f t="shared" si="207"/>
        <v>1</v>
      </c>
      <c r="B747" s="7" t="str">
        <f t="shared" si="208"/>
        <v>14FW VB_MTM_02_GY</v>
      </c>
      <c r="C747" s="7">
        <f t="shared" si="209"/>
        <v>1</v>
      </c>
      <c r="D747" s="7" t="str">
        <f t="shared" si="210"/>
        <v>아트인드림14FW VB_MTM_02_GY</v>
      </c>
      <c r="E747" s="12" t="str">
        <f t="shared" si="211"/>
        <v>201402</v>
      </c>
      <c r="F747" s="347" t="str">
        <f>VLOOKUP($AA747,[3]주!$A:$F,6,FALSE)</f>
        <v>2월 2주</v>
      </c>
      <c r="G747" s="7">
        <f t="shared" si="212"/>
        <v>1</v>
      </c>
      <c r="H747" s="7" t="str">
        <f t="shared" si="213"/>
        <v>14FW VB_MTM_02_GY</v>
      </c>
      <c r="I747" s="7">
        <f t="shared" si="214"/>
        <v>1</v>
      </c>
      <c r="J747" s="7" t="str">
        <f t="shared" si="215"/>
        <v>아트인드림14FW VB_MTM_02_GY</v>
      </c>
      <c r="K747" s="17">
        <f t="shared" si="216"/>
        <v>41704</v>
      </c>
      <c r="L747" s="12" t="str">
        <f t="shared" si="217"/>
        <v>201403</v>
      </c>
      <c r="M747" s="347" t="str">
        <f>VLOOKUP($K747,[3]주!$A:$F,6,FALSE)</f>
        <v>3월 1주</v>
      </c>
      <c r="N747" s="273" t="str">
        <f>IF(VLOOKUP($Z747,생산업체!$A:$C,2,FALSE)=1,"해외","국내")</f>
        <v>국내</v>
      </c>
      <c r="O747" s="12" t="str">
        <f>IF(VLOOKUP($U747,CODE!$K:$P,CODE!P$1,FALSE)="모자",T747,T747&amp;"-"&amp;VLOOKUP($U747,CODE!$K:$P,CODE!P$1,FALSE))</f>
        <v>VBL-의류</v>
      </c>
      <c r="P747" s="11" t="s">
        <v>1407</v>
      </c>
      <c r="R747" s="11">
        <v>14</v>
      </c>
      <c r="T747" s="8" t="s">
        <v>39</v>
      </c>
      <c r="U747" s="8" t="s">
        <v>27</v>
      </c>
      <c r="V747" s="8" t="s">
        <v>43</v>
      </c>
      <c r="W747" s="8" t="s">
        <v>1410</v>
      </c>
      <c r="X747" s="8" t="s">
        <v>900</v>
      </c>
      <c r="Y747" s="9">
        <v>1</v>
      </c>
      <c r="Z747" s="8" t="s">
        <v>1409</v>
      </c>
      <c r="AA747" s="10">
        <v>41683</v>
      </c>
      <c r="AB747" s="10">
        <v>41704</v>
      </c>
      <c r="AC747" s="10">
        <v>41704</v>
      </c>
      <c r="AD747" s="10">
        <v>41704</v>
      </c>
      <c r="AF747" s="8">
        <v>17500</v>
      </c>
      <c r="AJ747" s="8" t="s">
        <v>1695</v>
      </c>
    </row>
    <row r="748" spans="1:36">
      <c r="A748" s="7">
        <f t="shared" si="207"/>
        <v>0.5</v>
      </c>
      <c r="B748" s="7" t="str">
        <f t="shared" si="208"/>
        <v>14FW VB_MTM_03_NV</v>
      </c>
      <c r="C748" s="7">
        <f t="shared" si="209"/>
        <v>0.5</v>
      </c>
      <c r="D748" s="7" t="str">
        <f t="shared" si="210"/>
        <v>아트인드림14FW VB_MTM_03_NV</v>
      </c>
      <c r="E748" s="12" t="str">
        <f t="shared" si="211"/>
        <v>201402</v>
      </c>
      <c r="F748" s="347" t="str">
        <f>VLOOKUP($AA748,[3]주!$A:$F,6,FALSE)</f>
        <v>2월 2주</v>
      </c>
      <c r="G748" s="7">
        <f t="shared" si="212"/>
        <v>0.5</v>
      </c>
      <c r="H748" s="7" t="str">
        <f t="shared" si="213"/>
        <v>14FW VB_MTM_03_NV</v>
      </c>
      <c r="I748" s="7">
        <f t="shared" si="214"/>
        <v>0.5</v>
      </c>
      <c r="J748" s="7" t="str">
        <f t="shared" si="215"/>
        <v>아트인드림14FW VB_MTM_03_NV</v>
      </c>
      <c r="K748" s="17">
        <f t="shared" si="216"/>
        <v>41703</v>
      </c>
      <c r="L748" s="12" t="str">
        <f t="shared" si="217"/>
        <v>201403</v>
      </c>
      <c r="M748" s="347" t="str">
        <f>VLOOKUP($K748,[3]주!$A:$F,6,FALSE)</f>
        <v>3월 1주</v>
      </c>
      <c r="N748" s="273" t="str">
        <f>IF(VLOOKUP($Z748,생산업체!$A:$C,2,FALSE)=1,"해외","국내")</f>
        <v>국내</v>
      </c>
      <c r="O748" s="12" t="str">
        <f>IF(VLOOKUP($U748,CODE!$K:$P,CODE!P$1,FALSE)="모자",T748,T748&amp;"-"&amp;VLOOKUP($U748,CODE!$K:$P,CODE!P$1,FALSE))</f>
        <v>VBL-의류</v>
      </c>
      <c r="P748" s="11" t="s">
        <v>1407</v>
      </c>
      <c r="R748" s="11">
        <v>15</v>
      </c>
      <c r="T748" s="8" t="s">
        <v>39</v>
      </c>
      <c r="U748" s="8" t="s">
        <v>27</v>
      </c>
      <c r="V748" s="8" t="s">
        <v>43</v>
      </c>
      <c r="W748" s="8" t="s">
        <v>1411</v>
      </c>
      <c r="X748" s="8" t="s">
        <v>900</v>
      </c>
      <c r="Y748" s="9">
        <v>0.5</v>
      </c>
      <c r="Z748" s="8" t="s">
        <v>1409</v>
      </c>
      <c r="AA748" s="10">
        <v>41683</v>
      </c>
      <c r="AB748" s="10">
        <v>41704</v>
      </c>
      <c r="AC748" s="10">
        <v>41704</v>
      </c>
      <c r="AD748" s="10">
        <v>41703</v>
      </c>
      <c r="AF748" s="8">
        <v>18400</v>
      </c>
      <c r="AJ748" s="8" t="s">
        <v>1696</v>
      </c>
    </row>
    <row r="749" spans="1:36">
      <c r="A749" s="7">
        <f t="shared" si="207"/>
        <v>0.5</v>
      </c>
      <c r="B749" s="7" t="str">
        <f t="shared" si="208"/>
        <v>14FW VB_MTM_03_NV</v>
      </c>
      <c r="C749" s="7">
        <f t="shared" si="209"/>
        <v>0.5</v>
      </c>
      <c r="D749" s="7" t="str">
        <f t="shared" si="210"/>
        <v>아트인드림14FW VB_MTM_03_NV</v>
      </c>
      <c r="E749" s="12" t="str">
        <f t="shared" si="211"/>
        <v>201402</v>
      </c>
      <c r="F749" s="347" t="str">
        <f>VLOOKUP($AA749,[3]주!$A:$F,6,FALSE)</f>
        <v>2월 2주</v>
      </c>
      <c r="G749" s="7">
        <f t="shared" si="212"/>
        <v>0.5</v>
      </c>
      <c r="H749" s="7" t="str">
        <f t="shared" si="213"/>
        <v>14FW VB_MTM_03_NV</v>
      </c>
      <c r="I749" s="7">
        <f t="shared" si="214"/>
        <v>0.5</v>
      </c>
      <c r="J749" s="7" t="str">
        <f t="shared" si="215"/>
        <v>아트인드림14FW VB_MTM_03_NV</v>
      </c>
      <c r="K749" s="17">
        <f t="shared" si="216"/>
        <v>41729</v>
      </c>
      <c r="L749" s="12" t="str">
        <f t="shared" si="217"/>
        <v>201403</v>
      </c>
      <c r="M749" s="347" t="str">
        <f>VLOOKUP($K749,[3]주!$A:$F,6,FALSE)</f>
        <v>3월 2주</v>
      </c>
      <c r="N749" s="273" t="str">
        <f>IF(VLOOKUP($Z749,생산업체!$A:$C,2,FALSE)=1,"해외","국내")</f>
        <v>국내</v>
      </c>
      <c r="O749" s="12" t="str">
        <f>IF(VLOOKUP($U749,CODE!$K:$P,CODE!P$1,FALSE)="모자",T749,T749&amp;"-"&amp;VLOOKUP($U749,CODE!$K:$P,CODE!P$1,FALSE))</f>
        <v>VBL-의류</v>
      </c>
      <c r="P749" s="11" t="s">
        <v>1407</v>
      </c>
      <c r="R749" s="11">
        <v>16</v>
      </c>
      <c r="T749" s="8" t="s">
        <v>39</v>
      </c>
      <c r="U749" s="8" t="s">
        <v>27</v>
      </c>
      <c r="V749" s="8" t="s">
        <v>43</v>
      </c>
      <c r="W749" s="8" t="s">
        <v>1411</v>
      </c>
      <c r="X749" s="8" t="s">
        <v>900</v>
      </c>
      <c r="Y749" s="9">
        <v>0.5</v>
      </c>
      <c r="Z749" s="8" t="s">
        <v>1409</v>
      </c>
      <c r="AA749" s="10">
        <v>41683</v>
      </c>
      <c r="AB749" s="10">
        <v>41704</v>
      </c>
      <c r="AC749" s="10">
        <v>41704</v>
      </c>
      <c r="AD749" s="10">
        <v>41729</v>
      </c>
      <c r="AF749" s="8">
        <v>17900</v>
      </c>
      <c r="AJ749" s="8" t="s">
        <v>1697</v>
      </c>
    </row>
    <row r="750" spans="1:36">
      <c r="A750" s="7">
        <f t="shared" si="207"/>
        <v>1</v>
      </c>
      <c r="B750" s="7" t="str">
        <f t="shared" si="208"/>
        <v>14FW_VB_DOWN JUMPER_01_GY</v>
      </c>
      <c r="C750" s="7">
        <f t="shared" si="209"/>
        <v>1</v>
      </c>
      <c r="D750" s="7" t="str">
        <f t="shared" si="210"/>
        <v>대경14FW_VB_DOWN JUMPER_01_GY</v>
      </c>
      <c r="E750" s="12" t="str">
        <f t="shared" si="211"/>
        <v>201402</v>
      </c>
      <c r="F750" s="347" t="str">
        <f>VLOOKUP($AA750,[3]주!$A:$F,6,FALSE)</f>
        <v>2월 2주</v>
      </c>
      <c r="G750" s="7">
        <f t="shared" si="212"/>
        <v>1</v>
      </c>
      <c r="H750" s="7" t="str">
        <f t="shared" si="213"/>
        <v>14FW_VB_DOWN JUMPER_01_GY</v>
      </c>
      <c r="I750" s="7">
        <f t="shared" si="214"/>
        <v>1</v>
      </c>
      <c r="J750" s="7" t="str">
        <f t="shared" si="215"/>
        <v>대경14FW_VB_DOWN JUMPER_01_GY</v>
      </c>
      <c r="K750" s="17">
        <f t="shared" si="216"/>
        <v>41719</v>
      </c>
      <c r="L750" s="12" t="str">
        <f t="shared" si="217"/>
        <v>201403</v>
      </c>
      <c r="M750" s="347" t="str">
        <f>VLOOKUP($K750,[3]주!$A:$F,6,FALSE)</f>
        <v>3월 2주</v>
      </c>
      <c r="N750" s="273" t="str">
        <f>IF(VLOOKUP($Z750,생산업체!$A:$C,2,FALSE)=1,"해외","국내")</f>
        <v>해외</v>
      </c>
      <c r="O750" s="12" t="str">
        <f>IF(VLOOKUP($U750,CODE!$K:$P,CODE!P$1,FALSE)="모자",T750,T750&amp;"-"&amp;VLOOKUP($U750,CODE!$K:$P,CODE!P$1,FALSE))</f>
        <v>VBL-의류</v>
      </c>
      <c r="P750" s="11" t="s">
        <v>1407</v>
      </c>
      <c r="R750" s="11">
        <v>17</v>
      </c>
      <c r="T750" s="8" t="s">
        <v>39</v>
      </c>
      <c r="U750" s="8" t="s">
        <v>26</v>
      </c>
      <c r="V750" s="8" t="s">
        <v>43</v>
      </c>
      <c r="W750" s="8" t="s">
        <v>1412</v>
      </c>
      <c r="X750" s="8" t="s">
        <v>900</v>
      </c>
      <c r="Y750" s="9">
        <v>1</v>
      </c>
      <c r="Z750" s="8" t="s">
        <v>1401</v>
      </c>
      <c r="AA750" s="10">
        <v>41680</v>
      </c>
      <c r="AB750" s="10">
        <v>41708</v>
      </c>
      <c r="AC750" s="10">
        <v>41719</v>
      </c>
      <c r="AD750" s="10">
        <v>41719</v>
      </c>
      <c r="AE750" s="8">
        <v>44.2</v>
      </c>
      <c r="AF750" s="8">
        <v>50321.7</v>
      </c>
    </row>
    <row r="751" spans="1:36">
      <c r="A751" s="7">
        <f t="shared" si="207"/>
        <v>1</v>
      </c>
      <c r="B751" s="7" t="str">
        <f t="shared" si="208"/>
        <v>14FW ELSTINKO_HOOD_01_GR_KIDS</v>
      </c>
      <c r="C751" s="7">
        <f t="shared" si="209"/>
        <v>1</v>
      </c>
      <c r="D751" s="7" t="str">
        <f t="shared" si="210"/>
        <v>EVERGREEN14FW ELSTINKO_HOOD_01_GR_KIDS</v>
      </c>
      <c r="E751" s="12" t="str">
        <f t="shared" si="211"/>
        <v>201402</v>
      </c>
      <c r="F751" s="347" t="str">
        <f>VLOOKUP($AA751,[3]주!$A:$F,6,FALSE)</f>
        <v>2월 4주</v>
      </c>
      <c r="G751" s="7">
        <f t="shared" si="212"/>
        <v>1</v>
      </c>
      <c r="H751" s="7" t="str">
        <f t="shared" si="213"/>
        <v>14FW ELSTINKO_HOOD_01_GR_KIDS</v>
      </c>
      <c r="I751" s="7">
        <f t="shared" si="214"/>
        <v>1</v>
      </c>
      <c r="J751" s="7" t="str">
        <f t="shared" si="215"/>
        <v>EVERGREEN14FW ELSTINKO_HOOD_01_GR_KIDS</v>
      </c>
      <c r="K751" s="17">
        <f t="shared" si="216"/>
        <v>41715</v>
      </c>
      <c r="L751" s="12" t="str">
        <f t="shared" si="217"/>
        <v>201403</v>
      </c>
      <c r="M751" s="347" t="str">
        <f>VLOOKUP($K751,[3]주!$A:$F,6,FALSE)</f>
        <v>3월 2주</v>
      </c>
      <c r="N751" s="273" t="str">
        <f>IF(VLOOKUP($Z751,생산업체!$A:$C,2,FALSE)=1,"해외","국내")</f>
        <v>해외</v>
      </c>
      <c r="O751" s="12" t="str">
        <f>IF(VLOOKUP($U751,CODE!$K:$P,CODE!P$1,FALSE)="모자",T751,T751&amp;"-"&amp;VLOOKUP($U751,CODE!$K:$P,CODE!P$1,FALSE))</f>
        <v>ELS-의류</v>
      </c>
      <c r="P751" s="11" t="s">
        <v>41</v>
      </c>
      <c r="R751" s="11">
        <v>18</v>
      </c>
      <c r="T751" s="8" t="s">
        <v>3</v>
      </c>
      <c r="U751" s="8" t="s">
        <v>24</v>
      </c>
      <c r="V751" s="8" t="s">
        <v>43</v>
      </c>
      <c r="W751" s="8" t="s">
        <v>1496</v>
      </c>
      <c r="X751" s="8" t="s">
        <v>905</v>
      </c>
      <c r="Y751" s="9">
        <v>1</v>
      </c>
      <c r="Z751" s="8" t="s">
        <v>1497</v>
      </c>
      <c r="AA751" s="10">
        <v>41695</v>
      </c>
      <c r="AB751" s="10">
        <v>41723</v>
      </c>
      <c r="AC751" s="10">
        <v>41715</v>
      </c>
      <c r="AD751" s="10">
        <v>41715</v>
      </c>
      <c r="AE751" s="8">
        <v>13.8</v>
      </c>
    </row>
    <row r="752" spans="1:36">
      <c r="A752" s="7">
        <f t="shared" si="207"/>
        <v>1</v>
      </c>
      <c r="B752" s="7" t="str">
        <f t="shared" si="208"/>
        <v>14FW ELSTINKO_HOOD_01_GY</v>
      </c>
      <c r="C752" s="7">
        <f t="shared" si="209"/>
        <v>1</v>
      </c>
      <c r="D752" s="7" t="str">
        <f t="shared" si="210"/>
        <v>EVERGREEN14FW ELSTINKO_HOOD_01_GY</v>
      </c>
      <c r="E752" s="12" t="str">
        <f t="shared" si="211"/>
        <v>201402</v>
      </c>
      <c r="F752" s="347" t="str">
        <f>VLOOKUP($AA752,[3]주!$A:$F,6,FALSE)</f>
        <v>2월 4주</v>
      </c>
      <c r="G752" s="7">
        <f t="shared" si="212"/>
        <v>1</v>
      </c>
      <c r="H752" s="7" t="str">
        <f t="shared" si="213"/>
        <v>14FW ELSTINKO_HOOD_01_GY</v>
      </c>
      <c r="I752" s="7">
        <f t="shared" si="214"/>
        <v>1</v>
      </c>
      <c r="J752" s="7" t="str">
        <f t="shared" si="215"/>
        <v>EVERGREEN14FW ELSTINKO_HOOD_01_GY</v>
      </c>
      <c r="K752" s="17">
        <f t="shared" si="216"/>
        <v>41715</v>
      </c>
      <c r="L752" s="12" t="str">
        <f t="shared" si="217"/>
        <v>201403</v>
      </c>
      <c r="M752" s="347" t="str">
        <f>VLOOKUP($K752,[3]주!$A:$F,6,FALSE)</f>
        <v>3월 2주</v>
      </c>
      <c r="N752" s="273" t="str">
        <f>IF(VLOOKUP($Z752,생산업체!$A:$C,2,FALSE)=1,"해외","국내")</f>
        <v>해외</v>
      </c>
      <c r="O752" s="12" t="str">
        <f>IF(VLOOKUP($U752,CODE!$K:$P,CODE!P$1,FALSE)="모자",T752,T752&amp;"-"&amp;VLOOKUP($U752,CODE!$K:$P,CODE!P$1,FALSE))</f>
        <v>ELS-의류</v>
      </c>
      <c r="P752" s="11" t="s">
        <v>41</v>
      </c>
      <c r="R752" s="11">
        <v>19</v>
      </c>
      <c r="T752" s="8" t="s">
        <v>3</v>
      </c>
      <c r="U752" s="8" t="s">
        <v>24</v>
      </c>
      <c r="V752" s="8" t="s">
        <v>43</v>
      </c>
      <c r="W752" s="8" t="s">
        <v>1498</v>
      </c>
      <c r="X752" s="8" t="s">
        <v>900</v>
      </c>
      <c r="Y752" s="9">
        <v>1</v>
      </c>
      <c r="Z752" s="8" t="s">
        <v>1497</v>
      </c>
      <c r="AA752" s="10">
        <v>41695</v>
      </c>
      <c r="AB752" s="10">
        <v>41723</v>
      </c>
      <c r="AC752" s="10">
        <v>41715</v>
      </c>
      <c r="AD752" s="10">
        <v>41715</v>
      </c>
      <c r="AE752" s="8">
        <v>16.8</v>
      </c>
    </row>
    <row r="753" spans="1:36">
      <c r="A753" s="7">
        <f t="shared" si="207"/>
        <v>1</v>
      </c>
      <c r="B753" s="7" t="str">
        <f t="shared" si="208"/>
        <v>14FW ELSTINKO_HOOD_02_GY</v>
      </c>
      <c r="C753" s="7">
        <f t="shared" si="209"/>
        <v>1</v>
      </c>
      <c r="D753" s="7" t="str">
        <f t="shared" si="210"/>
        <v>대경14FW ELSTINKO_HOOD_02_GY</v>
      </c>
      <c r="E753" s="12" t="str">
        <f t="shared" si="211"/>
        <v>201402</v>
      </c>
      <c r="F753" s="347" t="str">
        <f>VLOOKUP($AA753,[3]주!$A:$F,6,FALSE)</f>
        <v>2월 3주</v>
      </c>
      <c r="G753" s="7">
        <f t="shared" si="212"/>
        <v>1</v>
      </c>
      <c r="H753" s="7" t="str">
        <f t="shared" si="213"/>
        <v>14FW ELSTINKO_HOOD_02_GY</v>
      </c>
      <c r="I753" s="7">
        <f t="shared" si="214"/>
        <v>1</v>
      </c>
      <c r="J753" s="7" t="str">
        <f t="shared" si="215"/>
        <v>대경14FW ELSTINKO_HOOD_02_GY</v>
      </c>
      <c r="K753" s="17">
        <f t="shared" si="216"/>
        <v>41719</v>
      </c>
      <c r="L753" s="12" t="str">
        <f t="shared" si="217"/>
        <v>201403</v>
      </c>
      <c r="M753" s="347" t="str">
        <f>VLOOKUP($K753,[3]주!$A:$F,6,FALSE)</f>
        <v>3월 2주</v>
      </c>
      <c r="N753" s="273" t="str">
        <f>IF(VLOOKUP($Z753,생산업체!$A:$C,2,FALSE)=1,"해외","국내")</f>
        <v>해외</v>
      </c>
      <c r="O753" s="12" t="str">
        <f>IF(VLOOKUP($U753,CODE!$K:$P,CODE!P$1,FALSE)="모자",T753,T753&amp;"-"&amp;VLOOKUP($U753,CODE!$K:$P,CODE!P$1,FALSE))</f>
        <v>ELS-의류</v>
      </c>
      <c r="P753" s="11" t="s">
        <v>41</v>
      </c>
      <c r="R753" s="11">
        <v>20</v>
      </c>
      <c r="T753" s="8" t="s">
        <v>3</v>
      </c>
      <c r="U753" s="8" t="s">
        <v>24</v>
      </c>
      <c r="V753" s="8" t="s">
        <v>43</v>
      </c>
      <c r="W753" s="8" t="s">
        <v>1499</v>
      </c>
      <c r="X753" s="8" t="s">
        <v>900</v>
      </c>
      <c r="Y753" s="9">
        <v>1</v>
      </c>
      <c r="Z753" s="8" t="s">
        <v>1401</v>
      </c>
      <c r="AA753" s="10">
        <v>41689</v>
      </c>
      <c r="AB753" s="10">
        <v>41717</v>
      </c>
      <c r="AC753" s="10">
        <v>41719</v>
      </c>
      <c r="AD753" s="10">
        <v>41719</v>
      </c>
      <c r="AE753" s="8">
        <v>16.75</v>
      </c>
      <c r="AF753" s="8">
        <v>19069.875</v>
      </c>
    </row>
    <row r="754" spans="1:36">
      <c r="A754" s="7">
        <f t="shared" si="207"/>
        <v>1</v>
      </c>
      <c r="B754" s="7" t="str">
        <f t="shared" si="208"/>
        <v>14FW ELSTINKO_HOOD_03_BK</v>
      </c>
      <c r="C754" s="7">
        <f t="shared" si="209"/>
        <v>1</v>
      </c>
      <c r="D754" s="7" t="str">
        <f t="shared" si="210"/>
        <v>아트인드림14FW ELSTINKO_HOOD_03_BK</v>
      </c>
      <c r="E754" s="12" t="str">
        <f t="shared" si="211"/>
        <v>201402</v>
      </c>
      <c r="F754" s="347" t="str">
        <f>VLOOKUP($AA754,[3]주!$A:$F,6,FALSE)</f>
        <v>2월 3주</v>
      </c>
      <c r="G754" s="7">
        <f t="shared" si="212"/>
        <v>1</v>
      </c>
      <c r="H754" s="7" t="str">
        <f t="shared" si="213"/>
        <v>14FW ELSTINKO_HOOD_03_BK</v>
      </c>
      <c r="I754" s="7">
        <f t="shared" si="214"/>
        <v>1</v>
      </c>
      <c r="J754" s="7" t="str">
        <f t="shared" si="215"/>
        <v>아트인드림14FW ELSTINKO_HOOD_03_BK</v>
      </c>
      <c r="K754" s="17">
        <f t="shared" si="216"/>
        <v>41717</v>
      </c>
      <c r="L754" s="12" t="str">
        <f t="shared" si="217"/>
        <v>201403</v>
      </c>
      <c r="M754" s="347" t="str">
        <f>VLOOKUP($K754,[3]주!$A:$F,6,FALSE)</f>
        <v>3월 2주</v>
      </c>
      <c r="N754" s="273" t="str">
        <f>IF(VLOOKUP($Z754,생산업체!$A:$C,2,FALSE)=1,"해외","국내")</f>
        <v>국내</v>
      </c>
      <c r="O754" s="12" t="str">
        <f>IF(VLOOKUP($U754,CODE!$K:$P,CODE!P$1,FALSE)="모자",T754,T754&amp;"-"&amp;VLOOKUP($U754,CODE!$K:$P,CODE!P$1,FALSE))</f>
        <v>ELS-의류</v>
      </c>
      <c r="P754" s="11" t="s">
        <v>41</v>
      </c>
      <c r="R754" s="11">
        <v>21</v>
      </c>
      <c r="T754" s="8" t="s">
        <v>3</v>
      </c>
      <c r="U754" s="8" t="s">
        <v>24</v>
      </c>
      <c r="V754" s="8" t="s">
        <v>43</v>
      </c>
      <c r="W754" s="8" t="s">
        <v>1500</v>
      </c>
      <c r="X754" s="8" t="s">
        <v>900</v>
      </c>
      <c r="Y754" s="9">
        <v>1</v>
      </c>
      <c r="Z754" s="8" t="s">
        <v>1409</v>
      </c>
      <c r="AA754" s="10">
        <v>41689</v>
      </c>
      <c r="AB754" s="10">
        <v>41710</v>
      </c>
      <c r="AC754" s="10">
        <v>41717</v>
      </c>
      <c r="AD754" s="10">
        <v>41717</v>
      </c>
      <c r="AF754" s="8">
        <v>23458</v>
      </c>
      <c r="AJ754" s="8" t="s">
        <v>1698</v>
      </c>
    </row>
    <row r="755" spans="1:36">
      <c r="A755" s="7">
        <f t="shared" si="207"/>
        <v>1</v>
      </c>
      <c r="B755" s="7" t="str">
        <f t="shared" si="208"/>
        <v>14FW ELSTINKO_HOOD_03_YE_KIDS</v>
      </c>
      <c r="C755" s="7">
        <f t="shared" si="209"/>
        <v>1</v>
      </c>
      <c r="D755" s="7" t="str">
        <f t="shared" si="210"/>
        <v>아트인드림14FW ELSTINKO_HOOD_03_YE_KIDS</v>
      </c>
      <c r="E755" s="12" t="str">
        <f t="shared" si="211"/>
        <v>201402</v>
      </c>
      <c r="F755" s="347" t="str">
        <f>VLOOKUP($AA755,[3]주!$A:$F,6,FALSE)</f>
        <v>2월 3주</v>
      </c>
      <c r="G755" s="7">
        <f t="shared" si="212"/>
        <v>1</v>
      </c>
      <c r="H755" s="7" t="str">
        <f t="shared" si="213"/>
        <v>14FW ELSTINKO_HOOD_03_YE_KIDS</v>
      </c>
      <c r="I755" s="7">
        <f t="shared" si="214"/>
        <v>1</v>
      </c>
      <c r="J755" s="7" t="str">
        <f t="shared" si="215"/>
        <v>아트인드림14FW ELSTINKO_HOOD_03_YE_KIDS</v>
      </c>
      <c r="K755" s="17">
        <f t="shared" si="216"/>
        <v>41722</v>
      </c>
      <c r="L755" s="12" t="str">
        <f t="shared" si="217"/>
        <v>201403</v>
      </c>
      <c r="M755" s="347" t="str">
        <f>VLOOKUP($K755,[3]주!$A:$F,6,FALSE)</f>
        <v>3월 2주</v>
      </c>
      <c r="N755" s="273" t="str">
        <f>IF(VLOOKUP($Z755,생산업체!$A:$C,2,FALSE)=1,"해외","국내")</f>
        <v>국내</v>
      </c>
      <c r="O755" s="12" t="str">
        <f>IF(VLOOKUP($U755,CODE!$K:$P,CODE!P$1,FALSE)="모자",T755,T755&amp;"-"&amp;VLOOKUP($U755,CODE!$K:$P,CODE!P$1,FALSE))</f>
        <v>ELS-의류</v>
      </c>
      <c r="P755" s="11" t="s">
        <v>41</v>
      </c>
      <c r="R755" s="11">
        <v>22</v>
      </c>
      <c r="T755" s="8" t="s">
        <v>3</v>
      </c>
      <c r="U755" s="8" t="s">
        <v>24</v>
      </c>
      <c r="V755" s="8" t="s">
        <v>43</v>
      </c>
      <c r="W755" s="8" t="s">
        <v>1501</v>
      </c>
      <c r="X755" s="8" t="s">
        <v>905</v>
      </c>
      <c r="Y755" s="9">
        <v>1</v>
      </c>
      <c r="Z755" s="8" t="s">
        <v>1409</v>
      </c>
      <c r="AA755" s="10">
        <v>41689</v>
      </c>
      <c r="AB755" s="10">
        <v>41710</v>
      </c>
      <c r="AC755" s="10">
        <v>41717</v>
      </c>
      <c r="AD755" s="10">
        <v>41722</v>
      </c>
      <c r="AF755" s="8">
        <v>21202</v>
      </c>
      <c r="AJ755" s="8" t="s">
        <v>1699</v>
      </c>
    </row>
    <row r="756" spans="1:36">
      <c r="A756" s="7">
        <f t="shared" si="207"/>
        <v>1</v>
      </c>
      <c r="B756" s="7" t="str">
        <f t="shared" si="208"/>
        <v>14FW ELSTINKO_HOOD_04_PP_KIDS</v>
      </c>
      <c r="C756" s="7">
        <f t="shared" si="209"/>
        <v>1</v>
      </c>
      <c r="D756" s="7" t="str">
        <f t="shared" si="210"/>
        <v>아트인드림14FW ELSTINKO_HOOD_04_PP_KIDS</v>
      </c>
      <c r="E756" s="12" t="str">
        <f t="shared" si="211"/>
        <v>201402</v>
      </c>
      <c r="F756" s="347" t="str">
        <f>VLOOKUP($AA756,[3]주!$A:$F,6,FALSE)</f>
        <v>2월 3주</v>
      </c>
      <c r="G756" s="7">
        <f t="shared" si="212"/>
        <v>1</v>
      </c>
      <c r="H756" s="7" t="str">
        <f t="shared" si="213"/>
        <v>14FW ELSTINKO_HOOD_04_PP_KIDS</v>
      </c>
      <c r="I756" s="7">
        <f t="shared" si="214"/>
        <v>1</v>
      </c>
      <c r="J756" s="7" t="str">
        <f t="shared" si="215"/>
        <v>아트인드림14FW ELSTINKO_HOOD_04_PP_KIDS</v>
      </c>
      <c r="K756" s="17">
        <f t="shared" si="216"/>
        <v>41722</v>
      </c>
      <c r="L756" s="12" t="str">
        <f t="shared" si="217"/>
        <v>201403</v>
      </c>
      <c r="M756" s="347" t="str">
        <f>VLOOKUP($K756,[3]주!$A:$F,6,FALSE)</f>
        <v>3월 2주</v>
      </c>
      <c r="N756" s="273" t="str">
        <f>IF(VLOOKUP($Z756,생산업체!$A:$C,2,FALSE)=1,"해외","국내")</f>
        <v>국내</v>
      </c>
      <c r="O756" s="12" t="str">
        <f>IF(VLOOKUP($U756,CODE!$K:$P,CODE!P$1,FALSE)="모자",T756,T756&amp;"-"&amp;VLOOKUP($U756,CODE!$K:$P,CODE!P$1,FALSE))</f>
        <v>ELS-의류</v>
      </c>
      <c r="P756" s="11" t="s">
        <v>41</v>
      </c>
      <c r="R756" s="11">
        <v>23</v>
      </c>
      <c r="T756" s="8" t="s">
        <v>3</v>
      </c>
      <c r="U756" s="8" t="s">
        <v>24</v>
      </c>
      <c r="V756" s="8" t="s">
        <v>43</v>
      </c>
      <c r="W756" s="8" t="s">
        <v>1502</v>
      </c>
      <c r="X756" s="8" t="s">
        <v>905</v>
      </c>
      <c r="Y756" s="9">
        <v>1</v>
      </c>
      <c r="Z756" s="8" t="s">
        <v>1409</v>
      </c>
      <c r="AA756" s="10">
        <v>41689</v>
      </c>
      <c r="AB756" s="10">
        <v>41710</v>
      </c>
      <c r="AC756" s="10">
        <v>41717</v>
      </c>
      <c r="AD756" s="10">
        <v>41722</v>
      </c>
      <c r="AF756" s="8">
        <v>21202</v>
      </c>
      <c r="AJ756" s="8" t="s">
        <v>1700</v>
      </c>
    </row>
    <row r="757" spans="1:36">
      <c r="A757" s="7">
        <f t="shared" si="207"/>
        <v>1</v>
      </c>
      <c r="B757" s="7" t="str">
        <f t="shared" si="208"/>
        <v>14FW ELSTINKO_HOODZIP_01_MT_KIDS</v>
      </c>
      <c r="C757" s="7">
        <f t="shared" si="209"/>
        <v>1</v>
      </c>
      <c r="D757" s="7" t="str">
        <f t="shared" si="210"/>
        <v>대경14FW ELSTINKO_HOODZIP_01_MT_KIDS</v>
      </c>
      <c r="E757" s="12" t="str">
        <f t="shared" si="211"/>
        <v>201402</v>
      </c>
      <c r="F757" s="347" t="str">
        <f>VLOOKUP($AA757,[3]주!$A:$F,6,FALSE)</f>
        <v>2월 3주</v>
      </c>
      <c r="G757" s="7">
        <f t="shared" si="212"/>
        <v>1</v>
      </c>
      <c r="H757" s="7" t="str">
        <f t="shared" si="213"/>
        <v>14FW ELSTINKO_HOODZIP_01_MT_KIDS</v>
      </c>
      <c r="I757" s="7">
        <f t="shared" si="214"/>
        <v>1</v>
      </c>
      <c r="J757" s="7" t="str">
        <f t="shared" si="215"/>
        <v>대경14FW ELSTINKO_HOODZIP_01_MT_KIDS</v>
      </c>
      <c r="K757" s="17">
        <f t="shared" si="216"/>
        <v>41719</v>
      </c>
      <c r="L757" s="12" t="str">
        <f t="shared" si="217"/>
        <v>201403</v>
      </c>
      <c r="M757" s="347" t="str">
        <f>VLOOKUP($K757,[3]주!$A:$F,6,FALSE)</f>
        <v>3월 2주</v>
      </c>
      <c r="N757" s="273" t="str">
        <f>IF(VLOOKUP($Z757,생산업체!$A:$C,2,FALSE)=1,"해외","국내")</f>
        <v>해외</v>
      </c>
      <c r="O757" s="12" t="str">
        <f>IF(VLOOKUP($U757,CODE!$K:$P,CODE!P$1,FALSE)="모자",T757,T757&amp;"-"&amp;VLOOKUP($U757,CODE!$K:$P,CODE!P$1,FALSE))</f>
        <v>ELS-의류</v>
      </c>
      <c r="P757" s="11" t="s">
        <v>41</v>
      </c>
      <c r="R757" s="11">
        <v>24</v>
      </c>
      <c r="T757" s="8" t="s">
        <v>3</v>
      </c>
      <c r="U757" s="8" t="s">
        <v>25</v>
      </c>
      <c r="V757" s="8" t="s">
        <v>43</v>
      </c>
      <c r="W757" s="8" t="s">
        <v>1503</v>
      </c>
      <c r="X757" s="8" t="s">
        <v>905</v>
      </c>
      <c r="Y757" s="9">
        <v>1</v>
      </c>
      <c r="Z757" s="8" t="s">
        <v>1401</v>
      </c>
      <c r="AA757" s="10">
        <v>41689</v>
      </c>
      <c r="AB757" s="10">
        <v>41717</v>
      </c>
      <c r="AC757" s="10">
        <v>41719</v>
      </c>
      <c r="AD757" s="10">
        <v>41719</v>
      </c>
      <c r="AE757" s="8">
        <v>21.5</v>
      </c>
      <c r="AF757" s="8">
        <v>24477.749999999996</v>
      </c>
    </row>
    <row r="758" spans="1:36">
      <c r="A758" s="7">
        <f t="shared" si="207"/>
        <v>1</v>
      </c>
      <c r="B758" s="7" t="str">
        <f t="shared" si="208"/>
        <v>14FW ELSTINKO_HOODZIP_02_GY_KIDS</v>
      </c>
      <c r="C758" s="7">
        <f t="shared" si="209"/>
        <v>1</v>
      </c>
      <c r="D758" s="7" t="str">
        <f t="shared" si="210"/>
        <v>대경14FW ELSTINKO_HOODZIP_02_GY_KIDS</v>
      </c>
      <c r="E758" s="12" t="str">
        <f t="shared" si="211"/>
        <v>201402</v>
      </c>
      <c r="F758" s="347" t="str">
        <f>VLOOKUP($AA758,[3]주!$A:$F,6,FALSE)</f>
        <v>2월 3주</v>
      </c>
      <c r="G758" s="7">
        <f t="shared" si="212"/>
        <v>1</v>
      </c>
      <c r="H758" s="7" t="str">
        <f t="shared" si="213"/>
        <v>14FW ELSTINKO_HOODZIP_02_GY_KIDS</v>
      </c>
      <c r="I758" s="7">
        <f t="shared" si="214"/>
        <v>1</v>
      </c>
      <c r="J758" s="7" t="str">
        <f t="shared" si="215"/>
        <v>대경14FW ELSTINKO_HOODZIP_02_GY_KIDS</v>
      </c>
      <c r="K758" s="17">
        <f t="shared" si="216"/>
        <v>41719</v>
      </c>
      <c r="L758" s="12" t="str">
        <f t="shared" si="217"/>
        <v>201403</v>
      </c>
      <c r="M758" s="347" t="str">
        <f>VLOOKUP($K758,[3]주!$A:$F,6,FALSE)</f>
        <v>3월 2주</v>
      </c>
      <c r="N758" s="273" t="str">
        <f>IF(VLOOKUP($Z758,생산업체!$A:$C,2,FALSE)=1,"해외","국내")</f>
        <v>해외</v>
      </c>
      <c r="O758" s="12" t="str">
        <f>IF(VLOOKUP($U758,CODE!$K:$P,CODE!P$1,FALSE)="모자",T758,T758&amp;"-"&amp;VLOOKUP($U758,CODE!$K:$P,CODE!P$1,FALSE))</f>
        <v>ELS-의류</v>
      </c>
      <c r="P758" s="11" t="s">
        <v>41</v>
      </c>
      <c r="R758" s="11">
        <v>25</v>
      </c>
      <c r="T758" s="8" t="s">
        <v>3</v>
      </c>
      <c r="U758" s="8" t="s">
        <v>25</v>
      </c>
      <c r="V758" s="8" t="s">
        <v>43</v>
      </c>
      <c r="W758" s="8" t="s">
        <v>1504</v>
      </c>
      <c r="X758" s="8" t="s">
        <v>905</v>
      </c>
      <c r="Y758" s="9">
        <v>1</v>
      </c>
      <c r="Z758" s="8" t="s">
        <v>1401</v>
      </c>
      <c r="AA758" s="10">
        <v>41689</v>
      </c>
      <c r="AB758" s="10">
        <v>41717</v>
      </c>
      <c r="AC758" s="10">
        <v>41719</v>
      </c>
      <c r="AD758" s="10">
        <v>41719</v>
      </c>
      <c r="AE758" s="8">
        <v>21.05</v>
      </c>
      <c r="AF758" s="8">
        <v>23965.424999999999</v>
      </c>
    </row>
    <row r="759" spans="1:36">
      <c r="A759" s="7">
        <f t="shared" si="207"/>
        <v>1</v>
      </c>
      <c r="B759" s="7" t="str">
        <f t="shared" si="208"/>
        <v>14SS ELSTINKO_MTM_01_GY_KIDS</v>
      </c>
      <c r="C759" s="7">
        <f t="shared" si="209"/>
        <v>1</v>
      </c>
      <c r="D759" s="7" t="str">
        <f t="shared" si="210"/>
        <v>아트인드림14SS ELSTINKO_MTM_01_GY_KIDS</v>
      </c>
      <c r="E759" s="12" t="str">
        <f t="shared" si="211"/>
        <v>201402</v>
      </c>
      <c r="F759" s="347" t="str">
        <f>VLOOKUP($AA759,[3]주!$A:$F,6,FALSE)</f>
        <v>2월 3주</v>
      </c>
      <c r="G759" s="7">
        <f t="shared" si="212"/>
        <v>1</v>
      </c>
      <c r="H759" s="7" t="str">
        <f t="shared" si="213"/>
        <v>14SS ELSTINKO_MTM_01_GY_KIDS</v>
      </c>
      <c r="I759" s="7">
        <f t="shared" si="214"/>
        <v>1</v>
      </c>
      <c r="J759" s="7" t="str">
        <f t="shared" si="215"/>
        <v>아트인드림14SS ELSTINKO_MTM_01_GY_KIDS</v>
      </c>
      <c r="K759" s="17">
        <f t="shared" si="216"/>
        <v>41723</v>
      </c>
      <c r="L759" s="12" t="str">
        <f t="shared" si="217"/>
        <v>201403</v>
      </c>
      <c r="M759" s="347" t="str">
        <f>VLOOKUP($K759,[3]주!$A:$F,6,FALSE)</f>
        <v>3월 2주</v>
      </c>
      <c r="N759" s="273" t="str">
        <f>IF(VLOOKUP($Z759,생산업체!$A:$C,2,FALSE)=1,"해외","국내")</f>
        <v>국내</v>
      </c>
      <c r="O759" s="12" t="str">
        <f>IF(VLOOKUP($U759,CODE!$K:$P,CODE!P$1,FALSE)="모자",T759,T759&amp;"-"&amp;VLOOKUP($U759,CODE!$K:$P,CODE!P$1,FALSE))</f>
        <v>ELS-의류</v>
      </c>
      <c r="P759" s="11" t="s">
        <v>41</v>
      </c>
      <c r="R759" s="11">
        <v>26</v>
      </c>
      <c r="T759" s="8" t="s">
        <v>3</v>
      </c>
      <c r="U759" s="8" t="s">
        <v>27</v>
      </c>
      <c r="V759" s="8" t="s">
        <v>43</v>
      </c>
      <c r="W759" s="8" t="s">
        <v>1505</v>
      </c>
      <c r="X759" s="8" t="s">
        <v>905</v>
      </c>
      <c r="Y759" s="9">
        <v>1</v>
      </c>
      <c r="Z759" s="8" t="s">
        <v>1409</v>
      </c>
      <c r="AA759" s="10">
        <v>41689</v>
      </c>
      <c r="AB759" s="10">
        <v>41710</v>
      </c>
      <c r="AC759" s="10">
        <v>41717</v>
      </c>
      <c r="AD759" s="10">
        <v>41723</v>
      </c>
      <c r="AF759" s="8">
        <v>17451</v>
      </c>
      <c r="AJ759" s="8" t="s">
        <v>1701</v>
      </c>
    </row>
    <row r="760" spans="1:36">
      <c r="A760" s="7">
        <f t="shared" ref="A760:A765" si="218">IF(B760="",0,1/COUNTIF(B:B,B760))</f>
        <v>1</v>
      </c>
      <c r="B760" s="7" t="str">
        <f t="shared" ref="B760:B765" si="219">IF(AA760="","",W760)</f>
        <v>14SS ELSTINKO_MTM_01_NV</v>
      </c>
      <c r="C760" s="7">
        <f t="shared" ref="C760:C765" si="220">IF(D760="",0,1/COUNTIF(D:D,D760))</f>
        <v>1</v>
      </c>
      <c r="D760" s="7" t="str">
        <f t="shared" ref="D760:D765" si="221">IF(AA760="","",Z760&amp;W760)</f>
        <v>아트인드림14SS ELSTINKO_MTM_01_NV</v>
      </c>
      <c r="E760" s="12" t="str">
        <f t="shared" ref="E760:E765" si="222">IF(YEAR(AA760)&lt;10,0&amp;YEAR(AA760),YEAR(AA760))&amp;IF(MONTH(AA760)&lt;10,0&amp;MONTH(AA760),MONTH(AA760))</f>
        <v>201402</v>
      </c>
      <c r="F760" s="347" t="str">
        <f>VLOOKUP($AA760,[3]주!$A:$F,6,FALSE)</f>
        <v>2월 3주</v>
      </c>
      <c r="G760" s="7">
        <f t="shared" ref="G760:G765" si="223">IF(H760="",0,1/COUNTIF(H:H,H760))</f>
        <v>1</v>
      </c>
      <c r="H760" s="7" t="str">
        <f t="shared" ref="H760:H765" si="224">IF(AD760="","",W760)</f>
        <v>14SS ELSTINKO_MTM_01_NV</v>
      </c>
      <c r="I760" s="7">
        <f t="shared" ref="I760:I765" si="225">IF(J760="",0,1/COUNTIF(J:J,J760))</f>
        <v>1</v>
      </c>
      <c r="J760" s="7" t="str">
        <f t="shared" ref="J760:J765" si="226">IF(AD760="","",Z760&amp;W760)</f>
        <v>아트인드림14SS ELSTINKO_MTM_01_NV</v>
      </c>
      <c r="K760" s="17">
        <f t="shared" ref="K760:K765" si="227">IF(AD760="",AC760,AD760)</f>
        <v>41723</v>
      </c>
      <c r="L760" s="12" t="str">
        <f t="shared" ref="L760:L765" si="228">IF(YEAR(K760)&lt;10,0&amp;YEAR(K760),YEAR(K760))&amp;IF(MONTH(K760)&lt;10,0&amp;MONTH(K760),MONTH(K760))</f>
        <v>201403</v>
      </c>
      <c r="M760" s="347" t="str">
        <f>VLOOKUP($K760,[3]주!$A:$F,6,FALSE)</f>
        <v>3월 2주</v>
      </c>
      <c r="N760" s="273" t="str">
        <f>IF(VLOOKUP($Z760,생산업체!$A:$C,2,FALSE)=1,"해외","국내")</f>
        <v>국내</v>
      </c>
      <c r="O760" s="12" t="str">
        <f>IF(VLOOKUP($U760,CODE!$K:$P,CODE!P$1,FALSE)="모자",T760,T760&amp;"-"&amp;VLOOKUP($U760,CODE!$K:$P,CODE!P$1,FALSE))</f>
        <v>ELS-의류</v>
      </c>
      <c r="P760" s="11" t="s">
        <v>41</v>
      </c>
      <c r="R760" s="11">
        <v>27</v>
      </c>
      <c r="T760" s="8" t="s">
        <v>3</v>
      </c>
      <c r="U760" s="8" t="s">
        <v>27</v>
      </c>
      <c r="V760" s="8" t="s">
        <v>43</v>
      </c>
      <c r="W760" s="8" t="s">
        <v>1506</v>
      </c>
      <c r="X760" s="8" t="s">
        <v>900</v>
      </c>
      <c r="Y760" s="9">
        <v>1</v>
      </c>
      <c r="Z760" s="8" t="s">
        <v>1409</v>
      </c>
      <c r="AA760" s="10">
        <v>41689</v>
      </c>
      <c r="AB760" s="10">
        <v>41710</v>
      </c>
      <c r="AC760" s="10">
        <v>41717</v>
      </c>
      <c r="AD760" s="10">
        <v>41723</v>
      </c>
      <c r="AF760" s="8">
        <v>27035</v>
      </c>
      <c r="AJ760" s="8" t="s">
        <v>1702</v>
      </c>
    </row>
    <row r="761" spans="1:36">
      <c r="A761" s="7">
        <f t="shared" si="218"/>
        <v>1</v>
      </c>
      <c r="B761" s="7" t="str">
        <f t="shared" si="219"/>
        <v>14SS ELSTINKO_MTM_02_BUR</v>
      </c>
      <c r="C761" s="7">
        <f t="shared" si="220"/>
        <v>1</v>
      </c>
      <c r="D761" s="7" t="str">
        <f t="shared" si="221"/>
        <v>아트인드림14SS ELSTINKO_MTM_02_BUR</v>
      </c>
      <c r="E761" s="12" t="str">
        <f t="shared" si="222"/>
        <v>201402</v>
      </c>
      <c r="F761" s="347" t="str">
        <f>VLOOKUP($AA761,[3]주!$A:$F,6,FALSE)</f>
        <v>2월 3주</v>
      </c>
      <c r="G761" s="7">
        <f t="shared" si="223"/>
        <v>1</v>
      </c>
      <c r="H761" s="7" t="str">
        <f t="shared" si="224"/>
        <v>14SS ELSTINKO_MTM_02_BUR</v>
      </c>
      <c r="I761" s="7">
        <f t="shared" si="225"/>
        <v>1</v>
      </c>
      <c r="J761" s="7" t="str">
        <f t="shared" si="226"/>
        <v>아트인드림14SS ELSTINKO_MTM_02_BUR</v>
      </c>
      <c r="K761" s="17">
        <f t="shared" si="227"/>
        <v>41723</v>
      </c>
      <c r="L761" s="12" t="str">
        <f t="shared" si="228"/>
        <v>201403</v>
      </c>
      <c r="M761" s="347" t="str">
        <f>VLOOKUP($K761,[3]주!$A:$F,6,FALSE)</f>
        <v>3월 2주</v>
      </c>
      <c r="N761" s="273" t="str">
        <f>IF(VLOOKUP($Z761,생산업체!$A:$C,2,FALSE)=1,"해외","국내")</f>
        <v>국내</v>
      </c>
      <c r="O761" s="12" t="str">
        <f>IF(VLOOKUP($U761,CODE!$K:$P,CODE!P$1,FALSE)="모자",T761,T761&amp;"-"&amp;VLOOKUP($U761,CODE!$K:$P,CODE!P$1,FALSE))</f>
        <v>ELS-의류</v>
      </c>
      <c r="P761" s="11" t="s">
        <v>41</v>
      </c>
      <c r="R761" s="11">
        <v>28</v>
      </c>
      <c r="T761" s="8" t="s">
        <v>3</v>
      </c>
      <c r="U761" s="8" t="s">
        <v>27</v>
      </c>
      <c r="V761" s="8" t="s">
        <v>43</v>
      </c>
      <c r="W761" s="8" t="s">
        <v>1507</v>
      </c>
      <c r="X761" s="8" t="s">
        <v>900</v>
      </c>
      <c r="Y761" s="9">
        <v>1</v>
      </c>
      <c r="Z761" s="8" t="s">
        <v>1409</v>
      </c>
      <c r="AA761" s="10">
        <v>41689</v>
      </c>
      <c r="AB761" s="10">
        <v>41710</v>
      </c>
      <c r="AC761" s="10">
        <v>41717</v>
      </c>
      <c r="AD761" s="10">
        <v>41723</v>
      </c>
      <c r="AF761" s="8">
        <v>21073</v>
      </c>
      <c r="AJ761" s="8" t="s">
        <v>1703</v>
      </c>
    </row>
    <row r="762" spans="1:36">
      <c r="A762" s="7">
        <f t="shared" si="218"/>
        <v>1</v>
      </c>
      <c r="B762" s="7" t="str">
        <f t="shared" si="219"/>
        <v>14SS ELSTINKO_MTM_02_GY_KIDS</v>
      </c>
      <c r="C762" s="7">
        <f t="shared" si="220"/>
        <v>1</v>
      </c>
      <c r="D762" s="7" t="str">
        <f t="shared" si="221"/>
        <v>EVERGREEN14SS ELSTINKO_MTM_02_GY_KIDS</v>
      </c>
      <c r="E762" s="12" t="str">
        <f t="shared" si="222"/>
        <v>201402</v>
      </c>
      <c r="F762" s="347" t="str">
        <f>VLOOKUP($AA762,[3]주!$A:$F,6,FALSE)</f>
        <v>2월 4주</v>
      </c>
      <c r="G762" s="7">
        <f t="shared" si="223"/>
        <v>1</v>
      </c>
      <c r="H762" s="7" t="str">
        <f t="shared" si="224"/>
        <v>14SS ELSTINKO_MTM_02_GY_KIDS</v>
      </c>
      <c r="I762" s="7">
        <f t="shared" si="225"/>
        <v>1</v>
      </c>
      <c r="J762" s="7" t="str">
        <f t="shared" si="226"/>
        <v>EVERGREEN14SS ELSTINKO_MTM_02_GY_KIDS</v>
      </c>
      <c r="K762" s="17">
        <f t="shared" si="227"/>
        <v>41715</v>
      </c>
      <c r="L762" s="12" t="str">
        <f t="shared" si="228"/>
        <v>201403</v>
      </c>
      <c r="M762" s="347" t="str">
        <f>VLOOKUP($K762,[3]주!$A:$F,6,FALSE)</f>
        <v>3월 2주</v>
      </c>
      <c r="N762" s="273" t="str">
        <f>IF(VLOOKUP($Z762,생산업체!$A:$C,2,FALSE)=1,"해외","국내")</f>
        <v>해외</v>
      </c>
      <c r="O762" s="12" t="str">
        <f>IF(VLOOKUP($U762,CODE!$K:$P,CODE!P$1,FALSE)="모자",T762,T762&amp;"-"&amp;VLOOKUP($U762,CODE!$K:$P,CODE!P$1,FALSE))</f>
        <v>ELS-의류</v>
      </c>
      <c r="P762" s="11" t="s">
        <v>41</v>
      </c>
      <c r="R762" s="11">
        <v>29</v>
      </c>
      <c r="T762" s="8" t="s">
        <v>3</v>
      </c>
      <c r="U762" s="8" t="s">
        <v>27</v>
      </c>
      <c r="V762" s="8" t="s">
        <v>43</v>
      </c>
      <c r="W762" s="8" t="s">
        <v>1508</v>
      </c>
      <c r="X762" s="8" t="s">
        <v>905</v>
      </c>
      <c r="Y762" s="9">
        <v>1</v>
      </c>
      <c r="Z762" s="8" t="s">
        <v>1497</v>
      </c>
      <c r="AA762" s="10">
        <v>41695</v>
      </c>
      <c r="AB762" s="10">
        <v>41723</v>
      </c>
      <c r="AC762" s="10">
        <v>41715</v>
      </c>
      <c r="AD762" s="10">
        <v>41715</v>
      </c>
      <c r="AE762" s="8">
        <v>12.5</v>
      </c>
    </row>
    <row r="763" spans="1:36">
      <c r="A763" s="7">
        <f t="shared" si="218"/>
        <v>1</v>
      </c>
      <c r="B763" s="7" t="str">
        <f t="shared" si="219"/>
        <v>14SS ELSTINKO_MTM_03_GY</v>
      </c>
      <c r="C763" s="7">
        <f t="shared" si="220"/>
        <v>1</v>
      </c>
      <c r="D763" s="7" t="str">
        <f t="shared" si="221"/>
        <v>대경14SS ELSTINKO_MTM_03_GY</v>
      </c>
      <c r="E763" s="12" t="str">
        <f t="shared" si="222"/>
        <v>201402</v>
      </c>
      <c r="F763" s="347" t="str">
        <f>VLOOKUP($AA763,[3]주!$A:$F,6,FALSE)</f>
        <v>2월 3주</v>
      </c>
      <c r="G763" s="7">
        <f t="shared" si="223"/>
        <v>1</v>
      </c>
      <c r="H763" s="7" t="str">
        <f t="shared" si="224"/>
        <v>14SS ELSTINKO_MTM_03_GY</v>
      </c>
      <c r="I763" s="7">
        <f t="shared" si="225"/>
        <v>1</v>
      </c>
      <c r="J763" s="7" t="str">
        <f t="shared" si="226"/>
        <v>대경14SS ELSTINKO_MTM_03_GY</v>
      </c>
      <c r="K763" s="17">
        <f t="shared" si="227"/>
        <v>41719</v>
      </c>
      <c r="L763" s="12" t="str">
        <f t="shared" si="228"/>
        <v>201403</v>
      </c>
      <c r="M763" s="347" t="str">
        <f>VLOOKUP($K763,[3]주!$A:$F,6,FALSE)</f>
        <v>3월 2주</v>
      </c>
      <c r="N763" s="273" t="str">
        <f>IF(VLOOKUP($Z763,생산업체!$A:$C,2,FALSE)=1,"해외","국내")</f>
        <v>해외</v>
      </c>
      <c r="O763" s="12" t="str">
        <f>IF(VLOOKUP($U763,CODE!$K:$P,CODE!P$1,FALSE)="모자",T763,T763&amp;"-"&amp;VLOOKUP($U763,CODE!$K:$P,CODE!P$1,FALSE))</f>
        <v>ELS-의류</v>
      </c>
      <c r="P763" s="11" t="s">
        <v>41</v>
      </c>
      <c r="R763" s="11">
        <v>30</v>
      </c>
      <c r="T763" s="8" t="s">
        <v>3</v>
      </c>
      <c r="U763" s="8" t="s">
        <v>27</v>
      </c>
      <c r="V763" s="8" t="s">
        <v>43</v>
      </c>
      <c r="W763" s="8" t="s">
        <v>1509</v>
      </c>
      <c r="X763" s="8" t="s">
        <v>900</v>
      </c>
      <c r="Y763" s="9">
        <v>1</v>
      </c>
      <c r="Z763" s="8" t="s">
        <v>1401</v>
      </c>
      <c r="AA763" s="10">
        <v>41689</v>
      </c>
      <c r="AB763" s="10">
        <v>41717</v>
      </c>
      <c r="AC763" s="10">
        <v>41719</v>
      </c>
      <c r="AD763" s="10">
        <v>41719</v>
      </c>
      <c r="AE763" s="8">
        <v>15.75</v>
      </c>
      <c r="AF763" s="8">
        <v>17931.375</v>
      </c>
      <c r="AJ763" s="8" t="s">
        <v>1703</v>
      </c>
    </row>
    <row r="764" spans="1:36">
      <c r="A764" s="7">
        <f t="shared" si="218"/>
        <v>1</v>
      </c>
      <c r="B764" s="7" t="str">
        <f t="shared" si="219"/>
        <v>14SS ELSTINKO_MTM_03_YE_KIDS</v>
      </c>
      <c r="C764" s="7">
        <f t="shared" si="220"/>
        <v>1</v>
      </c>
      <c r="D764" s="7" t="str">
        <f t="shared" si="221"/>
        <v>EVERGREEN14SS ELSTINKO_MTM_03_YE_KIDS</v>
      </c>
      <c r="E764" s="12" t="str">
        <f t="shared" si="222"/>
        <v>201402</v>
      </c>
      <c r="F764" s="347" t="str">
        <f>VLOOKUP($AA764,[3]주!$A:$F,6,FALSE)</f>
        <v>2월 4주</v>
      </c>
      <c r="G764" s="7">
        <f t="shared" si="223"/>
        <v>1</v>
      </c>
      <c r="H764" s="7" t="str">
        <f t="shared" si="224"/>
        <v>14SS ELSTINKO_MTM_03_YE_KIDS</v>
      </c>
      <c r="I764" s="7">
        <f t="shared" si="225"/>
        <v>1</v>
      </c>
      <c r="J764" s="7" t="str">
        <f t="shared" si="226"/>
        <v>EVERGREEN14SS ELSTINKO_MTM_03_YE_KIDS</v>
      </c>
      <c r="K764" s="17">
        <f t="shared" si="227"/>
        <v>41715</v>
      </c>
      <c r="L764" s="12" t="str">
        <f t="shared" si="228"/>
        <v>201403</v>
      </c>
      <c r="M764" s="347" t="str">
        <f>VLOOKUP($K764,[3]주!$A:$F,6,FALSE)</f>
        <v>3월 2주</v>
      </c>
      <c r="N764" s="273" t="str">
        <f>IF(VLOOKUP($Z764,생산업체!$A:$C,2,FALSE)=1,"해외","국내")</f>
        <v>해외</v>
      </c>
      <c r="O764" s="12" t="str">
        <f>IF(VLOOKUP($U764,CODE!$K:$P,CODE!P$1,FALSE)="모자",T764,T764&amp;"-"&amp;VLOOKUP($U764,CODE!$K:$P,CODE!P$1,FALSE))</f>
        <v>ELS-의류</v>
      </c>
      <c r="P764" s="11" t="s">
        <v>41</v>
      </c>
      <c r="R764" s="11">
        <v>31</v>
      </c>
      <c r="T764" s="8" t="s">
        <v>3</v>
      </c>
      <c r="U764" s="8" t="s">
        <v>27</v>
      </c>
      <c r="V764" s="8" t="s">
        <v>43</v>
      </c>
      <c r="W764" s="8" t="s">
        <v>1510</v>
      </c>
      <c r="X764" s="8" t="s">
        <v>905</v>
      </c>
      <c r="Y764" s="9">
        <v>1</v>
      </c>
      <c r="Z764" s="8" t="s">
        <v>1497</v>
      </c>
      <c r="AA764" s="10">
        <v>41695</v>
      </c>
      <c r="AB764" s="10">
        <v>41723</v>
      </c>
      <c r="AC764" s="10">
        <v>41715</v>
      </c>
      <c r="AD764" s="10">
        <v>41715</v>
      </c>
      <c r="AE764" s="8">
        <v>12.5</v>
      </c>
    </row>
    <row r="765" spans="1:36">
      <c r="A765" s="7">
        <f t="shared" si="218"/>
        <v>1</v>
      </c>
      <c r="B765" s="7" t="str">
        <f t="shared" si="219"/>
        <v>14FW ELSTINKO_HOODZIP_03_BK</v>
      </c>
      <c r="C765" s="7">
        <f t="shared" si="220"/>
        <v>1</v>
      </c>
      <c r="D765" s="7" t="str">
        <f t="shared" si="221"/>
        <v>대경14FW ELSTINKO_HOODZIP_03_BK</v>
      </c>
      <c r="E765" s="12" t="str">
        <f t="shared" si="222"/>
        <v>201402</v>
      </c>
      <c r="F765" s="347" t="str">
        <f>VLOOKUP($AA765,[3]주!$A:$F,6,FALSE)</f>
        <v>2월 3주</v>
      </c>
      <c r="G765" s="7">
        <f t="shared" si="223"/>
        <v>1</v>
      </c>
      <c r="H765" s="7" t="str">
        <f t="shared" si="224"/>
        <v>14FW ELSTINKO_HOODZIP_03_BK</v>
      </c>
      <c r="I765" s="7">
        <f t="shared" si="225"/>
        <v>1</v>
      </c>
      <c r="J765" s="7" t="str">
        <f t="shared" si="226"/>
        <v>대경14FW ELSTINKO_HOODZIP_03_BK</v>
      </c>
      <c r="K765" s="17">
        <f t="shared" si="227"/>
        <v>41719</v>
      </c>
      <c r="L765" s="12" t="str">
        <f t="shared" si="228"/>
        <v>201403</v>
      </c>
      <c r="M765" s="347" t="str">
        <f>VLOOKUP($K765,[3]주!$A:$F,6,FALSE)</f>
        <v>3월 2주</v>
      </c>
      <c r="N765" s="273" t="str">
        <f>IF(VLOOKUP($Z765,생산업체!$A:$C,2,FALSE)=1,"해외","국내")</f>
        <v>해외</v>
      </c>
      <c r="O765" s="12" t="str">
        <f>IF(VLOOKUP($U765,CODE!$K:$P,CODE!P$1,FALSE)="모자",T765,T765&amp;"-"&amp;VLOOKUP($U765,CODE!$K:$P,CODE!P$1,FALSE))</f>
        <v>ELS-의류</v>
      </c>
      <c r="P765" s="11" t="s">
        <v>41</v>
      </c>
      <c r="R765" s="11">
        <v>32</v>
      </c>
      <c r="T765" s="8" t="s">
        <v>3</v>
      </c>
      <c r="U765" s="8" t="s">
        <v>25</v>
      </c>
      <c r="V765" s="8" t="s">
        <v>43</v>
      </c>
      <c r="W765" s="8" t="s">
        <v>1511</v>
      </c>
      <c r="X765" s="8" t="s">
        <v>900</v>
      </c>
      <c r="Y765" s="9">
        <v>1</v>
      </c>
      <c r="Z765" s="8" t="s">
        <v>1401</v>
      </c>
      <c r="AA765" s="10">
        <v>41689</v>
      </c>
      <c r="AB765" s="10">
        <v>41717</v>
      </c>
      <c r="AC765" s="10">
        <v>41719</v>
      </c>
      <c r="AD765" s="10">
        <v>41719</v>
      </c>
      <c r="AE765" s="8">
        <v>25.7</v>
      </c>
      <c r="AF765" s="8">
        <v>29259.449999999997</v>
      </c>
      <c r="AJ765" s="8" t="s">
        <v>1704</v>
      </c>
    </row>
    <row r="766" spans="1:36">
      <c r="A766" s="7">
        <f t="shared" ref="A766:A771" si="229">IF(B766="",0,1/COUNTIF(B:B,B766))</f>
        <v>1</v>
      </c>
      <c r="B766" s="7" t="str">
        <f t="shared" ref="B766:B771" si="230">IF(AA766="","",W766)</f>
        <v>14FW_ELSTINKO_JUMPER_01_BK_KIDS</v>
      </c>
      <c r="C766" s="7">
        <f t="shared" ref="C766:C771" si="231">IF(D766="",0,1/COUNTIF(D:D,D766))</f>
        <v>1</v>
      </c>
      <c r="D766" s="7" t="str">
        <f t="shared" ref="D766:D771" si="232">IF(AA766="","",Z766&amp;W766)</f>
        <v>대경14FW_ELSTINKO_JUMPER_01_BK_KIDS</v>
      </c>
      <c r="E766" s="12" t="str">
        <f t="shared" ref="E766:E771" si="233">IF(YEAR(AA766)&lt;10,0&amp;YEAR(AA766),YEAR(AA766))&amp;IF(MONTH(AA766)&lt;10,0&amp;MONTH(AA766),MONTH(AA766))</f>
        <v>201402</v>
      </c>
      <c r="F766" s="347" t="str">
        <f>VLOOKUP($AA766,[3]주!$A:$F,6,FALSE)</f>
        <v>2월 3주</v>
      </c>
      <c r="G766" s="7">
        <f t="shared" ref="G766:G771" si="234">IF(H766="",0,1/COUNTIF(H:H,H766))</f>
        <v>1</v>
      </c>
      <c r="H766" s="7" t="str">
        <f t="shared" ref="H766:H771" si="235">IF(AD766="","",W766)</f>
        <v>14FW_ELSTINKO_JUMPER_01_BK_KIDS</v>
      </c>
      <c r="I766" s="7">
        <f t="shared" ref="I766:I771" si="236">IF(J766="",0,1/COUNTIF(J:J,J766))</f>
        <v>1</v>
      </c>
      <c r="J766" s="7" t="str">
        <f t="shared" ref="J766:J771" si="237">IF(AD766="","",Z766&amp;W766)</f>
        <v>대경14FW_ELSTINKO_JUMPER_01_BK_KIDS</v>
      </c>
      <c r="K766" s="17">
        <f t="shared" ref="K766:K771" si="238">IF(AD766="",AC766,AD766)</f>
        <v>41719</v>
      </c>
      <c r="L766" s="12" t="str">
        <f t="shared" ref="L766:L771" si="239">IF(YEAR(K766)&lt;10,0&amp;YEAR(K766),YEAR(K766))&amp;IF(MONTH(K766)&lt;10,0&amp;MONTH(K766),MONTH(K766))</f>
        <v>201403</v>
      </c>
      <c r="M766" s="347" t="str">
        <f>VLOOKUP($K766,[3]주!$A:$F,6,FALSE)</f>
        <v>3월 2주</v>
      </c>
      <c r="N766" s="273" t="str">
        <f>IF(VLOOKUP($Z766,생산업체!$A:$C,2,FALSE)=1,"해외","국내")</f>
        <v>해외</v>
      </c>
      <c r="O766" s="12" t="str">
        <f>IF(VLOOKUP($U766,CODE!$K:$P,CODE!P$1,FALSE)="모자",T766,T766&amp;"-"&amp;VLOOKUP($U766,CODE!$K:$P,CODE!P$1,FALSE))</f>
        <v>ELS-의류</v>
      </c>
      <c r="P766" s="11" t="s">
        <v>41</v>
      </c>
      <c r="R766" s="11">
        <v>33</v>
      </c>
      <c r="T766" s="8" t="s">
        <v>3</v>
      </c>
      <c r="U766" s="8" t="s">
        <v>26</v>
      </c>
      <c r="V766" s="8" t="s">
        <v>43</v>
      </c>
      <c r="W766" s="8" t="s">
        <v>1512</v>
      </c>
      <c r="X766" s="8" t="s">
        <v>905</v>
      </c>
      <c r="Y766" s="9">
        <v>1</v>
      </c>
      <c r="Z766" s="8" t="s">
        <v>1401</v>
      </c>
      <c r="AA766" s="10">
        <v>41689</v>
      </c>
      <c r="AB766" s="10">
        <v>41717</v>
      </c>
      <c r="AC766" s="10">
        <v>41719</v>
      </c>
      <c r="AD766" s="10">
        <v>41719</v>
      </c>
      <c r="AE766" s="8">
        <v>33.75</v>
      </c>
      <c r="AF766" s="8">
        <v>38424.375</v>
      </c>
      <c r="AJ766" s="8" t="s">
        <v>1704</v>
      </c>
    </row>
    <row r="767" spans="1:36">
      <c r="A767" s="7">
        <f t="shared" si="229"/>
        <v>1</v>
      </c>
      <c r="B767" s="7" t="str">
        <f t="shared" si="230"/>
        <v>14FW_ELSTINKO_JUMPER_02_RD_KIDS</v>
      </c>
      <c r="C767" s="7">
        <f t="shared" si="231"/>
        <v>1</v>
      </c>
      <c r="D767" s="7" t="str">
        <f t="shared" si="232"/>
        <v>대경14FW_ELSTINKO_JUMPER_02_RD_KIDS</v>
      </c>
      <c r="E767" s="12" t="str">
        <f t="shared" si="233"/>
        <v>201402</v>
      </c>
      <c r="F767" s="347" t="str">
        <f>VLOOKUP($AA767,[3]주!$A:$F,6,FALSE)</f>
        <v>2월 3주</v>
      </c>
      <c r="G767" s="7">
        <f t="shared" si="234"/>
        <v>1</v>
      </c>
      <c r="H767" s="7" t="str">
        <f t="shared" si="235"/>
        <v>14FW_ELSTINKO_JUMPER_02_RD_KIDS</v>
      </c>
      <c r="I767" s="7">
        <f t="shared" si="236"/>
        <v>1</v>
      </c>
      <c r="J767" s="7" t="str">
        <f t="shared" si="237"/>
        <v>대경14FW_ELSTINKO_JUMPER_02_RD_KIDS</v>
      </c>
      <c r="K767" s="17">
        <f t="shared" si="238"/>
        <v>41719</v>
      </c>
      <c r="L767" s="12" t="str">
        <f t="shared" si="239"/>
        <v>201403</v>
      </c>
      <c r="M767" s="347" t="str">
        <f>VLOOKUP($K767,[3]주!$A:$F,6,FALSE)</f>
        <v>3월 2주</v>
      </c>
      <c r="N767" s="273" t="str">
        <f>IF(VLOOKUP($Z767,생산업체!$A:$C,2,FALSE)=1,"해외","국내")</f>
        <v>해외</v>
      </c>
      <c r="O767" s="12" t="str">
        <f>IF(VLOOKUP($U767,CODE!$K:$P,CODE!P$1,FALSE)="모자",T767,T767&amp;"-"&amp;VLOOKUP($U767,CODE!$K:$P,CODE!P$1,FALSE))</f>
        <v>ELS-의류</v>
      </c>
      <c r="P767" s="11" t="s">
        <v>41</v>
      </c>
      <c r="R767" s="11">
        <v>34</v>
      </c>
      <c r="T767" s="8" t="s">
        <v>3</v>
      </c>
      <c r="U767" s="8" t="s">
        <v>26</v>
      </c>
      <c r="V767" s="8" t="s">
        <v>43</v>
      </c>
      <c r="W767" s="8" t="s">
        <v>1513</v>
      </c>
      <c r="X767" s="8" t="s">
        <v>905</v>
      </c>
      <c r="Y767" s="9">
        <v>1</v>
      </c>
      <c r="Z767" s="8" t="s">
        <v>1401</v>
      </c>
      <c r="AA767" s="10">
        <v>41689</v>
      </c>
      <c r="AB767" s="10">
        <v>41717</v>
      </c>
      <c r="AC767" s="10">
        <v>41719</v>
      </c>
      <c r="AD767" s="10">
        <v>41719</v>
      </c>
      <c r="AE767" s="8">
        <v>31.05</v>
      </c>
      <c r="AF767" s="8">
        <v>35350.424999999996</v>
      </c>
      <c r="AJ767" s="8" t="s">
        <v>1705</v>
      </c>
    </row>
    <row r="768" spans="1:36">
      <c r="A768" s="7">
        <f t="shared" si="229"/>
        <v>1</v>
      </c>
      <c r="B768" s="7" t="str">
        <f t="shared" si="230"/>
        <v>14FW ELSTINKO_MTM_07_BK</v>
      </c>
      <c r="C768" s="7">
        <f t="shared" si="231"/>
        <v>1</v>
      </c>
      <c r="D768" s="7" t="str">
        <f t="shared" si="232"/>
        <v>대경14FW ELSTINKO_MTM_07_BK</v>
      </c>
      <c r="E768" s="12" t="str">
        <f t="shared" si="233"/>
        <v>201402</v>
      </c>
      <c r="F768" s="347" t="str">
        <f>VLOOKUP($AA768,[3]주!$A:$F,6,FALSE)</f>
        <v>2월 3주</v>
      </c>
      <c r="G768" s="7">
        <f t="shared" si="234"/>
        <v>1</v>
      </c>
      <c r="H768" s="7" t="str">
        <f t="shared" si="235"/>
        <v>14FW ELSTINKO_MTM_07_BK</v>
      </c>
      <c r="I768" s="7">
        <f t="shared" si="236"/>
        <v>1</v>
      </c>
      <c r="J768" s="7" t="str">
        <f t="shared" si="237"/>
        <v>대경14FW ELSTINKO_MTM_07_BK</v>
      </c>
      <c r="K768" s="17">
        <f t="shared" si="238"/>
        <v>41719</v>
      </c>
      <c r="L768" s="12" t="str">
        <f t="shared" si="239"/>
        <v>201403</v>
      </c>
      <c r="M768" s="347" t="str">
        <f>VLOOKUP($K768,[3]주!$A:$F,6,FALSE)</f>
        <v>3월 2주</v>
      </c>
      <c r="N768" s="273" t="str">
        <f>IF(VLOOKUP($Z768,생산업체!$A:$C,2,FALSE)=1,"해외","국내")</f>
        <v>해외</v>
      </c>
      <c r="O768" s="12" t="str">
        <f>IF(VLOOKUP($U768,CODE!$K:$P,CODE!P$1,FALSE)="모자",T768,T768&amp;"-"&amp;VLOOKUP($U768,CODE!$K:$P,CODE!P$1,FALSE))</f>
        <v>ELS-의류</v>
      </c>
      <c r="P768" s="11" t="s">
        <v>41</v>
      </c>
      <c r="R768" s="11">
        <v>35</v>
      </c>
      <c r="T768" s="8" t="s">
        <v>3</v>
      </c>
      <c r="U768" s="8" t="s">
        <v>27</v>
      </c>
      <c r="V768" s="8" t="s">
        <v>43</v>
      </c>
      <c r="W768" s="8" t="s">
        <v>1514</v>
      </c>
      <c r="X768" s="8" t="s">
        <v>900</v>
      </c>
      <c r="Y768" s="9">
        <v>1</v>
      </c>
      <c r="Z768" s="8" t="s">
        <v>1401</v>
      </c>
      <c r="AA768" s="10">
        <v>41689</v>
      </c>
      <c r="AB768" s="10">
        <v>41717</v>
      </c>
      <c r="AC768" s="10">
        <v>41719</v>
      </c>
      <c r="AD768" s="10">
        <v>41719</v>
      </c>
      <c r="AE768" s="8">
        <v>16.2</v>
      </c>
      <c r="AF768" s="8">
        <v>18443.699999999997</v>
      </c>
      <c r="AJ768" s="8" t="s">
        <v>1706</v>
      </c>
    </row>
    <row r="769" spans="1:36">
      <c r="A769" s="7">
        <f t="shared" si="229"/>
        <v>1</v>
      </c>
      <c r="B769" s="7" t="str">
        <f t="shared" si="230"/>
        <v>14FW ELSTINKO_MTM_08_BK</v>
      </c>
      <c r="C769" s="7">
        <f t="shared" si="231"/>
        <v>1</v>
      </c>
      <c r="D769" s="7" t="str">
        <f t="shared" si="232"/>
        <v>아트인드림14FW ELSTINKO_MTM_08_BK</v>
      </c>
      <c r="E769" s="12" t="str">
        <f t="shared" si="233"/>
        <v>201402</v>
      </c>
      <c r="F769" s="347" t="str">
        <f>VLOOKUP($AA769,[3]주!$A:$F,6,FALSE)</f>
        <v>2월 3주</v>
      </c>
      <c r="G769" s="7">
        <f t="shared" si="234"/>
        <v>1</v>
      </c>
      <c r="H769" s="7" t="str">
        <f t="shared" si="235"/>
        <v>14FW ELSTINKO_MTM_08_BK</v>
      </c>
      <c r="I769" s="7">
        <f t="shared" si="236"/>
        <v>1</v>
      </c>
      <c r="J769" s="7" t="str">
        <f t="shared" si="237"/>
        <v>아트인드림14FW ELSTINKO_MTM_08_BK</v>
      </c>
      <c r="K769" s="17">
        <f t="shared" si="238"/>
        <v>41723</v>
      </c>
      <c r="L769" s="12" t="str">
        <f t="shared" si="239"/>
        <v>201403</v>
      </c>
      <c r="M769" s="347" t="str">
        <f>VLOOKUP($K769,[3]주!$A:$F,6,FALSE)</f>
        <v>3월 2주</v>
      </c>
      <c r="N769" s="273" t="str">
        <f>IF(VLOOKUP($Z769,생산업체!$A:$C,2,FALSE)=1,"해외","국내")</f>
        <v>국내</v>
      </c>
      <c r="O769" s="12" t="str">
        <f>IF(VLOOKUP($U769,CODE!$K:$P,CODE!P$1,FALSE)="모자",T769,T769&amp;"-"&amp;VLOOKUP($U769,CODE!$K:$P,CODE!P$1,FALSE))</f>
        <v>ELS-의류</v>
      </c>
      <c r="P769" s="11" t="s">
        <v>41</v>
      </c>
      <c r="R769" s="11">
        <v>36</v>
      </c>
      <c r="T769" s="8" t="s">
        <v>3</v>
      </c>
      <c r="U769" s="8" t="s">
        <v>27</v>
      </c>
      <c r="V769" s="8" t="s">
        <v>43</v>
      </c>
      <c r="W769" s="8" t="s">
        <v>1515</v>
      </c>
      <c r="X769" s="8" t="s">
        <v>900</v>
      </c>
      <c r="Y769" s="9">
        <v>1</v>
      </c>
      <c r="Z769" s="8" t="s">
        <v>1409</v>
      </c>
      <c r="AA769" s="10">
        <v>41689</v>
      </c>
      <c r="AB769" s="10">
        <v>41710</v>
      </c>
      <c r="AC769" s="10">
        <v>41719</v>
      </c>
      <c r="AD769" s="10">
        <v>41723</v>
      </c>
      <c r="AF769" s="8">
        <v>20731</v>
      </c>
      <c r="AJ769" s="8" t="s">
        <v>2253</v>
      </c>
    </row>
    <row r="770" spans="1:36">
      <c r="A770" s="7">
        <f t="shared" si="229"/>
        <v>1</v>
      </c>
      <c r="B770" s="7" t="str">
        <f t="shared" si="230"/>
        <v>14FW ELSTINKO_MTM_06_BK</v>
      </c>
      <c r="C770" s="7">
        <f t="shared" si="231"/>
        <v>1</v>
      </c>
      <c r="D770" s="7" t="str">
        <f t="shared" si="232"/>
        <v>대경14FW ELSTINKO_MTM_06_BK</v>
      </c>
      <c r="E770" s="12" t="str">
        <f t="shared" si="233"/>
        <v>201402</v>
      </c>
      <c r="F770" s="347" t="str">
        <f>VLOOKUP($AA770,[3]주!$A:$F,6,FALSE)</f>
        <v>2월 3주</v>
      </c>
      <c r="G770" s="7">
        <f t="shared" si="234"/>
        <v>1</v>
      </c>
      <c r="H770" s="7" t="str">
        <f t="shared" si="235"/>
        <v>14FW ELSTINKO_MTM_06_BK</v>
      </c>
      <c r="I770" s="7">
        <f t="shared" si="236"/>
        <v>1</v>
      </c>
      <c r="J770" s="7" t="str">
        <f t="shared" si="237"/>
        <v>대경14FW ELSTINKO_MTM_06_BK</v>
      </c>
      <c r="K770" s="17">
        <f t="shared" si="238"/>
        <v>41719</v>
      </c>
      <c r="L770" s="12" t="str">
        <f t="shared" si="239"/>
        <v>201403</v>
      </c>
      <c r="M770" s="347" t="str">
        <f>VLOOKUP($K770,[3]주!$A:$F,6,FALSE)</f>
        <v>3월 2주</v>
      </c>
      <c r="N770" s="273" t="str">
        <f>IF(VLOOKUP($Z770,생산업체!$A:$C,2,FALSE)=1,"해외","국내")</f>
        <v>해외</v>
      </c>
      <c r="O770" s="12" t="str">
        <f>IF(VLOOKUP($U770,CODE!$K:$P,CODE!P$1,FALSE)="모자",T770,T770&amp;"-"&amp;VLOOKUP($U770,CODE!$K:$P,CODE!P$1,FALSE))</f>
        <v>ELS-의류</v>
      </c>
      <c r="P770" s="11" t="s">
        <v>41</v>
      </c>
      <c r="R770" s="11">
        <v>37</v>
      </c>
      <c r="T770" s="8" t="s">
        <v>3</v>
      </c>
      <c r="U770" s="8" t="s">
        <v>27</v>
      </c>
      <c r="V770" s="8" t="s">
        <v>43</v>
      </c>
      <c r="W770" s="8" t="s">
        <v>1516</v>
      </c>
      <c r="X770" s="8" t="s">
        <v>900</v>
      </c>
      <c r="Y770" s="9">
        <v>1</v>
      </c>
      <c r="Z770" s="8" t="s">
        <v>1401</v>
      </c>
      <c r="AA770" s="10">
        <v>41689</v>
      </c>
      <c r="AB770" s="10">
        <v>41717</v>
      </c>
      <c r="AC770" s="10">
        <v>41719</v>
      </c>
      <c r="AD770" s="10">
        <v>41719</v>
      </c>
      <c r="AE770" s="8">
        <v>17.5</v>
      </c>
      <c r="AF770" s="8">
        <v>19923.75</v>
      </c>
      <c r="AJ770" s="8" t="s">
        <v>1705</v>
      </c>
    </row>
    <row r="771" spans="1:36">
      <c r="A771" s="7">
        <f t="shared" si="229"/>
        <v>1</v>
      </c>
      <c r="B771" s="7" t="str">
        <f t="shared" si="230"/>
        <v>14FW ELSTINKO_MTM_06_GY</v>
      </c>
      <c r="C771" s="7">
        <f t="shared" si="231"/>
        <v>1</v>
      </c>
      <c r="D771" s="7" t="str">
        <f t="shared" si="232"/>
        <v>대경14FW ELSTINKO_MTM_06_GY</v>
      </c>
      <c r="E771" s="12" t="str">
        <f t="shared" si="233"/>
        <v>201402</v>
      </c>
      <c r="F771" s="347" t="str">
        <f>VLOOKUP($AA771,[3]주!$A:$F,6,FALSE)</f>
        <v>2월 3주</v>
      </c>
      <c r="G771" s="7">
        <f t="shared" si="234"/>
        <v>1</v>
      </c>
      <c r="H771" s="7" t="str">
        <f t="shared" si="235"/>
        <v>14FW ELSTINKO_MTM_06_GY</v>
      </c>
      <c r="I771" s="7">
        <f t="shared" si="236"/>
        <v>1</v>
      </c>
      <c r="J771" s="7" t="str">
        <f t="shared" si="237"/>
        <v>대경14FW ELSTINKO_MTM_06_GY</v>
      </c>
      <c r="K771" s="17">
        <f t="shared" si="238"/>
        <v>41719</v>
      </c>
      <c r="L771" s="12" t="str">
        <f t="shared" si="239"/>
        <v>201403</v>
      </c>
      <c r="M771" s="347" t="str">
        <f>VLOOKUP($K771,[3]주!$A:$F,6,FALSE)</f>
        <v>3월 2주</v>
      </c>
      <c r="N771" s="273" t="str">
        <f>IF(VLOOKUP($Z771,생산업체!$A:$C,2,FALSE)=1,"해외","국내")</f>
        <v>해외</v>
      </c>
      <c r="O771" s="12" t="str">
        <f>IF(VLOOKUP($U771,CODE!$K:$P,CODE!P$1,FALSE)="모자",T771,T771&amp;"-"&amp;VLOOKUP($U771,CODE!$K:$P,CODE!P$1,FALSE))</f>
        <v>ELS-의류</v>
      </c>
      <c r="P771" s="11" t="s">
        <v>41</v>
      </c>
      <c r="R771" s="11">
        <v>38</v>
      </c>
      <c r="T771" s="8" t="s">
        <v>3</v>
      </c>
      <c r="U771" s="8" t="s">
        <v>27</v>
      </c>
      <c r="V771" s="8" t="s">
        <v>43</v>
      </c>
      <c r="W771" s="8" t="s">
        <v>1517</v>
      </c>
      <c r="X771" s="8" t="s">
        <v>900</v>
      </c>
      <c r="Y771" s="9">
        <v>1</v>
      </c>
      <c r="Z771" s="8" t="s">
        <v>1401</v>
      </c>
      <c r="AA771" s="10">
        <v>41689</v>
      </c>
      <c r="AB771" s="10">
        <v>41717</v>
      </c>
      <c r="AC771" s="10">
        <v>41719</v>
      </c>
      <c r="AD771" s="10">
        <v>41719</v>
      </c>
      <c r="AE771" s="8">
        <v>17.5</v>
      </c>
      <c r="AF771" s="8">
        <v>19923.75</v>
      </c>
      <c r="AJ771" s="8" t="s">
        <v>1705</v>
      </c>
    </row>
    <row r="772" spans="1:36">
      <c r="A772" s="7">
        <f t="shared" ref="A772:A835" si="240">IF(B772="",0,1/COUNTIF(B:B,B772))</f>
        <v>1</v>
      </c>
      <c r="B772" s="7" t="str">
        <f t="shared" ref="B772:B835" si="241">IF(AA772="","",W772)</f>
        <v>14FW ELSTINKO_HOOD_05_BK</v>
      </c>
      <c r="C772" s="7">
        <f t="shared" ref="C772:C835" si="242">IF(D772="",0,1/COUNTIF(D:D,D772))</f>
        <v>1</v>
      </c>
      <c r="D772" s="7" t="str">
        <f t="shared" ref="D772:D835" si="243">IF(AA772="","",Z772&amp;W772)</f>
        <v>EVERGREEN14FW ELSTINKO_HOOD_05_BK</v>
      </c>
      <c r="E772" s="12" t="str">
        <f t="shared" ref="E772:E835" si="244">IF(YEAR(AA772)&lt;10,0&amp;YEAR(AA772),YEAR(AA772))&amp;IF(MONTH(AA772)&lt;10,0&amp;MONTH(AA772),MONTH(AA772))</f>
        <v>201402</v>
      </c>
      <c r="F772" s="347" t="str">
        <f>VLOOKUP($AA772,[3]주!$A:$F,6,FALSE)</f>
        <v>2월 4주</v>
      </c>
      <c r="G772" s="7">
        <f t="shared" ref="G772:G835" si="245">IF(H772="",0,1/COUNTIF(H:H,H772))</f>
        <v>1</v>
      </c>
      <c r="H772" s="7" t="str">
        <f t="shared" ref="H772:H835" si="246">IF(AD772="","",W772)</f>
        <v>14FW ELSTINKO_HOOD_05_BK</v>
      </c>
      <c r="I772" s="7">
        <f t="shared" ref="I772:I835" si="247">IF(J772="",0,1/COUNTIF(J:J,J772))</f>
        <v>1</v>
      </c>
      <c r="J772" s="7" t="str">
        <f t="shared" ref="J772:J835" si="248">IF(AD772="","",Z772&amp;W772)</f>
        <v>EVERGREEN14FW ELSTINKO_HOOD_05_BK</v>
      </c>
      <c r="K772" s="17">
        <f t="shared" ref="K772:K835" si="249">IF(AD772="",AC772,AD772)</f>
        <v>41715</v>
      </c>
      <c r="L772" s="12" t="str">
        <f t="shared" ref="L772:L835" si="250">IF(YEAR(K772)&lt;10,0&amp;YEAR(K772),YEAR(K772))&amp;IF(MONTH(K772)&lt;10,0&amp;MONTH(K772),MONTH(K772))</f>
        <v>201403</v>
      </c>
      <c r="M772" s="347" t="str">
        <f>VLOOKUP($K772,[3]주!$A:$F,6,FALSE)</f>
        <v>3월 2주</v>
      </c>
      <c r="N772" s="273" t="str">
        <f>IF(VLOOKUP($Z772,생산업체!$A:$C,2,FALSE)=1,"해외","국내")</f>
        <v>해외</v>
      </c>
      <c r="O772" s="12" t="str">
        <f>IF(VLOOKUP($U772,CODE!$K:$P,CODE!P$1,FALSE)="모자",T772,T772&amp;"-"&amp;VLOOKUP($U772,CODE!$K:$P,CODE!P$1,FALSE))</f>
        <v>ELS-의류</v>
      </c>
      <c r="P772" s="11" t="s">
        <v>41</v>
      </c>
      <c r="R772" s="11">
        <v>39</v>
      </c>
      <c r="T772" s="8" t="s">
        <v>3</v>
      </c>
      <c r="U772" s="8" t="s">
        <v>24</v>
      </c>
      <c r="V772" s="8" t="s">
        <v>43</v>
      </c>
      <c r="W772" s="8" t="s">
        <v>1518</v>
      </c>
      <c r="X772" s="8" t="s">
        <v>900</v>
      </c>
      <c r="Y772" s="9">
        <v>1</v>
      </c>
      <c r="Z772" s="8" t="s">
        <v>1497</v>
      </c>
      <c r="AA772" s="10">
        <v>41695</v>
      </c>
      <c r="AB772" s="10">
        <v>41723</v>
      </c>
      <c r="AC772" s="10">
        <v>41715</v>
      </c>
      <c r="AD772" s="10">
        <v>41715</v>
      </c>
      <c r="AE772" s="8">
        <v>15.5</v>
      </c>
    </row>
    <row r="773" spans="1:36">
      <c r="A773" s="7">
        <f t="shared" si="240"/>
        <v>1</v>
      </c>
      <c r="B773" s="7" t="str">
        <f t="shared" si="241"/>
        <v>14FW ELSTINKO_HOODZIP_08_BK</v>
      </c>
      <c r="C773" s="7">
        <f t="shared" si="242"/>
        <v>1</v>
      </c>
      <c r="D773" s="7" t="str">
        <f t="shared" si="243"/>
        <v>아트인드림14FW ELSTINKO_HOODZIP_08_BK</v>
      </c>
      <c r="E773" s="12" t="str">
        <f t="shared" si="244"/>
        <v>201402</v>
      </c>
      <c r="F773" s="347" t="str">
        <f>VLOOKUP($AA773,[3]주!$A:$F,6,FALSE)</f>
        <v>2월 4주</v>
      </c>
      <c r="G773" s="7">
        <f t="shared" si="245"/>
        <v>1</v>
      </c>
      <c r="H773" s="7" t="str">
        <f t="shared" si="246"/>
        <v>14FW ELSTINKO_HOODZIP_08_BK</v>
      </c>
      <c r="I773" s="7">
        <f t="shared" si="247"/>
        <v>1</v>
      </c>
      <c r="J773" s="7" t="str">
        <f t="shared" si="248"/>
        <v>아트인드림14FW ELSTINKO_HOODZIP_08_BK</v>
      </c>
      <c r="K773" s="17">
        <f t="shared" si="249"/>
        <v>41723</v>
      </c>
      <c r="L773" s="12" t="str">
        <f t="shared" si="250"/>
        <v>201403</v>
      </c>
      <c r="M773" s="347" t="str">
        <f>VLOOKUP($K773,[3]주!$A:$F,6,FALSE)</f>
        <v>3월 2주</v>
      </c>
      <c r="N773" s="273" t="str">
        <f>IF(VLOOKUP($Z773,생산업체!$A:$C,2,FALSE)=1,"해외","국내")</f>
        <v>국내</v>
      </c>
      <c r="O773" s="12" t="str">
        <f>IF(VLOOKUP($U773,CODE!$K:$P,CODE!P$1,FALSE)="모자",T773,T773&amp;"-"&amp;VLOOKUP($U773,CODE!$K:$P,CODE!P$1,FALSE))</f>
        <v>ELS-의류</v>
      </c>
      <c r="P773" s="11" t="s">
        <v>41</v>
      </c>
      <c r="R773" s="11">
        <v>40</v>
      </c>
      <c r="T773" s="8" t="s">
        <v>3</v>
      </c>
      <c r="U773" s="8" t="s">
        <v>25</v>
      </c>
      <c r="V773" s="8" t="s">
        <v>43</v>
      </c>
      <c r="W773" s="8" t="s">
        <v>1707</v>
      </c>
      <c r="X773" s="8" t="s">
        <v>900</v>
      </c>
      <c r="Y773" s="9">
        <v>1</v>
      </c>
      <c r="Z773" s="8" t="s">
        <v>1409</v>
      </c>
      <c r="AA773" s="10">
        <v>41697</v>
      </c>
      <c r="AB773" s="10">
        <v>41718</v>
      </c>
      <c r="AC773" s="10">
        <v>41725</v>
      </c>
      <c r="AD773" s="10">
        <v>41723</v>
      </c>
      <c r="AF773" s="8">
        <v>28654</v>
      </c>
    </row>
    <row r="774" spans="1:36">
      <c r="A774" s="7">
        <f t="shared" si="240"/>
        <v>1</v>
      </c>
      <c r="B774" s="7" t="str">
        <f t="shared" si="241"/>
        <v>14FW ELSTINKO_HOODZIP_09_BK</v>
      </c>
      <c r="C774" s="7">
        <f t="shared" si="242"/>
        <v>1</v>
      </c>
      <c r="D774" s="7" t="str">
        <f t="shared" si="243"/>
        <v>piafield14FW ELSTINKO_HOODZIP_09_BK</v>
      </c>
      <c r="E774" s="12" t="str">
        <f t="shared" si="244"/>
        <v>201402</v>
      </c>
      <c r="F774" s="347" t="str">
        <f>VLOOKUP($AA774,[3]주!$A:$F,6,FALSE)</f>
        <v>2월 4주</v>
      </c>
      <c r="G774" s="7">
        <f t="shared" si="245"/>
        <v>1</v>
      </c>
      <c r="H774" s="7" t="str">
        <f t="shared" si="246"/>
        <v>14FW ELSTINKO_HOODZIP_09_BK</v>
      </c>
      <c r="I774" s="7">
        <f t="shared" si="247"/>
        <v>1</v>
      </c>
      <c r="J774" s="7" t="str">
        <f t="shared" si="248"/>
        <v>piafield14FW ELSTINKO_HOODZIP_09_BK</v>
      </c>
      <c r="K774" s="17">
        <f t="shared" si="249"/>
        <v>41722</v>
      </c>
      <c r="L774" s="12" t="str">
        <f t="shared" si="250"/>
        <v>201403</v>
      </c>
      <c r="M774" s="347" t="str">
        <f>VLOOKUP($K774,[3]주!$A:$F,6,FALSE)</f>
        <v>3월 2주</v>
      </c>
      <c r="N774" s="273" t="str">
        <f>IF(VLOOKUP($Z774,생산업체!$A:$C,2,FALSE)=1,"해외","국내")</f>
        <v>해외</v>
      </c>
      <c r="O774" s="12" t="str">
        <f>IF(VLOOKUP($U774,CODE!$K:$P,CODE!P$1,FALSE)="모자",T774,T774&amp;"-"&amp;VLOOKUP($U774,CODE!$K:$P,CODE!P$1,FALSE))</f>
        <v>ELS-의류</v>
      </c>
      <c r="P774" s="11" t="s">
        <v>41</v>
      </c>
      <c r="R774" s="11">
        <v>41</v>
      </c>
      <c r="T774" s="8" t="s">
        <v>3</v>
      </c>
      <c r="U774" s="8" t="s">
        <v>25</v>
      </c>
      <c r="V774" s="8" t="s">
        <v>43</v>
      </c>
      <c r="W774" s="8" t="s">
        <v>1708</v>
      </c>
      <c r="X774" s="8" t="s">
        <v>900</v>
      </c>
      <c r="Y774" s="9">
        <v>1</v>
      </c>
      <c r="Z774" s="8" t="s">
        <v>897</v>
      </c>
      <c r="AA774" s="10">
        <v>41697</v>
      </c>
      <c r="AB774" s="10">
        <v>41725</v>
      </c>
      <c r="AC774" s="10">
        <v>41725</v>
      </c>
      <c r="AD774" s="10">
        <v>41722</v>
      </c>
      <c r="AF774" s="8">
        <v>23450</v>
      </c>
    </row>
    <row r="775" spans="1:36">
      <c r="A775" s="7">
        <f t="shared" si="240"/>
        <v>1</v>
      </c>
      <c r="B775" s="7" t="str">
        <f t="shared" si="241"/>
        <v>14FW ELSTINKO_ RAGLAN HOOD_07_BK</v>
      </c>
      <c r="C775" s="7">
        <f t="shared" si="242"/>
        <v>1</v>
      </c>
      <c r="D775" s="7" t="str">
        <f t="shared" si="243"/>
        <v>piafield14FW ELSTINKO_ RAGLAN HOOD_07_BK</v>
      </c>
      <c r="E775" s="12" t="str">
        <f t="shared" si="244"/>
        <v>201402</v>
      </c>
      <c r="F775" s="347" t="str">
        <f>VLOOKUP($AA775,[3]주!$A:$F,6,FALSE)</f>
        <v>2월 4주</v>
      </c>
      <c r="G775" s="7">
        <f t="shared" si="245"/>
        <v>1</v>
      </c>
      <c r="H775" s="7" t="str">
        <f t="shared" si="246"/>
        <v>14FW ELSTINKO_ RAGLAN HOOD_07_BK</v>
      </c>
      <c r="I775" s="7">
        <f t="shared" si="247"/>
        <v>1</v>
      </c>
      <c r="J775" s="7" t="str">
        <f t="shared" si="248"/>
        <v>piafield14FW ELSTINKO_ RAGLAN HOOD_07_BK</v>
      </c>
      <c r="K775" s="17">
        <f t="shared" si="249"/>
        <v>41722</v>
      </c>
      <c r="L775" s="12" t="str">
        <f t="shared" si="250"/>
        <v>201403</v>
      </c>
      <c r="M775" s="347" t="str">
        <f>VLOOKUP($K775,[3]주!$A:$F,6,FALSE)</f>
        <v>3월 2주</v>
      </c>
      <c r="N775" s="273" t="str">
        <f>IF(VLOOKUP($Z775,생산업체!$A:$C,2,FALSE)=1,"해외","국내")</f>
        <v>해외</v>
      </c>
      <c r="O775" s="12" t="str">
        <f>IF(VLOOKUP($U775,CODE!$K:$P,CODE!P$1,FALSE)="모자",T775,T775&amp;"-"&amp;VLOOKUP($U775,CODE!$K:$P,CODE!P$1,FALSE))</f>
        <v>ELS-의류</v>
      </c>
      <c r="P775" s="11" t="s">
        <v>41</v>
      </c>
      <c r="R775" s="11">
        <v>42</v>
      </c>
      <c r="T775" s="8" t="s">
        <v>3</v>
      </c>
      <c r="U775" s="8" t="s">
        <v>24</v>
      </c>
      <c r="V775" s="8" t="s">
        <v>43</v>
      </c>
      <c r="W775" s="8" t="s">
        <v>1709</v>
      </c>
      <c r="X775" s="8" t="s">
        <v>900</v>
      </c>
      <c r="Y775" s="9">
        <v>1</v>
      </c>
      <c r="Z775" s="8" t="s">
        <v>897</v>
      </c>
      <c r="AA775" s="10">
        <v>41697</v>
      </c>
      <c r="AB775" s="10">
        <v>41725</v>
      </c>
      <c r="AC775" s="10">
        <v>41725</v>
      </c>
      <c r="AD775" s="10">
        <v>41722</v>
      </c>
      <c r="AF775" s="8">
        <v>16180</v>
      </c>
    </row>
    <row r="776" spans="1:36">
      <c r="A776" s="7">
        <f t="shared" si="240"/>
        <v>1</v>
      </c>
      <c r="B776" s="7" t="str">
        <f t="shared" si="241"/>
        <v>14FW ELSTINKO_MTM_10_BK</v>
      </c>
      <c r="C776" s="7">
        <f t="shared" si="242"/>
        <v>1</v>
      </c>
      <c r="D776" s="7" t="str">
        <f t="shared" si="243"/>
        <v>piafield14FW ELSTINKO_MTM_10_BK</v>
      </c>
      <c r="E776" s="12" t="str">
        <f t="shared" si="244"/>
        <v>201402</v>
      </c>
      <c r="F776" s="347" t="str">
        <f>VLOOKUP($AA776,[3]주!$A:$F,6,FALSE)</f>
        <v>2월 4주</v>
      </c>
      <c r="G776" s="7">
        <f t="shared" si="245"/>
        <v>1</v>
      </c>
      <c r="H776" s="7" t="str">
        <f t="shared" si="246"/>
        <v>14FW ELSTINKO_MTM_10_BK</v>
      </c>
      <c r="I776" s="7">
        <f t="shared" si="247"/>
        <v>1</v>
      </c>
      <c r="J776" s="7" t="str">
        <f t="shared" si="248"/>
        <v>piafield14FW ELSTINKO_MTM_10_BK</v>
      </c>
      <c r="K776" s="17">
        <f t="shared" si="249"/>
        <v>41722</v>
      </c>
      <c r="L776" s="12" t="str">
        <f t="shared" si="250"/>
        <v>201403</v>
      </c>
      <c r="M776" s="347" t="str">
        <f>VLOOKUP($K776,[3]주!$A:$F,6,FALSE)</f>
        <v>3월 2주</v>
      </c>
      <c r="N776" s="273" t="str">
        <f>IF(VLOOKUP($Z776,생산업체!$A:$C,2,FALSE)=1,"해외","국내")</f>
        <v>해외</v>
      </c>
      <c r="O776" s="12" t="str">
        <f>IF(VLOOKUP($U776,CODE!$K:$P,CODE!P$1,FALSE)="모자",T776,T776&amp;"-"&amp;VLOOKUP($U776,CODE!$K:$P,CODE!P$1,FALSE))</f>
        <v>ELS-의류</v>
      </c>
      <c r="P776" s="11" t="s">
        <v>41</v>
      </c>
      <c r="R776" s="11">
        <v>43</v>
      </c>
      <c r="T776" s="8" t="s">
        <v>3</v>
      </c>
      <c r="U776" s="8" t="s">
        <v>27</v>
      </c>
      <c r="V776" s="8" t="s">
        <v>43</v>
      </c>
      <c r="W776" s="8" t="s">
        <v>1710</v>
      </c>
      <c r="X776" s="8" t="s">
        <v>900</v>
      </c>
      <c r="Y776" s="9">
        <v>1</v>
      </c>
      <c r="Z776" s="8" t="s">
        <v>897</v>
      </c>
      <c r="AA776" s="10">
        <v>41697</v>
      </c>
      <c r="AB776" s="10">
        <v>41725</v>
      </c>
      <c r="AC776" s="10">
        <v>41725</v>
      </c>
      <c r="AD776" s="10">
        <v>41722</v>
      </c>
      <c r="AF776" s="8">
        <v>16180</v>
      </c>
    </row>
    <row r="777" spans="1:36">
      <c r="A777" s="7">
        <f t="shared" si="240"/>
        <v>1</v>
      </c>
      <c r="B777" s="7" t="str">
        <f t="shared" si="241"/>
        <v>14FW ELSTINKO_MTM_11_BK</v>
      </c>
      <c r="C777" s="7">
        <f t="shared" si="242"/>
        <v>1</v>
      </c>
      <c r="D777" s="7" t="str">
        <f t="shared" si="243"/>
        <v>piafield14FW ELSTINKO_MTM_11_BK</v>
      </c>
      <c r="E777" s="12" t="str">
        <f t="shared" si="244"/>
        <v>201402</v>
      </c>
      <c r="F777" s="347" t="str">
        <f>VLOOKUP($AA777,[3]주!$A:$F,6,FALSE)</f>
        <v>2월 4주</v>
      </c>
      <c r="G777" s="7">
        <f t="shared" si="245"/>
        <v>1</v>
      </c>
      <c r="H777" s="7" t="str">
        <f t="shared" si="246"/>
        <v>14FW ELSTINKO_MTM_11_BK</v>
      </c>
      <c r="I777" s="7">
        <f t="shared" si="247"/>
        <v>1</v>
      </c>
      <c r="J777" s="7" t="str">
        <f t="shared" si="248"/>
        <v>piafield14FW ELSTINKO_MTM_11_BK</v>
      </c>
      <c r="K777" s="17">
        <f t="shared" si="249"/>
        <v>41722</v>
      </c>
      <c r="L777" s="12" t="str">
        <f t="shared" si="250"/>
        <v>201403</v>
      </c>
      <c r="M777" s="347" t="str">
        <f>VLOOKUP($K777,[3]주!$A:$F,6,FALSE)</f>
        <v>3월 2주</v>
      </c>
      <c r="N777" s="273" t="str">
        <f>IF(VLOOKUP($Z777,생산업체!$A:$C,2,FALSE)=1,"해외","국내")</f>
        <v>해외</v>
      </c>
      <c r="O777" s="12" t="str">
        <f>IF(VLOOKUP($U777,CODE!$K:$P,CODE!P$1,FALSE)="모자",T777,T777&amp;"-"&amp;VLOOKUP($U777,CODE!$K:$P,CODE!P$1,FALSE))</f>
        <v>ELS-의류</v>
      </c>
      <c r="P777" s="11" t="s">
        <v>41</v>
      </c>
      <c r="R777" s="11">
        <v>44</v>
      </c>
      <c r="T777" s="8" t="s">
        <v>3</v>
      </c>
      <c r="U777" s="8" t="s">
        <v>27</v>
      </c>
      <c r="V777" s="8" t="s">
        <v>43</v>
      </c>
      <c r="W777" s="8" t="s">
        <v>1711</v>
      </c>
      <c r="X777" s="8" t="s">
        <v>900</v>
      </c>
      <c r="Y777" s="9">
        <v>1</v>
      </c>
      <c r="Z777" s="8" t="s">
        <v>897</v>
      </c>
      <c r="AA777" s="10">
        <v>41697</v>
      </c>
      <c r="AB777" s="10">
        <v>41725</v>
      </c>
      <c r="AC777" s="10">
        <v>41725</v>
      </c>
      <c r="AD777" s="10">
        <v>41722</v>
      </c>
      <c r="AF777" s="8">
        <v>16180</v>
      </c>
    </row>
    <row r="778" spans="1:36">
      <c r="A778" s="7">
        <f t="shared" si="240"/>
        <v>1</v>
      </c>
      <c r="B778" s="7" t="str">
        <f t="shared" si="241"/>
        <v>14FW H.coustic CAP-08_BK</v>
      </c>
      <c r="C778" s="7">
        <f t="shared" si="242"/>
        <v>1</v>
      </c>
      <c r="D778" s="7" t="str">
        <f t="shared" si="243"/>
        <v>동일모자14FW H.coustic CAP-08_BK</v>
      </c>
      <c r="E778" s="12" t="str">
        <f t="shared" si="244"/>
        <v>201402</v>
      </c>
      <c r="F778" s="347" t="str">
        <f>VLOOKUP($AA778,[3]주!$A:$F,6,FALSE)</f>
        <v>2월 4주</v>
      </c>
      <c r="G778" s="7">
        <f t="shared" si="245"/>
        <v>1</v>
      </c>
      <c r="H778" s="7" t="str">
        <f t="shared" si="246"/>
        <v>14FW H.coustic CAP-08_BK</v>
      </c>
      <c r="I778" s="7">
        <f t="shared" si="247"/>
        <v>1</v>
      </c>
      <c r="J778" s="7" t="str">
        <f t="shared" si="248"/>
        <v>동일모자14FW H.coustic CAP-08_BK</v>
      </c>
      <c r="K778" s="17">
        <f t="shared" si="249"/>
        <v>41732</v>
      </c>
      <c r="L778" s="12" t="str">
        <f t="shared" si="250"/>
        <v>201404</v>
      </c>
      <c r="M778" s="347" t="str">
        <f>VLOOKUP($K778,[3]주!$A:$F,6,FALSE)</f>
        <v>3월 2주</v>
      </c>
      <c r="N778" s="273" t="str">
        <f>IF(VLOOKUP($Z778,생산업체!$A:$C,2,FALSE)=1,"해외","국내")</f>
        <v>해외</v>
      </c>
      <c r="O778" s="12" t="str">
        <f>IF(VLOOKUP($U778,CODE!$K:$P,CODE!P$1,FALSE)="모자",T778,T778&amp;"-"&amp;VLOOKUP($U778,CODE!$K:$P,CODE!P$1,FALSE))</f>
        <v>HCU</v>
      </c>
      <c r="P778" s="11" t="s">
        <v>57</v>
      </c>
      <c r="R778" s="11">
        <v>45</v>
      </c>
      <c r="T778" s="8" t="s">
        <v>57</v>
      </c>
      <c r="U778" s="8" t="s">
        <v>33</v>
      </c>
      <c r="V778" s="8" t="s">
        <v>43</v>
      </c>
      <c r="W778" s="8" t="s">
        <v>1712</v>
      </c>
      <c r="X778" s="8" t="s">
        <v>900</v>
      </c>
      <c r="Y778" s="9">
        <v>1</v>
      </c>
      <c r="Z778" s="8" t="s">
        <v>44</v>
      </c>
      <c r="AA778" s="10">
        <v>41696</v>
      </c>
      <c r="AB778" s="10">
        <v>41724</v>
      </c>
      <c r="AC778" s="10">
        <v>41732</v>
      </c>
      <c r="AD778" s="10">
        <v>41732</v>
      </c>
      <c r="AE778" s="8">
        <v>5.9</v>
      </c>
      <c r="AH778" s="8">
        <v>2</v>
      </c>
      <c r="AI778" s="8">
        <v>1</v>
      </c>
    </row>
    <row r="779" spans="1:36">
      <c r="A779" s="7">
        <f t="shared" si="240"/>
        <v>1</v>
      </c>
      <c r="B779" s="7" t="str">
        <f t="shared" si="241"/>
        <v>14FW H.coustic CAP-09_NV</v>
      </c>
      <c r="C779" s="7">
        <f t="shared" si="242"/>
        <v>1</v>
      </c>
      <c r="D779" s="7" t="str">
        <f t="shared" si="243"/>
        <v>동일모자14FW H.coustic CAP-09_NV</v>
      </c>
      <c r="E779" s="12" t="str">
        <f t="shared" si="244"/>
        <v>201402</v>
      </c>
      <c r="F779" s="347" t="str">
        <f>VLOOKUP($AA779,[3]주!$A:$F,6,FALSE)</f>
        <v>2월 4주</v>
      </c>
      <c r="G779" s="7">
        <f t="shared" si="245"/>
        <v>1</v>
      </c>
      <c r="H779" s="7" t="str">
        <f t="shared" si="246"/>
        <v>14FW H.coustic CAP-09_NV</v>
      </c>
      <c r="I779" s="7">
        <f t="shared" si="247"/>
        <v>1</v>
      </c>
      <c r="J779" s="7" t="str">
        <f t="shared" si="248"/>
        <v>동일모자14FW H.coustic CAP-09_NV</v>
      </c>
      <c r="K779" s="17">
        <f t="shared" si="249"/>
        <v>41732</v>
      </c>
      <c r="L779" s="12" t="str">
        <f t="shared" si="250"/>
        <v>201404</v>
      </c>
      <c r="M779" s="347" t="str">
        <f>VLOOKUP($K779,[3]주!$A:$F,6,FALSE)</f>
        <v>3월 2주</v>
      </c>
      <c r="N779" s="273" t="str">
        <f>IF(VLOOKUP($Z779,생산업체!$A:$C,2,FALSE)=1,"해외","국내")</f>
        <v>해외</v>
      </c>
      <c r="O779" s="12" t="str">
        <f>IF(VLOOKUP($U779,CODE!$K:$P,CODE!P$1,FALSE)="모자",T779,T779&amp;"-"&amp;VLOOKUP($U779,CODE!$K:$P,CODE!P$1,FALSE))</f>
        <v>HCU</v>
      </c>
      <c r="P779" s="11" t="s">
        <v>57</v>
      </c>
      <c r="R779" s="11">
        <v>46</v>
      </c>
      <c r="T779" s="8" t="s">
        <v>57</v>
      </c>
      <c r="U779" s="8" t="s">
        <v>33</v>
      </c>
      <c r="V779" s="8" t="s">
        <v>43</v>
      </c>
      <c r="W779" s="8" t="s">
        <v>1713</v>
      </c>
      <c r="X779" s="8" t="s">
        <v>900</v>
      </c>
      <c r="Y779" s="9">
        <v>1</v>
      </c>
      <c r="Z779" s="8" t="s">
        <v>44</v>
      </c>
      <c r="AA779" s="10">
        <v>41696</v>
      </c>
      <c r="AB779" s="10">
        <v>41724</v>
      </c>
      <c r="AC779" s="10">
        <v>41732</v>
      </c>
      <c r="AD779" s="10">
        <v>41732</v>
      </c>
      <c r="AE779" s="8">
        <v>6.4</v>
      </c>
      <c r="AH779" s="8">
        <v>3</v>
      </c>
      <c r="AI779" s="8">
        <v>2</v>
      </c>
    </row>
    <row r="780" spans="1:36">
      <c r="A780" s="7">
        <f t="shared" si="240"/>
        <v>1</v>
      </c>
      <c r="B780" s="7" t="str">
        <f t="shared" si="241"/>
        <v>14FW H.coustic CAP-10_KH</v>
      </c>
      <c r="C780" s="7">
        <f t="shared" si="242"/>
        <v>1</v>
      </c>
      <c r="D780" s="7" t="str">
        <f t="shared" si="243"/>
        <v>동일모자14FW H.coustic CAP-10_KH</v>
      </c>
      <c r="E780" s="12" t="str">
        <f t="shared" si="244"/>
        <v>201402</v>
      </c>
      <c r="F780" s="347" t="str">
        <f>VLOOKUP($AA780,[3]주!$A:$F,6,FALSE)</f>
        <v>2월 4주</v>
      </c>
      <c r="G780" s="7">
        <f t="shared" si="245"/>
        <v>1</v>
      </c>
      <c r="H780" s="7" t="str">
        <f t="shared" si="246"/>
        <v>14FW H.coustic CAP-10_KH</v>
      </c>
      <c r="I780" s="7">
        <f t="shared" si="247"/>
        <v>1</v>
      </c>
      <c r="J780" s="7" t="str">
        <f t="shared" si="248"/>
        <v>동일모자14FW H.coustic CAP-10_KH</v>
      </c>
      <c r="K780" s="17">
        <f t="shared" si="249"/>
        <v>41732</v>
      </c>
      <c r="L780" s="12" t="str">
        <f t="shared" si="250"/>
        <v>201404</v>
      </c>
      <c r="M780" s="347" t="str">
        <f>VLOOKUP($K780,[3]주!$A:$F,6,FALSE)</f>
        <v>3월 2주</v>
      </c>
      <c r="N780" s="273" t="str">
        <f>IF(VLOOKUP($Z780,생산업체!$A:$C,2,FALSE)=1,"해외","국내")</f>
        <v>해외</v>
      </c>
      <c r="O780" s="12" t="str">
        <f>IF(VLOOKUP($U780,CODE!$K:$P,CODE!P$1,FALSE)="모자",T780,T780&amp;"-"&amp;VLOOKUP($U780,CODE!$K:$P,CODE!P$1,FALSE))</f>
        <v>HCU</v>
      </c>
      <c r="P780" s="11" t="s">
        <v>57</v>
      </c>
      <c r="R780" s="11">
        <v>47</v>
      </c>
      <c r="T780" s="8" t="s">
        <v>57</v>
      </c>
      <c r="U780" s="8" t="s">
        <v>33</v>
      </c>
      <c r="V780" s="8" t="s">
        <v>43</v>
      </c>
      <c r="W780" s="8" t="s">
        <v>1714</v>
      </c>
      <c r="X780" s="8" t="s">
        <v>900</v>
      </c>
      <c r="Y780" s="9">
        <v>1</v>
      </c>
      <c r="Z780" s="8" t="s">
        <v>44</v>
      </c>
      <c r="AA780" s="10">
        <v>41696</v>
      </c>
      <c r="AB780" s="10">
        <v>41724</v>
      </c>
      <c r="AC780" s="10">
        <v>41732</v>
      </c>
      <c r="AD780" s="10">
        <v>41732</v>
      </c>
      <c r="AE780" s="8">
        <v>5.6</v>
      </c>
      <c r="AH780" s="8">
        <v>3</v>
      </c>
      <c r="AI780" s="8">
        <v>2</v>
      </c>
    </row>
    <row r="781" spans="1:36">
      <c r="A781" s="7">
        <f t="shared" si="240"/>
        <v>1</v>
      </c>
      <c r="B781" s="7" t="str">
        <f t="shared" si="241"/>
        <v>14FW H.coustic CAP-11_BK</v>
      </c>
      <c r="C781" s="7">
        <f t="shared" si="242"/>
        <v>1</v>
      </c>
      <c r="D781" s="7" t="str">
        <f t="shared" si="243"/>
        <v>동일모자14FW H.coustic CAP-11_BK</v>
      </c>
      <c r="E781" s="12" t="str">
        <f t="shared" si="244"/>
        <v>201402</v>
      </c>
      <c r="F781" s="347" t="str">
        <f>VLOOKUP($AA781,[3]주!$A:$F,6,FALSE)</f>
        <v>2월 4주</v>
      </c>
      <c r="G781" s="7">
        <f t="shared" si="245"/>
        <v>1</v>
      </c>
      <c r="H781" s="7" t="str">
        <f t="shared" si="246"/>
        <v>14FW H.coustic CAP-11_BK</v>
      </c>
      <c r="I781" s="7">
        <f t="shared" si="247"/>
        <v>1</v>
      </c>
      <c r="J781" s="7" t="str">
        <f t="shared" si="248"/>
        <v>동일모자14FW H.coustic CAP-11_BK</v>
      </c>
      <c r="K781" s="17">
        <f t="shared" si="249"/>
        <v>41732</v>
      </c>
      <c r="L781" s="12" t="str">
        <f t="shared" si="250"/>
        <v>201404</v>
      </c>
      <c r="M781" s="347" t="str">
        <f>VLOOKUP($K781,[3]주!$A:$F,6,FALSE)</f>
        <v>3월 2주</v>
      </c>
      <c r="N781" s="273" t="str">
        <f>IF(VLOOKUP($Z781,생산업체!$A:$C,2,FALSE)=1,"해외","국내")</f>
        <v>해외</v>
      </c>
      <c r="O781" s="12" t="str">
        <f>IF(VLOOKUP($U781,CODE!$K:$P,CODE!P$1,FALSE)="모자",T781,T781&amp;"-"&amp;VLOOKUP($U781,CODE!$K:$P,CODE!P$1,FALSE))</f>
        <v>HCU</v>
      </c>
      <c r="P781" s="11" t="s">
        <v>57</v>
      </c>
      <c r="R781" s="11">
        <v>48</v>
      </c>
      <c r="T781" s="8" t="s">
        <v>57</v>
      </c>
      <c r="U781" s="8" t="s">
        <v>33</v>
      </c>
      <c r="V781" s="8" t="s">
        <v>43</v>
      </c>
      <c r="W781" s="8" t="s">
        <v>1715</v>
      </c>
      <c r="X781" s="8" t="s">
        <v>900</v>
      </c>
      <c r="Y781" s="9">
        <v>1</v>
      </c>
      <c r="Z781" s="8" t="s">
        <v>44</v>
      </c>
      <c r="AA781" s="10">
        <v>41696</v>
      </c>
      <c r="AB781" s="10">
        <v>41724</v>
      </c>
      <c r="AC781" s="10">
        <v>41732</v>
      </c>
      <c r="AD781" s="10">
        <v>41732</v>
      </c>
      <c r="AE781" s="8">
        <v>5.8</v>
      </c>
      <c r="AH781" s="8">
        <v>3</v>
      </c>
      <c r="AI781" s="8">
        <v>2</v>
      </c>
    </row>
    <row r="782" spans="1:36">
      <c r="A782" s="7">
        <f t="shared" si="240"/>
        <v>1</v>
      </c>
      <c r="B782" s="7" t="str">
        <f t="shared" si="241"/>
        <v>14FW H.coustic CAP-12_GY</v>
      </c>
      <c r="C782" s="7">
        <f t="shared" si="242"/>
        <v>1</v>
      </c>
      <c r="D782" s="7" t="str">
        <f t="shared" si="243"/>
        <v>동일모자14FW H.coustic CAP-12_GY</v>
      </c>
      <c r="E782" s="12" t="str">
        <f t="shared" si="244"/>
        <v>201402</v>
      </c>
      <c r="F782" s="347" t="str">
        <f>VLOOKUP($AA782,[3]주!$A:$F,6,FALSE)</f>
        <v>2월 4주</v>
      </c>
      <c r="G782" s="7">
        <f t="shared" si="245"/>
        <v>1</v>
      </c>
      <c r="H782" s="7" t="str">
        <f t="shared" si="246"/>
        <v>14FW H.coustic CAP-12_GY</v>
      </c>
      <c r="I782" s="7">
        <f t="shared" si="247"/>
        <v>1</v>
      </c>
      <c r="J782" s="7" t="str">
        <f t="shared" si="248"/>
        <v>동일모자14FW H.coustic CAP-12_GY</v>
      </c>
      <c r="K782" s="17">
        <f t="shared" si="249"/>
        <v>41732</v>
      </c>
      <c r="L782" s="12" t="str">
        <f t="shared" si="250"/>
        <v>201404</v>
      </c>
      <c r="M782" s="347" t="str">
        <f>VLOOKUP($K782,[3]주!$A:$F,6,FALSE)</f>
        <v>3월 2주</v>
      </c>
      <c r="N782" s="273" t="str">
        <f>IF(VLOOKUP($Z782,생산업체!$A:$C,2,FALSE)=1,"해외","국내")</f>
        <v>해외</v>
      </c>
      <c r="O782" s="12" t="str">
        <f>IF(VLOOKUP($U782,CODE!$K:$P,CODE!P$1,FALSE)="모자",T782,T782&amp;"-"&amp;VLOOKUP($U782,CODE!$K:$P,CODE!P$1,FALSE))</f>
        <v>HCU</v>
      </c>
      <c r="P782" s="11" t="s">
        <v>57</v>
      </c>
      <c r="R782" s="11">
        <v>49</v>
      </c>
      <c r="T782" s="8" t="s">
        <v>57</v>
      </c>
      <c r="U782" s="8" t="s">
        <v>33</v>
      </c>
      <c r="V782" s="8" t="s">
        <v>43</v>
      </c>
      <c r="W782" s="8" t="s">
        <v>1716</v>
      </c>
      <c r="X782" s="8" t="s">
        <v>900</v>
      </c>
      <c r="Y782" s="9">
        <v>1</v>
      </c>
      <c r="Z782" s="8" t="s">
        <v>44</v>
      </c>
      <c r="AA782" s="10">
        <v>41696</v>
      </c>
      <c r="AB782" s="10">
        <v>41724</v>
      </c>
      <c r="AC782" s="10">
        <v>41732</v>
      </c>
      <c r="AD782" s="10">
        <v>41732</v>
      </c>
      <c r="AE782" s="8">
        <v>5.8</v>
      </c>
      <c r="AH782" s="8">
        <v>3</v>
      </c>
      <c r="AI782" s="8">
        <v>2</v>
      </c>
    </row>
    <row r="783" spans="1:36">
      <c r="A783" s="7">
        <f t="shared" si="240"/>
        <v>1</v>
      </c>
      <c r="B783" s="7" t="str">
        <f t="shared" si="241"/>
        <v>14FW H.coustic CAP-13_BK</v>
      </c>
      <c r="C783" s="7">
        <f t="shared" si="242"/>
        <v>1</v>
      </c>
      <c r="D783" s="7" t="str">
        <f t="shared" si="243"/>
        <v>동일모자14FW H.coustic CAP-13_BK</v>
      </c>
      <c r="E783" s="12" t="str">
        <f t="shared" si="244"/>
        <v>201402</v>
      </c>
      <c r="F783" s="347" t="str">
        <f>VLOOKUP($AA783,[3]주!$A:$F,6,FALSE)</f>
        <v>2월 4주</v>
      </c>
      <c r="G783" s="7">
        <f t="shared" si="245"/>
        <v>1</v>
      </c>
      <c r="H783" s="7" t="str">
        <f t="shared" si="246"/>
        <v>14FW H.coustic CAP-13_BK</v>
      </c>
      <c r="I783" s="7">
        <f t="shared" si="247"/>
        <v>1</v>
      </c>
      <c r="J783" s="7" t="str">
        <f t="shared" si="248"/>
        <v>동일모자14FW H.coustic CAP-13_BK</v>
      </c>
      <c r="K783" s="17">
        <f t="shared" si="249"/>
        <v>41732</v>
      </c>
      <c r="L783" s="12" t="str">
        <f t="shared" si="250"/>
        <v>201404</v>
      </c>
      <c r="M783" s="347" t="str">
        <f>VLOOKUP($K783,[3]주!$A:$F,6,FALSE)</f>
        <v>3월 2주</v>
      </c>
      <c r="N783" s="273" t="str">
        <f>IF(VLOOKUP($Z783,생산업체!$A:$C,2,FALSE)=1,"해외","국내")</f>
        <v>해외</v>
      </c>
      <c r="O783" s="12" t="str">
        <f>IF(VLOOKUP($U783,CODE!$K:$P,CODE!P$1,FALSE)="모자",T783,T783&amp;"-"&amp;VLOOKUP($U783,CODE!$K:$P,CODE!P$1,FALSE))</f>
        <v>HCU</v>
      </c>
      <c r="P783" s="11" t="s">
        <v>57</v>
      </c>
      <c r="R783" s="11">
        <v>50</v>
      </c>
      <c r="T783" s="8" t="s">
        <v>57</v>
      </c>
      <c r="U783" s="8" t="s">
        <v>33</v>
      </c>
      <c r="V783" s="8" t="s">
        <v>43</v>
      </c>
      <c r="W783" s="8" t="s">
        <v>1717</v>
      </c>
      <c r="X783" s="8" t="s">
        <v>900</v>
      </c>
      <c r="Y783" s="9">
        <v>1</v>
      </c>
      <c r="Z783" s="8" t="s">
        <v>44</v>
      </c>
      <c r="AA783" s="10">
        <v>41696</v>
      </c>
      <c r="AB783" s="10">
        <v>41724</v>
      </c>
      <c r="AC783" s="10">
        <v>41732</v>
      </c>
      <c r="AD783" s="10">
        <v>41732</v>
      </c>
      <c r="AE783" s="8">
        <v>5.35</v>
      </c>
      <c r="AH783" s="8">
        <v>3</v>
      </c>
      <c r="AI783" s="8">
        <v>2</v>
      </c>
    </row>
    <row r="784" spans="1:36">
      <c r="A784" s="7">
        <f t="shared" si="240"/>
        <v>1</v>
      </c>
      <c r="B784" s="7" t="str">
        <f t="shared" si="241"/>
        <v>14FW_ELSTINKO_DOWN_JUMPER_05_RD_KIDS</v>
      </c>
      <c r="C784" s="7">
        <f t="shared" si="242"/>
        <v>1</v>
      </c>
      <c r="D784" s="7" t="str">
        <f t="shared" si="243"/>
        <v>대경14FW_ELSTINKO_DOWN_JUMPER_05_RD_KIDS</v>
      </c>
      <c r="E784" s="12" t="str">
        <f t="shared" si="244"/>
        <v>201403</v>
      </c>
      <c r="F784" s="347" t="str">
        <f>VLOOKUP($AA784,[3]주!$A:$F,6,FALSE)</f>
        <v>3월 1주</v>
      </c>
      <c r="G784" s="7">
        <f t="shared" si="245"/>
        <v>1</v>
      </c>
      <c r="H784" s="7" t="str">
        <f t="shared" si="246"/>
        <v>14FW_ELSTINKO_DOWN_JUMPER_05_RD_KIDS</v>
      </c>
      <c r="I784" s="7">
        <f t="shared" si="247"/>
        <v>1</v>
      </c>
      <c r="J784" s="7" t="str">
        <f t="shared" si="248"/>
        <v>대경14FW_ELSTINKO_DOWN_JUMPER_05_RD_KIDS</v>
      </c>
      <c r="K784" s="17">
        <f t="shared" si="249"/>
        <v>41719</v>
      </c>
      <c r="L784" s="12" t="str">
        <f t="shared" si="250"/>
        <v>201403</v>
      </c>
      <c r="M784" s="347" t="str">
        <f>VLOOKUP($K784,[3]주!$A:$F,6,FALSE)</f>
        <v>3월 2주</v>
      </c>
      <c r="N784" s="273" t="str">
        <f>IF(VLOOKUP($Z784,생산업체!$A:$C,2,FALSE)=1,"해외","국내")</f>
        <v>해외</v>
      </c>
      <c r="O784" s="12" t="str">
        <f>IF(VLOOKUP($U784,CODE!$K:$P,CODE!P$1,FALSE)="모자",T784,T784&amp;"-"&amp;VLOOKUP($U784,CODE!$K:$P,CODE!P$1,FALSE))</f>
        <v>ELS-의류</v>
      </c>
      <c r="P784" s="11" t="s">
        <v>41</v>
      </c>
      <c r="R784" s="11">
        <v>51</v>
      </c>
      <c r="T784" s="8" t="s">
        <v>3</v>
      </c>
      <c r="U784" s="8" t="s">
        <v>26</v>
      </c>
      <c r="V784" s="8" t="s">
        <v>43</v>
      </c>
      <c r="W784" s="8" t="s">
        <v>1718</v>
      </c>
      <c r="X784" s="8" t="s">
        <v>905</v>
      </c>
      <c r="Y784" s="9">
        <v>1</v>
      </c>
      <c r="Z784" s="8" t="s">
        <v>1401</v>
      </c>
      <c r="AA784" s="10">
        <v>41701</v>
      </c>
      <c r="AB784" s="10">
        <v>41729</v>
      </c>
      <c r="AC784" s="10">
        <v>41719</v>
      </c>
      <c r="AD784" s="10">
        <v>41719</v>
      </c>
      <c r="AF784" s="8">
        <v>0</v>
      </c>
    </row>
    <row r="785" spans="1:36">
      <c r="A785" s="7">
        <f t="shared" si="240"/>
        <v>1</v>
      </c>
      <c r="B785" s="7" t="str">
        <f t="shared" si="241"/>
        <v>14FW ELSTINKO_MTM_12_PK_KIDS</v>
      </c>
      <c r="C785" s="7">
        <f t="shared" si="242"/>
        <v>1</v>
      </c>
      <c r="D785" s="7" t="str">
        <f t="shared" si="243"/>
        <v>대경14FW ELSTINKO_MTM_12_PK_KIDS</v>
      </c>
      <c r="E785" s="12" t="str">
        <f t="shared" si="244"/>
        <v>201403</v>
      </c>
      <c r="F785" s="347" t="str">
        <f>VLOOKUP($AA785,[3]주!$A:$F,6,FALSE)</f>
        <v>3월 2주</v>
      </c>
      <c r="G785" s="7">
        <f t="shared" si="245"/>
        <v>1</v>
      </c>
      <c r="H785" s="7" t="str">
        <f t="shared" si="246"/>
        <v>14FW ELSTINKO_MTM_12_PK_KIDS</v>
      </c>
      <c r="I785" s="7">
        <f t="shared" si="247"/>
        <v>1</v>
      </c>
      <c r="J785" s="7" t="str">
        <f t="shared" si="248"/>
        <v>대경14FW ELSTINKO_MTM_12_PK_KIDS</v>
      </c>
      <c r="K785" s="17">
        <f t="shared" si="249"/>
        <v>41719</v>
      </c>
      <c r="L785" s="12" t="str">
        <f t="shared" si="250"/>
        <v>201403</v>
      </c>
      <c r="M785" s="347" t="str">
        <f>VLOOKUP($K785,[3]주!$A:$F,6,FALSE)</f>
        <v>3월 2주</v>
      </c>
      <c r="N785" s="273" t="str">
        <f>IF(VLOOKUP($Z785,생산업체!$A:$C,2,FALSE)=1,"해외","국내")</f>
        <v>해외</v>
      </c>
      <c r="O785" s="12" t="str">
        <f>IF(VLOOKUP($U785,CODE!$K:$P,CODE!P$1,FALSE)="모자",T785,T785&amp;"-"&amp;VLOOKUP($U785,CODE!$K:$P,CODE!P$1,FALSE))</f>
        <v>ELS-의류</v>
      </c>
      <c r="P785" s="11" t="s">
        <v>41</v>
      </c>
      <c r="R785" s="11">
        <v>52</v>
      </c>
      <c r="T785" s="8" t="s">
        <v>3</v>
      </c>
      <c r="U785" s="8" t="s">
        <v>27</v>
      </c>
      <c r="V785" s="8" t="s">
        <v>43</v>
      </c>
      <c r="W785" s="8" t="s">
        <v>1785</v>
      </c>
      <c r="X785" s="8" t="s">
        <v>905</v>
      </c>
      <c r="Y785" s="9">
        <v>1</v>
      </c>
      <c r="Z785" s="8" t="s">
        <v>1401</v>
      </c>
      <c r="AA785" s="10">
        <v>41709</v>
      </c>
      <c r="AB785" s="10">
        <v>41737</v>
      </c>
      <c r="AC785" s="10">
        <v>41719</v>
      </c>
      <c r="AD785" s="10">
        <v>41719</v>
      </c>
      <c r="AE785" s="8">
        <v>12.75</v>
      </c>
      <c r="AF785" s="8">
        <v>14515.874999999998</v>
      </c>
    </row>
    <row r="786" spans="1:36">
      <c r="A786" s="7">
        <f t="shared" si="240"/>
        <v>1</v>
      </c>
      <c r="B786" s="7" t="str">
        <f t="shared" si="241"/>
        <v>14FW ELSTINKO_MTM_13_RE_KIDS</v>
      </c>
      <c r="C786" s="7">
        <f t="shared" si="242"/>
        <v>1</v>
      </c>
      <c r="D786" s="7" t="str">
        <f t="shared" si="243"/>
        <v>EVERGREEN14FW ELSTINKO_MTM_13_RE_KIDS</v>
      </c>
      <c r="E786" s="12" t="str">
        <f t="shared" si="244"/>
        <v>201403</v>
      </c>
      <c r="F786" s="347" t="str">
        <f>VLOOKUP($AA786,[3]주!$A:$F,6,FALSE)</f>
        <v>3월 2주</v>
      </c>
      <c r="G786" s="7">
        <f t="shared" si="245"/>
        <v>1</v>
      </c>
      <c r="H786" s="7" t="str">
        <f t="shared" si="246"/>
        <v>14FW ELSTINKO_MTM_13_RE_KIDS</v>
      </c>
      <c r="I786" s="7">
        <f t="shared" si="247"/>
        <v>1</v>
      </c>
      <c r="J786" s="7" t="str">
        <f t="shared" si="248"/>
        <v>EVERGREEN14FW ELSTINKO_MTM_13_RE_KIDS</v>
      </c>
      <c r="K786" s="17">
        <f t="shared" si="249"/>
        <v>41719</v>
      </c>
      <c r="L786" s="12" t="str">
        <f t="shared" si="250"/>
        <v>201403</v>
      </c>
      <c r="M786" s="347" t="str">
        <f>VLOOKUP($K786,[3]주!$A:$F,6,FALSE)</f>
        <v>3월 2주</v>
      </c>
      <c r="N786" s="273" t="str">
        <f>IF(VLOOKUP($Z786,생산업체!$A:$C,2,FALSE)=1,"해외","국내")</f>
        <v>해외</v>
      </c>
      <c r="O786" s="12" t="str">
        <f>IF(VLOOKUP($U786,CODE!$K:$P,CODE!P$1,FALSE)="모자",T786,T786&amp;"-"&amp;VLOOKUP($U786,CODE!$K:$P,CODE!P$1,FALSE))</f>
        <v>ELS-의류</v>
      </c>
      <c r="P786" s="11" t="s">
        <v>41</v>
      </c>
      <c r="R786" s="11">
        <v>53</v>
      </c>
      <c r="T786" s="8" t="s">
        <v>3</v>
      </c>
      <c r="U786" s="8" t="s">
        <v>27</v>
      </c>
      <c r="V786" s="8" t="s">
        <v>43</v>
      </c>
      <c r="W786" s="8" t="s">
        <v>1786</v>
      </c>
      <c r="X786" s="8" t="s">
        <v>905</v>
      </c>
      <c r="Y786" s="9">
        <v>1</v>
      </c>
      <c r="Z786" s="8" t="s">
        <v>1497</v>
      </c>
      <c r="AA786" s="10">
        <v>41709</v>
      </c>
      <c r="AB786" s="10">
        <v>41737</v>
      </c>
      <c r="AC786" s="10">
        <v>41719</v>
      </c>
      <c r="AD786" s="10">
        <v>41719</v>
      </c>
      <c r="AE786" s="8">
        <v>12.8</v>
      </c>
      <c r="AJ786" s="8" t="s">
        <v>2254</v>
      </c>
    </row>
    <row r="787" spans="1:36">
      <c r="A787" s="7">
        <f t="shared" si="240"/>
        <v>1</v>
      </c>
      <c r="B787" s="7" t="str">
        <f t="shared" si="241"/>
        <v>14FW ELSTINKO_MTM_14_NY_KIDS</v>
      </c>
      <c r="C787" s="7">
        <f t="shared" si="242"/>
        <v>1</v>
      </c>
      <c r="D787" s="7" t="str">
        <f t="shared" si="243"/>
        <v>EVERGREEN14FW ELSTINKO_MTM_14_NY_KIDS</v>
      </c>
      <c r="E787" s="12" t="str">
        <f t="shared" si="244"/>
        <v>201403</v>
      </c>
      <c r="F787" s="347" t="str">
        <f>VLOOKUP($AA787,[3]주!$A:$F,6,FALSE)</f>
        <v>3월 2주</v>
      </c>
      <c r="G787" s="7">
        <f t="shared" si="245"/>
        <v>1</v>
      </c>
      <c r="H787" s="7" t="str">
        <f t="shared" si="246"/>
        <v>14FW ELSTINKO_MTM_14_NY_KIDS</v>
      </c>
      <c r="I787" s="7">
        <f t="shared" si="247"/>
        <v>1</v>
      </c>
      <c r="J787" s="7" t="str">
        <f t="shared" si="248"/>
        <v>EVERGREEN14FW ELSTINKO_MTM_14_NY_KIDS</v>
      </c>
      <c r="K787" s="17">
        <f t="shared" si="249"/>
        <v>41725</v>
      </c>
      <c r="L787" s="12" t="str">
        <f t="shared" si="250"/>
        <v>201403</v>
      </c>
      <c r="M787" s="347" t="str">
        <f>VLOOKUP($K787,[3]주!$A:$F,6,FALSE)</f>
        <v>3월 2주</v>
      </c>
      <c r="N787" s="273" t="str">
        <f>IF(VLOOKUP($Z787,생산업체!$A:$C,2,FALSE)=1,"해외","국내")</f>
        <v>해외</v>
      </c>
      <c r="O787" s="12" t="str">
        <f>IF(VLOOKUP($U787,CODE!$K:$P,CODE!P$1,FALSE)="모자",T787,T787&amp;"-"&amp;VLOOKUP($U787,CODE!$K:$P,CODE!P$1,FALSE))</f>
        <v>ELS-의류</v>
      </c>
      <c r="P787" s="11" t="s">
        <v>41</v>
      </c>
      <c r="R787" s="11">
        <v>54</v>
      </c>
      <c r="T787" s="8" t="s">
        <v>3</v>
      </c>
      <c r="U787" s="8" t="s">
        <v>27</v>
      </c>
      <c r="V787" s="8" t="s">
        <v>43</v>
      </c>
      <c r="W787" s="8" t="s">
        <v>1787</v>
      </c>
      <c r="X787" s="8" t="s">
        <v>905</v>
      </c>
      <c r="Y787" s="9">
        <v>1</v>
      </c>
      <c r="Z787" s="8" t="s">
        <v>1497</v>
      </c>
      <c r="AA787" s="10">
        <v>41709</v>
      </c>
      <c r="AB787" s="10">
        <v>41737</v>
      </c>
      <c r="AC787" s="10">
        <v>41740</v>
      </c>
      <c r="AD787" s="10">
        <v>41725</v>
      </c>
      <c r="AE787" s="8">
        <v>13</v>
      </c>
      <c r="AJ787" s="8" t="s">
        <v>2255</v>
      </c>
    </row>
    <row r="788" spans="1:36">
      <c r="A788" s="7">
        <f t="shared" si="240"/>
        <v>1</v>
      </c>
      <c r="B788" s="7" t="str">
        <f t="shared" si="241"/>
        <v>14FW ELSTINKO_HOOD_15_PK_KIDS</v>
      </c>
      <c r="C788" s="7">
        <f t="shared" si="242"/>
        <v>1</v>
      </c>
      <c r="D788" s="7" t="str">
        <f t="shared" si="243"/>
        <v>아트인드림14FW ELSTINKO_HOOD_15_PK_KIDS</v>
      </c>
      <c r="E788" s="12" t="str">
        <f t="shared" si="244"/>
        <v>201403</v>
      </c>
      <c r="F788" s="347" t="str">
        <f>VLOOKUP($AA788,[3]주!$A:$F,6,FALSE)</f>
        <v>3월 2주</v>
      </c>
      <c r="G788" s="7">
        <f t="shared" si="245"/>
        <v>1</v>
      </c>
      <c r="H788" s="7" t="str">
        <f t="shared" si="246"/>
        <v>14FW ELSTINKO_HOOD_15_PK_KIDS</v>
      </c>
      <c r="I788" s="7">
        <f t="shared" si="247"/>
        <v>1</v>
      </c>
      <c r="J788" s="7" t="str">
        <f t="shared" si="248"/>
        <v>아트인드림14FW ELSTINKO_HOOD_15_PK_KIDS</v>
      </c>
      <c r="K788" s="17">
        <f t="shared" si="249"/>
        <v>41722</v>
      </c>
      <c r="L788" s="12" t="str">
        <f t="shared" si="250"/>
        <v>201403</v>
      </c>
      <c r="M788" s="347" t="str">
        <f>VLOOKUP($K788,[3]주!$A:$F,6,FALSE)</f>
        <v>3월 2주</v>
      </c>
      <c r="N788" s="273" t="str">
        <f>IF(VLOOKUP($Z788,생산업체!$A:$C,2,FALSE)=1,"해외","국내")</f>
        <v>국내</v>
      </c>
      <c r="O788" s="12" t="str">
        <f>IF(VLOOKUP($U788,CODE!$K:$P,CODE!P$1,FALSE)="모자",T788,T788&amp;"-"&amp;VLOOKUP($U788,CODE!$K:$P,CODE!P$1,FALSE))</f>
        <v>ELS-의류</v>
      </c>
      <c r="P788" s="11" t="s">
        <v>41</v>
      </c>
      <c r="R788" s="11">
        <v>55</v>
      </c>
      <c r="T788" s="8" t="s">
        <v>3</v>
      </c>
      <c r="U788" s="8" t="s">
        <v>24</v>
      </c>
      <c r="V788" s="8" t="s">
        <v>43</v>
      </c>
      <c r="W788" s="8" t="s">
        <v>1788</v>
      </c>
      <c r="X788" s="8" t="s">
        <v>905</v>
      </c>
      <c r="Y788" s="9">
        <v>1</v>
      </c>
      <c r="Z788" s="8" t="s">
        <v>1409</v>
      </c>
      <c r="AA788" s="10">
        <v>41709</v>
      </c>
      <c r="AB788" s="10">
        <v>41730</v>
      </c>
      <c r="AC788" s="10">
        <v>41740</v>
      </c>
      <c r="AD788" s="10">
        <v>41722</v>
      </c>
      <c r="AF788" s="8">
        <v>20432</v>
      </c>
    </row>
    <row r="789" spans="1:36">
      <c r="A789" s="7">
        <f t="shared" si="240"/>
        <v>1</v>
      </c>
      <c r="B789" s="7" t="str">
        <f t="shared" si="241"/>
        <v>14FW ELSTINKO_PANTS_01_BK</v>
      </c>
      <c r="C789" s="7">
        <f t="shared" si="242"/>
        <v>1</v>
      </c>
      <c r="D789" s="7" t="str">
        <f t="shared" si="243"/>
        <v>아트인드림14FW ELSTINKO_PANTS_01_BK</v>
      </c>
      <c r="E789" s="12" t="str">
        <f t="shared" si="244"/>
        <v>201403</v>
      </c>
      <c r="F789" s="347" t="str">
        <f>VLOOKUP($AA789,[3]주!$A:$F,6,FALSE)</f>
        <v>3월 2주</v>
      </c>
      <c r="G789" s="7">
        <f t="shared" si="245"/>
        <v>1</v>
      </c>
      <c r="H789" s="7" t="str">
        <f t="shared" si="246"/>
        <v>14FW ELSTINKO_PANTS_01_BK</v>
      </c>
      <c r="I789" s="7">
        <f t="shared" si="247"/>
        <v>1</v>
      </c>
      <c r="J789" s="7" t="str">
        <f t="shared" si="248"/>
        <v>아트인드림14FW ELSTINKO_PANTS_01_BK</v>
      </c>
      <c r="K789" s="17">
        <f t="shared" si="249"/>
        <v>41722</v>
      </c>
      <c r="L789" s="12" t="str">
        <f t="shared" si="250"/>
        <v>201403</v>
      </c>
      <c r="M789" s="347" t="str">
        <f>VLOOKUP($K789,[3]주!$A:$F,6,FALSE)</f>
        <v>3월 2주</v>
      </c>
      <c r="N789" s="273" t="str">
        <f>IF(VLOOKUP($Z789,생산업체!$A:$C,2,FALSE)=1,"해외","국내")</f>
        <v>국내</v>
      </c>
      <c r="O789" s="12" t="str">
        <f>IF(VLOOKUP($U789,CODE!$K:$P,CODE!P$1,FALSE)="모자",T789,T789&amp;"-"&amp;VLOOKUP($U789,CODE!$K:$P,CODE!P$1,FALSE))</f>
        <v>ELS-의류</v>
      </c>
      <c r="P789" s="11" t="s">
        <v>41</v>
      </c>
      <c r="R789" s="11">
        <v>56</v>
      </c>
      <c r="T789" s="8" t="s">
        <v>3</v>
      </c>
      <c r="U789" s="8" t="s">
        <v>1789</v>
      </c>
      <c r="V789" s="8" t="s">
        <v>43</v>
      </c>
      <c r="W789" s="8" t="s">
        <v>1790</v>
      </c>
      <c r="X789" s="8" t="s">
        <v>900</v>
      </c>
      <c r="Y789" s="9">
        <v>1</v>
      </c>
      <c r="Z789" s="8" t="s">
        <v>1409</v>
      </c>
      <c r="AA789" s="10">
        <v>41709</v>
      </c>
      <c r="AB789" s="10">
        <v>41730</v>
      </c>
      <c r="AC789" s="10">
        <v>41740</v>
      </c>
      <c r="AD789" s="10">
        <v>41722</v>
      </c>
      <c r="AF789" s="8">
        <v>23111</v>
      </c>
    </row>
    <row r="790" spans="1:36">
      <c r="A790" s="7">
        <f t="shared" si="240"/>
        <v>1</v>
      </c>
      <c r="B790" s="7" t="str">
        <f t="shared" si="241"/>
        <v>14FW ELSTINKO_PANTS_02_BK</v>
      </c>
      <c r="C790" s="7">
        <f t="shared" si="242"/>
        <v>1</v>
      </c>
      <c r="D790" s="7" t="str">
        <f t="shared" si="243"/>
        <v>아트인드림14FW ELSTINKO_PANTS_02_BK</v>
      </c>
      <c r="E790" s="12" t="str">
        <f t="shared" si="244"/>
        <v>201403</v>
      </c>
      <c r="F790" s="347" t="str">
        <f>VLOOKUP($AA790,[3]주!$A:$F,6,FALSE)</f>
        <v>3월 2주</v>
      </c>
      <c r="G790" s="7">
        <f t="shared" si="245"/>
        <v>1</v>
      </c>
      <c r="H790" s="7" t="str">
        <f t="shared" si="246"/>
        <v>14FW ELSTINKO_PANTS_02_BK</v>
      </c>
      <c r="I790" s="7">
        <f t="shared" si="247"/>
        <v>1</v>
      </c>
      <c r="J790" s="7" t="str">
        <f t="shared" si="248"/>
        <v>아트인드림14FW ELSTINKO_PANTS_02_BK</v>
      </c>
      <c r="K790" s="17">
        <f t="shared" si="249"/>
        <v>41722</v>
      </c>
      <c r="L790" s="12" t="str">
        <f t="shared" si="250"/>
        <v>201403</v>
      </c>
      <c r="M790" s="347" t="str">
        <f>VLOOKUP($K790,[3]주!$A:$F,6,FALSE)</f>
        <v>3월 2주</v>
      </c>
      <c r="N790" s="273" t="str">
        <f>IF(VLOOKUP($Z790,생산업체!$A:$C,2,FALSE)=1,"해외","국내")</f>
        <v>국내</v>
      </c>
      <c r="O790" s="12" t="str">
        <f>IF(VLOOKUP($U790,CODE!$K:$P,CODE!P$1,FALSE)="모자",T790,T790&amp;"-"&amp;VLOOKUP($U790,CODE!$K:$P,CODE!P$1,FALSE))</f>
        <v>ELS-의류</v>
      </c>
      <c r="P790" s="11" t="s">
        <v>41</v>
      </c>
      <c r="R790" s="11">
        <v>57</v>
      </c>
      <c r="T790" s="8" t="s">
        <v>3</v>
      </c>
      <c r="U790" s="8" t="s">
        <v>1789</v>
      </c>
      <c r="V790" s="8" t="s">
        <v>43</v>
      </c>
      <c r="W790" s="8" t="s">
        <v>1791</v>
      </c>
      <c r="X790" s="8" t="s">
        <v>900</v>
      </c>
      <c r="Y790" s="9">
        <v>1</v>
      </c>
      <c r="Z790" s="8" t="s">
        <v>1409</v>
      </c>
      <c r="AA790" s="10">
        <v>41709</v>
      </c>
      <c r="AB790" s="10">
        <v>41730</v>
      </c>
      <c r="AC790" s="10">
        <v>41740</v>
      </c>
      <c r="AD790" s="10">
        <v>41722</v>
      </c>
      <c r="AF790" s="8">
        <v>23583</v>
      </c>
    </row>
    <row r="791" spans="1:36">
      <c r="A791" s="7">
        <f t="shared" si="240"/>
        <v>1</v>
      </c>
      <c r="B791" s="7" t="str">
        <f t="shared" si="241"/>
        <v>14FW ELSTINKO_PANTS_03_BK</v>
      </c>
      <c r="C791" s="7">
        <f t="shared" si="242"/>
        <v>1</v>
      </c>
      <c r="D791" s="7" t="str">
        <f t="shared" si="243"/>
        <v>EVERGREEN14FW ELSTINKO_PANTS_03_BK</v>
      </c>
      <c r="E791" s="12" t="str">
        <f t="shared" si="244"/>
        <v>201403</v>
      </c>
      <c r="F791" s="347" t="str">
        <f>VLOOKUP($AA791,[3]주!$A:$F,6,FALSE)</f>
        <v>3월 2주</v>
      </c>
      <c r="G791" s="7">
        <f t="shared" si="245"/>
        <v>1</v>
      </c>
      <c r="H791" s="7" t="str">
        <f t="shared" si="246"/>
        <v>14FW ELSTINKO_PANTS_03_BK</v>
      </c>
      <c r="I791" s="7">
        <f t="shared" si="247"/>
        <v>1</v>
      </c>
      <c r="J791" s="7" t="str">
        <f t="shared" si="248"/>
        <v>EVERGREEN14FW ELSTINKO_PANTS_03_BK</v>
      </c>
      <c r="K791" s="17">
        <f t="shared" si="249"/>
        <v>41725</v>
      </c>
      <c r="L791" s="12" t="str">
        <f t="shared" si="250"/>
        <v>201403</v>
      </c>
      <c r="M791" s="347" t="str">
        <f>VLOOKUP($K791,[3]주!$A:$F,6,FALSE)</f>
        <v>3월 2주</v>
      </c>
      <c r="N791" s="273" t="str">
        <f>IF(VLOOKUP($Z791,생산업체!$A:$C,2,FALSE)=1,"해외","국내")</f>
        <v>해외</v>
      </c>
      <c r="O791" s="12" t="str">
        <f>IF(VLOOKUP($U791,CODE!$K:$P,CODE!P$1,FALSE)="모자",T791,T791&amp;"-"&amp;VLOOKUP($U791,CODE!$K:$P,CODE!P$1,FALSE))</f>
        <v>ELS-의류</v>
      </c>
      <c r="P791" s="11" t="s">
        <v>41</v>
      </c>
      <c r="R791" s="11">
        <v>58</v>
      </c>
      <c r="T791" s="8" t="s">
        <v>3</v>
      </c>
      <c r="U791" s="8" t="s">
        <v>1789</v>
      </c>
      <c r="V791" s="8" t="s">
        <v>43</v>
      </c>
      <c r="W791" s="8" t="s">
        <v>1792</v>
      </c>
      <c r="X791" s="8" t="s">
        <v>905</v>
      </c>
      <c r="Y791" s="9">
        <v>1</v>
      </c>
      <c r="Z791" s="8" t="s">
        <v>1497</v>
      </c>
      <c r="AA791" s="10">
        <v>41709</v>
      </c>
      <c r="AB791" s="10">
        <v>41737</v>
      </c>
      <c r="AC791" s="10">
        <v>41740</v>
      </c>
      <c r="AD791" s="10">
        <v>41725</v>
      </c>
      <c r="AJ791" s="8" t="s">
        <v>2256</v>
      </c>
    </row>
    <row r="792" spans="1:36">
      <c r="A792" s="7">
        <f t="shared" si="240"/>
        <v>1</v>
      </c>
      <c r="B792" s="7" t="str">
        <f t="shared" si="241"/>
        <v>14FW ELSTINKO_LEGGINGS_01_RD</v>
      </c>
      <c r="C792" s="7">
        <f t="shared" si="242"/>
        <v>1</v>
      </c>
      <c r="D792" s="7" t="str">
        <f t="shared" si="243"/>
        <v>아트인드림14FW ELSTINKO_LEGGINGS_01_RD</v>
      </c>
      <c r="E792" s="12" t="str">
        <f t="shared" si="244"/>
        <v>201403</v>
      </c>
      <c r="F792" s="347" t="str">
        <f>VLOOKUP($AA792,[3]주!$A:$F,6,FALSE)</f>
        <v>3월 2주</v>
      </c>
      <c r="G792" s="7">
        <f t="shared" si="245"/>
        <v>1</v>
      </c>
      <c r="H792" s="7" t="str">
        <f t="shared" si="246"/>
        <v>14FW ELSTINKO_LEGGINGS_01_RD</v>
      </c>
      <c r="I792" s="7">
        <f t="shared" si="247"/>
        <v>1</v>
      </c>
      <c r="J792" s="7" t="str">
        <f t="shared" si="248"/>
        <v>아트인드림14FW ELSTINKO_LEGGINGS_01_RD</v>
      </c>
      <c r="K792" s="17">
        <f t="shared" si="249"/>
        <v>41722</v>
      </c>
      <c r="L792" s="12" t="str">
        <f t="shared" si="250"/>
        <v>201403</v>
      </c>
      <c r="M792" s="347" t="str">
        <f>VLOOKUP($K792,[3]주!$A:$F,6,FALSE)</f>
        <v>3월 2주</v>
      </c>
      <c r="N792" s="273" t="str">
        <f>IF(VLOOKUP($Z792,생산업체!$A:$C,2,FALSE)=1,"해외","국내")</f>
        <v>국내</v>
      </c>
      <c r="O792" s="12" t="str">
        <f>IF(VLOOKUP($U792,CODE!$K:$P,CODE!P$1,FALSE)="모자",T792,T792&amp;"-"&amp;VLOOKUP($U792,CODE!$K:$P,CODE!P$1,FALSE))</f>
        <v>ELS-의류</v>
      </c>
      <c r="P792" s="11" t="s">
        <v>41</v>
      </c>
      <c r="R792" s="11">
        <v>59</v>
      </c>
      <c r="T792" s="8" t="s">
        <v>3</v>
      </c>
      <c r="U792" s="8" t="s">
        <v>1789</v>
      </c>
      <c r="V792" s="8" t="s">
        <v>43</v>
      </c>
      <c r="W792" s="8" t="s">
        <v>1793</v>
      </c>
      <c r="X792" s="8" t="s">
        <v>900</v>
      </c>
      <c r="Y792" s="9">
        <v>1</v>
      </c>
      <c r="Z792" s="8" t="s">
        <v>1409</v>
      </c>
      <c r="AA792" s="10">
        <v>41709</v>
      </c>
      <c r="AB792" s="10">
        <v>41730</v>
      </c>
      <c r="AC792" s="10">
        <v>41740</v>
      </c>
      <c r="AD792" s="10">
        <v>41722</v>
      </c>
      <c r="AF792" s="8">
        <v>11535</v>
      </c>
    </row>
    <row r="793" spans="1:36">
      <c r="A793" s="7">
        <f t="shared" si="240"/>
        <v>1</v>
      </c>
      <c r="B793" s="7" t="str">
        <f t="shared" si="241"/>
        <v>14FW_PLAYBOY_HOODZIP _01_BK</v>
      </c>
      <c r="C793" s="7">
        <f t="shared" si="242"/>
        <v>1</v>
      </c>
      <c r="D793" s="7" t="str">
        <f t="shared" si="243"/>
        <v>EVERGREEN14FW_PLAYBOY_HOODZIP _01_BK</v>
      </c>
      <c r="E793" s="12" t="str">
        <f t="shared" si="244"/>
        <v>201403</v>
      </c>
      <c r="F793" s="347" t="str">
        <f>VLOOKUP($AA793,[3]주!$A:$F,6,FALSE)</f>
        <v>3월 2주</v>
      </c>
      <c r="G793" s="7">
        <f t="shared" si="245"/>
        <v>1</v>
      </c>
      <c r="H793" s="7" t="str">
        <f t="shared" si="246"/>
        <v>14FW_PLAYBOY_HOODZIP _01_BK</v>
      </c>
      <c r="I793" s="7">
        <f t="shared" si="247"/>
        <v>1</v>
      </c>
      <c r="J793" s="7" t="str">
        <f t="shared" si="248"/>
        <v>EVERGREEN14FW_PLAYBOY_HOODZIP _01_BK</v>
      </c>
      <c r="K793" s="17">
        <f t="shared" si="249"/>
        <v>41725</v>
      </c>
      <c r="L793" s="12" t="str">
        <f t="shared" si="250"/>
        <v>201403</v>
      </c>
      <c r="M793" s="347" t="str">
        <f>VLOOKUP($K793,[3]주!$A:$F,6,FALSE)</f>
        <v>3월 2주</v>
      </c>
      <c r="N793" s="273" t="str">
        <f>IF(VLOOKUP($Z793,생산업체!$A:$C,2,FALSE)=1,"해외","국내")</f>
        <v>해외</v>
      </c>
      <c r="O793" s="12" t="str">
        <f>IF(VLOOKUP($U793,CODE!$K:$P,CODE!P$1,FALSE)="모자",T793,T793&amp;"-"&amp;VLOOKUP($U793,CODE!$K:$P,CODE!P$1,FALSE))</f>
        <v>PLA-의류</v>
      </c>
      <c r="P793" s="11" t="s">
        <v>786</v>
      </c>
      <c r="R793" s="11">
        <v>60</v>
      </c>
      <c r="T793" s="8" t="s">
        <v>61</v>
      </c>
      <c r="U793" s="8" t="s">
        <v>25</v>
      </c>
      <c r="V793" s="8" t="s">
        <v>43</v>
      </c>
      <c r="W793" s="8" t="s">
        <v>1848</v>
      </c>
      <c r="X793" s="8" t="s">
        <v>900</v>
      </c>
      <c r="Y793" s="9">
        <v>1</v>
      </c>
      <c r="Z793" s="8" t="s">
        <v>1497</v>
      </c>
      <c r="AA793" s="10">
        <v>41712</v>
      </c>
      <c r="AB793" s="10">
        <v>41740</v>
      </c>
      <c r="AC793" s="10">
        <v>41740</v>
      </c>
      <c r="AD793" s="10">
        <v>41725</v>
      </c>
      <c r="AJ793" s="8" t="s">
        <v>2257</v>
      </c>
    </row>
    <row r="794" spans="1:36">
      <c r="A794" s="7">
        <f t="shared" si="240"/>
        <v>1</v>
      </c>
      <c r="B794" s="7" t="str">
        <f t="shared" si="241"/>
        <v>14FW_PLAYBOY_HOOD _01_BK</v>
      </c>
      <c r="C794" s="7">
        <f t="shared" si="242"/>
        <v>1</v>
      </c>
      <c r="D794" s="7" t="str">
        <f t="shared" si="243"/>
        <v>EVERGREEN14FW_PLAYBOY_HOOD _01_BK</v>
      </c>
      <c r="E794" s="12" t="str">
        <f t="shared" si="244"/>
        <v>201403</v>
      </c>
      <c r="F794" s="347" t="str">
        <f>VLOOKUP($AA794,[3]주!$A:$F,6,FALSE)</f>
        <v>3월 2주</v>
      </c>
      <c r="G794" s="7">
        <f t="shared" si="245"/>
        <v>1</v>
      </c>
      <c r="H794" s="7" t="str">
        <f t="shared" si="246"/>
        <v>14FW_PLAYBOY_HOOD _01_BK</v>
      </c>
      <c r="I794" s="7">
        <f t="shared" si="247"/>
        <v>1</v>
      </c>
      <c r="J794" s="7" t="str">
        <f t="shared" si="248"/>
        <v>EVERGREEN14FW_PLAYBOY_HOOD _01_BK</v>
      </c>
      <c r="K794" s="17">
        <f t="shared" si="249"/>
        <v>41725</v>
      </c>
      <c r="L794" s="12" t="str">
        <f t="shared" si="250"/>
        <v>201403</v>
      </c>
      <c r="M794" s="347" t="str">
        <f>VLOOKUP($K794,[3]주!$A:$F,6,FALSE)</f>
        <v>3월 2주</v>
      </c>
      <c r="N794" s="273" t="str">
        <f>IF(VLOOKUP($Z794,생산업체!$A:$C,2,FALSE)=1,"해외","국내")</f>
        <v>해외</v>
      </c>
      <c r="O794" s="12" t="str">
        <f>IF(VLOOKUP($U794,CODE!$K:$P,CODE!P$1,FALSE)="모자",T794,T794&amp;"-"&amp;VLOOKUP($U794,CODE!$K:$P,CODE!P$1,FALSE))</f>
        <v>PLA-의류</v>
      </c>
      <c r="P794" s="11" t="s">
        <v>786</v>
      </c>
      <c r="R794" s="11">
        <v>61</v>
      </c>
      <c r="T794" s="8" t="s">
        <v>61</v>
      </c>
      <c r="U794" s="8" t="s">
        <v>24</v>
      </c>
      <c r="V794" s="8" t="s">
        <v>43</v>
      </c>
      <c r="W794" s="8" t="s">
        <v>1849</v>
      </c>
      <c r="X794" s="8" t="s">
        <v>900</v>
      </c>
      <c r="Y794" s="9">
        <v>1</v>
      </c>
      <c r="Z794" s="8" t="s">
        <v>1497</v>
      </c>
      <c r="AA794" s="10">
        <v>41712</v>
      </c>
      <c r="AB794" s="10">
        <v>41740</v>
      </c>
      <c r="AC794" s="10">
        <v>41740</v>
      </c>
      <c r="AD794" s="10">
        <v>41725</v>
      </c>
      <c r="AJ794" s="8" t="s">
        <v>2257</v>
      </c>
    </row>
    <row r="795" spans="1:36">
      <c r="A795" s="7">
        <f t="shared" si="240"/>
        <v>1</v>
      </c>
      <c r="B795" s="7" t="str">
        <f t="shared" si="241"/>
        <v>14FW_PLAYBOY_HOOD _01_WH</v>
      </c>
      <c r="C795" s="7">
        <f t="shared" si="242"/>
        <v>1</v>
      </c>
      <c r="D795" s="7" t="str">
        <f t="shared" si="243"/>
        <v>EVERGREEN14FW_PLAYBOY_HOOD _01_WH</v>
      </c>
      <c r="E795" s="12" t="str">
        <f t="shared" si="244"/>
        <v>201403</v>
      </c>
      <c r="F795" s="347" t="str">
        <f>VLOOKUP($AA795,[3]주!$A:$F,6,FALSE)</f>
        <v>3월 2주</v>
      </c>
      <c r="G795" s="7">
        <f t="shared" si="245"/>
        <v>1</v>
      </c>
      <c r="H795" s="7" t="str">
        <f t="shared" si="246"/>
        <v>14FW_PLAYBOY_HOOD _01_WH</v>
      </c>
      <c r="I795" s="7">
        <f t="shared" si="247"/>
        <v>1</v>
      </c>
      <c r="J795" s="7" t="str">
        <f t="shared" si="248"/>
        <v>EVERGREEN14FW_PLAYBOY_HOOD _01_WH</v>
      </c>
      <c r="K795" s="17">
        <f t="shared" si="249"/>
        <v>41700</v>
      </c>
      <c r="L795" s="12" t="str">
        <f t="shared" si="250"/>
        <v>201403</v>
      </c>
      <c r="M795" s="347" t="str">
        <f>VLOOKUP($K795,[3]주!$A:$F,6,FALSE)</f>
        <v>3월 1주</v>
      </c>
      <c r="N795" s="273" t="str">
        <f>IF(VLOOKUP($Z795,생산업체!$A:$C,2,FALSE)=1,"해외","국내")</f>
        <v>해외</v>
      </c>
      <c r="O795" s="12" t="str">
        <f>IF(VLOOKUP($U795,CODE!$K:$P,CODE!P$1,FALSE)="모자",T795,T795&amp;"-"&amp;VLOOKUP($U795,CODE!$K:$P,CODE!P$1,FALSE))</f>
        <v>PLA-의류</v>
      </c>
      <c r="P795" s="11" t="s">
        <v>786</v>
      </c>
      <c r="R795" s="11">
        <v>62</v>
      </c>
      <c r="T795" s="8" t="s">
        <v>61</v>
      </c>
      <c r="U795" s="8" t="s">
        <v>24</v>
      </c>
      <c r="V795" s="8" t="s">
        <v>43</v>
      </c>
      <c r="W795" s="8" t="s">
        <v>1850</v>
      </c>
      <c r="X795" s="8" t="s">
        <v>900</v>
      </c>
      <c r="Y795" s="9">
        <v>1</v>
      </c>
      <c r="Z795" s="8" t="s">
        <v>1497</v>
      </c>
      <c r="AA795" s="10">
        <v>41712</v>
      </c>
      <c r="AB795" s="10">
        <v>41740</v>
      </c>
      <c r="AC795" s="10">
        <v>41740</v>
      </c>
      <c r="AD795" s="10">
        <v>41700</v>
      </c>
      <c r="AJ795" s="8" t="s">
        <v>2257</v>
      </c>
    </row>
    <row r="796" spans="1:36">
      <c r="A796" s="7">
        <f t="shared" si="240"/>
        <v>1</v>
      </c>
      <c r="B796" s="7" t="str">
        <f t="shared" si="241"/>
        <v>14SS_PLAYBOY_MTM_01_BK</v>
      </c>
      <c r="C796" s="7">
        <f t="shared" si="242"/>
        <v>1</v>
      </c>
      <c r="D796" s="7" t="str">
        <f t="shared" si="243"/>
        <v>EVERGREEN14SS_PLAYBOY_MTM_01_BK</v>
      </c>
      <c r="E796" s="12" t="str">
        <f t="shared" si="244"/>
        <v>201403</v>
      </c>
      <c r="F796" s="347" t="str">
        <f>VLOOKUP($AA796,[3]주!$A:$F,6,FALSE)</f>
        <v>3월 2주</v>
      </c>
      <c r="G796" s="7">
        <f t="shared" si="245"/>
        <v>1</v>
      </c>
      <c r="H796" s="7" t="str">
        <f t="shared" si="246"/>
        <v>14SS_PLAYBOY_MTM_01_BK</v>
      </c>
      <c r="I796" s="7">
        <f t="shared" si="247"/>
        <v>1</v>
      </c>
      <c r="J796" s="7" t="str">
        <f t="shared" si="248"/>
        <v>EVERGREEN14SS_PLAYBOY_MTM_01_BK</v>
      </c>
      <c r="K796" s="17">
        <f t="shared" si="249"/>
        <v>41725</v>
      </c>
      <c r="L796" s="12" t="str">
        <f t="shared" si="250"/>
        <v>201403</v>
      </c>
      <c r="M796" s="347" t="str">
        <f>VLOOKUP($K796,[3]주!$A:$F,6,FALSE)</f>
        <v>3월 2주</v>
      </c>
      <c r="N796" s="273" t="str">
        <f>IF(VLOOKUP($Z796,생산업체!$A:$C,2,FALSE)=1,"해외","국내")</f>
        <v>해외</v>
      </c>
      <c r="O796" s="12" t="str">
        <f>IF(VLOOKUP($U796,CODE!$K:$P,CODE!P$1,FALSE)="모자",T796,T796&amp;"-"&amp;VLOOKUP($U796,CODE!$K:$P,CODE!P$1,FALSE))</f>
        <v>PLA-의류</v>
      </c>
      <c r="P796" s="11" t="s">
        <v>786</v>
      </c>
      <c r="R796" s="11">
        <v>63</v>
      </c>
      <c r="T796" s="8" t="s">
        <v>61</v>
      </c>
      <c r="U796" s="8" t="s">
        <v>27</v>
      </c>
      <c r="V796" s="8" t="s">
        <v>43</v>
      </c>
      <c r="W796" s="8" t="s">
        <v>1851</v>
      </c>
      <c r="X796" s="8" t="s">
        <v>900</v>
      </c>
      <c r="Y796" s="9">
        <v>1</v>
      </c>
      <c r="Z796" s="8" t="s">
        <v>1497</v>
      </c>
      <c r="AA796" s="10">
        <v>41712</v>
      </c>
      <c r="AB796" s="10">
        <v>41740</v>
      </c>
      <c r="AC796" s="10">
        <v>41740</v>
      </c>
      <c r="AD796" s="10">
        <v>41725</v>
      </c>
      <c r="AJ796" s="8" t="s">
        <v>2257</v>
      </c>
    </row>
    <row r="797" spans="1:36">
      <c r="A797" s="7">
        <f t="shared" si="240"/>
        <v>1</v>
      </c>
      <c r="B797" s="7" t="str">
        <f t="shared" si="241"/>
        <v>14SS_PLAYBOY_MTM_02_WH</v>
      </c>
      <c r="C797" s="7">
        <f t="shared" si="242"/>
        <v>1</v>
      </c>
      <c r="D797" s="7" t="str">
        <f t="shared" si="243"/>
        <v>piafield14SS_PLAYBOY_MTM_02_WH</v>
      </c>
      <c r="E797" s="12" t="str">
        <f t="shared" si="244"/>
        <v>201403</v>
      </c>
      <c r="F797" s="347" t="str">
        <f>VLOOKUP($AA797,[3]주!$A:$F,6,FALSE)</f>
        <v>3월 2주</v>
      </c>
      <c r="G797" s="7">
        <f t="shared" si="245"/>
        <v>1</v>
      </c>
      <c r="H797" s="7" t="str">
        <f t="shared" si="246"/>
        <v>14SS_PLAYBOY_MTM_02_WH</v>
      </c>
      <c r="I797" s="7">
        <f t="shared" si="247"/>
        <v>1</v>
      </c>
      <c r="J797" s="7" t="str">
        <f t="shared" si="248"/>
        <v>piafield14SS_PLAYBOY_MTM_02_WH</v>
      </c>
      <c r="K797" s="17">
        <f t="shared" si="249"/>
        <v>41722</v>
      </c>
      <c r="L797" s="12" t="str">
        <f t="shared" si="250"/>
        <v>201403</v>
      </c>
      <c r="M797" s="347" t="str">
        <f>VLOOKUP($K797,[3]주!$A:$F,6,FALSE)</f>
        <v>3월 2주</v>
      </c>
      <c r="N797" s="273" t="str">
        <f>IF(VLOOKUP($Z797,생산업체!$A:$C,2,FALSE)=1,"해외","국내")</f>
        <v>해외</v>
      </c>
      <c r="O797" s="12" t="str">
        <f>IF(VLOOKUP($U797,CODE!$K:$P,CODE!P$1,FALSE)="모자",T797,T797&amp;"-"&amp;VLOOKUP($U797,CODE!$K:$P,CODE!P$1,FALSE))</f>
        <v>PLA-의류</v>
      </c>
      <c r="P797" s="11" t="s">
        <v>786</v>
      </c>
      <c r="R797" s="11">
        <v>64</v>
      </c>
      <c r="T797" s="8" t="s">
        <v>61</v>
      </c>
      <c r="U797" s="8" t="s">
        <v>27</v>
      </c>
      <c r="V797" s="8" t="s">
        <v>43</v>
      </c>
      <c r="W797" s="8" t="s">
        <v>1852</v>
      </c>
      <c r="X797" s="8" t="s">
        <v>900</v>
      </c>
      <c r="Y797" s="9">
        <v>1</v>
      </c>
      <c r="Z797" s="8" t="s">
        <v>897</v>
      </c>
      <c r="AA797" s="10">
        <v>41712</v>
      </c>
      <c r="AB797" s="10">
        <v>41740</v>
      </c>
      <c r="AC797" s="10">
        <v>41740</v>
      </c>
      <c r="AD797" s="10">
        <v>41722</v>
      </c>
      <c r="AF797" s="8">
        <v>16180</v>
      </c>
    </row>
    <row r="798" spans="1:36">
      <c r="A798" s="7">
        <f t="shared" si="240"/>
        <v>1</v>
      </c>
      <c r="B798" s="7" t="str">
        <f t="shared" si="241"/>
        <v>14FW_PLAYBOY_MTM_03_BK</v>
      </c>
      <c r="C798" s="7">
        <f t="shared" si="242"/>
        <v>1</v>
      </c>
      <c r="D798" s="7" t="str">
        <f t="shared" si="243"/>
        <v>piafield14FW_PLAYBOY_MTM_03_BK</v>
      </c>
      <c r="E798" s="12" t="str">
        <f t="shared" si="244"/>
        <v>201403</v>
      </c>
      <c r="F798" s="347" t="str">
        <f>VLOOKUP($AA798,[3]주!$A:$F,6,FALSE)</f>
        <v>3월 2주</v>
      </c>
      <c r="G798" s="7">
        <f t="shared" si="245"/>
        <v>1</v>
      </c>
      <c r="H798" s="7" t="str">
        <f t="shared" si="246"/>
        <v>14FW_PLAYBOY_MTM_03_BK</v>
      </c>
      <c r="I798" s="7">
        <f t="shared" si="247"/>
        <v>1</v>
      </c>
      <c r="J798" s="7" t="str">
        <f t="shared" si="248"/>
        <v>piafield14FW_PLAYBOY_MTM_03_BK</v>
      </c>
      <c r="K798" s="17">
        <f t="shared" si="249"/>
        <v>41743</v>
      </c>
      <c r="L798" s="12" t="str">
        <f t="shared" si="250"/>
        <v>201404</v>
      </c>
      <c r="M798" s="347" t="str">
        <f>VLOOKUP($K798,[3]주!$A:$F,6,FALSE)</f>
        <v>3월 2주</v>
      </c>
      <c r="N798" s="273" t="str">
        <f>IF(VLOOKUP($Z798,생산업체!$A:$C,2,FALSE)=1,"해외","국내")</f>
        <v>해외</v>
      </c>
      <c r="O798" s="12" t="str">
        <f>IF(VLOOKUP($U798,CODE!$K:$P,CODE!P$1,FALSE)="모자",T798,T798&amp;"-"&amp;VLOOKUP($U798,CODE!$K:$P,CODE!P$1,FALSE))</f>
        <v>PLA-의류</v>
      </c>
      <c r="P798" s="11" t="s">
        <v>786</v>
      </c>
      <c r="R798" s="11">
        <v>65</v>
      </c>
      <c r="T798" s="8" t="s">
        <v>61</v>
      </c>
      <c r="U798" s="8" t="s">
        <v>27</v>
      </c>
      <c r="V798" s="8" t="s">
        <v>43</v>
      </c>
      <c r="W798" s="8" t="s">
        <v>1853</v>
      </c>
      <c r="X798" s="8" t="s">
        <v>900</v>
      </c>
      <c r="Y798" s="9">
        <v>1</v>
      </c>
      <c r="Z798" s="8" t="s">
        <v>897</v>
      </c>
      <c r="AA798" s="10">
        <v>41717</v>
      </c>
      <c r="AB798" s="10">
        <v>41745</v>
      </c>
      <c r="AC798" s="10">
        <v>41740</v>
      </c>
      <c r="AD798" s="10">
        <v>41743</v>
      </c>
      <c r="AF798" s="8">
        <v>16180</v>
      </c>
    </row>
    <row r="799" spans="1:36">
      <c r="A799" s="7">
        <f t="shared" si="240"/>
        <v>1</v>
      </c>
      <c r="B799" s="7" t="str">
        <f t="shared" si="241"/>
        <v>14FW PLAYBOY_MUSTANG_01_BK</v>
      </c>
      <c r="C799" s="7">
        <f t="shared" si="242"/>
        <v>1</v>
      </c>
      <c r="D799" s="7" t="str">
        <f t="shared" si="243"/>
        <v>유건14FW PLAYBOY_MUSTANG_01_BK</v>
      </c>
      <c r="E799" s="12" t="str">
        <f t="shared" si="244"/>
        <v>201403</v>
      </c>
      <c r="F799" s="347" t="str">
        <f>VLOOKUP($AA799,[3]주!$A:$F,6,FALSE)</f>
        <v>3월 2주</v>
      </c>
      <c r="G799" s="7">
        <f t="shared" si="245"/>
        <v>1</v>
      </c>
      <c r="H799" s="7" t="str">
        <f t="shared" si="246"/>
        <v>14FW PLAYBOY_MUSTANG_01_BK</v>
      </c>
      <c r="I799" s="7">
        <f t="shared" si="247"/>
        <v>1</v>
      </c>
      <c r="J799" s="7" t="str">
        <f t="shared" si="248"/>
        <v>유건14FW PLAYBOY_MUSTANG_01_BK</v>
      </c>
      <c r="K799" s="17">
        <f t="shared" si="249"/>
        <v>41719</v>
      </c>
      <c r="L799" s="12" t="str">
        <f t="shared" si="250"/>
        <v>201403</v>
      </c>
      <c r="M799" s="347" t="str">
        <f>VLOOKUP($K799,[3]주!$A:$F,6,FALSE)</f>
        <v>3월 2주</v>
      </c>
      <c r="N799" s="273" t="str">
        <f>IF(VLOOKUP($Z799,생산업체!$A:$C,2,FALSE)=1,"해외","국내")</f>
        <v>해외</v>
      </c>
      <c r="O799" s="12" t="str">
        <f>IF(VLOOKUP($U799,CODE!$K:$P,CODE!P$1,FALSE)="모자",T799,T799&amp;"-"&amp;VLOOKUP($U799,CODE!$K:$P,CODE!P$1,FALSE))</f>
        <v>PLA-의류</v>
      </c>
      <c r="P799" s="11" t="s">
        <v>786</v>
      </c>
      <c r="R799" s="11">
        <v>66</v>
      </c>
      <c r="T799" s="8" t="s">
        <v>61</v>
      </c>
      <c r="U799" s="8" t="s">
        <v>26</v>
      </c>
      <c r="V799" s="8" t="s">
        <v>43</v>
      </c>
      <c r="W799" s="8" t="s">
        <v>1854</v>
      </c>
      <c r="X799" s="8" t="s">
        <v>900</v>
      </c>
      <c r="Y799" s="9">
        <v>1</v>
      </c>
      <c r="Z799" s="8" t="s">
        <v>1855</v>
      </c>
      <c r="AA799" s="10">
        <v>41715</v>
      </c>
      <c r="AB799" s="10">
        <v>41725</v>
      </c>
      <c r="AC799" s="10">
        <v>41740</v>
      </c>
      <c r="AD799" s="10">
        <v>41719</v>
      </c>
    </row>
    <row r="800" spans="1:36">
      <c r="A800" s="7">
        <f t="shared" si="240"/>
        <v>1</v>
      </c>
      <c r="B800" s="7" t="str">
        <f t="shared" si="241"/>
        <v>14FW PLAYBOY_MUSTANG_02_BK</v>
      </c>
      <c r="C800" s="7">
        <f t="shared" si="242"/>
        <v>1</v>
      </c>
      <c r="D800" s="7" t="str">
        <f t="shared" si="243"/>
        <v>유건14FW PLAYBOY_MUSTANG_02_BK</v>
      </c>
      <c r="E800" s="12" t="str">
        <f t="shared" si="244"/>
        <v>201403</v>
      </c>
      <c r="F800" s="347" t="str">
        <f>VLOOKUP($AA800,[3]주!$A:$F,6,FALSE)</f>
        <v>3월 2주</v>
      </c>
      <c r="G800" s="7">
        <f t="shared" si="245"/>
        <v>1</v>
      </c>
      <c r="H800" s="7" t="str">
        <f t="shared" si="246"/>
        <v>14FW PLAYBOY_MUSTANG_02_BK</v>
      </c>
      <c r="I800" s="7">
        <f t="shared" si="247"/>
        <v>1</v>
      </c>
      <c r="J800" s="7" t="str">
        <f t="shared" si="248"/>
        <v>유건14FW PLAYBOY_MUSTANG_02_BK</v>
      </c>
      <c r="K800" s="17">
        <f t="shared" si="249"/>
        <v>41719</v>
      </c>
      <c r="L800" s="12" t="str">
        <f t="shared" si="250"/>
        <v>201403</v>
      </c>
      <c r="M800" s="347" t="str">
        <f>VLOOKUP($K800,[3]주!$A:$F,6,FALSE)</f>
        <v>3월 2주</v>
      </c>
      <c r="N800" s="273" t="str">
        <f>IF(VLOOKUP($Z800,생산업체!$A:$C,2,FALSE)=1,"해외","국내")</f>
        <v>해외</v>
      </c>
      <c r="O800" s="12" t="str">
        <f>IF(VLOOKUP($U800,CODE!$K:$P,CODE!P$1,FALSE)="모자",T800,T800&amp;"-"&amp;VLOOKUP($U800,CODE!$K:$P,CODE!P$1,FALSE))</f>
        <v>PLA-의류</v>
      </c>
      <c r="P800" s="11" t="s">
        <v>786</v>
      </c>
      <c r="R800" s="11">
        <v>67</v>
      </c>
      <c r="T800" s="8" t="s">
        <v>61</v>
      </c>
      <c r="U800" s="8" t="s">
        <v>26</v>
      </c>
      <c r="V800" s="8" t="s">
        <v>43</v>
      </c>
      <c r="W800" s="8" t="s">
        <v>1856</v>
      </c>
      <c r="X800" s="8" t="s">
        <v>900</v>
      </c>
      <c r="Y800" s="9">
        <v>1</v>
      </c>
      <c r="Z800" s="8" t="s">
        <v>1855</v>
      </c>
      <c r="AA800" s="10">
        <v>41715</v>
      </c>
      <c r="AB800" s="10">
        <v>41725</v>
      </c>
      <c r="AC800" s="10">
        <v>41740</v>
      </c>
      <c r="AD800" s="10">
        <v>41719</v>
      </c>
    </row>
    <row r="801" spans="1:36">
      <c r="A801" s="7">
        <f t="shared" si="240"/>
        <v>1</v>
      </c>
      <c r="B801" s="7" t="str">
        <f t="shared" si="241"/>
        <v>14FW - ELSTINKO - HD16- MI - KIDS</v>
      </c>
      <c r="C801" s="7">
        <f t="shared" si="242"/>
        <v>1</v>
      </c>
      <c r="D801" s="7" t="str">
        <f t="shared" si="243"/>
        <v>piafield14FW - ELSTINKO - HD16- MI - KIDS</v>
      </c>
      <c r="E801" s="12" t="str">
        <f t="shared" si="244"/>
        <v>201403</v>
      </c>
      <c r="F801" s="347" t="str">
        <f>VLOOKUP($AA801,[3]주!$A:$F,6,FALSE)</f>
        <v>3월 2주</v>
      </c>
      <c r="G801" s="7">
        <f t="shared" si="245"/>
        <v>1</v>
      </c>
      <c r="H801" s="7" t="str">
        <f t="shared" si="246"/>
        <v>14FW - ELSTINKO - HD16- MI - KIDS</v>
      </c>
      <c r="I801" s="7">
        <f t="shared" si="247"/>
        <v>1</v>
      </c>
      <c r="J801" s="7" t="str">
        <f t="shared" si="248"/>
        <v>piafield14FW - ELSTINKO - HD16- MI - KIDS</v>
      </c>
      <c r="K801" s="17">
        <f t="shared" si="249"/>
        <v>41722</v>
      </c>
      <c r="L801" s="12" t="str">
        <f t="shared" si="250"/>
        <v>201403</v>
      </c>
      <c r="M801" s="347" t="str">
        <f>VLOOKUP($K801,[3]주!$A:$F,6,FALSE)</f>
        <v>3월 2주</v>
      </c>
      <c r="N801" s="273" t="str">
        <f>IF(VLOOKUP($Z801,생산업체!$A:$C,2,FALSE)=1,"해외","국내")</f>
        <v>해외</v>
      </c>
      <c r="O801" s="12" t="str">
        <f>IF(VLOOKUP($U801,CODE!$K:$P,CODE!P$1,FALSE)="모자",T801,T801&amp;"-"&amp;VLOOKUP($U801,CODE!$K:$P,CODE!P$1,FALSE))</f>
        <v>ELS-의류</v>
      </c>
      <c r="P801" s="11" t="s">
        <v>41</v>
      </c>
      <c r="R801" s="11">
        <v>68</v>
      </c>
      <c r="T801" s="8" t="s">
        <v>3</v>
      </c>
      <c r="U801" s="8" t="s">
        <v>24</v>
      </c>
      <c r="V801" s="8" t="s">
        <v>43</v>
      </c>
      <c r="W801" s="8" t="s">
        <v>1857</v>
      </c>
      <c r="X801" s="8" t="s">
        <v>905</v>
      </c>
      <c r="Y801" s="9">
        <v>1</v>
      </c>
      <c r="Z801" s="8" t="s">
        <v>897</v>
      </c>
      <c r="AA801" s="10">
        <v>41715</v>
      </c>
      <c r="AB801" s="10">
        <v>41740</v>
      </c>
      <c r="AC801" s="10">
        <v>41740</v>
      </c>
      <c r="AD801" s="10">
        <v>41722</v>
      </c>
      <c r="AF801" s="8">
        <v>14360</v>
      </c>
    </row>
    <row r="802" spans="1:36">
      <c r="A802" s="7">
        <f t="shared" si="240"/>
        <v>1</v>
      </c>
      <c r="B802" s="7" t="str">
        <f t="shared" si="241"/>
        <v>14FW - ELSTINKO - HD17- Y6 - KIDS</v>
      </c>
      <c r="C802" s="7">
        <f t="shared" si="242"/>
        <v>1</v>
      </c>
      <c r="D802" s="7" t="str">
        <f t="shared" si="243"/>
        <v>piafield14FW - ELSTINKO - HD17- Y6 - KIDS</v>
      </c>
      <c r="E802" s="12" t="str">
        <f t="shared" si="244"/>
        <v>201403</v>
      </c>
      <c r="F802" s="347" t="str">
        <f>VLOOKUP($AA802,[3]주!$A:$F,6,FALSE)</f>
        <v>3월 2주</v>
      </c>
      <c r="G802" s="7">
        <f t="shared" si="245"/>
        <v>1</v>
      </c>
      <c r="H802" s="7" t="str">
        <f t="shared" si="246"/>
        <v>14FW - ELSTINKO - HD17- Y6 - KIDS</v>
      </c>
      <c r="I802" s="7">
        <f t="shared" si="247"/>
        <v>1</v>
      </c>
      <c r="J802" s="7" t="str">
        <f t="shared" si="248"/>
        <v>piafield14FW - ELSTINKO - HD17- Y6 - KIDS</v>
      </c>
      <c r="K802" s="17">
        <f t="shared" si="249"/>
        <v>41722</v>
      </c>
      <c r="L802" s="12" t="str">
        <f t="shared" si="250"/>
        <v>201403</v>
      </c>
      <c r="M802" s="347" t="str">
        <f>VLOOKUP($K802,[3]주!$A:$F,6,FALSE)</f>
        <v>3월 2주</v>
      </c>
      <c r="N802" s="273" t="str">
        <f>IF(VLOOKUP($Z802,생산업체!$A:$C,2,FALSE)=1,"해외","국내")</f>
        <v>해외</v>
      </c>
      <c r="O802" s="12" t="str">
        <f>IF(VLOOKUP($U802,CODE!$K:$P,CODE!P$1,FALSE)="모자",T802,T802&amp;"-"&amp;VLOOKUP($U802,CODE!$K:$P,CODE!P$1,FALSE))</f>
        <v>ELS-의류</v>
      </c>
      <c r="P802" s="11" t="s">
        <v>41</v>
      </c>
      <c r="R802" s="11">
        <v>69</v>
      </c>
      <c r="T802" s="8" t="s">
        <v>3</v>
      </c>
      <c r="U802" s="8" t="s">
        <v>24</v>
      </c>
      <c r="V802" s="8" t="s">
        <v>43</v>
      </c>
      <c r="W802" s="8" t="s">
        <v>1858</v>
      </c>
      <c r="X802" s="8" t="s">
        <v>905</v>
      </c>
      <c r="Y802" s="9">
        <v>1</v>
      </c>
      <c r="Z802" s="8" t="s">
        <v>897</v>
      </c>
      <c r="AA802" s="10">
        <v>41715</v>
      </c>
      <c r="AB802" s="10">
        <v>41743</v>
      </c>
      <c r="AC802" s="10">
        <v>41740</v>
      </c>
      <c r="AD802" s="10">
        <v>41722</v>
      </c>
      <c r="AF802" s="8">
        <v>14360</v>
      </c>
    </row>
    <row r="803" spans="1:36">
      <c r="A803" s="7">
        <f t="shared" si="240"/>
        <v>1</v>
      </c>
      <c r="B803" s="7" t="str">
        <f t="shared" si="241"/>
        <v>14FW - ELSTINKO - HD18- GR - KIDS</v>
      </c>
      <c r="C803" s="7">
        <f t="shared" si="242"/>
        <v>1</v>
      </c>
      <c r="D803" s="7" t="str">
        <f t="shared" si="243"/>
        <v>piafield14FW - ELSTINKO - HD18- GR - KIDS</v>
      </c>
      <c r="E803" s="12" t="str">
        <f t="shared" si="244"/>
        <v>201403</v>
      </c>
      <c r="F803" s="347" t="str">
        <f>VLOOKUP($AA803,[3]주!$A:$F,6,FALSE)</f>
        <v>3월 2주</v>
      </c>
      <c r="G803" s="7">
        <f t="shared" si="245"/>
        <v>1</v>
      </c>
      <c r="H803" s="7" t="str">
        <f t="shared" si="246"/>
        <v>14FW - ELSTINKO - HD18- GR - KIDS</v>
      </c>
      <c r="I803" s="7">
        <f t="shared" si="247"/>
        <v>1</v>
      </c>
      <c r="J803" s="7" t="str">
        <f t="shared" si="248"/>
        <v>piafield14FW - ELSTINKO - HD18- GR - KIDS</v>
      </c>
      <c r="K803" s="17">
        <f t="shared" si="249"/>
        <v>41722</v>
      </c>
      <c r="L803" s="12" t="str">
        <f t="shared" si="250"/>
        <v>201403</v>
      </c>
      <c r="M803" s="347" t="str">
        <f>VLOOKUP($K803,[3]주!$A:$F,6,FALSE)</f>
        <v>3월 2주</v>
      </c>
      <c r="N803" s="273" t="str">
        <f>IF(VLOOKUP($Z803,생산업체!$A:$C,2,FALSE)=1,"해외","국내")</f>
        <v>해외</v>
      </c>
      <c r="O803" s="12" t="str">
        <f>IF(VLOOKUP($U803,CODE!$K:$P,CODE!P$1,FALSE)="모자",T803,T803&amp;"-"&amp;VLOOKUP($U803,CODE!$K:$P,CODE!P$1,FALSE))</f>
        <v>ELS-의류</v>
      </c>
      <c r="P803" s="11" t="s">
        <v>41</v>
      </c>
      <c r="R803" s="11">
        <v>70</v>
      </c>
      <c r="T803" s="8" t="s">
        <v>3</v>
      </c>
      <c r="U803" s="8" t="s">
        <v>24</v>
      </c>
      <c r="V803" s="8" t="s">
        <v>43</v>
      </c>
      <c r="W803" s="8" t="s">
        <v>1859</v>
      </c>
      <c r="X803" s="8" t="s">
        <v>905</v>
      </c>
      <c r="Y803" s="9">
        <v>1</v>
      </c>
      <c r="Z803" s="8" t="s">
        <v>897</v>
      </c>
      <c r="AA803" s="10">
        <v>41715</v>
      </c>
      <c r="AB803" s="10">
        <v>41743</v>
      </c>
      <c r="AC803" s="10">
        <v>41740</v>
      </c>
      <c r="AD803" s="10">
        <v>41722</v>
      </c>
      <c r="AF803" s="8">
        <v>14360</v>
      </c>
    </row>
    <row r="804" spans="1:36">
      <c r="A804" s="7">
        <f t="shared" si="240"/>
        <v>1</v>
      </c>
      <c r="B804" s="7" t="str">
        <f t="shared" si="241"/>
        <v>14FW - ELSTINKO - HD19- Pi - KIDS</v>
      </c>
      <c r="C804" s="7">
        <f t="shared" si="242"/>
        <v>1</v>
      </c>
      <c r="D804" s="7" t="str">
        <f t="shared" si="243"/>
        <v>piafield14FW - ELSTINKO - HD19- Pi - KIDS</v>
      </c>
      <c r="E804" s="12" t="str">
        <f t="shared" si="244"/>
        <v>201403</v>
      </c>
      <c r="F804" s="347" t="str">
        <f>VLOOKUP($AA804,[3]주!$A:$F,6,FALSE)</f>
        <v>3월 2주</v>
      </c>
      <c r="G804" s="7">
        <f t="shared" si="245"/>
        <v>1</v>
      </c>
      <c r="H804" s="7" t="str">
        <f t="shared" si="246"/>
        <v>14FW - ELSTINKO - HD19- Pi - KIDS</v>
      </c>
      <c r="I804" s="7">
        <f t="shared" si="247"/>
        <v>1</v>
      </c>
      <c r="J804" s="7" t="str">
        <f t="shared" si="248"/>
        <v>piafield14FW - ELSTINKO - HD19- Pi - KIDS</v>
      </c>
      <c r="K804" s="17">
        <f t="shared" si="249"/>
        <v>41723</v>
      </c>
      <c r="L804" s="12" t="str">
        <f t="shared" si="250"/>
        <v>201403</v>
      </c>
      <c r="M804" s="347" t="str">
        <f>VLOOKUP($K804,[3]주!$A:$F,6,FALSE)</f>
        <v>3월 2주</v>
      </c>
      <c r="N804" s="273" t="str">
        <f>IF(VLOOKUP($Z804,생산업체!$A:$C,2,FALSE)=1,"해외","국내")</f>
        <v>해외</v>
      </c>
      <c r="O804" s="12" t="str">
        <f>IF(VLOOKUP($U804,CODE!$K:$P,CODE!P$1,FALSE)="모자",T804,T804&amp;"-"&amp;VLOOKUP($U804,CODE!$K:$P,CODE!P$1,FALSE))</f>
        <v>ELS-의류</v>
      </c>
      <c r="P804" s="11" t="s">
        <v>41</v>
      </c>
      <c r="R804" s="11">
        <v>71</v>
      </c>
      <c r="T804" s="8" t="s">
        <v>3</v>
      </c>
      <c r="U804" s="8" t="s">
        <v>24</v>
      </c>
      <c r="V804" s="8" t="s">
        <v>43</v>
      </c>
      <c r="W804" s="8" t="s">
        <v>1860</v>
      </c>
      <c r="X804" s="8" t="s">
        <v>905</v>
      </c>
      <c r="Y804" s="9">
        <v>1</v>
      </c>
      <c r="Z804" s="8" t="s">
        <v>897</v>
      </c>
      <c r="AA804" s="10">
        <v>41715</v>
      </c>
      <c r="AB804" s="10">
        <v>41743</v>
      </c>
      <c r="AC804" s="10">
        <v>41740</v>
      </c>
      <c r="AD804" s="10">
        <v>41723</v>
      </c>
      <c r="AF804" s="8">
        <v>14360</v>
      </c>
    </row>
    <row r="805" spans="1:36">
      <c r="A805" s="7">
        <f t="shared" si="240"/>
        <v>1</v>
      </c>
      <c r="B805" s="7" t="str">
        <f t="shared" si="241"/>
        <v>14FW - ELSTINKO - HD20- CA - KIDS</v>
      </c>
      <c r="C805" s="7">
        <f t="shared" si="242"/>
        <v>1</v>
      </c>
      <c r="D805" s="7" t="str">
        <f t="shared" si="243"/>
        <v>piafield14FW - ELSTINKO - HD20- CA - KIDS</v>
      </c>
      <c r="E805" s="12" t="str">
        <f t="shared" si="244"/>
        <v>201403</v>
      </c>
      <c r="F805" s="347" t="str">
        <f>VLOOKUP($AA805,[3]주!$A:$F,6,FALSE)</f>
        <v>3월 2주</v>
      </c>
      <c r="G805" s="7">
        <f t="shared" si="245"/>
        <v>1</v>
      </c>
      <c r="H805" s="7" t="str">
        <f t="shared" si="246"/>
        <v>14FW - ELSTINKO - HD20- CA - KIDS</v>
      </c>
      <c r="I805" s="7">
        <f t="shared" si="247"/>
        <v>1</v>
      </c>
      <c r="J805" s="7" t="str">
        <f t="shared" si="248"/>
        <v>piafield14FW - ELSTINKO - HD20- CA - KIDS</v>
      </c>
      <c r="K805" s="17">
        <f t="shared" si="249"/>
        <v>41722</v>
      </c>
      <c r="L805" s="12" t="str">
        <f t="shared" si="250"/>
        <v>201403</v>
      </c>
      <c r="M805" s="347" t="str">
        <f>VLOOKUP($K805,[3]주!$A:$F,6,FALSE)</f>
        <v>3월 2주</v>
      </c>
      <c r="N805" s="273" t="str">
        <f>IF(VLOOKUP($Z805,생산업체!$A:$C,2,FALSE)=1,"해외","국내")</f>
        <v>해외</v>
      </c>
      <c r="O805" s="12" t="str">
        <f>IF(VLOOKUP($U805,CODE!$K:$P,CODE!P$1,FALSE)="모자",T805,T805&amp;"-"&amp;VLOOKUP($U805,CODE!$K:$P,CODE!P$1,FALSE))</f>
        <v>ELS-의류</v>
      </c>
      <c r="P805" s="11" t="s">
        <v>41</v>
      </c>
      <c r="R805" s="11">
        <v>72</v>
      </c>
      <c r="T805" s="8" t="s">
        <v>3</v>
      </c>
      <c r="U805" s="8" t="s">
        <v>24</v>
      </c>
      <c r="V805" s="8" t="s">
        <v>43</v>
      </c>
      <c r="W805" s="8" t="s">
        <v>1861</v>
      </c>
      <c r="X805" s="8" t="s">
        <v>905</v>
      </c>
      <c r="Y805" s="9">
        <v>1</v>
      </c>
      <c r="Z805" s="8" t="s">
        <v>897</v>
      </c>
      <c r="AA805" s="10">
        <v>41715</v>
      </c>
      <c r="AB805" s="10">
        <v>41743</v>
      </c>
      <c r="AC805" s="10">
        <v>41740</v>
      </c>
      <c r="AD805" s="10">
        <v>41722</v>
      </c>
      <c r="AF805" s="8">
        <v>14360</v>
      </c>
    </row>
    <row r="806" spans="1:36">
      <c r="A806" s="7">
        <f t="shared" si="240"/>
        <v>1</v>
      </c>
      <c r="B806" s="7" t="str">
        <f t="shared" si="241"/>
        <v>14FW - ELSTINKO - MTM15- BL - KIDS</v>
      </c>
      <c r="C806" s="7">
        <f t="shared" si="242"/>
        <v>1</v>
      </c>
      <c r="D806" s="7" t="str">
        <f t="shared" si="243"/>
        <v>piafield14FW - ELSTINKO - MTM15- BL - KIDS</v>
      </c>
      <c r="E806" s="12" t="str">
        <f t="shared" si="244"/>
        <v>201403</v>
      </c>
      <c r="F806" s="347" t="str">
        <f>VLOOKUP($AA806,[3]주!$A:$F,6,FALSE)</f>
        <v>3월 2주</v>
      </c>
      <c r="G806" s="7">
        <f t="shared" si="245"/>
        <v>1</v>
      </c>
      <c r="H806" s="7" t="str">
        <f t="shared" si="246"/>
        <v>14FW - ELSTINKO - MTM15- BL - KIDS</v>
      </c>
      <c r="I806" s="7">
        <f t="shared" si="247"/>
        <v>1</v>
      </c>
      <c r="J806" s="7" t="str">
        <f t="shared" si="248"/>
        <v>piafield14FW - ELSTINKO - MTM15- BL - KIDS</v>
      </c>
      <c r="K806" s="17">
        <f t="shared" si="249"/>
        <v>41722</v>
      </c>
      <c r="L806" s="12" t="str">
        <f t="shared" si="250"/>
        <v>201403</v>
      </c>
      <c r="M806" s="347" t="str">
        <f>VLOOKUP($K806,[3]주!$A:$F,6,FALSE)</f>
        <v>3월 2주</v>
      </c>
      <c r="N806" s="273" t="str">
        <f>IF(VLOOKUP($Z806,생산업체!$A:$C,2,FALSE)=1,"해외","국내")</f>
        <v>해외</v>
      </c>
      <c r="O806" s="12" t="str">
        <f>IF(VLOOKUP($U806,CODE!$K:$P,CODE!P$1,FALSE)="모자",T806,T806&amp;"-"&amp;VLOOKUP($U806,CODE!$K:$P,CODE!P$1,FALSE))</f>
        <v>ELS-의류</v>
      </c>
      <c r="P806" s="11" t="s">
        <v>41</v>
      </c>
      <c r="R806" s="11">
        <v>73</v>
      </c>
      <c r="T806" s="8" t="s">
        <v>3</v>
      </c>
      <c r="U806" s="8" t="s">
        <v>27</v>
      </c>
      <c r="V806" s="8" t="s">
        <v>43</v>
      </c>
      <c r="W806" s="8" t="s">
        <v>1862</v>
      </c>
      <c r="X806" s="8" t="s">
        <v>905</v>
      </c>
      <c r="Y806" s="9">
        <v>1</v>
      </c>
      <c r="Z806" s="8" t="s">
        <v>897</v>
      </c>
      <c r="AA806" s="10">
        <v>41715</v>
      </c>
      <c r="AB806" s="10">
        <v>41743</v>
      </c>
      <c r="AC806" s="10">
        <v>41740</v>
      </c>
      <c r="AD806" s="10">
        <v>41722</v>
      </c>
      <c r="AF806" s="8">
        <v>12540</v>
      </c>
    </row>
    <row r="807" spans="1:36">
      <c r="A807" s="7">
        <f t="shared" si="240"/>
        <v>1</v>
      </c>
      <c r="B807" s="7" t="str">
        <f t="shared" si="241"/>
        <v>14FW - ELSTINKO - MTM15- RE - KIDS</v>
      </c>
      <c r="C807" s="7">
        <f t="shared" si="242"/>
        <v>1</v>
      </c>
      <c r="D807" s="7" t="str">
        <f t="shared" si="243"/>
        <v>piafield14FW - ELSTINKO - MTM15- RE - KIDS</v>
      </c>
      <c r="E807" s="12" t="str">
        <f t="shared" si="244"/>
        <v>201403</v>
      </c>
      <c r="F807" s="347" t="str">
        <f>VLOOKUP($AA807,[3]주!$A:$F,6,FALSE)</f>
        <v>3월 2주</v>
      </c>
      <c r="G807" s="7">
        <f t="shared" si="245"/>
        <v>1</v>
      </c>
      <c r="H807" s="7" t="str">
        <f t="shared" si="246"/>
        <v>14FW - ELSTINKO - MTM15- RE - KIDS</v>
      </c>
      <c r="I807" s="7">
        <f t="shared" si="247"/>
        <v>1</v>
      </c>
      <c r="J807" s="7" t="str">
        <f t="shared" si="248"/>
        <v>piafield14FW - ELSTINKO - MTM15- RE - KIDS</v>
      </c>
      <c r="K807" s="17">
        <f t="shared" si="249"/>
        <v>41722</v>
      </c>
      <c r="L807" s="12" t="str">
        <f t="shared" si="250"/>
        <v>201403</v>
      </c>
      <c r="M807" s="347" t="str">
        <f>VLOOKUP($K807,[3]주!$A:$F,6,FALSE)</f>
        <v>3월 2주</v>
      </c>
      <c r="N807" s="273" t="str">
        <f>IF(VLOOKUP($Z807,생산업체!$A:$C,2,FALSE)=1,"해외","국내")</f>
        <v>해외</v>
      </c>
      <c r="O807" s="12" t="str">
        <f>IF(VLOOKUP($U807,CODE!$K:$P,CODE!P$1,FALSE)="모자",T807,T807&amp;"-"&amp;VLOOKUP($U807,CODE!$K:$P,CODE!P$1,FALSE))</f>
        <v>ELS-의류</v>
      </c>
      <c r="P807" s="11" t="s">
        <v>41</v>
      </c>
      <c r="R807" s="11">
        <v>74</v>
      </c>
      <c r="T807" s="8" t="s">
        <v>3</v>
      </c>
      <c r="U807" s="8" t="s">
        <v>27</v>
      </c>
      <c r="V807" s="8" t="s">
        <v>43</v>
      </c>
      <c r="W807" s="8" t="s">
        <v>1863</v>
      </c>
      <c r="X807" s="8" t="s">
        <v>905</v>
      </c>
      <c r="Y807" s="9">
        <v>1</v>
      </c>
      <c r="Z807" s="8" t="s">
        <v>897</v>
      </c>
      <c r="AA807" s="10">
        <v>41715</v>
      </c>
      <c r="AB807" s="10">
        <v>41743</v>
      </c>
      <c r="AC807" s="10">
        <v>41740</v>
      </c>
      <c r="AD807" s="10">
        <v>41722</v>
      </c>
      <c r="AF807" s="8">
        <v>12540</v>
      </c>
    </row>
    <row r="808" spans="1:36">
      <c r="A808" s="7">
        <f t="shared" si="240"/>
        <v>1</v>
      </c>
      <c r="B808" s="7" t="str">
        <f t="shared" si="241"/>
        <v>14FW - ELSTINKO - MTM16- GR - KIDS</v>
      </c>
      <c r="C808" s="7">
        <f t="shared" si="242"/>
        <v>1</v>
      </c>
      <c r="D808" s="7" t="str">
        <f t="shared" si="243"/>
        <v>piafield14FW - ELSTINKO - MTM16- GR - KIDS</v>
      </c>
      <c r="E808" s="12" t="str">
        <f t="shared" si="244"/>
        <v>201403</v>
      </c>
      <c r="F808" s="347" t="str">
        <f>VLOOKUP($AA808,[3]주!$A:$F,6,FALSE)</f>
        <v>3월 2주</v>
      </c>
      <c r="G808" s="7">
        <f t="shared" si="245"/>
        <v>1</v>
      </c>
      <c r="H808" s="7" t="str">
        <f t="shared" si="246"/>
        <v>14FW - ELSTINKO - MTM16- GR - KIDS</v>
      </c>
      <c r="I808" s="7">
        <f t="shared" si="247"/>
        <v>1</v>
      </c>
      <c r="J808" s="7" t="str">
        <f t="shared" si="248"/>
        <v>piafield14FW - ELSTINKO - MTM16- GR - KIDS</v>
      </c>
      <c r="K808" s="17">
        <f t="shared" si="249"/>
        <v>41722</v>
      </c>
      <c r="L808" s="12" t="str">
        <f t="shared" si="250"/>
        <v>201403</v>
      </c>
      <c r="M808" s="347" t="str">
        <f>VLOOKUP($K808,[3]주!$A:$F,6,FALSE)</f>
        <v>3월 2주</v>
      </c>
      <c r="N808" s="273" t="str">
        <f>IF(VLOOKUP($Z808,생산업체!$A:$C,2,FALSE)=1,"해외","국내")</f>
        <v>해외</v>
      </c>
      <c r="O808" s="12" t="str">
        <f>IF(VLOOKUP($U808,CODE!$K:$P,CODE!P$1,FALSE)="모자",T808,T808&amp;"-"&amp;VLOOKUP($U808,CODE!$K:$P,CODE!P$1,FALSE))</f>
        <v>ELS-의류</v>
      </c>
      <c r="P808" s="11" t="s">
        <v>41</v>
      </c>
      <c r="R808" s="11">
        <v>75</v>
      </c>
      <c r="T808" s="8" t="s">
        <v>3</v>
      </c>
      <c r="U808" s="8" t="s">
        <v>27</v>
      </c>
      <c r="V808" s="8" t="s">
        <v>43</v>
      </c>
      <c r="W808" s="8" t="s">
        <v>1864</v>
      </c>
      <c r="X808" s="8" t="s">
        <v>905</v>
      </c>
      <c r="Y808" s="9">
        <v>1</v>
      </c>
      <c r="Z808" s="8" t="s">
        <v>897</v>
      </c>
      <c r="AA808" s="10">
        <v>41715</v>
      </c>
      <c r="AB808" s="10">
        <v>41743</v>
      </c>
      <c r="AC808" s="10">
        <v>41740</v>
      </c>
      <c r="AD808" s="10">
        <v>41722</v>
      </c>
      <c r="AF808" s="8">
        <v>12540</v>
      </c>
    </row>
    <row r="809" spans="1:36">
      <c r="A809" s="7">
        <f t="shared" si="240"/>
        <v>1</v>
      </c>
      <c r="B809" s="7" t="str">
        <f t="shared" si="241"/>
        <v>14FW - ELSTINKO - MTM17- YO - KIDS</v>
      </c>
      <c r="C809" s="7">
        <f t="shared" si="242"/>
        <v>1</v>
      </c>
      <c r="D809" s="7" t="str">
        <f t="shared" si="243"/>
        <v>piafield14FW - ELSTINKO - MTM17- YO - KIDS</v>
      </c>
      <c r="E809" s="12" t="str">
        <f t="shared" si="244"/>
        <v>201403</v>
      </c>
      <c r="F809" s="347" t="str">
        <f>VLOOKUP($AA809,[3]주!$A:$F,6,FALSE)</f>
        <v>3월 2주</v>
      </c>
      <c r="G809" s="7">
        <f t="shared" si="245"/>
        <v>1</v>
      </c>
      <c r="H809" s="7" t="str">
        <f t="shared" si="246"/>
        <v>14FW - ELSTINKO - MTM17- YO - KIDS</v>
      </c>
      <c r="I809" s="7">
        <f t="shared" si="247"/>
        <v>1</v>
      </c>
      <c r="J809" s="7" t="str">
        <f t="shared" si="248"/>
        <v>piafield14FW - ELSTINKO - MTM17- YO - KIDS</v>
      </c>
      <c r="K809" s="17">
        <f t="shared" si="249"/>
        <v>41723</v>
      </c>
      <c r="L809" s="12" t="str">
        <f t="shared" si="250"/>
        <v>201403</v>
      </c>
      <c r="M809" s="347" t="str">
        <f>VLOOKUP($K809,[3]주!$A:$F,6,FALSE)</f>
        <v>3월 2주</v>
      </c>
      <c r="N809" s="273" t="str">
        <f>IF(VLOOKUP($Z809,생산업체!$A:$C,2,FALSE)=1,"해외","국내")</f>
        <v>해외</v>
      </c>
      <c r="O809" s="12" t="str">
        <f>IF(VLOOKUP($U809,CODE!$K:$P,CODE!P$1,FALSE)="모자",T809,T809&amp;"-"&amp;VLOOKUP($U809,CODE!$K:$P,CODE!P$1,FALSE))</f>
        <v>ELS-의류</v>
      </c>
      <c r="P809" s="11" t="s">
        <v>41</v>
      </c>
      <c r="R809" s="11">
        <v>76</v>
      </c>
      <c r="T809" s="8" t="s">
        <v>3</v>
      </c>
      <c r="U809" s="8" t="s">
        <v>27</v>
      </c>
      <c r="V809" s="8" t="s">
        <v>43</v>
      </c>
      <c r="W809" s="8" t="s">
        <v>1865</v>
      </c>
      <c r="X809" s="8" t="s">
        <v>905</v>
      </c>
      <c r="Y809" s="9">
        <v>1</v>
      </c>
      <c r="Z809" s="8" t="s">
        <v>897</v>
      </c>
      <c r="AA809" s="10">
        <v>41715</v>
      </c>
      <c r="AB809" s="10">
        <v>41743</v>
      </c>
      <c r="AC809" s="10">
        <v>41740</v>
      </c>
      <c r="AD809" s="10">
        <v>41723</v>
      </c>
      <c r="AF809" s="8">
        <v>12540</v>
      </c>
    </row>
    <row r="810" spans="1:36">
      <c r="A810" s="7">
        <f t="shared" si="240"/>
        <v>1</v>
      </c>
      <c r="B810" s="7" t="str">
        <f t="shared" si="241"/>
        <v>14FW - ELSTINKO - MTM18- PI - KIDS</v>
      </c>
      <c r="C810" s="7">
        <f t="shared" si="242"/>
        <v>1</v>
      </c>
      <c r="D810" s="7" t="str">
        <f t="shared" si="243"/>
        <v>piafield14FW - ELSTINKO - MTM18- PI - KIDS</v>
      </c>
      <c r="E810" s="12" t="str">
        <f t="shared" si="244"/>
        <v>201403</v>
      </c>
      <c r="F810" s="347" t="str">
        <f>VLOOKUP($AA810,[3]주!$A:$F,6,FALSE)</f>
        <v>3월 2주</v>
      </c>
      <c r="G810" s="7">
        <f t="shared" si="245"/>
        <v>1</v>
      </c>
      <c r="H810" s="7" t="str">
        <f t="shared" si="246"/>
        <v>14FW - ELSTINKO - MTM18- PI - KIDS</v>
      </c>
      <c r="I810" s="7">
        <f t="shared" si="247"/>
        <v>1</v>
      </c>
      <c r="J810" s="7" t="str">
        <f t="shared" si="248"/>
        <v>piafield14FW - ELSTINKO - MTM18- PI - KIDS</v>
      </c>
      <c r="K810" s="17">
        <f t="shared" si="249"/>
        <v>41722</v>
      </c>
      <c r="L810" s="12" t="str">
        <f t="shared" si="250"/>
        <v>201403</v>
      </c>
      <c r="M810" s="347" t="str">
        <f>VLOOKUP($K810,[3]주!$A:$F,6,FALSE)</f>
        <v>3월 2주</v>
      </c>
      <c r="N810" s="273" t="str">
        <f>IF(VLOOKUP($Z810,생산업체!$A:$C,2,FALSE)=1,"해외","국내")</f>
        <v>해외</v>
      </c>
      <c r="O810" s="12" t="str">
        <f>IF(VLOOKUP($U810,CODE!$K:$P,CODE!P$1,FALSE)="모자",T810,T810&amp;"-"&amp;VLOOKUP($U810,CODE!$K:$P,CODE!P$1,FALSE))</f>
        <v>ELS-의류</v>
      </c>
      <c r="P810" s="11" t="s">
        <v>41</v>
      </c>
      <c r="R810" s="11">
        <v>77</v>
      </c>
      <c r="T810" s="8" t="s">
        <v>3</v>
      </c>
      <c r="U810" s="8" t="s">
        <v>27</v>
      </c>
      <c r="V810" s="8" t="s">
        <v>43</v>
      </c>
      <c r="W810" s="8" t="s">
        <v>1866</v>
      </c>
      <c r="X810" s="8" t="s">
        <v>905</v>
      </c>
      <c r="Y810" s="9">
        <v>1</v>
      </c>
      <c r="Z810" s="8" t="s">
        <v>897</v>
      </c>
      <c r="AA810" s="10">
        <v>41715</v>
      </c>
      <c r="AB810" s="10">
        <v>41743</v>
      </c>
      <c r="AC810" s="10">
        <v>41740</v>
      </c>
      <c r="AD810" s="10">
        <v>41722</v>
      </c>
      <c r="AF810" s="8">
        <v>12540</v>
      </c>
    </row>
    <row r="811" spans="1:36">
      <c r="A811" s="7">
        <f t="shared" si="240"/>
        <v>1</v>
      </c>
      <c r="B811" s="7" t="str">
        <f t="shared" si="241"/>
        <v>14FW - ELSTINKO - MTM19- GR - KIDS</v>
      </c>
      <c r="C811" s="7">
        <f t="shared" si="242"/>
        <v>1</v>
      </c>
      <c r="D811" s="7" t="str">
        <f t="shared" si="243"/>
        <v>piafield14FW - ELSTINKO - MTM19- GR - KIDS</v>
      </c>
      <c r="E811" s="12" t="str">
        <f t="shared" si="244"/>
        <v>201403</v>
      </c>
      <c r="F811" s="347" t="str">
        <f>VLOOKUP($AA811,[3]주!$A:$F,6,FALSE)</f>
        <v>3월 2주</v>
      </c>
      <c r="G811" s="7">
        <f t="shared" si="245"/>
        <v>1</v>
      </c>
      <c r="H811" s="7" t="str">
        <f t="shared" si="246"/>
        <v>14FW - ELSTINKO - MTM19- GR - KIDS</v>
      </c>
      <c r="I811" s="7">
        <f t="shared" si="247"/>
        <v>1</v>
      </c>
      <c r="J811" s="7" t="str">
        <f t="shared" si="248"/>
        <v>piafield14FW - ELSTINKO - MTM19- GR - KIDS</v>
      </c>
      <c r="K811" s="17">
        <f t="shared" si="249"/>
        <v>41723</v>
      </c>
      <c r="L811" s="12" t="str">
        <f t="shared" si="250"/>
        <v>201403</v>
      </c>
      <c r="M811" s="347" t="str">
        <f>VLOOKUP($K811,[3]주!$A:$F,6,FALSE)</f>
        <v>3월 2주</v>
      </c>
      <c r="N811" s="273" t="str">
        <f>IF(VLOOKUP($Z811,생산업체!$A:$C,2,FALSE)=1,"해외","국내")</f>
        <v>해외</v>
      </c>
      <c r="O811" s="12" t="str">
        <f>IF(VLOOKUP($U811,CODE!$K:$P,CODE!P$1,FALSE)="모자",T811,T811&amp;"-"&amp;VLOOKUP($U811,CODE!$K:$P,CODE!P$1,FALSE))</f>
        <v>ELS-의류</v>
      </c>
      <c r="P811" s="11" t="s">
        <v>41</v>
      </c>
      <c r="R811" s="11">
        <v>78</v>
      </c>
      <c r="T811" s="8" t="s">
        <v>3</v>
      </c>
      <c r="U811" s="8" t="s">
        <v>27</v>
      </c>
      <c r="V811" s="8" t="s">
        <v>43</v>
      </c>
      <c r="W811" s="8" t="s">
        <v>1867</v>
      </c>
      <c r="X811" s="8" t="s">
        <v>905</v>
      </c>
      <c r="Y811" s="9">
        <v>1</v>
      </c>
      <c r="Z811" s="8" t="s">
        <v>897</v>
      </c>
      <c r="AA811" s="10">
        <v>41715</v>
      </c>
      <c r="AB811" s="10">
        <v>41743</v>
      </c>
      <c r="AC811" s="10">
        <v>41740</v>
      </c>
      <c r="AD811" s="10">
        <v>41723</v>
      </c>
      <c r="AF811" s="8">
        <v>12540</v>
      </c>
    </row>
    <row r="812" spans="1:36">
      <c r="A812" s="7">
        <f t="shared" si="240"/>
        <v>1</v>
      </c>
      <c r="B812" s="7" t="str">
        <f t="shared" si="241"/>
        <v>14FW - ELSTINKO - MTM20- BK - KIDS</v>
      </c>
      <c r="C812" s="7">
        <f t="shared" si="242"/>
        <v>1</v>
      </c>
      <c r="D812" s="7" t="str">
        <f t="shared" si="243"/>
        <v>piafield14FW - ELSTINKO - MTM20- BK - KIDS</v>
      </c>
      <c r="E812" s="12" t="str">
        <f t="shared" si="244"/>
        <v>201403</v>
      </c>
      <c r="F812" s="347" t="str">
        <f>VLOOKUP($AA812,[3]주!$A:$F,6,FALSE)</f>
        <v>3월 2주</v>
      </c>
      <c r="G812" s="7">
        <f t="shared" si="245"/>
        <v>1</v>
      </c>
      <c r="H812" s="7" t="str">
        <f t="shared" si="246"/>
        <v>14FW - ELSTINKO - MTM20- BK - KIDS</v>
      </c>
      <c r="I812" s="7">
        <f t="shared" si="247"/>
        <v>1</v>
      </c>
      <c r="J812" s="7" t="str">
        <f t="shared" si="248"/>
        <v>piafield14FW - ELSTINKO - MTM20- BK - KIDS</v>
      </c>
      <c r="K812" s="17">
        <f t="shared" si="249"/>
        <v>41722</v>
      </c>
      <c r="L812" s="12" t="str">
        <f t="shared" si="250"/>
        <v>201403</v>
      </c>
      <c r="M812" s="347" t="str">
        <f>VLOOKUP($K812,[3]주!$A:$F,6,FALSE)</f>
        <v>3월 2주</v>
      </c>
      <c r="N812" s="273" t="str">
        <f>IF(VLOOKUP($Z812,생산업체!$A:$C,2,FALSE)=1,"해외","국내")</f>
        <v>해외</v>
      </c>
      <c r="O812" s="12" t="str">
        <f>IF(VLOOKUP($U812,CODE!$K:$P,CODE!P$1,FALSE)="모자",T812,T812&amp;"-"&amp;VLOOKUP($U812,CODE!$K:$P,CODE!P$1,FALSE))</f>
        <v>ELS-의류</v>
      </c>
      <c r="P812" s="11" t="s">
        <v>41</v>
      </c>
      <c r="R812" s="11">
        <v>79</v>
      </c>
      <c r="T812" s="8" t="s">
        <v>3</v>
      </c>
      <c r="U812" s="8" t="s">
        <v>27</v>
      </c>
      <c r="V812" s="8" t="s">
        <v>43</v>
      </c>
      <c r="W812" s="8" t="s">
        <v>1868</v>
      </c>
      <c r="X812" s="8" t="s">
        <v>905</v>
      </c>
      <c r="Y812" s="9">
        <v>1</v>
      </c>
      <c r="Z812" s="8" t="s">
        <v>897</v>
      </c>
      <c r="AA812" s="10">
        <v>41715</v>
      </c>
      <c r="AB812" s="10">
        <v>41743</v>
      </c>
      <c r="AC812" s="10">
        <v>41740</v>
      </c>
      <c r="AD812" s="10">
        <v>41722</v>
      </c>
      <c r="AF812" s="8">
        <v>12540</v>
      </c>
    </row>
    <row r="813" spans="1:36">
      <c r="A813" s="7">
        <f t="shared" si="240"/>
        <v>1</v>
      </c>
      <c r="B813" s="7" t="str">
        <f t="shared" si="241"/>
        <v>14FW - ELSTINKO - MTM21-
WH - KIDS</v>
      </c>
      <c r="C813" s="7">
        <f t="shared" si="242"/>
        <v>1</v>
      </c>
      <c r="D813" s="7" t="str">
        <f t="shared" si="243"/>
        <v>아트인드림14FW - ELSTINKO - MTM21-
WH - KIDS</v>
      </c>
      <c r="E813" s="12" t="str">
        <f t="shared" si="244"/>
        <v>201403</v>
      </c>
      <c r="F813" s="347" t="str">
        <f>VLOOKUP($AA813,[3]주!$A:$F,6,FALSE)</f>
        <v>3월 2주</v>
      </c>
      <c r="G813" s="7">
        <f t="shared" si="245"/>
        <v>0</v>
      </c>
      <c r="H813" s="7" t="str">
        <f t="shared" si="246"/>
        <v/>
      </c>
      <c r="I813" s="7">
        <f t="shared" si="247"/>
        <v>0</v>
      </c>
      <c r="J813" s="7" t="str">
        <f t="shared" si="248"/>
        <v/>
      </c>
      <c r="K813" s="17">
        <f t="shared" si="249"/>
        <v>41740</v>
      </c>
      <c r="L813" s="12" t="str">
        <f t="shared" si="250"/>
        <v>201404</v>
      </c>
      <c r="M813" s="347" t="str">
        <f>VLOOKUP($K813,[3]주!$A:$F,6,FALSE)</f>
        <v>3월 2주</v>
      </c>
      <c r="N813" s="273" t="str">
        <f>IF(VLOOKUP($Z813,생산업체!$A:$C,2,FALSE)=1,"해외","국내")</f>
        <v>국내</v>
      </c>
      <c r="O813" s="12" t="str">
        <f>IF(VLOOKUP($U813,CODE!$K:$P,CODE!P$1,FALSE)="모자",T813,T813&amp;"-"&amp;VLOOKUP($U813,CODE!$K:$P,CODE!P$1,FALSE))</f>
        <v>ELS-의류</v>
      </c>
      <c r="P813" s="11" t="s">
        <v>41</v>
      </c>
      <c r="R813" s="11">
        <v>80</v>
      </c>
      <c r="T813" s="8" t="s">
        <v>3</v>
      </c>
      <c r="U813" s="8" t="s">
        <v>27</v>
      </c>
      <c r="V813" s="8" t="s">
        <v>43</v>
      </c>
      <c r="W813" s="8" t="s">
        <v>1869</v>
      </c>
      <c r="X813" s="8" t="s">
        <v>905</v>
      </c>
      <c r="Y813" s="9">
        <v>1</v>
      </c>
      <c r="Z813" s="8" t="s">
        <v>1409</v>
      </c>
      <c r="AA813" s="10">
        <v>41715</v>
      </c>
      <c r="AB813" s="10">
        <v>41736</v>
      </c>
      <c r="AC813" s="10">
        <v>41740</v>
      </c>
      <c r="AF813" s="8">
        <v>16090</v>
      </c>
      <c r="AJ813" s="8" t="s">
        <v>2258</v>
      </c>
    </row>
    <row r="814" spans="1:36">
      <c r="A814" s="7">
        <f t="shared" si="240"/>
        <v>1</v>
      </c>
      <c r="B814" s="7" t="str">
        <f t="shared" si="241"/>
        <v>14FW - ELSTINKO - MTM21-
OR - KIDS</v>
      </c>
      <c r="C814" s="7">
        <f t="shared" si="242"/>
        <v>1</v>
      </c>
      <c r="D814" s="7" t="str">
        <f t="shared" si="243"/>
        <v>아트인드림14FW - ELSTINKO - MTM21-
OR - KIDS</v>
      </c>
      <c r="E814" s="12" t="str">
        <f t="shared" si="244"/>
        <v>201403</v>
      </c>
      <c r="F814" s="347" t="str">
        <f>VLOOKUP($AA814,[3]주!$A:$F,6,FALSE)</f>
        <v>3월 2주</v>
      </c>
      <c r="G814" s="7">
        <f t="shared" si="245"/>
        <v>1</v>
      </c>
      <c r="H814" s="7" t="str">
        <f t="shared" si="246"/>
        <v>14FW - ELSTINKO - MTM21-
OR - KIDS</v>
      </c>
      <c r="I814" s="7">
        <f t="shared" si="247"/>
        <v>1</v>
      </c>
      <c r="J814" s="7" t="str">
        <f t="shared" si="248"/>
        <v>아트인드림14FW - ELSTINKO - MTM21-
OR - KIDS</v>
      </c>
      <c r="K814" s="17">
        <f t="shared" si="249"/>
        <v>41723</v>
      </c>
      <c r="L814" s="12" t="str">
        <f t="shared" si="250"/>
        <v>201403</v>
      </c>
      <c r="M814" s="347" t="str">
        <f>VLOOKUP($K814,[3]주!$A:$F,6,FALSE)</f>
        <v>3월 2주</v>
      </c>
      <c r="N814" s="273" t="str">
        <f>IF(VLOOKUP($Z814,생산업체!$A:$C,2,FALSE)=1,"해외","국내")</f>
        <v>국내</v>
      </c>
      <c r="O814" s="12" t="str">
        <f>IF(VLOOKUP($U814,CODE!$K:$P,CODE!P$1,FALSE)="모자",T814,T814&amp;"-"&amp;VLOOKUP($U814,CODE!$K:$P,CODE!P$1,FALSE))</f>
        <v>ELS-의류</v>
      </c>
      <c r="P814" s="11" t="s">
        <v>41</v>
      </c>
      <c r="R814" s="11">
        <v>81</v>
      </c>
      <c r="T814" s="8" t="s">
        <v>3</v>
      </c>
      <c r="U814" s="8" t="s">
        <v>27</v>
      </c>
      <c r="V814" s="8" t="s">
        <v>43</v>
      </c>
      <c r="W814" s="8" t="s">
        <v>1870</v>
      </c>
      <c r="X814" s="8" t="s">
        <v>905</v>
      </c>
      <c r="Y814" s="9">
        <v>1</v>
      </c>
      <c r="Z814" s="8" t="s">
        <v>1409</v>
      </c>
      <c r="AA814" s="10">
        <v>41715</v>
      </c>
      <c r="AB814" s="10">
        <v>41736</v>
      </c>
      <c r="AC814" s="10">
        <v>41740</v>
      </c>
      <c r="AD814" s="10">
        <v>41723</v>
      </c>
      <c r="AF814" s="8">
        <v>16090</v>
      </c>
      <c r="AJ814" s="8" t="s">
        <v>2258</v>
      </c>
    </row>
    <row r="815" spans="1:36">
      <c r="A815" s="7">
        <f t="shared" si="240"/>
        <v>1</v>
      </c>
      <c r="B815" s="7" t="str">
        <f t="shared" si="241"/>
        <v>14FW - ELSTINKO - MTM21-
BL - KIDS</v>
      </c>
      <c r="C815" s="7">
        <f t="shared" si="242"/>
        <v>1</v>
      </c>
      <c r="D815" s="7" t="str">
        <f t="shared" si="243"/>
        <v>아트인드림14FW - ELSTINKO - MTM21-
BL - KIDS</v>
      </c>
      <c r="E815" s="12" t="str">
        <f t="shared" si="244"/>
        <v>201403</v>
      </c>
      <c r="F815" s="347" t="str">
        <f>VLOOKUP($AA815,[3]주!$A:$F,6,FALSE)</f>
        <v>3월 2주</v>
      </c>
      <c r="G815" s="7">
        <f t="shared" si="245"/>
        <v>0</v>
      </c>
      <c r="H815" s="7" t="str">
        <f t="shared" si="246"/>
        <v/>
      </c>
      <c r="I815" s="7">
        <f t="shared" si="247"/>
        <v>0</v>
      </c>
      <c r="J815" s="7" t="str">
        <f t="shared" si="248"/>
        <v/>
      </c>
      <c r="K815" s="17">
        <f t="shared" si="249"/>
        <v>41740</v>
      </c>
      <c r="L815" s="12" t="str">
        <f t="shared" si="250"/>
        <v>201404</v>
      </c>
      <c r="M815" s="347" t="str">
        <f>VLOOKUP($K815,[3]주!$A:$F,6,FALSE)</f>
        <v>3월 2주</v>
      </c>
      <c r="N815" s="273" t="str">
        <f>IF(VLOOKUP($Z815,생산업체!$A:$C,2,FALSE)=1,"해외","국내")</f>
        <v>국내</v>
      </c>
      <c r="O815" s="12" t="str">
        <f>IF(VLOOKUP($U815,CODE!$K:$P,CODE!P$1,FALSE)="모자",T815,T815&amp;"-"&amp;VLOOKUP($U815,CODE!$K:$P,CODE!P$1,FALSE))</f>
        <v>ELS-의류</v>
      </c>
      <c r="P815" s="11" t="s">
        <v>41</v>
      </c>
      <c r="R815" s="11">
        <v>82</v>
      </c>
      <c r="T815" s="8" t="s">
        <v>3</v>
      </c>
      <c r="U815" s="8" t="s">
        <v>27</v>
      </c>
      <c r="V815" s="8" t="s">
        <v>43</v>
      </c>
      <c r="W815" s="8" t="s">
        <v>1871</v>
      </c>
      <c r="X815" s="8" t="s">
        <v>905</v>
      </c>
      <c r="Y815" s="9">
        <v>1</v>
      </c>
      <c r="Z815" s="8" t="s">
        <v>1409</v>
      </c>
      <c r="AA815" s="10">
        <v>41715</v>
      </c>
      <c r="AB815" s="10">
        <v>41736</v>
      </c>
      <c r="AC815" s="10">
        <v>41740</v>
      </c>
      <c r="AF815" s="8">
        <v>16090</v>
      </c>
      <c r="AJ815" s="8" t="s">
        <v>2258</v>
      </c>
    </row>
    <row r="816" spans="1:36">
      <c r="A816" s="7">
        <f t="shared" si="240"/>
        <v>1</v>
      </c>
      <c r="B816" s="7" t="str">
        <f t="shared" si="241"/>
        <v>14FW - ELSTINKO - MTM22-WH</v>
      </c>
      <c r="C816" s="7">
        <f t="shared" si="242"/>
        <v>1</v>
      </c>
      <c r="D816" s="7" t="str">
        <f t="shared" si="243"/>
        <v>아트인드림14FW - ELSTINKO - MTM22-WH</v>
      </c>
      <c r="E816" s="12" t="str">
        <f t="shared" si="244"/>
        <v>201403</v>
      </c>
      <c r="F816" s="347" t="str">
        <f>VLOOKUP($AA816,[3]주!$A:$F,6,FALSE)</f>
        <v>3월 2주</v>
      </c>
      <c r="G816" s="7">
        <f t="shared" si="245"/>
        <v>0</v>
      </c>
      <c r="H816" s="7" t="str">
        <f t="shared" si="246"/>
        <v/>
      </c>
      <c r="I816" s="7">
        <f t="shared" si="247"/>
        <v>0</v>
      </c>
      <c r="J816" s="7" t="str">
        <f t="shared" si="248"/>
        <v/>
      </c>
      <c r="K816" s="17">
        <f t="shared" si="249"/>
        <v>41726</v>
      </c>
      <c r="L816" s="12" t="str">
        <f t="shared" si="250"/>
        <v>201403</v>
      </c>
      <c r="M816" s="347" t="str">
        <f>VLOOKUP($K816,[3]주!$A:$F,6,FALSE)</f>
        <v>3월 2주</v>
      </c>
      <c r="N816" s="273" t="str">
        <f>IF(VLOOKUP($Z816,생산업체!$A:$C,2,FALSE)=1,"해외","국내")</f>
        <v>국내</v>
      </c>
      <c r="O816" s="12" t="str">
        <f>IF(VLOOKUP($U816,CODE!$K:$P,CODE!P$1,FALSE)="모자",T816,T816&amp;"-"&amp;VLOOKUP($U816,CODE!$K:$P,CODE!P$1,FALSE))</f>
        <v>ELS-의류</v>
      </c>
      <c r="P816" s="11" t="s">
        <v>41</v>
      </c>
      <c r="R816" s="11">
        <v>83</v>
      </c>
      <c r="T816" s="8" t="s">
        <v>3</v>
      </c>
      <c r="U816" s="8" t="s">
        <v>27</v>
      </c>
      <c r="V816" s="8" t="s">
        <v>43</v>
      </c>
      <c r="W816" s="8" t="s">
        <v>1872</v>
      </c>
      <c r="X816" s="8" t="s">
        <v>900</v>
      </c>
      <c r="Y816" s="9">
        <v>1</v>
      </c>
      <c r="Z816" s="8" t="s">
        <v>1409</v>
      </c>
      <c r="AA816" s="10">
        <v>41715</v>
      </c>
      <c r="AB816" s="10">
        <v>41736</v>
      </c>
      <c r="AC816" s="10">
        <v>41726</v>
      </c>
      <c r="AF816" s="8">
        <v>22413</v>
      </c>
      <c r="AJ816" s="8" t="s">
        <v>2258</v>
      </c>
    </row>
    <row r="817" spans="1:36">
      <c r="A817" s="7">
        <f t="shared" si="240"/>
        <v>1</v>
      </c>
      <c r="B817" s="7" t="str">
        <f t="shared" si="241"/>
        <v>14FW - ELSTINKO - MTM22-OR</v>
      </c>
      <c r="C817" s="7">
        <f t="shared" si="242"/>
        <v>1</v>
      </c>
      <c r="D817" s="7" t="str">
        <f t="shared" si="243"/>
        <v>아트인드림14FW - ELSTINKO - MTM22-OR</v>
      </c>
      <c r="E817" s="12" t="str">
        <f t="shared" si="244"/>
        <v>201403</v>
      </c>
      <c r="F817" s="347" t="str">
        <f>VLOOKUP($AA817,[3]주!$A:$F,6,FALSE)</f>
        <v>3월 2주</v>
      </c>
      <c r="G817" s="7">
        <f t="shared" si="245"/>
        <v>0</v>
      </c>
      <c r="H817" s="7" t="str">
        <f t="shared" si="246"/>
        <v/>
      </c>
      <c r="I817" s="7">
        <f t="shared" si="247"/>
        <v>0</v>
      </c>
      <c r="J817" s="7" t="str">
        <f t="shared" si="248"/>
        <v/>
      </c>
      <c r="K817" s="17">
        <f t="shared" si="249"/>
        <v>41740</v>
      </c>
      <c r="L817" s="12" t="str">
        <f t="shared" si="250"/>
        <v>201404</v>
      </c>
      <c r="M817" s="347" t="str">
        <f>VLOOKUP($K817,[3]주!$A:$F,6,FALSE)</f>
        <v>3월 2주</v>
      </c>
      <c r="N817" s="273" t="str">
        <f>IF(VLOOKUP($Z817,생산업체!$A:$C,2,FALSE)=1,"해외","국내")</f>
        <v>국내</v>
      </c>
      <c r="O817" s="12" t="str">
        <f>IF(VLOOKUP($U817,CODE!$K:$P,CODE!P$1,FALSE)="모자",T817,T817&amp;"-"&amp;VLOOKUP($U817,CODE!$K:$P,CODE!P$1,FALSE))</f>
        <v>ELS-의류</v>
      </c>
      <c r="P817" s="11" t="s">
        <v>41</v>
      </c>
      <c r="R817" s="11">
        <v>84</v>
      </c>
      <c r="T817" s="8" t="s">
        <v>3</v>
      </c>
      <c r="U817" s="8" t="s">
        <v>27</v>
      </c>
      <c r="V817" s="8" t="s">
        <v>43</v>
      </c>
      <c r="W817" s="8" t="s">
        <v>1873</v>
      </c>
      <c r="X817" s="8" t="s">
        <v>900</v>
      </c>
      <c r="Y817" s="9">
        <v>1</v>
      </c>
      <c r="Z817" s="8" t="s">
        <v>1409</v>
      </c>
      <c r="AA817" s="10">
        <v>41715</v>
      </c>
      <c r="AB817" s="10">
        <v>41736</v>
      </c>
      <c r="AC817" s="10">
        <v>41740</v>
      </c>
      <c r="AF817" s="8">
        <v>22413</v>
      </c>
      <c r="AJ817" s="8" t="s">
        <v>2258</v>
      </c>
    </row>
    <row r="818" spans="1:36">
      <c r="A818" s="7">
        <f t="shared" si="240"/>
        <v>1</v>
      </c>
      <c r="B818" s="7" t="str">
        <f t="shared" si="241"/>
        <v>14FW - ELSTINKO - MTM22-BL</v>
      </c>
      <c r="C818" s="7">
        <f t="shared" si="242"/>
        <v>1</v>
      </c>
      <c r="D818" s="7" t="str">
        <f t="shared" si="243"/>
        <v>아트인드림14FW - ELSTINKO - MTM22-BL</v>
      </c>
      <c r="E818" s="12" t="str">
        <f t="shared" si="244"/>
        <v>201403</v>
      </c>
      <c r="F818" s="347" t="str">
        <f>VLOOKUP($AA818,[3]주!$A:$F,6,FALSE)</f>
        <v>3월 2주</v>
      </c>
      <c r="G818" s="7">
        <f t="shared" si="245"/>
        <v>0</v>
      </c>
      <c r="H818" s="7" t="str">
        <f t="shared" si="246"/>
        <v/>
      </c>
      <c r="I818" s="7">
        <f t="shared" si="247"/>
        <v>0</v>
      </c>
      <c r="J818" s="7" t="str">
        <f t="shared" si="248"/>
        <v/>
      </c>
      <c r="K818" s="17">
        <f t="shared" si="249"/>
        <v>41740</v>
      </c>
      <c r="L818" s="12" t="str">
        <f t="shared" si="250"/>
        <v>201404</v>
      </c>
      <c r="M818" s="347" t="str">
        <f>VLOOKUP($K818,[3]주!$A:$F,6,FALSE)</f>
        <v>3월 2주</v>
      </c>
      <c r="N818" s="273" t="str">
        <f>IF(VLOOKUP($Z818,생산업체!$A:$C,2,FALSE)=1,"해외","국내")</f>
        <v>국내</v>
      </c>
      <c r="O818" s="12" t="str">
        <f>IF(VLOOKUP($U818,CODE!$K:$P,CODE!P$1,FALSE)="모자",T818,T818&amp;"-"&amp;VLOOKUP($U818,CODE!$K:$P,CODE!P$1,FALSE))</f>
        <v>ELS-의류</v>
      </c>
      <c r="P818" s="11" t="s">
        <v>41</v>
      </c>
      <c r="R818" s="11">
        <v>85</v>
      </c>
      <c r="T818" s="8" t="s">
        <v>3</v>
      </c>
      <c r="U818" s="8" t="s">
        <v>27</v>
      </c>
      <c r="V818" s="8" t="s">
        <v>43</v>
      </c>
      <c r="W818" s="8" t="s">
        <v>1874</v>
      </c>
      <c r="X818" s="8" t="s">
        <v>900</v>
      </c>
      <c r="Y818" s="9">
        <v>1</v>
      </c>
      <c r="Z818" s="8" t="s">
        <v>1409</v>
      </c>
      <c r="AA818" s="10">
        <v>41715</v>
      </c>
      <c r="AB818" s="10">
        <v>41736</v>
      </c>
      <c r="AC818" s="10">
        <v>41740</v>
      </c>
      <c r="AF818" s="8">
        <v>22413</v>
      </c>
      <c r="AJ818" s="8" t="s">
        <v>2258</v>
      </c>
    </row>
    <row r="819" spans="1:36">
      <c r="A819" s="7">
        <f t="shared" si="240"/>
        <v>1</v>
      </c>
      <c r="B819" s="7" t="str">
        <f t="shared" si="241"/>
        <v>14FW - ELSTINKO -MTM23- BK - KIDS</v>
      </c>
      <c r="C819" s="7">
        <f t="shared" si="242"/>
        <v>1</v>
      </c>
      <c r="D819" s="7" t="str">
        <f t="shared" si="243"/>
        <v>아트인드림14FW - ELSTINKO -MTM23- BK - KIDS</v>
      </c>
      <c r="E819" s="12" t="str">
        <f t="shared" si="244"/>
        <v>201403</v>
      </c>
      <c r="F819" s="347" t="str">
        <f>VLOOKUP($AA819,[3]주!$A:$F,6,FALSE)</f>
        <v>3월 2주</v>
      </c>
      <c r="G819" s="7">
        <f t="shared" si="245"/>
        <v>1</v>
      </c>
      <c r="H819" s="7" t="str">
        <f t="shared" si="246"/>
        <v>14FW - ELSTINKO -MTM23- BK - KIDS</v>
      </c>
      <c r="I819" s="7">
        <f t="shared" si="247"/>
        <v>1</v>
      </c>
      <c r="J819" s="7" t="str">
        <f t="shared" si="248"/>
        <v>아트인드림14FW - ELSTINKO -MTM23- BK - KIDS</v>
      </c>
      <c r="K819" s="17">
        <f t="shared" si="249"/>
        <v>41723</v>
      </c>
      <c r="L819" s="12" t="str">
        <f t="shared" si="250"/>
        <v>201403</v>
      </c>
      <c r="M819" s="347" t="str">
        <f>VLOOKUP($K819,[3]주!$A:$F,6,FALSE)</f>
        <v>3월 2주</v>
      </c>
      <c r="N819" s="273" t="str">
        <f>IF(VLOOKUP($Z819,생산업체!$A:$C,2,FALSE)=1,"해외","국내")</f>
        <v>국내</v>
      </c>
      <c r="O819" s="12" t="str">
        <f>IF(VLOOKUP($U819,CODE!$K:$P,CODE!P$1,FALSE)="모자",T819,T819&amp;"-"&amp;VLOOKUP($U819,CODE!$K:$P,CODE!P$1,FALSE))</f>
        <v>ELS-의류</v>
      </c>
      <c r="P819" s="11" t="s">
        <v>41</v>
      </c>
      <c r="R819" s="11">
        <v>86</v>
      </c>
      <c r="T819" s="8" t="s">
        <v>3</v>
      </c>
      <c r="U819" s="8" t="s">
        <v>27</v>
      </c>
      <c r="V819" s="8" t="s">
        <v>43</v>
      </c>
      <c r="W819" s="8" t="s">
        <v>1875</v>
      </c>
      <c r="X819" s="8" t="s">
        <v>905</v>
      </c>
      <c r="Y819" s="9">
        <v>1</v>
      </c>
      <c r="Z819" s="8" t="s">
        <v>1409</v>
      </c>
      <c r="AA819" s="10">
        <v>41715</v>
      </c>
      <c r="AB819" s="10">
        <v>41736</v>
      </c>
      <c r="AC819" s="10">
        <v>41740</v>
      </c>
      <c r="AD819" s="10">
        <v>41723</v>
      </c>
      <c r="AF819" s="8">
        <v>15572</v>
      </c>
      <c r="AJ819" s="8" t="s">
        <v>2258</v>
      </c>
    </row>
    <row r="820" spans="1:36">
      <c r="A820" s="7">
        <f t="shared" si="240"/>
        <v>1</v>
      </c>
      <c r="B820" s="7" t="str">
        <f t="shared" si="241"/>
        <v>14FW - ELSTINKO -MTM23- BK</v>
      </c>
      <c r="C820" s="7">
        <f t="shared" si="242"/>
        <v>1</v>
      </c>
      <c r="D820" s="7" t="str">
        <f t="shared" si="243"/>
        <v>아트인드림14FW - ELSTINKO -MTM23- BK</v>
      </c>
      <c r="E820" s="12" t="str">
        <f t="shared" si="244"/>
        <v>201403</v>
      </c>
      <c r="F820" s="347" t="str">
        <f>VLOOKUP($AA820,[3]주!$A:$F,6,FALSE)</f>
        <v>3월 2주</v>
      </c>
      <c r="G820" s="7">
        <f t="shared" si="245"/>
        <v>1</v>
      </c>
      <c r="H820" s="7" t="str">
        <f t="shared" si="246"/>
        <v>14FW - ELSTINKO -MTM23- BK</v>
      </c>
      <c r="I820" s="7">
        <f t="shared" si="247"/>
        <v>1</v>
      </c>
      <c r="J820" s="7" t="str">
        <f t="shared" si="248"/>
        <v>아트인드림14FW - ELSTINKO -MTM23- BK</v>
      </c>
      <c r="K820" s="17">
        <f t="shared" si="249"/>
        <v>41723</v>
      </c>
      <c r="L820" s="12" t="str">
        <f t="shared" si="250"/>
        <v>201403</v>
      </c>
      <c r="M820" s="347" t="str">
        <f>VLOOKUP($K820,[3]주!$A:$F,6,FALSE)</f>
        <v>3월 2주</v>
      </c>
      <c r="N820" s="273" t="str">
        <f>IF(VLOOKUP($Z820,생산업체!$A:$C,2,FALSE)=1,"해외","국내")</f>
        <v>국내</v>
      </c>
      <c r="O820" s="12" t="str">
        <f>IF(VLOOKUP($U820,CODE!$K:$P,CODE!P$1,FALSE)="모자",T820,T820&amp;"-"&amp;VLOOKUP($U820,CODE!$K:$P,CODE!P$1,FALSE))</f>
        <v>ELS-의류</v>
      </c>
      <c r="P820" s="11" t="s">
        <v>41</v>
      </c>
      <c r="R820" s="11">
        <v>87</v>
      </c>
      <c r="T820" s="8" t="s">
        <v>3</v>
      </c>
      <c r="U820" s="8" t="s">
        <v>27</v>
      </c>
      <c r="V820" s="8" t="s">
        <v>43</v>
      </c>
      <c r="W820" s="8" t="s">
        <v>1876</v>
      </c>
      <c r="X820" s="8" t="s">
        <v>900</v>
      </c>
      <c r="Y820" s="9">
        <v>1</v>
      </c>
      <c r="Z820" s="8" t="s">
        <v>1409</v>
      </c>
      <c r="AA820" s="10">
        <v>41715</v>
      </c>
      <c r="AB820" s="10">
        <v>41736</v>
      </c>
      <c r="AC820" s="10">
        <v>41740</v>
      </c>
      <c r="AD820" s="10">
        <v>41723</v>
      </c>
      <c r="AF820" s="8">
        <v>22103</v>
      </c>
      <c r="AJ820" s="8" t="s">
        <v>2258</v>
      </c>
    </row>
    <row r="821" spans="1:36">
      <c r="A821" s="7">
        <f t="shared" si="240"/>
        <v>1</v>
      </c>
      <c r="B821" s="7" t="str">
        <f t="shared" si="241"/>
        <v>14FW - ELSTINKO - MTM25- BK -KIDS</v>
      </c>
      <c r="C821" s="7">
        <f t="shared" si="242"/>
        <v>1</v>
      </c>
      <c r="D821" s="7" t="str">
        <f t="shared" si="243"/>
        <v>아트인드림14FW - ELSTINKO - MTM25- BK -KIDS</v>
      </c>
      <c r="E821" s="12" t="str">
        <f t="shared" si="244"/>
        <v>201403</v>
      </c>
      <c r="F821" s="347" t="str">
        <f>VLOOKUP($AA821,[3]주!$A:$F,6,FALSE)</f>
        <v>3월 2주</v>
      </c>
      <c r="G821" s="7">
        <f t="shared" si="245"/>
        <v>0</v>
      </c>
      <c r="H821" s="7" t="str">
        <f t="shared" si="246"/>
        <v/>
      </c>
      <c r="I821" s="7">
        <f t="shared" si="247"/>
        <v>0</v>
      </c>
      <c r="J821" s="7" t="str">
        <f t="shared" si="248"/>
        <v/>
      </c>
      <c r="K821" s="17">
        <f t="shared" si="249"/>
        <v>41740</v>
      </c>
      <c r="L821" s="12" t="str">
        <f t="shared" si="250"/>
        <v>201404</v>
      </c>
      <c r="M821" s="347" t="str">
        <f>VLOOKUP($K821,[3]주!$A:$F,6,FALSE)</f>
        <v>3월 2주</v>
      </c>
      <c r="N821" s="273" t="str">
        <f>IF(VLOOKUP($Z821,생산업체!$A:$C,2,FALSE)=1,"해외","국내")</f>
        <v>국내</v>
      </c>
      <c r="O821" s="12" t="str">
        <f>IF(VLOOKUP($U821,CODE!$K:$P,CODE!P$1,FALSE)="모자",T821,T821&amp;"-"&amp;VLOOKUP($U821,CODE!$K:$P,CODE!P$1,FALSE))</f>
        <v>ELS-의류</v>
      </c>
      <c r="P821" s="11" t="s">
        <v>41</v>
      </c>
      <c r="R821" s="11">
        <v>88</v>
      </c>
      <c r="T821" s="8" t="s">
        <v>3</v>
      </c>
      <c r="U821" s="8" t="s">
        <v>27</v>
      </c>
      <c r="V821" s="8" t="s">
        <v>43</v>
      </c>
      <c r="W821" s="8" t="s">
        <v>1877</v>
      </c>
      <c r="X821" s="8" t="s">
        <v>905</v>
      </c>
      <c r="Y821" s="9">
        <v>1</v>
      </c>
      <c r="Z821" s="8" t="s">
        <v>1409</v>
      </c>
      <c r="AA821" s="10">
        <v>41715</v>
      </c>
      <c r="AB821" s="10">
        <v>41736</v>
      </c>
      <c r="AC821" s="10">
        <v>41740</v>
      </c>
      <c r="AF821" s="8">
        <v>16309</v>
      </c>
      <c r="AJ821" s="8" t="s">
        <v>2258</v>
      </c>
    </row>
    <row r="822" spans="1:36">
      <c r="A822" s="7">
        <f t="shared" si="240"/>
        <v>1</v>
      </c>
      <c r="B822" s="7" t="str">
        <f t="shared" si="241"/>
        <v>14FW - ELSTINKO -OP01- BK -KIDS</v>
      </c>
      <c r="C822" s="7">
        <f t="shared" si="242"/>
        <v>1</v>
      </c>
      <c r="D822" s="7" t="str">
        <f t="shared" si="243"/>
        <v>아트인드림14FW - ELSTINKO -OP01- BK -KIDS</v>
      </c>
      <c r="E822" s="12" t="str">
        <f t="shared" si="244"/>
        <v>201403</v>
      </c>
      <c r="F822" s="347" t="str">
        <f>VLOOKUP($AA822,[3]주!$A:$F,6,FALSE)</f>
        <v>3월 2주</v>
      </c>
      <c r="G822" s="7">
        <f t="shared" si="245"/>
        <v>1</v>
      </c>
      <c r="H822" s="7" t="str">
        <f t="shared" si="246"/>
        <v>14FW - ELSTINKO -OP01- BK -KIDS</v>
      </c>
      <c r="I822" s="7">
        <f t="shared" si="247"/>
        <v>1</v>
      </c>
      <c r="J822" s="7" t="str">
        <f t="shared" si="248"/>
        <v>아트인드림14FW - ELSTINKO -OP01- BK -KIDS</v>
      </c>
      <c r="K822" s="17">
        <f t="shared" si="249"/>
        <v>41722</v>
      </c>
      <c r="L822" s="12" t="str">
        <f t="shared" si="250"/>
        <v>201403</v>
      </c>
      <c r="M822" s="347" t="str">
        <f>VLOOKUP($K822,[3]주!$A:$F,6,FALSE)</f>
        <v>3월 2주</v>
      </c>
      <c r="N822" s="273" t="str">
        <f>IF(VLOOKUP($Z822,생산업체!$A:$C,2,FALSE)=1,"해외","국내")</f>
        <v>국내</v>
      </c>
      <c r="O822" s="12" t="str">
        <f>IF(VLOOKUP($U822,CODE!$K:$P,CODE!P$1,FALSE)="모자",T822,T822&amp;"-"&amp;VLOOKUP($U822,CODE!$K:$P,CODE!P$1,FALSE))</f>
        <v>ELS-의류</v>
      </c>
      <c r="P822" s="11" t="s">
        <v>41</v>
      </c>
      <c r="R822" s="11">
        <v>89</v>
      </c>
      <c r="T822" s="8" t="s">
        <v>3</v>
      </c>
      <c r="U822" s="8" t="s">
        <v>1878</v>
      </c>
      <c r="V822" s="8" t="s">
        <v>43</v>
      </c>
      <c r="W822" s="8" t="s">
        <v>1879</v>
      </c>
      <c r="X822" s="8" t="s">
        <v>905</v>
      </c>
      <c r="Y822" s="9">
        <v>1</v>
      </c>
      <c r="Z822" s="8" t="s">
        <v>1409</v>
      </c>
      <c r="AA822" s="10">
        <v>41715</v>
      </c>
      <c r="AB822" s="10">
        <v>41736</v>
      </c>
      <c r="AC822" s="10">
        <v>41740</v>
      </c>
      <c r="AD822" s="10">
        <v>41722</v>
      </c>
      <c r="AF822" s="8">
        <v>15584</v>
      </c>
      <c r="AJ822" s="8" t="s">
        <v>2258</v>
      </c>
    </row>
    <row r="823" spans="1:36">
      <c r="A823" s="7">
        <f t="shared" si="240"/>
        <v>1</v>
      </c>
      <c r="B823" s="7" t="str">
        <f t="shared" si="241"/>
        <v>14FW PLAYBOY_HOOD_02_BK</v>
      </c>
      <c r="C823" s="7">
        <f t="shared" si="242"/>
        <v>1</v>
      </c>
      <c r="D823" s="7" t="str">
        <f t="shared" si="243"/>
        <v>아트인드림14FW PLAYBOY_HOOD_02_BK</v>
      </c>
      <c r="E823" s="12" t="str">
        <f t="shared" si="244"/>
        <v>201403</v>
      </c>
      <c r="F823" s="347" t="str">
        <f>VLOOKUP($AA823,[3]주!$A:$F,6,FALSE)</f>
        <v>3월 2주</v>
      </c>
      <c r="G823" s="7">
        <f t="shared" si="245"/>
        <v>1</v>
      </c>
      <c r="H823" s="7" t="str">
        <f t="shared" si="246"/>
        <v>14FW PLAYBOY_HOOD_02_BK</v>
      </c>
      <c r="I823" s="7">
        <f t="shared" si="247"/>
        <v>1</v>
      </c>
      <c r="J823" s="7" t="str">
        <f t="shared" si="248"/>
        <v>아트인드림14FW PLAYBOY_HOOD_02_BK</v>
      </c>
      <c r="K823" s="17">
        <f t="shared" si="249"/>
        <v>41723</v>
      </c>
      <c r="L823" s="12" t="str">
        <f t="shared" si="250"/>
        <v>201403</v>
      </c>
      <c r="M823" s="347" t="str">
        <f>VLOOKUP($K823,[3]주!$A:$F,6,FALSE)</f>
        <v>3월 2주</v>
      </c>
      <c r="N823" s="273" t="str">
        <f>IF(VLOOKUP($Z823,생산업체!$A:$C,2,FALSE)=1,"해외","국내")</f>
        <v>국내</v>
      </c>
      <c r="O823" s="12" t="str">
        <f>IF(VLOOKUP($U823,CODE!$K:$P,CODE!P$1,FALSE)="모자",T823,T823&amp;"-"&amp;VLOOKUP($U823,CODE!$K:$P,CODE!P$1,FALSE))</f>
        <v>PLA-의류</v>
      </c>
      <c r="P823" s="11" t="s">
        <v>786</v>
      </c>
      <c r="R823" s="11">
        <v>90</v>
      </c>
      <c r="T823" s="8" t="s">
        <v>61</v>
      </c>
      <c r="U823" s="8" t="s">
        <v>24</v>
      </c>
      <c r="V823" s="8" t="s">
        <v>43</v>
      </c>
      <c r="W823" s="8" t="s">
        <v>1880</v>
      </c>
      <c r="X823" s="8" t="s">
        <v>900</v>
      </c>
      <c r="Y823" s="9">
        <v>1</v>
      </c>
      <c r="Z823" s="8" t="s">
        <v>1409</v>
      </c>
      <c r="AA823" s="10">
        <v>41716</v>
      </c>
      <c r="AB823" s="10">
        <v>41737</v>
      </c>
      <c r="AC823" s="10">
        <v>41740</v>
      </c>
      <c r="AD823" s="10">
        <v>41723</v>
      </c>
      <c r="AF823" s="8">
        <v>26090</v>
      </c>
      <c r="AG823" s="8" t="s">
        <v>1402</v>
      </c>
    </row>
    <row r="824" spans="1:36">
      <c r="A824" s="7">
        <f t="shared" si="240"/>
        <v>1</v>
      </c>
      <c r="B824" s="7" t="str">
        <f t="shared" si="241"/>
        <v>14FW_PLAYBOY_HOOD _03_BK</v>
      </c>
      <c r="C824" s="7">
        <f t="shared" si="242"/>
        <v>1</v>
      </c>
      <c r="D824" s="7" t="str">
        <f t="shared" si="243"/>
        <v>EVERGREEN14FW_PLAYBOY_HOOD _03_BK</v>
      </c>
      <c r="E824" s="12" t="str">
        <f t="shared" si="244"/>
        <v>201403</v>
      </c>
      <c r="F824" s="347" t="str">
        <f>VLOOKUP($AA824,[3]주!$A:$F,6,FALSE)</f>
        <v>3월 2주</v>
      </c>
      <c r="G824" s="7">
        <f t="shared" si="245"/>
        <v>1</v>
      </c>
      <c r="H824" s="7" t="str">
        <f t="shared" si="246"/>
        <v>14FW_PLAYBOY_HOOD _03_BK</v>
      </c>
      <c r="I824" s="7">
        <f t="shared" si="247"/>
        <v>1</v>
      </c>
      <c r="J824" s="7" t="str">
        <f t="shared" si="248"/>
        <v>EVERGREEN14FW_PLAYBOY_HOOD _03_BK</v>
      </c>
      <c r="K824" s="17">
        <f t="shared" si="249"/>
        <v>41733</v>
      </c>
      <c r="L824" s="12" t="str">
        <f t="shared" si="250"/>
        <v>201404</v>
      </c>
      <c r="M824" s="347" t="str">
        <f>VLOOKUP($K824,[3]주!$A:$F,6,FALSE)</f>
        <v>3월 2주</v>
      </c>
      <c r="N824" s="273" t="str">
        <f>IF(VLOOKUP($Z824,생산업체!$A:$C,2,FALSE)=1,"해외","국내")</f>
        <v>해외</v>
      </c>
      <c r="O824" s="12" t="str">
        <f>IF(VLOOKUP($U824,CODE!$K:$P,CODE!P$1,FALSE)="모자",T824,T824&amp;"-"&amp;VLOOKUP($U824,CODE!$K:$P,CODE!P$1,FALSE))</f>
        <v>PLA-의류</v>
      </c>
      <c r="P824" s="11" t="s">
        <v>786</v>
      </c>
      <c r="R824" s="11">
        <v>91</v>
      </c>
      <c r="T824" s="8" t="s">
        <v>61</v>
      </c>
      <c r="U824" s="8" t="s">
        <v>24</v>
      </c>
      <c r="V824" s="8" t="s">
        <v>43</v>
      </c>
      <c r="W824" s="8" t="s">
        <v>1881</v>
      </c>
      <c r="X824" s="8" t="s">
        <v>900</v>
      </c>
      <c r="Y824" s="9">
        <v>1</v>
      </c>
      <c r="Z824" s="8" t="s">
        <v>1497</v>
      </c>
      <c r="AA824" s="10">
        <v>41717</v>
      </c>
      <c r="AB824" s="10">
        <v>41745</v>
      </c>
      <c r="AC824" s="10">
        <v>41740</v>
      </c>
      <c r="AD824" s="10">
        <v>41733</v>
      </c>
    </row>
    <row r="825" spans="1:36">
      <c r="A825" s="7">
        <f t="shared" si="240"/>
        <v>1</v>
      </c>
      <c r="B825" s="7" t="str">
        <f t="shared" si="241"/>
        <v>14FW PLAYBOY_LEGGINGS_01_BK</v>
      </c>
      <c r="C825" s="7">
        <f t="shared" si="242"/>
        <v>1</v>
      </c>
      <c r="D825" s="7" t="str">
        <f t="shared" si="243"/>
        <v>piafield14FW PLAYBOY_LEGGINGS_01_BK</v>
      </c>
      <c r="E825" s="12" t="str">
        <f t="shared" si="244"/>
        <v>201403</v>
      </c>
      <c r="F825" s="347" t="str">
        <f>VLOOKUP($AA825,[3]주!$A:$F,6,FALSE)</f>
        <v>3월 2주</v>
      </c>
      <c r="G825" s="7">
        <f t="shared" si="245"/>
        <v>1</v>
      </c>
      <c r="H825" s="7" t="str">
        <f t="shared" si="246"/>
        <v>14FW PLAYBOY_LEGGINGS_01_BK</v>
      </c>
      <c r="I825" s="7">
        <f t="shared" si="247"/>
        <v>1</v>
      </c>
      <c r="J825" s="7" t="str">
        <f t="shared" si="248"/>
        <v>piafield14FW PLAYBOY_LEGGINGS_01_BK</v>
      </c>
      <c r="K825" s="17">
        <f t="shared" si="249"/>
        <v>41743</v>
      </c>
      <c r="L825" s="12" t="str">
        <f t="shared" si="250"/>
        <v>201404</v>
      </c>
      <c r="M825" s="347" t="str">
        <f>VLOOKUP($K825,[3]주!$A:$F,6,FALSE)</f>
        <v>3월 2주</v>
      </c>
      <c r="N825" s="273" t="str">
        <f>IF(VLOOKUP($Z825,생산업체!$A:$C,2,FALSE)=1,"해외","국내")</f>
        <v>해외</v>
      </c>
      <c r="O825" s="12" t="str">
        <f>IF(VLOOKUP($U825,CODE!$K:$P,CODE!P$1,FALSE)="모자",T825,T825&amp;"-"&amp;VLOOKUP($U825,CODE!$K:$P,CODE!P$1,FALSE))</f>
        <v>PLA-의류</v>
      </c>
      <c r="P825" s="11" t="s">
        <v>786</v>
      </c>
      <c r="R825" s="11">
        <v>92</v>
      </c>
      <c r="T825" s="8" t="s">
        <v>61</v>
      </c>
      <c r="U825" s="8" t="s">
        <v>1789</v>
      </c>
      <c r="V825" s="8" t="s">
        <v>43</v>
      </c>
      <c r="W825" s="8" t="s">
        <v>1882</v>
      </c>
      <c r="X825" s="8" t="s">
        <v>900</v>
      </c>
      <c r="Y825" s="9">
        <v>1</v>
      </c>
      <c r="Z825" s="8" t="s">
        <v>897</v>
      </c>
      <c r="AA825" s="10">
        <v>41717</v>
      </c>
      <c r="AB825" s="10">
        <v>41745</v>
      </c>
      <c r="AC825" s="10">
        <v>41740</v>
      </c>
      <c r="AD825" s="10">
        <v>41743</v>
      </c>
      <c r="AF825" s="8">
        <v>7500</v>
      </c>
    </row>
    <row r="826" spans="1:36">
      <c r="A826" s="7">
        <f t="shared" si="240"/>
        <v>1</v>
      </c>
      <c r="B826" s="7" t="str">
        <f t="shared" si="241"/>
        <v>14FW PLAYBOY_LEGGINGS_02_BK</v>
      </c>
      <c r="C826" s="7">
        <f t="shared" si="242"/>
        <v>1</v>
      </c>
      <c r="D826" s="7" t="str">
        <f t="shared" si="243"/>
        <v>piafield14FW PLAYBOY_LEGGINGS_02_BK</v>
      </c>
      <c r="E826" s="12" t="str">
        <f t="shared" si="244"/>
        <v>201403</v>
      </c>
      <c r="F826" s="347" t="str">
        <f>VLOOKUP($AA826,[3]주!$A:$F,6,FALSE)</f>
        <v>3월 2주</v>
      </c>
      <c r="G826" s="7">
        <f t="shared" si="245"/>
        <v>0</v>
      </c>
      <c r="H826" s="7" t="str">
        <f t="shared" si="246"/>
        <v/>
      </c>
      <c r="I826" s="7">
        <f t="shared" si="247"/>
        <v>0</v>
      </c>
      <c r="J826" s="7" t="str">
        <f t="shared" si="248"/>
        <v/>
      </c>
      <c r="K826" s="17">
        <f t="shared" si="249"/>
        <v>41740</v>
      </c>
      <c r="L826" s="12" t="str">
        <f t="shared" si="250"/>
        <v>201404</v>
      </c>
      <c r="M826" s="347" t="str">
        <f>VLOOKUP($K826,[3]주!$A:$F,6,FALSE)</f>
        <v>3월 2주</v>
      </c>
      <c r="N826" s="273" t="str">
        <f>IF(VLOOKUP($Z826,생산업체!$A:$C,2,FALSE)=1,"해외","국내")</f>
        <v>해외</v>
      </c>
      <c r="O826" s="12" t="str">
        <f>IF(VLOOKUP($U826,CODE!$K:$P,CODE!P$1,FALSE)="모자",T826,T826&amp;"-"&amp;VLOOKUP($U826,CODE!$K:$P,CODE!P$1,FALSE))</f>
        <v>PLA-의류</v>
      </c>
      <c r="P826" s="11" t="s">
        <v>786</v>
      </c>
      <c r="R826" s="11">
        <v>93</v>
      </c>
      <c r="T826" s="8" t="s">
        <v>61</v>
      </c>
      <c r="U826" s="8" t="s">
        <v>1789</v>
      </c>
      <c r="V826" s="8" t="s">
        <v>43</v>
      </c>
      <c r="W826" s="8" t="s">
        <v>1883</v>
      </c>
      <c r="X826" s="8" t="s">
        <v>900</v>
      </c>
      <c r="Y826" s="9">
        <v>1</v>
      </c>
      <c r="Z826" s="8" t="s">
        <v>897</v>
      </c>
      <c r="AA826" s="10">
        <v>41717</v>
      </c>
      <c r="AB826" s="10">
        <v>41745</v>
      </c>
      <c r="AC826" s="10">
        <v>41740</v>
      </c>
      <c r="AF826" s="8">
        <v>7500</v>
      </c>
      <c r="AJ826" s="8" t="s">
        <v>2259</v>
      </c>
    </row>
    <row r="827" spans="1:36">
      <c r="A827" s="7">
        <f t="shared" si="240"/>
        <v>1</v>
      </c>
      <c r="B827" s="7" t="str">
        <f t="shared" si="241"/>
        <v>14FW PLAYBOY_LEGGINGS_03_BK</v>
      </c>
      <c r="C827" s="7">
        <f t="shared" si="242"/>
        <v>1</v>
      </c>
      <c r="D827" s="7" t="str">
        <f t="shared" si="243"/>
        <v>piafield14FW PLAYBOY_LEGGINGS_03_BK</v>
      </c>
      <c r="E827" s="12" t="str">
        <f t="shared" si="244"/>
        <v>201403</v>
      </c>
      <c r="F827" s="347" t="str">
        <f>VLOOKUP($AA827,[3]주!$A:$F,6,FALSE)</f>
        <v>3월 2주</v>
      </c>
      <c r="G827" s="7">
        <f t="shared" si="245"/>
        <v>1</v>
      </c>
      <c r="H827" s="7" t="str">
        <f t="shared" si="246"/>
        <v>14FW PLAYBOY_LEGGINGS_03_BK</v>
      </c>
      <c r="I827" s="7">
        <f t="shared" si="247"/>
        <v>1</v>
      </c>
      <c r="J827" s="7" t="str">
        <f t="shared" si="248"/>
        <v>piafield14FW PLAYBOY_LEGGINGS_03_BK</v>
      </c>
      <c r="K827" s="17">
        <f t="shared" si="249"/>
        <v>41743</v>
      </c>
      <c r="L827" s="12" t="str">
        <f t="shared" si="250"/>
        <v>201404</v>
      </c>
      <c r="M827" s="347" t="str">
        <f>VLOOKUP($K827,[3]주!$A:$F,6,FALSE)</f>
        <v>3월 2주</v>
      </c>
      <c r="N827" s="273" t="str">
        <f>IF(VLOOKUP($Z827,생산업체!$A:$C,2,FALSE)=1,"해외","국내")</f>
        <v>해외</v>
      </c>
      <c r="O827" s="12" t="str">
        <f>IF(VLOOKUP($U827,CODE!$K:$P,CODE!P$1,FALSE)="모자",T827,T827&amp;"-"&amp;VLOOKUP($U827,CODE!$K:$P,CODE!P$1,FALSE))</f>
        <v>PLA-의류</v>
      </c>
      <c r="P827" s="11" t="s">
        <v>786</v>
      </c>
      <c r="R827" s="11">
        <v>94</v>
      </c>
      <c r="T827" s="8" t="s">
        <v>61</v>
      </c>
      <c r="U827" s="8" t="s">
        <v>1789</v>
      </c>
      <c r="V827" s="8" t="s">
        <v>43</v>
      </c>
      <c r="W827" s="8" t="s">
        <v>1884</v>
      </c>
      <c r="X827" s="8" t="s">
        <v>900</v>
      </c>
      <c r="Y827" s="9">
        <v>1</v>
      </c>
      <c r="Z827" s="8" t="s">
        <v>897</v>
      </c>
      <c r="AA827" s="10">
        <v>41717</v>
      </c>
      <c r="AB827" s="10">
        <v>41745</v>
      </c>
      <c r="AC827" s="10">
        <v>41740</v>
      </c>
      <c r="AD827" s="10">
        <v>41743</v>
      </c>
      <c r="AF827" s="8">
        <v>7500</v>
      </c>
    </row>
    <row r="828" spans="1:36">
      <c r="A828" s="7">
        <f t="shared" si="240"/>
        <v>1</v>
      </c>
      <c r="B828" s="7" t="str">
        <f t="shared" si="241"/>
        <v>14FW PLAYBOY_LEGGINGS_04_BK</v>
      </c>
      <c r="C828" s="7">
        <f t="shared" si="242"/>
        <v>1</v>
      </c>
      <c r="D828" s="7" t="str">
        <f t="shared" si="243"/>
        <v>piafield14FW PLAYBOY_LEGGINGS_04_BK</v>
      </c>
      <c r="E828" s="12" t="str">
        <f t="shared" si="244"/>
        <v>201403</v>
      </c>
      <c r="F828" s="347" t="str">
        <f>VLOOKUP($AA828,[3]주!$A:$F,6,FALSE)</f>
        <v>3월 2주</v>
      </c>
      <c r="G828" s="7">
        <f t="shared" si="245"/>
        <v>1</v>
      </c>
      <c r="H828" s="7" t="str">
        <f t="shared" si="246"/>
        <v>14FW PLAYBOY_LEGGINGS_04_BK</v>
      </c>
      <c r="I828" s="7">
        <f t="shared" si="247"/>
        <v>1</v>
      </c>
      <c r="J828" s="7" t="str">
        <f t="shared" si="248"/>
        <v>piafield14FW PLAYBOY_LEGGINGS_04_BK</v>
      </c>
      <c r="K828" s="17">
        <f t="shared" si="249"/>
        <v>41743</v>
      </c>
      <c r="L828" s="12" t="str">
        <f t="shared" si="250"/>
        <v>201404</v>
      </c>
      <c r="M828" s="347" t="str">
        <f>VLOOKUP($K828,[3]주!$A:$F,6,FALSE)</f>
        <v>3월 2주</v>
      </c>
      <c r="N828" s="273" t="str">
        <f>IF(VLOOKUP($Z828,생산업체!$A:$C,2,FALSE)=1,"해외","국내")</f>
        <v>해외</v>
      </c>
      <c r="O828" s="12" t="str">
        <f>IF(VLOOKUP($U828,CODE!$K:$P,CODE!P$1,FALSE)="모자",T828,T828&amp;"-"&amp;VLOOKUP($U828,CODE!$K:$P,CODE!P$1,FALSE))</f>
        <v>PLA-의류</v>
      </c>
      <c r="P828" s="11" t="s">
        <v>786</v>
      </c>
      <c r="R828" s="11">
        <v>95</v>
      </c>
      <c r="T828" s="8" t="s">
        <v>61</v>
      </c>
      <c r="U828" s="8" t="s">
        <v>1789</v>
      </c>
      <c r="V828" s="8" t="s">
        <v>43</v>
      </c>
      <c r="W828" s="8" t="s">
        <v>1885</v>
      </c>
      <c r="X828" s="8" t="s">
        <v>900</v>
      </c>
      <c r="Y828" s="9">
        <v>1</v>
      </c>
      <c r="Z828" s="8" t="s">
        <v>897</v>
      </c>
      <c r="AA828" s="10">
        <v>41717</v>
      </c>
      <c r="AB828" s="10">
        <v>41745</v>
      </c>
      <c r="AC828" s="10">
        <v>41740</v>
      </c>
      <c r="AD828" s="10">
        <v>41743</v>
      </c>
      <c r="AF828" s="8">
        <v>7000</v>
      </c>
    </row>
    <row r="829" spans="1:36">
      <c r="A829" s="7">
        <f t="shared" si="240"/>
        <v>1</v>
      </c>
      <c r="B829" s="7" t="str">
        <f t="shared" si="241"/>
        <v>14FW_PLAYBOY_MTM_04_NY</v>
      </c>
      <c r="C829" s="7">
        <f t="shared" si="242"/>
        <v>1</v>
      </c>
      <c r="D829" s="7" t="str">
        <f t="shared" si="243"/>
        <v>대경14FW_PLAYBOY_MTM_04_NY</v>
      </c>
      <c r="E829" s="12" t="str">
        <f t="shared" si="244"/>
        <v>201403</v>
      </c>
      <c r="F829" s="347" t="str">
        <f>VLOOKUP($AA829,[3]주!$A:$F,6,FALSE)</f>
        <v>3월 2주</v>
      </c>
      <c r="G829" s="7">
        <f t="shared" si="245"/>
        <v>1</v>
      </c>
      <c r="H829" s="7" t="str">
        <f t="shared" si="246"/>
        <v>14FW_PLAYBOY_MTM_04_NY</v>
      </c>
      <c r="I829" s="7">
        <f t="shared" si="247"/>
        <v>1</v>
      </c>
      <c r="J829" s="7" t="str">
        <f t="shared" si="248"/>
        <v>대경14FW_PLAYBOY_MTM_04_NY</v>
      </c>
      <c r="K829" s="17">
        <f t="shared" si="249"/>
        <v>41737</v>
      </c>
      <c r="L829" s="12" t="str">
        <f t="shared" si="250"/>
        <v>201404</v>
      </c>
      <c r="M829" s="347" t="str">
        <f>VLOOKUP($K829,[3]주!$A:$F,6,FALSE)</f>
        <v>3월 2주</v>
      </c>
      <c r="N829" s="273" t="str">
        <f>IF(VLOOKUP($Z829,생산업체!$A:$C,2,FALSE)=1,"해외","국내")</f>
        <v>해외</v>
      </c>
      <c r="O829" s="12" t="str">
        <f>IF(VLOOKUP($U829,CODE!$K:$P,CODE!P$1,FALSE)="모자",T829,T829&amp;"-"&amp;VLOOKUP($U829,CODE!$K:$P,CODE!P$1,FALSE))</f>
        <v>PLA-의류</v>
      </c>
      <c r="P829" s="11" t="s">
        <v>786</v>
      </c>
      <c r="R829" s="11">
        <v>96</v>
      </c>
      <c r="T829" s="8" t="s">
        <v>61</v>
      </c>
      <c r="U829" s="8" t="s">
        <v>27</v>
      </c>
      <c r="V829" s="8" t="s">
        <v>43</v>
      </c>
      <c r="W829" s="8" t="s">
        <v>1886</v>
      </c>
      <c r="X829" s="8" t="s">
        <v>900</v>
      </c>
      <c r="Y829" s="9">
        <v>1</v>
      </c>
      <c r="Z829" s="8" t="s">
        <v>1401</v>
      </c>
      <c r="AA829" s="10">
        <v>41716</v>
      </c>
      <c r="AB829" s="10">
        <v>41744</v>
      </c>
      <c r="AC829" s="10">
        <v>41740</v>
      </c>
      <c r="AD829" s="10">
        <v>41737</v>
      </c>
      <c r="AE829" s="8">
        <v>16.5</v>
      </c>
    </row>
    <row r="830" spans="1:36">
      <c r="A830" s="7">
        <f t="shared" si="240"/>
        <v>1</v>
      </c>
      <c r="B830" s="7" t="str">
        <f t="shared" si="241"/>
        <v>14FW_PLAYBOY_MTM_05_BK</v>
      </c>
      <c r="C830" s="7">
        <f t="shared" si="242"/>
        <v>1</v>
      </c>
      <c r="D830" s="7" t="str">
        <f t="shared" si="243"/>
        <v>EVERGREEN14FW_PLAYBOY_MTM_05_BK</v>
      </c>
      <c r="E830" s="12" t="str">
        <f t="shared" si="244"/>
        <v>201403</v>
      </c>
      <c r="F830" s="347" t="str">
        <f>VLOOKUP($AA830,[3]주!$A:$F,6,FALSE)</f>
        <v>3월 2주</v>
      </c>
      <c r="G830" s="7">
        <f t="shared" si="245"/>
        <v>1</v>
      </c>
      <c r="H830" s="7" t="str">
        <f t="shared" si="246"/>
        <v>14FW_PLAYBOY_MTM_05_BK</v>
      </c>
      <c r="I830" s="7">
        <f t="shared" si="247"/>
        <v>1</v>
      </c>
      <c r="J830" s="7" t="str">
        <f t="shared" si="248"/>
        <v>EVERGREEN14FW_PLAYBOY_MTM_05_BK</v>
      </c>
      <c r="K830" s="17">
        <f t="shared" si="249"/>
        <v>41733</v>
      </c>
      <c r="L830" s="12" t="str">
        <f t="shared" si="250"/>
        <v>201404</v>
      </c>
      <c r="M830" s="347" t="str">
        <f>VLOOKUP($K830,[3]주!$A:$F,6,FALSE)</f>
        <v>3월 2주</v>
      </c>
      <c r="N830" s="273" t="str">
        <f>IF(VLOOKUP($Z830,생산업체!$A:$C,2,FALSE)=1,"해외","국내")</f>
        <v>해외</v>
      </c>
      <c r="O830" s="12" t="str">
        <f>IF(VLOOKUP($U830,CODE!$K:$P,CODE!P$1,FALSE)="모자",T830,T830&amp;"-"&amp;VLOOKUP($U830,CODE!$K:$P,CODE!P$1,FALSE))</f>
        <v>PLA-의류</v>
      </c>
      <c r="P830" s="11" t="s">
        <v>786</v>
      </c>
      <c r="R830" s="11">
        <v>97</v>
      </c>
      <c r="T830" s="8" t="s">
        <v>61</v>
      </c>
      <c r="U830" s="8" t="s">
        <v>27</v>
      </c>
      <c r="V830" s="8" t="s">
        <v>43</v>
      </c>
      <c r="W830" s="8" t="s">
        <v>1887</v>
      </c>
      <c r="X830" s="8" t="s">
        <v>900</v>
      </c>
      <c r="Y830" s="9">
        <v>1</v>
      </c>
      <c r="Z830" s="8" t="s">
        <v>1497</v>
      </c>
      <c r="AA830" s="10">
        <v>41717</v>
      </c>
      <c r="AB830" s="10">
        <v>41745</v>
      </c>
      <c r="AC830" s="10">
        <v>41740</v>
      </c>
      <c r="AD830" s="10">
        <v>41733</v>
      </c>
    </row>
    <row r="831" spans="1:36">
      <c r="A831" s="7">
        <f t="shared" si="240"/>
        <v>1</v>
      </c>
      <c r="B831" s="7" t="str">
        <f t="shared" si="241"/>
        <v>14FW_PLAYBOY_MTM_05_GY</v>
      </c>
      <c r="C831" s="7">
        <f t="shared" si="242"/>
        <v>1</v>
      </c>
      <c r="D831" s="7" t="str">
        <f t="shared" si="243"/>
        <v>EVERGREEN14FW_PLAYBOY_MTM_05_GY</v>
      </c>
      <c r="E831" s="12" t="str">
        <f t="shared" si="244"/>
        <v>201403</v>
      </c>
      <c r="F831" s="347" t="str">
        <f>VLOOKUP($AA831,[3]주!$A:$F,6,FALSE)</f>
        <v>3월 2주</v>
      </c>
      <c r="G831" s="7">
        <f t="shared" si="245"/>
        <v>1</v>
      </c>
      <c r="H831" s="7" t="str">
        <f t="shared" si="246"/>
        <v>14FW_PLAYBOY_MTM_05_GY</v>
      </c>
      <c r="I831" s="7">
        <f t="shared" si="247"/>
        <v>1</v>
      </c>
      <c r="J831" s="7" t="str">
        <f t="shared" si="248"/>
        <v>EVERGREEN14FW_PLAYBOY_MTM_05_GY</v>
      </c>
      <c r="K831" s="17">
        <f t="shared" si="249"/>
        <v>41733</v>
      </c>
      <c r="L831" s="12" t="str">
        <f t="shared" si="250"/>
        <v>201404</v>
      </c>
      <c r="M831" s="347" t="str">
        <f>VLOOKUP($K831,[3]주!$A:$F,6,FALSE)</f>
        <v>3월 2주</v>
      </c>
      <c r="N831" s="273" t="str">
        <f>IF(VLOOKUP($Z831,생산업체!$A:$C,2,FALSE)=1,"해외","국내")</f>
        <v>해외</v>
      </c>
      <c r="O831" s="12" t="str">
        <f>IF(VLOOKUP($U831,CODE!$K:$P,CODE!P$1,FALSE)="모자",T831,T831&amp;"-"&amp;VLOOKUP($U831,CODE!$K:$P,CODE!P$1,FALSE))</f>
        <v>PLA-의류</v>
      </c>
      <c r="P831" s="11" t="s">
        <v>786</v>
      </c>
      <c r="R831" s="11">
        <v>98</v>
      </c>
      <c r="T831" s="8" t="s">
        <v>61</v>
      </c>
      <c r="U831" s="8" t="s">
        <v>27</v>
      </c>
      <c r="V831" s="8" t="s">
        <v>43</v>
      </c>
      <c r="W831" s="8" t="s">
        <v>1888</v>
      </c>
      <c r="X831" s="8" t="s">
        <v>900</v>
      </c>
      <c r="Y831" s="9">
        <v>1</v>
      </c>
      <c r="Z831" s="8" t="s">
        <v>1497</v>
      </c>
      <c r="AA831" s="10">
        <v>41717</v>
      </c>
      <c r="AB831" s="10">
        <v>41745</v>
      </c>
      <c r="AC831" s="10">
        <v>41740</v>
      </c>
      <c r="AD831" s="10">
        <v>41733</v>
      </c>
    </row>
    <row r="832" spans="1:36">
      <c r="A832" s="7">
        <f t="shared" si="240"/>
        <v>1</v>
      </c>
      <c r="B832" s="7" t="str">
        <f t="shared" si="241"/>
        <v>14FW_PLAYBOY_PANTS _01_BK</v>
      </c>
      <c r="C832" s="7">
        <f t="shared" si="242"/>
        <v>1</v>
      </c>
      <c r="D832" s="7" t="str">
        <f t="shared" si="243"/>
        <v>아트인드림14FW_PLAYBOY_PANTS _01_BK</v>
      </c>
      <c r="E832" s="12" t="str">
        <f t="shared" si="244"/>
        <v>201403</v>
      </c>
      <c r="F832" s="347" t="str">
        <f>VLOOKUP($AA832,[3]주!$A:$F,6,FALSE)</f>
        <v>3월 2주</v>
      </c>
      <c r="G832" s="7">
        <f t="shared" si="245"/>
        <v>1</v>
      </c>
      <c r="H832" s="7" t="str">
        <f t="shared" si="246"/>
        <v>14FW_PLAYBOY_PANTS _01_BK</v>
      </c>
      <c r="I832" s="7">
        <f t="shared" si="247"/>
        <v>1</v>
      </c>
      <c r="J832" s="7" t="str">
        <f t="shared" si="248"/>
        <v>아트인드림14FW_PLAYBOY_PANTS _01_BK</v>
      </c>
      <c r="K832" s="17">
        <f t="shared" si="249"/>
        <v>41723</v>
      </c>
      <c r="L832" s="12" t="str">
        <f t="shared" si="250"/>
        <v>201403</v>
      </c>
      <c r="M832" s="347" t="str">
        <f>VLOOKUP($K832,[3]주!$A:$F,6,FALSE)</f>
        <v>3월 2주</v>
      </c>
      <c r="N832" s="273" t="str">
        <f>IF(VLOOKUP($Z832,생산업체!$A:$C,2,FALSE)=1,"해외","국내")</f>
        <v>국내</v>
      </c>
      <c r="O832" s="12" t="str">
        <f>IF(VLOOKUP($U832,CODE!$K:$P,CODE!P$1,FALSE)="모자",T832,T832&amp;"-"&amp;VLOOKUP($U832,CODE!$K:$P,CODE!P$1,FALSE))</f>
        <v>PLA-의류</v>
      </c>
      <c r="P832" s="11" t="s">
        <v>786</v>
      </c>
      <c r="R832" s="11">
        <v>99</v>
      </c>
      <c r="T832" s="8" t="s">
        <v>61</v>
      </c>
      <c r="U832" s="8" t="s">
        <v>1789</v>
      </c>
      <c r="V832" s="8" t="s">
        <v>43</v>
      </c>
      <c r="W832" s="8" t="s">
        <v>1889</v>
      </c>
      <c r="X832" s="8" t="s">
        <v>900</v>
      </c>
      <c r="Y832" s="9">
        <v>1</v>
      </c>
      <c r="Z832" s="8" t="s">
        <v>1409</v>
      </c>
      <c r="AA832" s="10">
        <v>41716</v>
      </c>
      <c r="AB832" s="10">
        <v>41737</v>
      </c>
      <c r="AC832" s="10">
        <v>41740</v>
      </c>
      <c r="AD832" s="10">
        <v>41723</v>
      </c>
      <c r="AF832" s="8">
        <v>19179</v>
      </c>
    </row>
    <row r="833" spans="1:36">
      <c r="A833" s="7">
        <f t="shared" si="240"/>
        <v>1</v>
      </c>
      <c r="B833" s="7" t="str">
        <f t="shared" si="241"/>
        <v>14FW_PLAYBOY_PANTS _01_GR</v>
      </c>
      <c r="C833" s="7">
        <f t="shared" si="242"/>
        <v>1</v>
      </c>
      <c r="D833" s="7" t="str">
        <f t="shared" si="243"/>
        <v>아트인드림14FW_PLAYBOY_PANTS _01_GR</v>
      </c>
      <c r="E833" s="12" t="str">
        <f t="shared" si="244"/>
        <v>201403</v>
      </c>
      <c r="F833" s="347" t="str">
        <f>VLOOKUP($AA833,[3]주!$A:$F,6,FALSE)</f>
        <v>3월 2주</v>
      </c>
      <c r="G833" s="7">
        <f t="shared" si="245"/>
        <v>1</v>
      </c>
      <c r="H833" s="7" t="str">
        <f t="shared" si="246"/>
        <v>14FW_PLAYBOY_PANTS _01_GR</v>
      </c>
      <c r="I833" s="7">
        <f t="shared" si="247"/>
        <v>1</v>
      </c>
      <c r="J833" s="7" t="str">
        <f t="shared" si="248"/>
        <v>아트인드림14FW_PLAYBOY_PANTS _01_GR</v>
      </c>
      <c r="K833" s="17">
        <f t="shared" si="249"/>
        <v>41723</v>
      </c>
      <c r="L833" s="12" t="str">
        <f t="shared" si="250"/>
        <v>201403</v>
      </c>
      <c r="M833" s="347" t="str">
        <f>VLOOKUP($K833,[3]주!$A:$F,6,FALSE)</f>
        <v>3월 2주</v>
      </c>
      <c r="N833" s="273" t="str">
        <f>IF(VLOOKUP($Z833,생산업체!$A:$C,2,FALSE)=1,"해외","국내")</f>
        <v>국내</v>
      </c>
      <c r="O833" s="12" t="str">
        <f>IF(VLOOKUP($U833,CODE!$K:$P,CODE!P$1,FALSE)="모자",T833,T833&amp;"-"&amp;VLOOKUP($U833,CODE!$K:$P,CODE!P$1,FALSE))</f>
        <v>PLA-의류</v>
      </c>
      <c r="P833" s="11" t="s">
        <v>786</v>
      </c>
      <c r="R833" s="11">
        <v>100</v>
      </c>
      <c r="T833" s="8" t="s">
        <v>61</v>
      </c>
      <c r="U833" s="8" t="s">
        <v>1789</v>
      </c>
      <c r="V833" s="8" t="s">
        <v>43</v>
      </c>
      <c r="W833" s="8" t="s">
        <v>1890</v>
      </c>
      <c r="X833" s="8" t="s">
        <v>900</v>
      </c>
      <c r="Y833" s="9">
        <v>1</v>
      </c>
      <c r="Z833" s="8" t="s">
        <v>1409</v>
      </c>
      <c r="AA833" s="10">
        <v>41716</v>
      </c>
      <c r="AB833" s="10">
        <v>41737</v>
      </c>
      <c r="AC833" s="10">
        <v>41740</v>
      </c>
      <c r="AD833" s="10">
        <v>41723</v>
      </c>
      <c r="AF833" s="8">
        <v>19179</v>
      </c>
    </row>
    <row r="834" spans="1:36">
      <c r="A834" s="7">
        <f t="shared" si="240"/>
        <v>1</v>
      </c>
      <c r="B834" s="7" t="str">
        <f t="shared" si="241"/>
        <v>14FW_PLAYBOY_HOODZIP _02_BK</v>
      </c>
      <c r="C834" s="7">
        <f t="shared" si="242"/>
        <v>1</v>
      </c>
      <c r="D834" s="7" t="str">
        <f t="shared" si="243"/>
        <v>EVERGREEN14FW_PLAYBOY_HOODZIP _02_BK</v>
      </c>
      <c r="E834" s="12" t="str">
        <f t="shared" si="244"/>
        <v>201403</v>
      </c>
      <c r="F834" s="347" t="str">
        <f>VLOOKUP($AA834,[3]주!$A:$F,6,FALSE)</f>
        <v>3월 2주</v>
      </c>
      <c r="G834" s="7">
        <f t="shared" si="245"/>
        <v>1</v>
      </c>
      <c r="H834" s="7" t="str">
        <f t="shared" si="246"/>
        <v>14FW_PLAYBOY_HOODZIP _02_BK</v>
      </c>
      <c r="I834" s="7">
        <f t="shared" si="247"/>
        <v>1</v>
      </c>
      <c r="J834" s="7" t="str">
        <f t="shared" si="248"/>
        <v>EVERGREEN14FW_PLAYBOY_HOODZIP _02_BK</v>
      </c>
      <c r="K834" s="17">
        <f t="shared" si="249"/>
        <v>41733</v>
      </c>
      <c r="L834" s="12" t="str">
        <f t="shared" si="250"/>
        <v>201404</v>
      </c>
      <c r="M834" s="347" t="str">
        <f>VLOOKUP($K834,[3]주!$A:$F,6,FALSE)</f>
        <v>3월 2주</v>
      </c>
      <c r="N834" s="273" t="str">
        <f>IF(VLOOKUP($Z834,생산업체!$A:$C,2,FALSE)=1,"해외","국내")</f>
        <v>해외</v>
      </c>
      <c r="O834" s="12" t="str">
        <f>IF(VLOOKUP($U834,CODE!$K:$P,CODE!P$1,FALSE)="모자",T834,T834&amp;"-"&amp;VLOOKUP($U834,CODE!$K:$P,CODE!P$1,FALSE))</f>
        <v>PLA-의류</v>
      </c>
      <c r="P834" s="11" t="s">
        <v>786</v>
      </c>
      <c r="R834" s="11">
        <v>101</v>
      </c>
      <c r="T834" s="8" t="s">
        <v>61</v>
      </c>
      <c r="U834" s="8" t="s">
        <v>25</v>
      </c>
      <c r="V834" s="8" t="s">
        <v>43</v>
      </c>
      <c r="W834" s="8" t="s">
        <v>1891</v>
      </c>
      <c r="X834" s="8" t="s">
        <v>900</v>
      </c>
      <c r="Y834" s="9">
        <v>1</v>
      </c>
      <c r="Z834" s="8" t="s">
        <v>1497</v>
      </c>
      <c r="AA834" s="10">
        <v>41717</v>
      </c>
      <c r="AB834" s="10">
        <v>41745</v>
      </c>
      <c r="AC834" s="10">
        <v>41740</v>
      </c>
      <c r="AD834" s="10">
        <v>41733</v>
      </c>
    </row>
    <row r="835" spans="1:36">
      <c r="A835" s="7">
        <f t="shared" si="240"/>
        <v>1</v>
      </c>
      <c r="B835" s="7" t="str">
        <f t="shared" si="241"/>
        <v>14FW_PLAYBOY_HOODZIP _03_BK</v>
      </c>
      <c r="C835" s="7">
        <f t="shared" si="242"/>
        <v>1</v>
      </c>
      <c r="D835" s="7" t="str">
        <f t="shared" si="243"/>
        <v>대경14FW_PLAYBOY_HOODZIP _03_BK</v>
      </c>
      <c r="E835" s="12" t="str">
        <f t="shared" si="244"/>
        <v>201403</v>
      </c>
      <c r="F835" s="347" t="str">
        <f>VLOOKUP($AA835,[3]주!$A:$F,6,FALSE)</f>
        <v>3월 2주</v>
      </c>
      <c r="G835" s="7">
        <f t="shared" si="245"/>
        <v>1</v>
      </c>
      <c r="H835" s="7" t="str">
        <f t="shared" si="246"/>
        <v>14FW_PLAYBOY_HOODZIP _03_BK</v>
      </c>
      <c r="I835" s="7">
        <f t="shared" si="247"/>
        <v>1</v>
      </c>
      <c r="J835" s="7" t="str">
        <f t="shared" si="248"/>
        <v>대경14FW_PLAYBOY_HOODZIP _03_BK</v>
      </c>
      <c r="K835" s="17">
        <f t="shared" si="249"/>
        <v>41737</v>
      </c>
      <c r="L835" s="12" t="str">
        <f t="shared" si="250"/>
        <v>201404</v>
      </c>
      <c r="M835" s="347" t="str">
        <f>VLOOKUP($K835,[3]주!$A:$F,6,FALSE)</f>
        <v>3월 2주</v>
      </c>
      <c r="N835" s="273" t="str">
        <f>IF(VLOOKUP($Z835,생산업체!$A:$C,2,FALSE)=1,"해외","국내")</f>
        <v>해외</v>
      </c>
      <c r="O835" s="12" t="str">
        <f>IF(VLOOKUP($U835,CODE!$K:$P,CODE!P$1,FALSE)="모자",T835,T835&amp;"-"&amp;VLOOKUP($U835,CODE!$K:$P,CODE!P$1,FALSE))</f>
        <v>PLA-의류</v>
      </c>
      <c r="P835" s="11" t="s">
        <v>786</v>
      </c>
      <c r="R835" s="11">
        <v>102</v>
      </c>
      <c r="T835" s="8" t="s">
        <v>61</v>
      </c>
      <c r="U835" s="8" t="s">
        <v>25</v>
      </c>
      <c r="V835" s="8" t="s">
        <v>43</v>
      </c>
      <c r="W835" s="8" t="s">
        <v>1892</v>
      </c>
      <c r="X835" s="8" t="s">
        <v>900</v>
      </c>
      <c r="Y835" s="9">
        <v>1</v>
      </c>
      <c r="Z835" s="8" t="s">
        <v>1401</v>
      </c>
      <c r="AA835" s="10">
        <v>41716</v>
      </c>
      <c r="AB835" s="10">
        <v>41744</v>
      </c>
      <c r="AC835" s="10">
        <v>41740</v>
      </c>
      <c r="AD835" s="10">
        <v>41737</v>
      </c>
      <c r="AE835" s="8">
        <v>26.7</v>
      </c>
    </row>
    <row r="836" spans="1:36">
      <c r="A836" s="7">
        <f t="shared" ref="A836:A859" si="251">IF(B836="",0,1/COUNTIF(B:B,B836))</f>
        <v>1</v>
      </c>
      <c r="B836" s="7" t="str">
        <f t="shared" ref="B836:B859" si="252">IF(AA836="","",W836)</f>
        <v>14FW_URBAN SWAGGER_HOOD_02_BK</v>
      </c>
      <c r="C836" s="7">
        <f t="shared" ref="C836:C859" si="253">IF(D836="",0,1/COUNTIF(D:D,D836))</f>
        <v>1</v>
      </c>
      <c r="D836" s="7" t="str">
        <f t="shared" ref="D836:D859" si="254">IF(AA836="","",Z836&amp;W836)</f>
        <v>대경14FW_URBAN SWAGGER_HOOD_02_BK</v>
      </c>
      <c r="E836" s="12" t="str">
        <f t="shared" ref="E836:E859" si="255">IF(YEAR(AA836)&lt;10,0&amp;YEAR(AA836),YEAR(AA836))&amp;IF(MONTH(AA836)&lt;10,0&amp;MONTH(AA836),MONTH(AA836))</f>
        <v>201403</v>
      </c>
      <c r="F836" s="347" t="str">
        <f>VLOOKUP($AA836,[3]주!$A:$F,6,FALSE)</f>
        <v>3월 2주</v>
      </c>
      <c r="G836" s="7">
        <f t="shared" ref="G836:G859" si="256">IF(H836="",0,1/COUNTIF(H:H,H836))</f>
        <v>1</v>
      </c>
      <c r="H836" s="7" t="str">
        <f t="shared" ref="H836:H859" si="257">IF(AD836="","",W836)</f>
        <v>14FW_URBAN SWAGGER_HOOD_02_BK</v>
      </c>
      <c r="I836" s="7">
        <f t="shared" ref="I836:I859" si="258">IF(J836="",0,1/COUNTIF(J:J,J836))</f>
        <v>1</v>
      </c>
      <c r="J836" s="7" t="str">
        <f t="shared" ref="J836:J859" si="259">IF(AD836="","",Z836&amp;W836)</f>
        <v>대경14FW_URBAN SWAGGER_HOOD_02_BK</v>
      </c>
      <c r="K836" s="17">
        <f t="shared" ref="K836:K859" si="260">IF(AD836="",AC836,AD836)</f>
        <v>41736</v>
      </c>
      <c r="L836" s="12" t="str">
        <f t="shared" ref="L836:L859" si="261">IF(YEAR(K836)&lt;10,0&amp;YEAR(K836),YEAR(K836))&amp;IF(MONTH(K836)&lt;10,0&amp;MONTH(K836),MONTH(K836))</f>
        <v>201404</v>
      </c>
      <c r="M836" s="347" t="str">
        <f>VLOOKUP($K836,[3]주!$A:$F,6,FALSE)</f>
        <v>3월 2주</v>
      </c>
      <c r="N836" s="273" t="str">
        <f>IF(VLOOKUP($Z836,생산업체!$A:$C,2,FALSE)=1,"해외","국내")</f>
        <v>해외</v>
      </c>
      <c r="O836" s="12" t="str">
        <f>IF(VLOOKUP($U836,CODE!$K:$P,CODE!P$1,FALSE)="모자",T836,T836&amp;"-"&amp;VLOOKUP($U836,CODE!$K:$P,CODE!P$1,FALSE))</f>
        <v>URB-의류</v>
      </c>
      <c r="P836" s="11" t="s">
        <v>1893</v>
      </c>
      <c r="R836" s="11">
        <v>103</v>
      </c>
      <c r="T836" s="8" t="s">
        <v>1101</v>
      </c>
      <c r="U836" s="8" t="s">
        <v>24</v>
      </c>
      <c r="V836" s="8" t="s">
        <v>43</v>
      </c>
      <c r="W836" s="8" t="s">
        <v>1894</v>
      </c>
      <c r="X836" s="8" t="s">
        <v>900</v>
      </c>
      <c r="Y836" s="9">
        <v>1</v>
      </c>
      <c r="Z836" s="8" t="s">
        <v>1401</v>
      </c>
      <c r="AA836" s="10">
        <v>41716</v>
      </c>
      <c r="AB836" s="10">
        <v>41744</v>
      </c>
      <c r="AC836" s="10">
        <v>41740</v>
      </c>
      <c r="AD836" s="10">
        <v>41736</v>
      </c>
      <c r="AE836" s="8">
        <v>17.3</v>
      </c>
      <c r="AJ836" s="8" t="s">
        <v>2260</v>
      </c>
    </row>
    <row r="837" spans="1:36">
      <c r="A837" s="7">
        <f t="shared" si="251"/>
        <v>1</v>
      </c>
      <c r="B837" s="7" t="str">
        <f t="shared" si="252"/>
        <v>14FW_URBAN SWAGGER_HOOD_01_GR</v>
      </c>
      <c r="C837" s="7">
        <f t="shared" si="253"/>
        <v>1</v>
      </c>
      <c r="D837" s="7" t="str">
        <f t="shared" si="254"/>
        <v>아트인드림14FW_URBAN SWAGGER_HOOD_01_GR</v>
      </c>
      <c r="E837" s="12" t="str">
        <f t="shared" si="255"/>
        <v>201403</v>
      </c>
      <c r="F837" s="347" t="str">
        <f>VLOOKUP($AA837,[3]주!$A:$F,6,FALSE)</f>
        <v>3월 2주</v>
      </c>
      <c r="G837" s="7">
        <f t="shared" si="256"/>
        <v>1</v>
      </c>
      <c r="H837" s="7" t="str">
        <f t="shared" si="257"/>
        <v>14FW_URBAN SWAGGER_HOOD_01_GR</v>
      </c>
      <c r="I837" s="7">
        <f t="shared" si="258"/>
        <v>1</v>
      </c>
      <c r="J837" s="7" t="str">
        <f t="shared" si="259"/>
        <v>아트인드림14FW_URBAN SWAGGER_HOOD_01_GR</v>
      </c>
      <c r="K837" s="17">
        <f t="shared" si="260"/>
        <v>41723</v>
      </c>
      <c r="L837" s="12" t="str">
        <f t="shared" si="261"/>
        <v>201403</v>
      </c>
      <c r="M837" s="347" t="str">
        <f>VLOOKUP($K837,[3]주!$A:$F,6,FALSE)</f>
        <v>3월 2주</v>
      </c>
      <c r="N837" s="273" t="str">
        <f>IF(VLOOKUP($Z837,생산업체!$A:$C,2,FALSE)=1,"해외","국내")</f>
        <v>국내</v>
      </c>
      <c r="O837" s="12" t="str">
        <f>IF(VLOOKUP($U837,CODE!$K:$P,CODE!P$1,FALSE)="모자",T837,T837&amp;"-"&amp;VLOOKUP($U837,CODE!$K:$P,CODE!P$1,FALSE))</f>
        <v>URB-의류</v>
      </c>
      <c r="P837" s="11" t="s">
        <v>1893</v>
      </c>
      <c r="R837" s="11">
        <v>104</v>
      </c>
      <c r="T837" s="8" t="s">
        <v>1101</v>
      </c>
      <c r="U837" s="8" t="s">
        <v>24</v>
      </c>
      <c r="V837" s="8" t="s">
        <v>43</v>
      </c>
      <c r="W837" s="8" t="s">
        <v>1895</v>
      </c>
      <c r="X837" s="8" t="s">
        <v>900</v>
      </c>
      <c r="Y837" s="9">
        <v>1</v>
      </c>
      <c r="Z837" s="8" t="s">
        <v>1409</v>
      </c>
      <c r="AA837" s="10">
        <v>41716</v>
      </c>
      <c r="AB837" s="10">
        <v>41737</v>
      </c>
      <c r="AC837" s="10">
        <v>41740</v>
      </c>
      <c r="AD837" s="10">
        <v>41723</v>
      </c>
      <c r="AF837" s="8">
        <v>34029</v>
      </c>
      <c r="AG837" s="8" t="s">
        <v>1402</v>
      </c>
    </row>
    <row r="838" spans="1:36">
      <c r="A838" s="7">
        <f t="shared" si="251"/>
        <v>1</v>
      </c>
      <c r="B838" s="7" t="str">
        <f t="shared" si="252"/>
        <v>14FW_URBAN SWAGGER_HOOD ZIP_01_BK</v>
      </c>
      <c r="C838" s="7">
        <f t="shared" si="253"/>
        <v>1</v>
      </c>
      <c r="D838" s="7" t="str">
        <f t="shared" si="254"/>
        <v>대경14FW_URBAN SWAGGER_HOOD ZIP_01_BK</v>
      </c>
      <c r="E838" s="12" t="str">
        <f t="shared" si="255"/>
        <v>201403</v>
      </c>
      <c r="F838" s="347" t="str">
        <f>VLOOKUP($AA838,[3]주!$A:$F,6,FALSE)</f>
        <v>3월 2주</v>
      </c>
      <c r="G838" s="7">
        <f t="shared" si="256"/>
        <v>1</v>
      </c>
      <c r="H838" s="7" t="str">
        <f t="shared" si="257"/>
        <v>14FW_URBAN SWAGGER_HOOD ZIP_01_BK</v>
      </c>
      <c r="I838" s="7">
        <f t="shared" si="258"/>
        <v>1</v>
      </c>
      <c r="J838" s="7" t="str">
        <f t="shared" si="259"/>
        <v>대경14FW_URBAN SWAGGER_HOOD ZIP_01_BK</v>
      </c>
      <c r="K838" s="17">
        <f t="shared" si="260"/>
        <v>41737</v>
      </c>
      <c r="L838" s="12" t="str">
        <f t="shared" si="261"/>
        <v>201404</v>
      </c>
      <c r="M838" s="347" t="str">
        <f>VLOOKUP($K838,[3]주!$A:$F,6,FALSE)</f>
        <v>3월 2주</v>
      </c>
      <c r="N838" s="273" t="str">
        <f>IF(VLOOKUP($Z838,생산업체!$A:$C,2,FALSE)=1,"해외","국내")</f>
        <v>해외</v>
      </c>
      <c r="O838" s="12" t="str">
        <f>IF(VLOOKUP($U838,CODE!$K:$P,CODE!P$1,FALSE)="모자",T838,T838&amp;"-"&amp;VLOOKUP($U838,CODE!$K:$P,CODE!P$1,FALSE))</f>
        <v>URB-의류</v>
      </c>
      <c r="P838" s="11" t="s">
        <v>1893</v>
      </c>
      <c r="R838" s="11">
        <v>105</v>
      </c>
      <c r="T838" s="8" t="s">
        <v>1101</v>
      </c>
      <c r="U838" s="8" t="s">
        <v>25</v>
      </c>
      <c r="V838" s="8" t="s">
        <v>43</v>
      </c>
      <c r="W838" s="8" t="s">
        <v>1896</v>
      </c>
      <c r="X838" s="8" t="s">
        <v>900</v>
      </c>
      <c r="Y838" s="9">
        <v>1</v>
      </c>
      <c r="Z838" s="8" t="s">
        <v>1401</v>
      </c>
      <c r="AA838" s="10">
        <v>41716</v>
      </c>
      <c r="AB838" s="10">
        <v>41744</v>
      </c>
      <c r="AC838" s="10">
        <v>41740</v>
      </c>
      <c r="AD838" s="10">
        <v>41737</v>
      </c>
      <c r="AE838" s="8">
        <v>25.8</v>
      </c>
      <c r="AG838" s="8" t="s">
        <v>1402</v>
      </c>
    </row>
    <row r="839" spans="1:36">
      <c r="A839" s="7">
        <f t="shared" si="251"/>
        <v>1</v>
      </c>
      <c r="B839" s="7" t="str">
        <f t="shared" si="252"/>
        <v>14FW_URBAN SWAGGER_HOODZIP_02_BK</v>
      </c>
      <c r="C839" s="7">
        <f t="shared" si="253"/>
        <v>1</v>
      </c>
      <c r="D839" s="7" t="str">
        <f t="shared" si="254"/>
        <v>아트인드림14FW_URBAN SWAGGER_HOODZIP_02_BK</v>
      </c>
      <c r="E839" s="12" t="str">
        <f t="shared" si="255"/>
        <v>201403</v>
      </c>
      <c r="F839" s="347" t="str">
        <f>VLOOKUP($AA839,[3]주!$A:$F,6,FALSE)</f>
        <v>3월 2주</v>
      </c>
      <c r="G839" s="7">
        <f t="shared" si="256"/>
        <v>1</v>
      </c>
      <c r="H839" s="7" t="str">
        <f t="shared" si="257"/>
        <v>14FW_URBAN SWAGGER_HOODZIP_02_BK</v>
      </c>
      <c r="I839" s="7">
        <f t="shared" si="258"/>
        <v>1</v>
      </c>
      <c r="J839" s="7" t="str">
        <f t="shared" si="259"/>
        <v>아트인드림14FW_URBAN SWAGGER_HOODZIP_02_BK</v>
      </c>
      <c r="K839" s="17">
        <f t="shared" si="260"/>
        <v>41723</v>
      </c>
      <c r="L839" s="12" t="str">
        <f t="shared" si="261"/>
        <v>201403</v>
      </c>
      <c r="M839" s="347" t="str">
        <f>VLOOKUP($K839,[3]주!$A:$F,6,FALSE)</f>
        <v>3월 2주</v>
      </c>
      <c r="N839" s="273" t="str">
        <f>IF(VLOOKUP($Z839,생산업체!$A:$C,2,FALSE)=1,"해외","국내")</f>
        <v>국내</v>
      </c>
      <c r="O839" s="12" t="str">
        <f>IF(VLOOKUP($U839,CODE!$K:$P,CODE!P$1,FALSE)="모자",T839,T839&amp;"-"&amp;VLOOKUP($U839,CODE!$K:$P,CODE!P$1,FALSE))</f>
        <v>URB-의류</v>
      </c>
      <c r="P839" s="11" t="s">
        <v>1893</v>
      </c>
      <c r="R839" s="11">
        <v>106</v>
      </c>
      <c r="T839" s="8" t="s">
        <v>1101</v>
      </c>
      <c r="U839" s="8" t="s">
        <v>25</v>
      </c>
      <c r="V839" s="8" t="s">
        <v>43</v>
      </c>
      <c r="W839" s="8" t="s">
        <v>1897</v>
      </c>
      <c r="X839" s="8" t="s">
        <v>900</v>
      </c>
      <c r="Y839" s="9">
        <v>1</v>
      </c>
      <c r="Z839" s="8" t="s">
        <v>1409</v>
      </c>
      <c r="AA839" s="10">
        <v>41716</v>
      </c>
      <c r="AB839" s="10">
        <v>41737</v>
      </c>
      <c r="AC839" s="10">
        <v>41740</v>
      </c>
      <c r="AD839" s="10">
        <v>41723</v>
      </c>
      <c r="AF839" s="8">
        <v>35397</v>
      </c>
    </row>
    <row r="840" spans="1:36">
      <c r="A840" s="7">
        <f t="shared" si="251"/>
        <v>1</v>
      </c>
      <c r="B840" s="7" t="str">
        <f t="shared" si="252"/>
        <v>14FW_URBAN SWAGGER_MTM_01_RD</v>
      </c>
      <c r="C840" s="7">
        <f t="shared" si="253"/>
        <v>1</v>
      </c>
      <c r="D840" s="7" t="str">
        <f t="shared" si="254"/>
        <v>대경14FW_URBAN SWAGGER_MTM_01_RD</v>
      </c>
      <c r="E840" s="12" t="str">
        <f t="shared" si="255"/>
        <v>201403</v>
      </c>
      <c r="F840" s="347" t="str">
        <f>VLOOKUP($AA840,[3]주!$A:$F,6,FALSE)</f>
        <v>3월 2주</v>
      </c>
      <c r="G840" s="7">
        <f t="shared" si="256"/>
        <v>1</v>
      </c>
      <c r="H840" s="7" t="str">
        <f t="shared" si="257"/>
        <v>14FW_URBAN SWAGGER_MTM_01_RD</v>
      </c>
      <c r="I840" s="7">
        <f t="shared" si="258"/>
        <v>1</v>
      </c>
      <c r="J840" s="7" t="str">
        <f t="shared" si="259"/>
        <v>대경14FW_URBAN SWAGGER_MTM_01_RD</v>
      </c>
      <c r="K840" s="17">
        <f t="shared" si="260"/>
        <v>41737</v>
      </c>
      <c r="L840" s="12" t="str">
        <f t="shared" si="261"/>
        <v>201404</v>
      </c>
      <c r="M840" s="347" t="str">
        <f>VLOOKUP($K840,[3]주!$A:$F,6,FALSE)</f>
        <v>3월 2주</v>
      </c>
      <c r="N840" s="273" t="str">
        <f>IF(VLOOKUP($Z840,생산업체!$A:$C,2,FALSE)=1,"해외","국내")</f>
        <v>해외</v>
      </c>
      <c r="O840" s="12" t="str">
        <f>IF(VLOOKUP($U840,CODE!$K:$P,CODE!P$1,FALSE)="모자",T840,T840&amp;"-"&amp;VLOOKUP($U840,CODE!$K:$P,CODE!P$1,FALSE))</f>
        <v>URB-의류</v>
      </c>
      <c r="P840" s="11" t="s">
        <v>1893</v>
      </c>
      <c r="R840" s="11">
        <v>107</v>
      </c>
      <c r="T840" s="8" t="s">
        <v>1101</v>
      </c>
      <c r="U840" s="8" t="s">
        <v>27</v>
      </c>
      <c r="V840" s="8" t="s">
        <v>43</v>
      </c>
      <c r="W840" s="8" t="s">
        <v>1898</v>
      </c>
      <c r="X840" s="8" t="s">
        <v>900</v>
      </c>
      <c r="Y840" s="9">
        <v>1</v>
      </c>
      <c r="Z840" s="8" t="s">
        <v>1401</v>
      </c>
      <c r="AA840" s="10">
        <v>41716</v>
      </c>
      <c r="AB840" s="10">
        <v>41744</v>
      </c>
      <c r="AC840" s="10">
        <v>41740</v>
      </c>
      <c r="AD840" s="10">
        <v>41737</v>
      </c>
      <c r="AE840" s="8">
        <v>15.75</v>
      </c>
      <c r="AG840" s="8" t="s">
        <v>1402</v>
      </c>
    </row>
    <row r="841" spans="1:36">
      <c r="A841" s="7">
        <f t="shared" si="251"/>
        <v>1</v>
      </c>
      <c r="B841" s="7" t="str">
        <f t="shared" si="252"/>
        <v>14FW_URBAN SWAGGER_MTM_02_BK</v>
      </c>
      <c r="C841" s="7">
        <f t="shared" si="253"/>
        <v>1</v>
      </c>
      <c r="D841" s="7" t="str">
        <f t="shared" si="254"/>
        <v>아트인드림14FW_URBAN SWAGGER_MTM_02_BK</v>
      </c>
      <c r="E841" s="12" t="str">
        <f t="shared" si="255"/>
        <v>201403</v>
      </c>
      <c r="F841" s="347" t="str">
        <f>VLOOKUP($AA841,[3]주!$A:$F,6,FALSE)</f>
        <v>3월 2주</v>
      </c>
      <c r="G841" s="7">
        <f t="shared" si="256"/>
        <v>1</v>
      </c>
      <c r="H841" s="7" t="str">
        <f t="shared" si="257"/>
        <v>14FW_URBAN SWAGGER_MTM_02_BK</v>
      </c>
      <c r="I841" s="7">
        <f t="shared" si="258"/>
        <v>1</v>
      </c>
      <c r="J841" s="7" t="str">
        <f t="shared" si="259"/>
        <v>아트인드림14FW_URBAN SWAGGER_MTM_02_BK</v>
      </c>
      <c r="K841" s="17">
        <f t="shared" si="260"/>
        <v>41723</v>
      </c>
      <c r="L841" s="12" t="str">
        <f t="shared" si="261"/>
        <v>201403</v>
      </c>
      <c r="M841" s="347" t="str">
        <f>VLOOKUP($K841,[3]주!$A:$F,6,FALSE)</f>
        <v>3월 2주</v>
      </c>
      <c r="N841" s="273" t="str">
        <f>IF(VLOOKUP($Z841,생산업체!$A:$C,2,FALSE)=1,"해외","국내")</f>
        <v>국내</v>
      </c>
      <c r="O841" s="12" t="str">
        <f>IF(VLOOKUP($U841,CODE!$K:$P,CODE!P$1,FALSE)="모자",T841,T841&amp;"-"&amp;VLOOKUP($U841,CODE!$K:$P,CODE!P$1,FALSE))</f>
        <v>URB-의류</v>
      </c>
      <c r="P841" s="11" t="s">
        <v>1893</v>
      </c>
      <c r="R841" s="11">
        <v>108</v>
      </c>
      <c r="T841" s="8" t="s">
        <v>1101</v>
      </c>
      <c r="U841" s="8" t="s">
        <v>27</v>
      </c>
      <c r="V841" s="8" t="s">
        <v>43</v>
      </c>
      <c r="W841" s="8" t="s">
        <v>1899</v>
      </c>
      <c r="X841" s="8" t="s">
        <v>900</v>
      </c>
      <c r="Y841" s="9">
        <v>1</v>
      </c>
      <c r="Z841" s="8" t="s">
        <v>1409</v>
      </c>
      <c r="AA841" s="10">
        <v>41716</v>
      </c>
      <c r="AB841" s="10">
        <v>41737</v>
      </c>
      <c r="AC841" s="10">
        <v>41740</v>
      </c>
      <c r="AD841" s="10">
        <v>41723</v>
      </c>
      <c r="AF841" s="8">
        <v>25978</v>
      </c>
    </row>
    <row r="842" spans="1:36">
      <c r="A842" s="7">
        <f t="shared" si="251"/>
        <v>1</v>
      </c>
      <c r="B842" s="7" t="str">
        <f t="shared" si="252"/>
        <v>14FW_URBAN SWAGGER_JUMPER_01_BK</v>
      </c>
      <c r="C842" s="7">
        <f t="shared" si="253"/>
        <v>1</v>
      </c>
      <c r="D842" s="7" t="str">
        <f t="shared" si="254"/>
        <v>대경14FW_URBAN SWAGGER_JUMPER_01_BK</v>
      </c>
      <c r="E842" s="12" t="str">
        <f t="shared" si="255"/>
        <v>201403</v>
      </c>
      <c r="F842" s="347" t="str">
        <f>VLOOKUP($AA842,[3]주!$A:$F,6,FALSE)</f>
        <v>3월 2주</v>
      </c>
      <c r="G842" s="7">
        <f t="shared" si="256"/>
        <v>1</v>
      </c>
      <c r="H842" s="7" t="str">
        <f t="shared" si="257"/>
        <v>14FW_URBAN SWAGGER_JUMPER_01_BK</v>
      </c>
      <c r="I842" s="7">
        <f t="shared" si="258"/>
        <v>1</v>
      </c>
      <c r="J842" s="7" t="str">
        <f t="shared" si="259"/>
        <v>대경14FW_URBAN SWAGGER_JUMPER_01_BK</v>
      </c>
      <c r="K842" s="17">
        <f t="shared" si="260"/>
        <v>41737</v>
      </c>
      <c r="L842" s="12" t="str">
        <f t="shared" si="261"/>
        <v>201404</v>
      </c>
      <c r="M842" s="347" t="str">
        <f>VLOOKUP($K842,[3]주!$A:$F,6,FALSE)</f>
        <v>3월 2주</v>
      </c>
      <c r="N842" s="273" t="str">
        <f>IF(VLOOKUP($Z842,생산업체!$A:$C,2,FALSE)=1,"해외","국내")</f>
        <v>해외</v>
      </c>
      <c r="O842" s="12" t="str">
        <f>IF(VLOOKUP($U842,CODE!$K:$P,CODE!P$1,FALSE)="모자",T842,T842&amp;"-"&amp;VLOOKUP($U842,CODE!$K:$P,CODE!P$1,FALSE))</f>
        <v>URB-의류</v>
      </c>
      <c r="P842" s="11" t="s">
        <v>1893</v>
      </c>
      <c r="R842" s="11">
        <v>109</v>
      </c>
      <c r="T842" s="8" t="s">
        <v>1101</v>
      </c>
      <c r="U842" s="8" t="s">
        <v>26</v>
      </c>
      <c r="V842" s="8" t="s">
        <v>43</v>
      </c>
      <c r="W842" s="8" t="s">
        <v>1900</v>
      </c>
      <c r="X842" s="8" t="s">
        <v>900</v>
      </c>
      <c r="Y842" s="9">
        <v>1</v>
      </c>
      <c r="Z842" s="8" t="s">
        <v>1401</v>
      </c>
      <c r="AA842" s="10">
        <v>41716</v>
      </c>
      <c r="AB842" s="10">
        <v>41744</v>
      </c>
      <c r="AC842" s="10">
        <v>41740</v>
      </c>
      <c r="AD842" s="10">
        <v>41737</v>
      </c>
      <c r="AE842" s="8">
        <v>32.5</v>
      </c>
    </row>
    <row r="843" spans="1:36">
      <c r="A843" s="7">
        <f t="shared" si="251"/>
        <v>1</v>
      </c>
      <c r="B843" s="7" t="str">
        <f t="shared" si="252"/>
        <v>14FW_URBAN SWAGGER_JUMPER_02_BK</v>
      </c>
      <c r="C843" s="7">
        <f t="shared" si="253"/>
        <v>1</v>
      </c>
      <c r="D843" s="7" t="str">
        <f t="shared" si="254"/>
        <v>대경14FW_URBAN SWAGGER_JUMPER_02_BK</v>
      </c>
      <c r="E843" s="12" t="str">
        <f t="shared" si="255"/>
        <v>201403</v>
      </c>
      <c r="F843" s="347" t="str">
        <f>VLOOKUP($AA843,[3]주!$A:$F,6,FALSE)</f>
        <v>3월 2주</v>
      </c>
      <c r="G843" s="7">
        <f t="shared" si="256"/>
        <v>1</v>
      </c>
      <c r="H843" s="7" t="str">
        <f t="shared" si="257"/>
        <v>14FW_URBAN SWAGGER_JUMPER_02_BK</v>
      </c>
      <c r="I843" s="7">
        <f t="shared" si="258"/>
        <v>1</v>
      </c>
      <c r="J843" s="7" t="str">
        <f t="shared" si="259"/>
        <v>대경14FW_URBAN SWAGGER_JUMPER_02_BK</v>
      </c>
      <c r="K843" s="17">
        <f t="shared" si="260"/>
        <v>41737</v>
      </c>
      <c r="L843" s="12" t="str">
        <f t="shared" si="261"/>
        <v>201404</v>
      </c>
      <c r="M843" s="347" t="str">
        <f>VLOOKUP($K843,[3]주!$A:$F,6,FALSE)</f>
        <v>3월 2주</v>
      </c>
      <c r="N843" s="273" t="str">
        <f>IF(VLOOKUP($Z843,생산업체!$A:$C,2,FALSE)=1,"해외","국내")</f>
        <v>해외</v>
      </c>
      <c r="O843" s="12" t="str">
        <f>IF(VLOOKUP($U843,CODE!$K:$P,CODE!P$1,FALSE)="모자",T843,T843&amp;"-"&amp;VLOOKUP($U843,CODE!$K:$P,CODE!P$1,FALSE))</f>
        <v>URB-의류</v>
      </c>
      <c r="P843" s="11" t="s">
        <v>1893</v>
      </c>
      <c r="R843" s="11">
        <v>110</v>
      </c>
      <c r="T843" s="8" t="s">
        <v>1101</v>
      </c>
      <c r="U843" s="8" t="s">
        <v>26</v>
      </c>
      <c r="V843" s="8" t="s">
        <v>43</v>
      </c>
      <c r="W843" s="8" t="s">
        <v>1901</v>
      </c>
      <c r="X843" s="8" t="s">
        <v>900</v>
      </c>
      <c r="Y843" s="9">
        <v>1</v>
      </c>
      <c r="Z843" s="8" t="s">
        <v>1401</v>
      </c>
      <c r="AA843" s="10">
        <v>41716</v>
      </c>
      <c r="AB843" s="10">
        <v>41744</v>
      </c>
      <c r="AC843" s="10">
        <v>41740</v>
      </c>
      <c r="AD843" s="10">
        <v>41737</v>
      </c>
      <c r="AE843" s="8">
        <v>39.5</v>
      </c>
    </row>
    <row r="844" spans="1:36">
      <c r="A844" s="7">
        <f t="shared" si="251"/>
        <v>1</v>
      </c>
      <c r="B844" s="7" t="str">
        <f t="shared" si="252"/>
        <v>14FW_PLAYBOY_JUMPER _01_BK</v>
      </c>
      <c r="C844" s="7">
        <f t="shared" si="253"/>
        <v>1</v>
      </c>
      <c r="D844" s="7" t="str">
        <f t="shared" si="254"/>
        <v>대경14FW_PLAYBOY_JUMPER _01_BK</v>
      </c>
      <c r="E844" s="12" t="str">
        <f t="shared" si="255"/>
        <v>201403</v>
      </c>
      <c r="F844" s="347" t="str">
        <f>VLOOKUP($AA844,[3]주!$A:$F,6,FALSE)</f>
        <v>3월 2주</v>
      </c>
      <c r="G844" s="7">
        <f t="shared" si="256"/>
        <v>1</v>
      </c>
      <c r="H844" s="7" t="str">
        <f t="shared" si="257"/>
        <v>14FW_PLAYBOY_JUMPER _01_BK</v>
      </c>
      <c r="I844" s="7">
        <f t="shared" si="258"/>
        <v>1</v>
      </c>
      <c r="J844" s="7" t="str">
        <f t="shared" si="259"/>
        <v>대경14FW_PLAYBOY_JUMPER _01_BK</v>
      </c>
      <c r="K844" s="17">
        <f t="shared" si="260"/>
        <v>41737</v>
      </c>
      <c r="L844" s="12" t="str">
        <f t="shared" si="261"/>
        <v>201404</v>
      </c>
      <c r="M844" s="347" t="str">
        <f>VLOOKUP($K844,[3]주!$A:$F,6,FALSE)</f>
        <v>3월 2주</v>
      </c>
      <c r="N844" s="273" t="str">
        <f>IF(VLOOKUP($Z844,생산업체!$A:$C,2,FALSE)=1,"해외","국내")</f>
        <v>해외</v>
      </c>
      <c r="O844" s="12" t="str">
        <f>IF(VLOOKUP($U844,CODE!$K:$P,CODE!P$1,FALSE)="모자",T844,T844&amp;"-"&amp;VLOOKUP($U844,CODE!$K:$P,CODE!P$1,FALSE))</f>
        <v>PLA-의류</v>
      </c>
      <c r="P844" s="11" t="s">
        <v>786</v>
      </c>
      <c r="R844" s="11">
        <v>111</v>
      </c>
      <c r="T844" s="8" t="s">
        <v>61</v>
      </c>
      <c r="U844" s="8" t="s">
        <v>26</v>
      </c>
      <c r="V844" s="8" t="s">
        <v>43</v>
      </c>
      <c r="W844" s="8" t="s">
        <v>1902</v>
      </c>
      <c r="X844" s="8" t="s">
        <v>900</v>
      </c>
      <c r="Y844" s="9">
        <v>1</v>
      </c>
      <c r="Z844" s="8" t="s">
        <v>1401</v>
      </c>
      <c r="AA844" s="10">
        <v>41716</v>
      </c>
      <c r="AB844" s="10">
        <v>41744</v>
      </c>
      <c r="AC844" s="10">
        <v>41740</v>
      </c>
      <c r="AD844" s="10">
        <v>41737</v>
      </c>
      <c r="AE844" s="8">
        <v>44.75</v>
      </c>
    </row>
    <row r="845" spans="1:36">
      <c r="A845" s="7">
        <f t="shared" si="251"/>
        <v>1</v>
      </c>
      <c r="B845" s="7" t="str">
        <f t="shared" si="252"/>
        <v>14FW_PLAYBOY_JUMPER _02_BK</v>
      </c>
      <c r="C845" s="7">
        <f t="shared" si="253"/>
        <v>1</v>
      </c>
      <c r="D845" s="7" t="str">
        <f t="shared" si="254"/>
        <v>대경14FW_PLAYBOY_JUMPER _02_BK</v>
      </c>
      <c r="E845" s="12" t="str">
        <f t="shared" si="255"/>
        <v>201403</v>
      </c>
      <c r="F845" s="347" t="str">
        <f>VLOOKUP($AA845,[3]주!$A:$F,6,FALSE)</f>
        <v>3월 2주</v>
      </c>
      <c r="G845" s="7">
        <f t="shared" si="256"/>
        <v>1</v>
      </c>
      <c r="H845" s="7" t="str">
        <f t="shared" si="257"/>
        <v>14FW_PLAYBOY_JUMPER _02_BK</v>
      </c>
      <c r="I845" s="7">
        <f t="shared" si="258"/>
        <v>1</v>
      </c>
      <c r="J845" s="7" t="str">
        <f t="shared" si="259"/>
        <v>대경14FW_PLAYBOY_JUMPER _02_BK</v>
      </c>
      <c r="K845" s="17">
        <f t="shared" si="260"/>
        <v>41737</v>
      </c>
      <c r="L845" s="12" t="str">
        <f t="shared" si="261"/>
        <v>201404</v>
      </c>
      <c r="M845" s="347" t="str">
        <f>VLOOKUP($K845,[3]주!$A:$F,6,FALSE)</f>
        <v>3월 2주</v>
      </c>
      <c r="N845" s="273" t="str">
        <f>IF(VLOOKUP($Z845,생산업체!$A:$C,2,FALSE)=1,"해외","국내")</f>
        <v>해외</v>
      </c>
      <c r="O845" s="12" t="str">
        <f>IF(VLOOKUP($U845,CODE!$K:$P,CODE!P$1,FALSE)="모자",T845,T845&amp;"-"&amp;VLOOKUP($U845,CODE!$K:$P,CODE!P$1,FALSE))</f>
        <v>PLA-의류</v>
      </c>
      <c r="P845" s="11" t="s">
        <v>786</v>
      </c>
      <c r="R845" s="11">
        <v>112</v>
      </c>
      <c r="T845" s="8" t="s">
        <v>61</v>
      </c>
      <c r="U845" s="8" t="s">
        <v>26</v>
      </c>
      <c r="V845" s="8" t="s">
        <v>43</v>
      </c>
      <c r="W845" s="8" t="s">
        <v>1903</v>
      </c>
      <c r="X845" s="8" t="s">
        <v>900</v>
      </c>
      <c r="Y845" s="9">
        <v>1</v>
      </c>
      <c r="Z845" s="8" t="s">
        <v>1401</v>
      </c>
      <c r="AA845" s="10">
        <v>41716</v>
      </c>
      <c r="AB845" s="10">
        <v>41744</v>
      </c>
      <c r="AC845" s="10">
        <v>41740</v>
      </c>
      <c r="AD845" s="10">
        <v>41737</v>
      </c>
      <c r="AE845" s="8">
        <v>58.5</v>
      </c>
    </row>
    <row r="846" spans="1:36">
      <c r="A846" s="7">
        <f t="shared" si="251"/>
        <v>1</v>
      </c>
      <c r="B846" s="7" t="str">
        <f t="shared" si="252"/>
        <v>14FW_PLAYBOY_JUMPER_03_BK</v>
      </c>
      <c r="C846" s="7">
        <f t="shared" si="253"/>
        <v>1</v>
      </c>
      <c r="D846" s="7" t="str">
        <f t="shared" si="254"/>
        <v>대경14FW_PLAYBOY_JUMPER_03_BK</v>
      </c>
      <c r="E846" s="12" t="str">
        <f t="shared" si="255"/>
        <v>201403</v>
      </c>
      <c r="F846" s="347" t="str">
        <f>VLOOKUP($AA846,[3]주!$A:$F,6,FALSE)</f>
        <v>3월 2주</v>
      </c>
      <c r="G846" s="7">
        <f t="shared" si="256"/>
        <v>1</v>
      </c>
      <c r="H846" s="7" t="str">
        <f t="shared" si="257"/>
        <v>14FW_PLAYBOY_JUMPER_03_BK</v>
      </c>
      <c r="I846" s="7">
        <f t="shared" si="258"/>
        <v>1</v>
      </c>
      <c r="J846" s="7" t="str">
        <f t="shared" si="259"/>
        <v>대경14FW_PLAYBOY_JUMPER_03_BK</v>
      </c>
      <c r="K846" s="17">
        <f t="shared" si="260"/>
        <v>41737</v>
      </c>
      <c r="L846" s="12" t="str">
        <f t="shared" si="261"/>
        <v>201404</v>
      </c>
      <c r="M846" s="347" t="str">
        <f>VLOOKUP($K846,[3]주!$A:$F,6,FALSE)</f>
        <v>3월 2주</v>
      </c>
      <c r="N846" s="273" t="str">
        <f>IF(VLOOKUP($Z846,생산업체!$A:$C,2,FALSE)=1,"해외","국내")</f>
        <v>해외</v>
      </c>
      <c r="O846" s="12" t="str">
        <f>IF(VLOOKUP($U846,CODE!$K:$P,CODE!P$1,FALSE)="모자",T846,T846&amp;"-"&amp;VLOOKUP($U846,CODE!$K:$P,CODE!P$1,FALSE))</f>
        <v>PLA-의류</v>
      </c>
      <c r="P846" s="11" t="s">
        <v>786</v>
      </c>
      <c r="R846" s="11">
        <v>113</v>
      </c>
      <c r="T846" s="8" t="s">
        <v>61</v>
      </c>
      <c r="U846" s="8" t="s">
        <v>26</v>
      </c>
      <c r="V846" s="8" t="s">
        <v>43</v>
      </c>
      <c r="W846" s="8" t="s">
        <v>1904</v>
      </c>
      <c r="X846" s="8" t="s">
        <v>900</v>
      </c>
      <c r="Y846" s="9">
        <v>1</v>
      </c>
      <c r="Z846" s="8" t="s">
        <v>1401</v>
      </c>
      <c r="AA846" s="10">
        <v>41716</v>
      </c>
      <c r="AB846" s="10">
        <v>41744</v>
      </c>
      <c r="AC846" s="10">
        <v>41740</v>
      </c>
      <c r="AD846" s="10">
        <v>41737</v>
      </c>
      <c r="AE846" s="8">
        <v>33.5</v>
      </c>
    </row>
    <row r="847" spans="1:36">
      <c r="A847" s="7">
        <f t="shared" si="251"/>
        <v>1</v>
      </c>
      <c r="B847" s="7" t="str">
        <f t="shared" si="252"/>
        <v>14FW_ELSTINKO_VEST_RED_01_KIDS</v>
      </c>
      <c r="C847" s="7">
        <f t="shared" si="253"/>
        <v>1</v>
      </c>
      <c r="D847" s="7" t="str">
        <f t="shared" si="254"/>
        <v>대경14FW_ELSTINKO_VEST_RED_01_KIDS</v>
      </c>
      <c r="E847" s="12" t="str">
        <f t="shared" si="255"/>
        <v>201403</v>
      </c>
      <c r="F847" s="347" t="str">
        <f>VLOOKUP($AA847,[3]주!$A:$F,6,FALSE)</f>
        <v>3월 2주</v>
      </c>
      <c r="G847" s="7">
        <f t="shared" si="256"/>
        <v>1</v>
      </c>
      <c r="H847" s="7" t="str">
        <f t="shared" si="257"/>
        <v>14FW_ELSTINKO_VEST_RED_01_KIDS</v>
      </c>
      <c r="I847" s="7">
        <f t="shared" si="258"/>
        <v>1</v>
      </c>
      <c r="J847" s="7" t="str">
        <f t="shared" si="259"/>
        <v>대경14FW_ELSTINKO_VEST_RED_01_KIDS</v>
      </c>
      <c r="K847" s="17">
        <f t="shared" si="260"/>
        <v>41737</v>
      </c>
      <c r="L847" s="12" t="str">
        <f t="shared" si="261"/>
        <v>201404</v>
      </c>
      <c r="M847" s="347" t="str">
        <f>VLOOKUP($K847,[3]주!$A:$F,6,FALSE)</f>
        <v>3월 2주</v>
      </c>
      <c r="N847" s="273" t="str">
        <f>IF(VLOOKUP($Z847,생산업체!$A:$C,2,FALSE)=1,"해외","국내")</f>
        <v>해외</v>
      </c>
      <c r="O847" s="12" t="str">
        <f>IF(VLOOKUP($U847,CODE!$K:$P,CODE!P$1,FALSE)="모자",T847,T847&amp;"-"&amp;VLOOKUP($U847,CODE!$K:$P,CODE!P$1,FALSE))</f>
        <v>ELS-의류</v>
      </c>
      <c r="P847" s="11" t="s">
        <v>41</v>
      </c>
      <c r="R847" s="11">
        <v>114</v>
      </c>
      <c r="T847" s="8" t="s">
        <v>3</v>
      </c>
      <c r="U847" s="8" t="s">
        <v>1976</v>
      </c>
      <c r="V847" s="8" t="s">
        <v>43</v>
      </c>
      <c r="W847" s="8" t="s">
        <v>1944</v>
      </c>
      <c r="X847" s="8" t="s">
        <v>905</v>
      </c>
      <c r="Y847" s="9">
        <v>1</v>
      </c>
      <c r="Z847" s="8" t="s">
        <v>1401</v>
      </c>
      <c r="AA847" s="10">
        <v>41718</v>
      </c>
      <c r="AB847" s="10">
        <v>41746</v>
      </c>
      <c r="AC847" s="10">
        <v>41740</v>
      </c>
      <c r="AD847" s="10">
        <v>41737</v>
      </c>
      <c r="AE847" s="8">
        <v>21.2</v>
      </c>
      <c r="AG847" s="8" t="s">
        <v>1945</v>
      </c>
    </row>
    <row r="848" spans="1:36">
      <c r="A848" s="7">
        <f t="shared" si="251"/>
        <v>1</v>
      </c>
      <c r="B848" s="7" t="str">
        <f t="shared" si="252"/>
        <v>14FW ELSTINKO_ 
ROMPER_01_GRAY_BABY</v>
      </c>
      <c r="C848" s="7">
        <f t="shared" si="253"/>
        <v>1</v>
      </c>
      <c r="D848" s="7" t="str">
        <f t="shared" si="254"/>
        <v>아트인드림14FW ELSTINKO_ 
ROMPER_01_GRAY_BABY</v>
      </c>
      <c r="E848" s="12" t="str">
        <f t="shared" si="255"/>
        <v>201403</v>
      </c>
      <c r="F848" s="347" t="str">
        <f>VLOOKUP($AA848,[3]주!$A:$F,6,FALSE)</f>
        <v>3월 2주</v>
      </c>
      <c r="G848" s="7">
        <f t="shared" si="256"/>
        <v>1</v>
      </c>
      <c r="H848" s="7" t="str">
        <f t="shared" si="257"/>
        <v>14FW ELSTINKO_ 
ROMPER_01_GRAY_BABY</v>
      </c>
      <c r="I848" s="7">
        <f t="shared" si="258"/>
        <v>1</v>
      </c>
      <c r="J848" s="7" t="str">
        <f t="shared" si="259"/>
        <v>아트인드림14FW ELSTINKO_ 
ROMPER_01_GRAY_BABY</v>
      </c>
      <c r="K848" s="17">
        <f t="shared" si="260"/>
        <v>41736</v>
      </c>
      <c r="L848" s="12" t="str">
        <f t="shared" si="261"/>
        <v>201404</v>
      </c>
      <c r="M848" s="347" t="str">
        <f>VLOOKUP($K848,[3]주!$A:$F,6,FALSE)</f>
        <v>3월 2주</v>
      </c>
      <c r="N848" s="273" t="str">
        <f>IF(VLOOKUP($Z848,생산업체!$A:$C,2,FALSE)=1,"해외","국내")</f>
        <v>국내</v>
      </c>
      <c r="O848" s="12" t="str">
        <f>IF(VLOOKUP($U848,CODE!$K:$P,CODE!P$1,FALSE)="모자",T848,T848&amp;"-"&amp;VLOOKUP($U848,CODE!$K:$P,CODE!P$1,FALSE))</f>
        <v>ELS-의류</v>
      </c>
      <c r="P848" s="11" t="s">
        <v>41</v>
      </c>
      <c r="R848" s="11">
        <v>115</v>
      </c>
      <c r="T848" s="8" t="s">
        <v>3</v>
      </c>
      <c r="U848" s="8" t="s">
        <v>1946</v>
      </c>
      <c r="V848" s="8" t="s">
        <v>43</v>
      </c>
      <c r="W848" s="8" t="s">
        <v>1947</v>
      </c>
      <c r="X848" s="8" t="s">
        <v>905</v>
      </c>
      <c r="Y848" s="9">
        <v>1</v>
      </c>
      <c r="Z848" s="8" t="s">
        <v>1409</v>
      </c>
      <c r="AA848" s="10">
        <v>41719</v>
      </c>
      <c r="AB848" s="10">
        <v>41740</v>
      </c>
      <c r="AC848" s="10">
        <v>41740</v>
      </c>
      <c r="AD848" s="10">
        <v>41736</v>
      </c>
    </row>
    <row r="849" spans="1:36">
      <c r="A849" s="7">
        <f t="shared" si="251"/>
        <v>1</v>
      </c>
      <c r="B849" s="7" t="str">
        <f t="shared" si="252"/>
        <v>14FW_ELSTINKO_
ROMPER_02_STAR_BABY</v>
      </c>
      <c r="C849" s="7">
        <f t="shared" si="253"/>
        <v>1</v>
      </c>
      <c r="D849" s="7" t="str">
        <f t="shared" si="254"/>
        <v>아트인드림14FW_ELSTINKO_
ROMPER_02_STAR_BABY</v>
      </c>
      <c r="E849" s="12" t="str">
        <f t="shared" si="255"/>
        <v>201403</v>
      </c>
      <c r="F849" s="347" t="str">
        <f>VLOOKUP($AA849,[3]주!$A:$F,6,FALSE)</f>
        <v>3월 2주</v>
      </c>
      <c r="G849" s="7">
        <f t="shared" si="256"/>
        <v>1</v>
      </c>
      <c r="H849" s="7" t="str">
        <f t="shared" si="257"/>
        <v>14FW_ELSTINKO_
ROMPER_02_STAR_BABY</v>
      </c>
      <c r="I849" s="7">
        <f t="shared" si="258"/>
        <v>1</v>
      </c>
      <c r="J849" s="7" t="str">
        <f t="shared" si="259"/>
        <v>아트인드림14FW_ELSTINKO_
ROMPER_02_STAR_BABY</v>
      </c>
      <c r="K849" s="17">
        <f t="shared" si="260"/>
        <v>41736</v>
      </c>
      <c r="L849" s="12" t="str">
        <f t="shared" si="261"/>
        <v>201404</v>
      </c>
      <c r="M849" s="347" t="str">
        <f>VLOOKUP($K849,[3]주!$A:$F,6,FALSE)</f>
        <v>3월 2주</v>
      </c>
      <c r="N849" s="273" t="str">
        <f>IF(VLOOKUP($Z849,생산업체!$A:$C,2,FALSE)=1,"해외","국내")</f>
        <v>국내</v>
      </c>
      <c r="O849" s="12" t="str">
        <f>IF(VLOOKUP($U849,CODE!$K:$P,CODE!P$1,FALSE)="모자",T849,T849&amp;"-"&amp;VLOOKUP($U849,CODE!$K:$P,CODE!P$1,FALSE))</f>
        <v>ELS-의류</v>
      </c>
      <c r="P849" s="11" t="s">
        <v>41</v>
      </c>
      <c r="R849" s="11">
        <v>116</v>
      </c>
      <c r="T849" s="8" t="s">
        <v>3</v>
      </c>
      <c r="U849" s="8" t="s">
        <v>1946</v>
      </c>
      <c r="V849" s="8" t="s">
        <v>43</v>
      </c>
      <c r="W849" s="8" t="s">
        <v>1948</v>
      </c>
      <c r="X849" s="8" t="s">
        <v>905</v>
      </c>
      <c r="Y849" s="9">
        <v>1</v>
      </c>
      <c r="Z849" s="8" t="s">
        <v>1409</v>
      </c>
      <c r="AA849" s="10">
        <v>41719</v>
      </c>
      <c r="AB849" s="10">
        <v>41740</v>
      </c>
      <c r="AC849" s="10">
        <v>41740</v>
      </c>
      <c r="AD849" s="10">
        <v>41736</v>
      </c>
    </row>
    <row r="850" spans="1:36">
      <c r="A850" s="7">
        <f t="shared" si="251"/>
        <v>1</v>
      </c>
      <c r="B850" s="7" t="str">
        <f t="shared" si="252"/>
        <v>14FW_ELSTINKO_
ROMPER_03_DOT_BABY</v>
      </c>
      <c r="C850" s="7">
        <f t="shared" si="253"/>
        <v>1</v>
      </c>
      <c r="D850" s="7" t="str">
        <f t="shared" si="254"/>
        <v>아트인드림14FW_ELSTINKO_
ROMPER_03_DOT_BABY</v>
      </c>
      <c r="E850" s="12" t="str">
        <f t="shared" si="255"/>
        <v>201403</v>
      </c>
      <c r="F850" s="347" t="str">
        <f>VLOOKUP($AA850,[3]주!$A:$F,6,FALSE)</f>
        <v>3월 2주</v>
      </c>
      <c r="G850" s="7">
        <f t="shared" si="256"/>
        <v>1</v>
      </c>
      <c r="H850" s="7" t="str">
        <f t="shared" si="257"/>
        <v>14FW_ELSTINKO_
ROMPER_03_DOT_BABY</v>
      </c>
      <c r="I850" s="7">
        <f t="shared" si="258"/>
        <v>1</v>
      </c>
      <c r="J850" s="7" t="str">
        <f t="shared" si="259"/>
        <v>아트인드림14FW_ELSTINKO_
ROMPER_03_DOT_BABY</v>
      </c>
      <c r="K850" s="17">
        <f t="shared" si="260"/>
        <v>41736</v>
      </c>
      <c r="L850" s="12" t="str">
        <f t="shared" si="261"/>
        <v>201404</v>
      </c>
      <c r="M850" s="347" t="str">
        <f>VLOOKUP($K850,[3]주!$A:$F,6,FALSE)</f>
        <v>3월 2주</v>
      </c>
      <c r="N850" s="273" t="str">
        <f>IF(VLOOKUP($Z850,생산업체!$A:$C,2,FALSE)=1,"해외","국내")</f>
        <v>국내</v>
      </c>
      <c r="O850" s="12" t="str">
        <f>IF(VLOOKUP($U850,CODE!$K:$P,CODE!P$1,FALSE)="모자",T850,T850&amp;"-"&amp;VLOOKUP($U850,CODE!$K:$P,CODE!P$1,FALSE))</f>
        <v>ELS-의류</v>
      </c>
      <c r="P850" s="11" t="s">
        <v>41</v>
      </c>
      <c r="R850" s="11">
        <v>117</v>
      </c>
      <c r="T850" s="8" t="s">
        <v>3</v>
      </c>
      <c r="U850" s="8" t="s">
        <v>1946</v>
      </c>
      <c r="V850" s="8" t="s">
        <v>43</v>
      </c>
      <c r="W850" s="8" t="s">
        <v>1949</v>
      </c>
      <c r="X850" s="8" t="s">
        <v>905</v>
      </c>
      <c r="Y850" s="9">
        <v>1</v>
      </c>
      <c r="Z850" s="8" t="s">
        <v>1409</v>
      </c>
      <c r="AA850" s="10">
        <v>41719</v>
      </c>
      <c r="AB850" s="10">
        <v>41740</v>
      </c>
      <c r="AC850" s="10">
        <v>41740</v>
      </c>
      <c r="AD850" s="10">
        <v>41736</v>
      </c>
    </row>
    <row r="851" spans="1:36">
      <c r="A851" s="7">
        <f t="shared" si="251"/>
        <v>1</v>
      </c>
      <c r="B851" s="7" t="str">
        <f t="shared" si="252"/>
        <v>14FW_ELSTINKO_
ROMPER_04_ZEBRA_BABY</v>
      </c>
      <c r="C851" s="7">
        <f t="shared" si="253"/>
        <v>1</v>
      </c>
      <c r="D851" s="7" t="str">
        <f t="shared" si="254"/>
        <v>아트인드림14FW_ELSTINKO_
ROMPER_04_ZEBRA_BABY</v>
      </c>
      <c r="E851" s="12" t="str">
        <f t="shared" si="255"/>
        <v>201403</v>
      </c>
      <c r="F851" s="347" t="str">
        <f>VLOOKUP($AA851,[3]주!$A:$F,6,FALSE)</f>
        <v>3월 2주</v>
      </c>
      <c r="G851" s="7">
        <f t="shared" si="256"/>
        <v>1</v>
      </c>
      <c r="H851" s="7" t="str">
        <f t="shared" si="257"/>
        <v>14FW_ELSTINKO_
ROMPER_04_ZEBRA_BABY</v>
      </c>
      <c r="I851" s="7">
        <f t="shared" si="258"/>
        <v>1</v>
      </c>
      <c r="J851" s="7" t="str">
        <f t="shared" si="259"/>
        <v>아트인드림14FW_ELSTINKO_
ROMPER_04_ZEBRA_BABY</v>
      </c>
      <c r="K851" s="17">
        <f t="shared" si="260"/>
        <v>41736</v>
      </c>
      <c r="L851" s="12" t="str">
        <f t="shared" si="261"/>
        <v>201404</v>
      </c>
      <c r="M851" s="347" t="str">
        <f>VLOOKUP($K851,[3]주!$A:$F,6,FALSE)</f>
        <v>3월 2주</v>
      </c>
      <c r="N851" s="273" t="str">
        <f>IF(VLOOKUP($Z851,생산업체!$A:$C,2,FALSE)=1,"해외","국내")</f>
        <v>국내</v>
      </c>
      <c r="O851" s="12" t="str">
        <f>IF(VLOOKUP($U851,CODE!$K:$P,CODE!P$1,FALSE)="모자",T851,T851&amp;"-"&amp;VLOOKUP($U851,CODE!$K:$P,CODE!P$1,FALSE))</f>
        <v>ELS-의류</v>
      </c>
      <c r="P851" s="11" t="s">
        <v>41</v>
      </c>
      <c r="R851" s="11">
        <v>118</v>
      </c>
      <c r="T851" s="8" t="s">
        <v>3</v>
      </c>
      <c r="U851" s="8" t="s">
        <v>1946</v>
      </c>
      <c r="V851" s="8" t="s">
        <v>43</v>
      </c>
      <c r="W851" s="8" t="s">
        <v>1950</v>
      </c>
      <c r="X851" s="8" t="s">
        <v>905</v>
      </c>
      <c r="Y851" s="9">
        <v>1</v>
      </c>
      <c r="Z851" s="8" t="s">
        <v>1409</v>
      </c>
      <c r="AA851" s="10">
        <v>41719</v>
      </c>
      <c r="AB851" s="10">
        <v>41740</v>
      </c>
      <c r="AC851" s="10">
        <v>41740</v>
      </c>
      <c r="AD851" s="10">
        <v>41736</v>
      </c>
    </row>
    <row r="852" spans="1:36">
      <c r="A852" s="7">
        <f t="shared" si="251"/>
        <v>1</v>
      </c>
      <c r="B852" s="7" t="str">
        <f t="shared" si="252"/>
        <v>14FW_ELSTINKO_ROMPER_05_EBONY_BABY</v>
      </c>
      <c r="C852" s="7">
        <f t="shared" si="253"/>
        <v>1</v>
      </c>
      <c r="D852" s="7" t="str">
        <f t="shared" si="254"/>
        <v>대경14FW_ELSTINKO_ROMPER_05_EBONY_BABY</v>
      </c>
      <c r="E852" s="12" t="str">
        <f t="shared" si="255"/>
        <v>201403</v>
      </c>
      <c r="F852" s="347" t="str">
        <f>VLOOKUP($AA852,[3]주!$A:$F,6,FALSE)</f>
        <v>3월 2주</v>
      </c>
      <c r="G852" s="7">
        <f t="shared" si="256"/>
        <v>1</v>
      </c>
      <c r="H852" s="7" t="str">
        <f t="shared" si="257"/>
        <v>14FW_ELSTINKO_ROMPER_05_EBONY_BABY</v>
      </c>
      <c r="I852" s="7">
        <f t="shared" si="258"/>
        <v>1</v>
      </c>
      <c r="J852" s="7" t="str">
        <f t="shared" si="259"/>
        <v>대경14FW_ELSTINKO_ROMPER_05_EBONY_BABY</v>
      </c>
      <c r="K852" s="17">
        <f t="shared" si="260"/>
        <v>41743</v>
      </c>
      <c r="L852" s="12" t="str">
        <f t="shared" si="261"/>
        <v>201404</v>
      </c>
      <c r="M852" s="347" t="str">
        <f>VLOOKUP($K852,[3]주!$A:$F,6,FALSE)</f>
        <v>3월 2주</v>
      </c>
      <c r="N852" s="273" t="str">
        <f>IF(VLOOKUP($Z852,생산업체!$A:$C,2,FALSE)=1,"해외","국내")</f>
        <v>해외</v>
      </c>
      <c r="O852" s="12" t="str">
        <f>IF(VLOOKUP($U852,CODE!$K:$P,CODE!P$1,FALSE)="모자",T852,T852&amp;"-"&amp;VLOOKUP($U852,CODE!$K:$P,CODE!P$1,FALSE))</f>
        <v>ELS-의류</v>
      </c>
      <c r="P852" s="11" t="s">
        <v>41</v>
      </c>
      <c r="R852" s="11">
        <v>119</v>
      </c>
      <c r="T852" s="8" t="s">
        <v>3</v>
      </c>
      <c r="U852" s="8" t="s">
        <v>1946</v>
      </c>
      <c r="V852" s="8" t="s">
        <v>43</v>
      </c>
      <c r="W852" s="8" t="s">
        <v>1951</v>
      </c>
      <c r="X852" s="8" t="s">
        <v>905</v>
      </c>
      <c r="Y852" s="9">
        <v>1</v>
      </c>
      <c r="Z852" s="8" t="s">
        <v>1401</v>
      </c>
      <c r="AA852" s="10">
        <v>41719</v>
      </c>
      <c r="AB852" s="10">
        <v>41747</v>
      </c>
      <c r="AC852" s="10">
        <v>41750</v>
      </c>
      <c r="AD852" s="10">
        <v>41743</v>
      </c>
      <c r="AE852" s="8">
        <v>28</v>
      </c>
    </row>
    <row r="853" spans="1:36">
      <c r="A853" s="7">
        <f t="shared" si="251"/>
        <v>1</v>
      </c>
      <c r="B853" s="7" t="str">
        <f t="shared" si="252"/>
        <v>14FW - ELSTINKO - LG02- BK -KIDS</v>
      </c>
      <c r="C853" s="7">
        <f t="shared" si="253"/>
        <v>1</v>
      </c>
      <c r="D853" s="7" t="str">
        <f t="shared" si="254"/>
        <v>아트인드림14FW - ELSTINKO - LG02- BK -KIDS</v>
      </c>
      <c r="E853" s="12" t="str">
        <f t="shared" si="255"/>
        <v>201403</v>
      </c>
      <c r="F853" s="347" t="str">
        <f>VLOOKUP($AA853,[3]주!$A:$F,6,FALSE)</f>
        <v>3월 2주</v>
      </c>
      <c r="G853" s="7">
        <f t="shared" si="256"/>
        <v>1</v>
      </c>
      <c r="H853" s="7" t="str">
        <f t="shared" si="257"/>
        <v>14FW - ELSTINKO - LG02- BK -KIDS</v>
      </c>
      <c r="I853" s="7">
        <f t="shared" si="258"/>
        <v>1</v>
      </c>
      <c r="J853" s="7" t="str">
        <f t="shared" si="259"/>
        <v>아트인드림14FW - ELSTINKO - LG02- BK -KIDS</v>
      </c>
      <c r="K853" s="17">
        <f t="shared" si="260"/>
        <v>41736</v>
      </c>
      <c r="L853" s="12" t="str">
        <f t="shared" si="261"/>
        <v>201404</v>
      </c>
      <c r="M853" s="347" t="str">
        <f>VLOOKUP($K853,[3]주!$A:$F,6,FALSE)</f>
        <v>3월 2주</v>
      </c>
      <c r="N853" s="273" t="str">
        <f>IF(VLOOKUP($Z853,생산업체!$A:$C,2,FALSE)=1,"해외","국내")</f>
        <v>국내</v>
      </c>
      <c r="O853" s="12" t="str">
        <f>IF(VLOOKUP($U853,CODE!$K:$P,CODE!P$1,FALSE)="모자",T853,T853&amp;"-"&amp;VLOOKUP($U853,CODE!$K:$P,CODE!P$1,FALSE))</f>
        <v>ELS-의류</v>
      </c>
      <c r="P853" s="11" t="s">
        <v>41</v>
      </c>
      <c r="R853" s="11">
        <v>120</v>
      </c>
      <c r="T853" s="8" t="s">
        <v>3</v>
      </c>
      <c r="U853" s="8" t="s">
        <v>1789</v>
      </c>
      <c r="V853" s="8" t="s">
        <v>43</v>
      </c>
      <c r="W853" s="8" t="s">
        <v>1952</v>
      </c>
      <c r="X853" s="8" t="s">
        <v>905</v>
      </c>
      <c r="Y853" s="9">
        <v>1</v>
      </c>
      <c r="Z853" s="8" t="s">
        <v>1409</v>
      </c>
      <c r="AA853" s="10">
        <v>41722</v>
      </c>
      <c r="AB853" s="10">
        <v>41743</v>
      </c>
      <c r="AC853" s="10">
        <v>41750</v>
      </c>
      <c r="AD853" s="10">
        <v>41736</v>
      </c>
      <c r="AJ853" s="8" t="s">
        <v>2261</v>
      </c>
    </row>
    <row r="854" spans="1:36">
      <c r="A854" s="7">
        <f t="shared" si="251"/>
        <v>1</v>
      </c>
      <c r="B854" s="7" t="str">
        <f t="shared" si="252"/>
        <v>14FW - ELSTINKO - LG03- MI -KIDS</v>
      </c>
      <c r="C854" s="7">
        <f t="shared" si="253"/>
        <v>1</v>
      </c>
      <c r="D854" s="7" t="str">
        <f t="shared" si="254"/>
        <v>아트인드림14FW - ELSTINKO - LG03- MI -KIDS</v>
      </c>
      <c r="E854" s="12" t="str">
        <f t="shared" si="255"/>
        <v>201403</v>
      </c>
      <c r="F854" s="347" t="str">
        <f>VLOOKUP($AA854,[3]주!$A:$F,6,FALSE)</f>
        <v>3월 2주</v>
      </c>
      <c r="G854" s="7">
        <f t="shared" si="256"/>
        <v>1</v>
      </c>
      <c r="H854" s="7" t="str">
        <f t="shared" si="257"/>
        <v>14FW - ELSTINKO - LG03- MI -KIDS</v>
      </c>
      <c r="I854" s="7">
        <f t="shared" si="258"/>
        <v>1</v>
      </c>
      <c r="J854" s="7" t="str">
        <f t="shared" si="259"/>
        <v>아트인드림14FW - ELSTINKO - LG03- MI -KIDS</v>
      </c>
      <c r="K854" s="17">
        <f t="shared" si="260"/>
        <v>41736</v>
      </c>
      <c r="L854" s="12" t="str">
        <f t="shared" si="261"/>
        <v>201404</v>
      </c>
      <c r="M854" s="347" t="str">
        <f>VLOOKUP($K854,[3]주!$A:$F,6,FALSE)</f>
        <v>3월 2주</v>
      </c>
      <c r="N854" s="273" t="str">
        <f>IF(VLOOKUP($Z854,생산업체!$A:$C,2,FALSE)=1,"해외","국내")</f>
        <v>국내</v>
      </c>
      <c r="O854" s="12" t="str">
        <f>IF(VLOOKUP($U854,CODE!$K:$P,CODE!P$1,FALSE)="모자",T854,T854&amp;"-"&amp;VLOOKUP($U854,CODE!$K:$P,CODE!P$1,FALSE))</f>
        <v>ELS-의류</v>
      </c>
      <c r="P854" s="11" t="s">
        <v>41</v>
      </c>
      <c r="R854" s="11">
        <v>121</v>
      </c>
      <c r="T854" s="8" t="s">
        <v>3</v>
      </c>
      <c r="U854" s="8" t="s">
        <v>1789</v>
      </c>
      <c r="V854" s="8" t="s">
        <v>43</v>
      </c>
      <c r="W854" s="8" t="s">
        <v>1953</v>
      </c>
      <c r="X854" s="8" t="s">
        <v>905</v>
      </c>
      <c r="Y854" s="9">
        <v>1</v>
      </c>
      <c r="Z854" s="8" t="s">
        <v>1409</v>
      </c>
      <c r="AA854" s="10">
        <v>41722</v>
      </c>
      <c r="AB854" s="10">
        <v>41743</v>
      </c>
      <c r="AC854" s="10">
        <v>41750</v>
      </c>
      <c r="AD854" s="10">
        <v>41736</v>
      </c>
      <c r="AJ854" s="8" t="s">
        <v>2261</v>
      </c>
    </row>
    <row r="855" spans="1:36">
      <c r="A855" s="7">
        <f t="shared" si="251"/>
        <v>1</v>
      </c>
      <c r="B855" s="7" t="str">
        <f t="shared" si="252"/>
        <v>14FW - ELSTINKO - HZ04- WH -KIDS</v>
      </c>
      <c r="C855" s="7">
        <f t="shared" si="253"/>
        <v>1</v>
      </c>
      <c r="D855" s="7" t="str">
        <f t="shared" si="254"/>
        <v>EVERGREEN14FW - ELSTINKO - HZ04- WH -KIDS</v>
      </c>
      <c r="E855" s="12" t="str">
        <f t="shared" si="255"/>
        <v>201404</v>
      </c>
      <c r="F855" s="347" t="str">
        <f>VLOOKUP($AA855,[3]주!$A:$F,6,FALSE)</f>
        <v>3월 2주</v>
      </c>
      <c r="G855" s="7">
        <f t="shared" si="256"/>
        <v>1</v>
      </c>
      <c r="H855" s="7" t="str">
        <f t="shared" si="257"/>
        <v>14FW - ELSTINKO - HZ04- WH -KIDS</v>
      </c>
      <c r="I855" s="7">
        <f t="shared" si="258"/>
        <v>1</v>
      </c>
      <c r="J855" s="7" t="str">
        <f t="shared" si="259"/>
        <v>EVERGREEN14FW - ELSTINKO - HZ04- WH -KIDS</v>
      </c>
      <c r="K855" s="17">
        <f t="shared" si="260"/>
        <v>41739</v>
      </c>
      <c r="L855" s="12" t="str">
        <f t="shared" si="261"/>
        <v>201404</v>
      </c>
      <c r="M855" s="347" t="str">
        <f>VLOOKUP($K855,[3]주!$A:$F,6,FALSE)</f>
        <v>3월 2주</v>
      </c>
      <c r="N855" s="273" t="str">
        <f>IF(VLOOKUP($Z855,생산업체!$A:$C,2,FALSE)=1,"해외","국내")</f>
        <v>해외</v>
      </c>
      <c r="O855" s="12" t="str">
        <f>IF(VLOOKUP($U855,CODE!$K:$P,CODE!P$1,FALSE)="모자",T855,T855&amp;"-"&amp;VLOOKUP($U855,CODE!$K:$P,CODE!P$1,FALSE))</f>
        <v>ELS-의류</v>
      </c>
      <c r="P855" s="11" t="s">
        <v>41</v>
      </c>
      <c r="R855" s="11">
        <v>122</v>
      </c>
      <c r="T855" s="8" t="s">
        <v>3</v>
      </c>
      <c r="U855" s="8" t="s">
        <v>25</v>
      </c>
      <c r="V855" s="8" t="s">
        <v>43</v>
      </c>
      <c r="W855" s="8" t="s">
        <v>1954</v>
      </c>
      <c r="X855" s="8" t="s">
        <v>905</v>
      </c>
      <c r="Y855" s="9">
        <v>1</v>
      </c>
      <c r="Z855" s="8" t="s">
        <v>1497</v>
      </c>
      <c r="AA855" s="10">
        <v>41730</v>
      </c>
      <c r="AB855" s="10">
        <v>41758</v>
      </c>
      <c r="AC855" s="10">
        <v>41750</v>
      </c>
      <c r="AD855" s="10">
        <v>41739</v>
      </c>
      <c r="AJ855" s="8" t="s">
        <v>2262</v>
      </c>
    </row>
    <row r="856" spans="1:36">
      <c r="A856" s="7">
        <f t="shared" si="251"/>
        <v>0.5</v>
      </c>
      <c r="B856" s="7" t="str">
        <f t="shared" si="252"/>
        <v>14FW - ELSTINKO - HZ05- P4.N9 -KIDS</v>
      </c>
      <c r="C856" s="7">
        <f t="shared" si="253"/>
        <v>0.5</v>
      </c>
      <c r="D856" s="7" t="str">
        <f t="shared" si="254"/>
        <v>EVERGREEN14FW - ELSTINKO - HZ05- P4.N9 -KIDS</v>
      </c>
      <c r="E856" s="12" t="str">
        <f t="shared" si="255"/>
        <v>201404</v>
      </c>
      <c r="F856" s="347" t="str">
        <f>VLOOKUP($AA856,[3]주!$A:$F,6,FALSE)</f>
        <v>3월 2주</v>
      </c>
      <c r="G856" s="7">
        <f t="shared" si="256"/>
        <v>0.5</v>
      </c>
      <c r="H856" s="7" t="str">
        <f t="shared" si="257"/>
        <v>14FW - ELSTINKO - HZ05- P4.N9 -KIDS</v>
      </c>
      <c r="I856" s="7">
        <f t="shared" si="258"/>
        <v>0.5</v>
      </c>
      <c r="J856" s="7" t="str">
        <f t="shared" si="259"/>
        <v>EVERGREEN14FW - ELSTINKO - HZ05- P4.N9 -KIDS</v>
      </c>
      <c r="K856" s="17">
        <f t="shared" si="260"/>
        <v>41739</v>
      </c>
      <c r="L856" s="12" t="str">
        <f t="shared" si="261"/>
        <v>201404</v>
      </c>
      <c r="M856" s="347" t="str">
        <f>VLOOKUP($K856,[3]주!$A:$F,6,FALSE)</f>
        <v>3월 2주</v>
      </c>
      <c r="N856" s="273" t="str">
        <f>IF(VLOOKUP($Z856,생산업체!$A:$C,2,FALSE)=1,"해외","국내")</f>
        <v>해외</v>
      </c>
      <c r="O856" s="12" t="str">
        <f>IF(VLOOKUP($U856,CODE!$K:$P,CODE!P$1,FALSE)="모자",T856,T856&amp;"-"&amp;VLOOKUP($U856,CODE!$K:$P,CODE!P$1,FALSE))</f>
        <v>ELS-의류</v>
      </c>
      <c r="P856" s="11" t="s">
        <v>41</v>
      </c>
      <c r="R856" s="11">
        <v>123</v>
      </c>
      <c r="T856" s="8" t="s">
        <v>3</v>
      </c>
      <c r="U856" s="8" t="s">
        <v>25</v>
      </c>
      <c r="V856" s="8" t="s">
        <v>43</v>
      </c>
      <c r="W856" s="8" t="s">
        <v>1955</v>
      </c>
      <c r="X856" s="8" t="s">
        <v>905</v>
      </c>
      <c r="Y856" s="9">
        <v>0.5</v>
      </c>
      <c r="Z856" s="8" t="s">
        <v>1497</v>
      </c>
      <c r="AA856" s="10">
        <v>41730</v>
      </c>
      <c r="AB856" s="10">
        <v>41758</v>
      </c>
      <c r="AC856" s="10">
        <v>41750</v>
      </c>
      <c r="AD856" s="10">
        <v>41739</v>
      </c>
      <c r="AJ856" s="8" t="s">
        <v>2262</v>
      </c>
    </row>
    <row r="857" spans="1:36">
      <c r="A857" s="7">
        <f t="shared" si="251"/>
        <v>0.5</v>
      </c>
      <c r="B857" s="7" t="str">
        <f t="shared" si="252"/>
        <v>14FW - ELSTINKO - HZ05- P4.N9 -KIDS</v>
      </c>
      <c r="C857" s="7">
        <f t="shared" si="253"/>
        <v>0.5</v>
      </c>
      <c r="D857" s="7" t="str">
        <f t="shared" si="254"/>
        <v>EVERGREEN14FW - ELSTINKO - HZ05- P4.N9 -KIDS</v>
      </c>
      <c r="E857" s="12" t="str">
        <f t="shared" si="255"/>
        <v>201404</v>
      </c>
      <c r="F857" s="347" t="str">
        <f>VLOOKUP($AA857,[3]주!$A:$F,6,FALSE)</f>
        <v>3월 2주</v>
      </c>
      <c r="G857" s="7">
        <f t="shared" si="256"/>
        <v>0.5</v>
      </c>
      <c r="H857" s="7" t="str">
        <f t="shared" si="257"/>
        <v>14FW - ELSTINKO - HZ05- P4.N9 -KIDS</v>
      </c>
      <c r="I857" s="7">
        <f t="shared" si="258"/>
        <v>0.5</v>
      </c>
      <c r="J857" s="7" t="str">
        <f t="shared" si="259"/>
        <v>EVERGREEN14FW - ELSTINKO - HZ05- P4.N9 -KIDS</v>
      </c>
      <c r="K857" s="17">
        <f t="shared" si="260"/>
        <v>41739</v>
      </c>
      <c r="L857" s="12" t="str">
        <f t="shared" si="261"/>
        <v>201404</v>
      </c>
      <c r="M857" s="347" t="str">
        <f>VLOOKUP($K857,[3]주!$A:$F,6,FALSE)</f>
        <v>3월 2주</v>
      </c>
      <c r="N857" s="273" t="str">
        <f>IF(VLOOKUP($Z857,생산업체!$A:$C,2,FALSE)=1,"해외","국내")</f>
        <v>해외</v>
      </c>
      <c r="O857" s="12" t="str">
        <f>IF(VLOOKUP($U857,CODE!$K:$P,CODE!P$1,FALSE)="모자",T857,T857&amp;"-"&amp;VLOOKUP($U857,CODE!$K:$P,CODE!P$1,FALSE))</f>
        <v>ELS-의류</v>
      </c>
      <c r="P857" s="11" t="s">
        <v>41</v>
      </c>
      <c r="R857" s="11">
        <v>124</v>
      </c>
      <c r="T857" s="8" t="s">
        <v>3</v>
      </c>
      <c r="U857" s="8" t="s">
        <v>25</v>
      </c>
      <c r="V857" s="8" t="s">
        <v>43</v>
      </c>
      <c r="W857" s="8" t="s">
        <v>1955</v>
      </c>
      <c r="X857" s="8" t="s">
        <v>905</v>
      </c>
      <c r="Y857" s="9">
        <v>0.5</v>
      </c>
      <c r="Z857" s="8" t="s">
        <v>1497</v>
      </c>
      <c r="AA857" s="10">
        <v>41730</v>
      </c>
      <c r="AB857" s="10">
        <v>41758</v>
      </c>
      <c r="AC857" s="10">
        <v>41750</v>
      </c>
      <c r="AD857" s="10">
        <v>41739</v>
      </c>
      <c r="AJ857" s="8" t="s">
        <v>2262</v>
      </c>
    </row>
    <row r="858" spans="1:36">
      <c r="A858" s="7">
        <f t="shared" si="251"/>
        <v>1</v>
      </c>
      <c r="B858" s="7" t="str">
        <f t="shared" si="252"/>
        <v>14FW_PLAYBOY_
HOODZIP _04_BK</v>
      </c>
      <c r="C858" s="7">
        <f t="shared" si="253"/>
        <v>1</v>
      </c>
      <c r="D858" s="7" t="str">
        <f t="shared" si="254"/>
        <v>대경14FW_PLAYBOY_
HOODZIP _04_BK</v>
      </c>
      <c r="E858" s="12" t="str">
        <f t="shared" si="255"/>
        <v>201404</v>
      </c>
      <c r="F858" s="347" t="str">
        <f>VLOOKUP($AA858,[3]주!$A:$F,6,FALSE)</f>
        <v>3월 2주</v>
      </c>
      <c r="G858" s="7">
        <f t="shared" si="256"/>
        <v>1</v>
      </c>
      <c r="H858" s="7" t="str">
        <f t="shared" si="257"/>
        <v>14FW_PLAYBOY_
HOODZIP _04_BK</v>
      </c>
      <c r="I858" s="7">
        <f t="shared" si="258"/>
        <v>1</v>
      </c>
      <c r="J858" s="7" t="str">
        <f t="shared" si="259"/>
        <v>대경14FW_PLAYBOY_
HOODZIP _04_BK</v>
      </c>
      <c r="K858" s="17">
        <f t="shared" si="260"/>
        <v>41743</v>
      </c>
      <c r="L858" s="12" t="str">
        <f t="shared" si="261"/>
        <v>201404</v>
      </c>
      <c r="M858" s="347" t="str">
        <f>VLOOKUP($K858,[3]주!$A:$F,6,FALSE)</f>
        <v>3월 2주</v>
      </c>
      <c r="N858" s="273" t="str">
        <f>IF(VLOOKUP($Z858,생산업체!$A:$C,2,FALSE)=1,"해외","국내")</f>
        <v>해외</v>
      </c>
      <c r="O858" s="12" t="str">
        <f>IF(VLOOKUP($U858,CODE!$K:$P,CODE!P$1,FALSE)="모자",T858,T858&amp;"-"&amp;VLOOKUP($U858,CODE!$K:$P,CODE!P$1,FALSE))</f>
        <v>PLA-의류</v>
      </c>
      <c r="P858" s="11" t="s">
        <v>786</v>
      </c>
      <c r="R858" s="11">
        <v>125</v>
      </c>
      <c r="T858" s="8" t="s">
        <v>61</v>
      </c>
      <c r="U858" s="8" t="s">
        <v>25</v>
      </c>
      <c r="V858" s="8" t="s">
        <v>43</v>
      </c>
      <c r="W858" s="8" t="s">
        <v>2066</v>
      </c>
      <c r="X858" s="8" t="s">
        <v>900</v>
      </c>
      <c r="Y858" s="9">
        <v>1</v>
      </c>
      <c r="Z858" s="8" t="s">
        <v>1401</v>
      </c>
      <c r="AA858" s="10">
        <v>41736</v>
      </c>
      <c r="AB858" s="10">
        <v>41764</v>
      </c>
      <c r="AC858" s="10">
        <v>41740</v>
      </c>
      <c r="AD858" s="10">
        <v>41743</v>
      </c>
      <c r="AE858" s="8">
        <v>21.95</v>
      </c>
      <c r="AJ858" s="8" t="s">
        <v>2263</v>
      </c>
    </row>
    <row r="859" spans="1:36">
      <c r="A859" s="7">
        <f t="shared" si="251"/>
        <v>1</v>
      </c>
      <c r="B859" s="7" t="str">
        <f t="shared" si="252"/>
        <v>14FW_PLAYBOY_
MTM_06_BK</v>
      </c>
      <c r="C859" s="7">
        <f t="shared" si="253"/>
        <v>1</v>
      </c>
      <c r="D859" s="7" t="str">
        <f t="shared" si="254"/>
        <v>대경14FW_PLAYBOY_
MTM_06_BK</v>
      </c>
      <c r="E859" s="12" t="str">
        <f t="shared" si="255"/>
        <v>201404</v>
      </c>
      <c r="F859" s="347" t="str">
        <f>VLOOKUP($AA859,[3]주!$A:$F,6,FALSE)</f>
        <v>3월 2주</v>
      </c>
      <c r="G859" s="7">
        <f t="shared" si="256"/>
        <v>1</v>
      </c>
      <c r="H859" s="7" t="str">
        <f t="shared" si="257"/>
        <v>14FW_PLAYBOY_
MTM_06_BK</v>
      </c>
      <c r="I859" s="7">
        <f t="shared" si="258"/>
        <v>1</v>
      </c>
      <c r="J859" s="7" t="str">
        <f t="shared" si="259"/>
        <v>대경14FW_PLAYBOY_
MTM_06_BK</v>
      </c>
      <c r="K859" s="17">
        <f t="shared" si="260"/>
        <v>41743</v>
      </c>
      <c r="L859" s="12" t="str">
        <f t="shared" si="261"/>
        <v>201404</v>
      </c>
      <c r="M859" s="347" t="str">
        <f>VLOOKUP($K859,[3]주!$A:$F,6,FALSE)</f>
        <v>3월 2주</v>
      </c>
      <c r="N859" s="273" t="str">
        <f>IF(VLOOKUP($Z859,생산업체!$A:$C,2,FALSE)=1,"해외","국내")</f>
        <v>해외</v>
      </c>
      <c r="O859" s="12" t="str">
        <f>IF(VLOOKUP($U859,CODE!$K:$P,CODE!P$1,FALSE)="모자",T859,T859&amp;"-"&amp;VLOOKUP($U859,CODE!$K:$P,CODE!P$1,FALSE))</f>
        <v>PLA-의류</v>
      </c>
      <c r="P859" s="11" t="s">
        <v>786</v>
      </c>
      <c r="R859" s="11">
        <v>126</v>
      </c>
      <c r="T859" s="8" t="s">
        <v>61</v>
      </c>
      <c r="U859" s="8" t="s">
        <v>27</v>
      </c>
      <c r="V859" s="8" t="s">
        <v>43</v>
      </c>
      <c r="W859" s="8" t="s">
        <v>2067</v>
      </c>
      <c r="X859" s="8" t="s">
        <v>900</v>
      </c>
      <c r="Y859" s="9">
        <v>1</v>
      </c>
      <c r="Z859" s="8" t="s">
        <v>1401</v>
      </c>
      <c r="AA859" s="10">
        <v>41736</v>
      </c>
      <c r="AB859" s="10">
        <v>41764</v>
      </c>
      <c r="AC859" s="10">
        <v>41740</v>
      </c>
      <c r="AD859" s="10">
        <v>41743</v>
      </c>
      <c r="AE859" s="8">
        <v>14.35</v>
      </c>
      <c r="AJ859" s="8" t="s">
        <v>2264</v>
      </c>
    </row>
  </sheetData>
  <autoFilter ref="A1:AJ595"/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63"/>
  </sheetPr>
  <dimension ref="A1:AX162"/>
  <sheetViews>
    <sheetView showGridLines="0" showZeros="0" zoomScale="80" zoomScaleNormal="80" workbookViewId="0">
      <pane ySplit="4" topLeftCell="A5" activePane="bottomLeft" state="frozen"/>
      <selection sqref="A1:IV65536"/>
      <selection pane="bottomLeft" activeCell="O24" sqref="O24"/>
    </sheetView>
  </sheetViews>
  <sheetFormatPr defaultRowHeight="13.5"/>
  <cols>
    <col min="1" max="1" width="7" style="176" bestFit="1" customWidth="1"/>
    <col min="2" max="2" width="5.625" style="239" bestFit="1" customWidth="1"/>
    <col min="3" max="3" width="33.75" style="177" bestFit="1" customWidth="1"/>
    <col min="4" max="4" width="7" style="240" bestFit="1" customWidth="1"/>
    <col min="5" max="5" width="6" style="240" bestFit="1" customWidth="1"/>
    <col min="6" max="6" width="6" style="240" customWidth="1"/>
    <col min="7" max="7" width="7" style="241" customWidth="1"/>
    <col min="8" max="8" width="1.25" style="176" customWidth="1"/>
    <col min="9" max="9" width="7" style="176" bestFit="1" customWidth="1"/>
    <col min="10" max="10" width="35.125" style="177" bestFit="1" customWidth="1"/>
    <col min="11" max="11" width="5.625" style="176" bestFit="1" customWidth="1"/>
    <col min="12" max="12" width="25.25" style="177" bestFit="1" customWidth="1"/>
    <col min="13" max="13" width="5.625" style="176" bestFit="1" customWidth="1"/>
    <col min="14" max="15" width="7.5" style="176" bestFit="1" customWidth="1"/>
    <col min="16" max="16" width="7.5" style="176" customWidth="1"/>
    <col min="17" max="17" width="1.25" style="176" customWidth="1"/>
    <col min="18" max="18" width="5.625" style="176" bestFit="1" customWidth="1"/>
    <col min="19" max="19" width="7.5" style="176" bestFit="1" customWidth="1"/>
    <col min="20" max="20" width="5.625" style="176" bestFit="1" customWidth="1"/>
    <col min="21" max="21" width="1.25" style="176" customWidth="1"/>
    <col min="22" max="22" width="6.25" style="176" customWidth="1"/>
    <col min="23" max="23" width="5.625" style="176" bestFit="1" customWidth="1"/>
    <col min="24" max="24" width="7.5" style="176" bestFit="1" customWidth="1"/>
    <col min="25" max="25" width="5.625" style="176" bestFit="1" customWidth="1"/>
    <col min="26" max="26" width="1.25" style="176" customWidth="1"/>
    <col min="27" max="27" width="14.375" style="176" bestFit="1" customWidth="1"/>
    <col min="28" max="28" width="1.25" style="176" customWidth="1"/>
    <col min="29" max="29" width="6.625" style="176" customWidth="1"/>
    <col min="30" max="30" width="5.625" style="176" bestFit="1" customWidth="1"/>
    <col min="31" max="31" width="16.625" style="177" bestFit="1" customWidth="1"/>
    <col min="32" max="32" width="5.625" style="176" bestFit="1" customWidth="1"/>
    <col min="33" max="33" width="1.25" style="176" customWidth="1"/>
    <col min="34" max="34" width="7" style="176" bestFit="1" customWidth="1"/>
    <col min="35" max="35" width="5.625" style="176" bestFit="1" customWidth="1"/>
    <col min="36" max="36" width="17.625" style="177" bestFit="1" customWidth="1"/>
    <col min="37" max="37" width="5.625" style="176" customWidth="1"/>
    <col min="38" max="38" width="5.625" style="176" bestFit="1" customWidth="1"/>
    <col min="39" max="39" width="1.25" style="176" customWidth="1"/>
    <col min="40" max="40" width="5.25" style="176" bestFit="1" customWidth="1"/>
    <col min="41" max="41" width="9.75" style="176" bestFit="1" customWidth="1"/>
    <col min="42" max="42" width="5.625" style="176" bestFit="1" customWidth="1"/>
    <col min="43" max="43" width="1.375" style="176" customWidth="1"/>
    <col min="44" max="44" width="5.25" style="176" customWidth="1"/>
    <col min="45" max="45" width="10.875" style="176" bestFit="1" customWidth="1"/>
    <col min="46" max="46" width="5.25" style="176" bestFit="1" customWidth="1"/>
    <col min="47" max="47" width="1.25" style="176" customWidth="1"/>
    <col min="48" max="48" width="5.25" style="176" bestFit="1" customWidth="1"/>
    <col min="49" max="49" width="12" style="176" bestFit="1" customWidth="1"/>
    <col min="50" max="50" width="5.625" style="176" bestFit="1" customWidth="1"/>
    <col min="51" max="51" width="2.125" style="176" customWidth="1"/>
    <col min="52" max="16384" width="9" style="176"/>
  </cols>
  <sheetData>
    <row r="1" spans="1:50" s="163" customFormat="1">
      <c r="B1" s="164"/>
      <c r="C1" s="163">
        <v>2</v>
      </c>
      <c r="D1" s="163">
        <v>3</v>
      </c>
      <c r="E1" s="163">
        <v>4</v>
      </c>
      <c r="F1" s="163">
        <v>5</v>
      </c>
      <c r="G1" s="163">
        <v>6</v>
      </c>
      <c r="J1" s="165"/>
      <c r="L1" s="163">
        <v>2</v>
      </c>
      <c r="M1" s="163">
        <v>3</v>
      </c>
      <c r="N1" s="163">
        <v>4</v>
      </c>
      <c r="O1" s="163">
        <v>5</v>
      </c>
      <c r="P1" s="163">
        <v>6</v>
      </c>
      <c r="S1" s="163">
        <v>2</v>
      </c>
      <c r="T1" s="163">
        <v>3</v>
      </c>
      <c r="X1" s="163">
        <v>2</v>
      </c>
      <c r="Y1" s="163">
        <v>3</v>
      </c>
      <c r="AE1" s="165">
        <v>2</v>
      </c>
      <c r="AF1" s="163">
        <v>3</v>
      </c>
      <c r="AJ1" s="165">
        <v>2</v>
      </c>
      <c r="AK1" s="163">
        <v>3</v>
      </c>
      <c r="AL1" s="163">
        <v>4</v>
      </c>
      <c r="AO1" s="163">
        <v>2</v>
      </c>
      <c r="AP1" s="163">
        <v>3</v>
      </c>
      <c r="AS1" s="163">
        <v>2</v>
      </c>
      <c r="AT1" s="163">
        <v>3</v>
      </c>
      <c r="AW1" s="163">
        <v>2</v>
      </c>
      <c r="AX1" s="163">
        <v>3</v>
      </c>
    </row>
    <row r="2" spans="1:50" s="163" customFormat="1" ht="14.25" thickBot="1">
      <c r="A2" s="385" t="s">
        <v>906</v>
      </c>
      <c r="B2" s="385"/>
      <c r="C2" s="385"/>
      <c r="D2" s="385"/>
      <c r="E2" s="385"/>
      <c r="F2" s="385"/>
      <c r="G2" s="385"/>
      <c r="I2" s="385" t="s">
        <v>907</v>
      </c>
      <c r="J2" s="385"/>
      <c r="K2" s="385"/>
      <c r="L2" s="385"/>
      <c r="M2" s="385"/>
      <c r="N2" s="385"/>
      <c r="O2" s="166"/>
      <c r="P2" s="166"/>
      <c r="R2" s="385" t="s">
        <v>908</v>
      </c>
      <c r="S2" s="385"/>
      <c r="T2" s="385"/>
      <c r="V2" s="385" t="s">
        <v>909</v>
      </c>
      <c r="W2" s="385"/>
      <c r="X2" s="385"/>
      <c r="Y2" s="385"/>
      <c r="AA2" s="166" t="s">
        <v>910</v>
      </c>
      <c r="AC2" s="385" t="s">
        <v>911</v>
      </c>
      <c r="AD2" s="385"/>
      <c r="AE2" s="385"/>
      <c r="AF2" s="385"/>
      <c r="AH2" s="385" t="s">
        <v>912</v>
      </c>
      <c r="AI2" s="385"/>
      <c r="AJ2" s="385"/>
      <c r="AK2" s="385"/>
      <c r="AL2" s="385"/>
      <c r="AN2" s="385" t="s">
        <v>913</v>
      </c>
      <c r="AO2" s="385"/>
      <c r="AP2" s="385"/>
      <c r="AR2" s="385" t="s">
        <v>914</v>
      </c>
      <c r="AS2" s="385"/>
      <c r="AT2" s="385"/>
      <c r="AV2" s="385" t="s">
        <v>915</v>
      </c>
      <c r="AW2" s="385"/>
      <c r="AX2" s="385"/>
    </row>
    <row r="3" spans="1:50" s="163" customFormat="1">
      <c r="A3" s="166" t="s">
        <v>916</v>
      </c>
      <c r="B3" s="167" t="s">
        <v>917</v>
      </c>
      <c r="C3" s="166" t="s">
        <v>918</v>
      </c>
      <c r="D3" s="168" t="s">
        <v>919</v>
      </c>
      <c r="E3" s="168" t="s">
        <v>917</v>
      </c>
      <c r="F3" s="168" t="s">
        <v>920</v>
      </c>
      <c r="G3" s="169" t="s">
        <v>921</v>
      </c>
      <c r="I3" s="166" t="s">
        <v>916</v>
      </c>
      <c r="J3" s="166" t="s">
        <v>922</v>
      </c>
      <c r="K3" s="170" t="s">
        <v>917</v>
      </c>
      <c r="L3" s="166" t="s">
        <v>918</v>
      </c>
      <c r="M3" s="166" t="s">
        <v>917</v>
      </c>
      <c r="N3" s="166" t="s">
        <v>920</v>
      </c>
      <c r="O3" s="166" t="s">
        <v>920</v>
      </c>
      <c r="P3" s="166" t="s">
        <v>920</v>
      </c>
      <c r="R3" s="170" t="s">
        <v>917</v>
      </c>
      <c r="S3" s="166" t="s">
        <v>918</v>
      </c>
      <c r="T3" s="166" t="s">
        <v>917</v>
      </c>
      <c r="V3" s="166" t="s">
        <v>916</v>
      </c>
      <c r="W3" s="170" t="s">
        <v>917</v>
      </c>
      <c r="X3" s="166" t="s">
        <v>918</v>
      </c>
      <c r="Y3" s="166" t="s">
        <v>917</v>
      </c>
      <c r="AA3" s="166" t="s">
        <v>917</v>
      </c>
      <c r="AC3" s="166" t="s">
        <v>916</v>
      </c>
      <c r="AD3" s="170" t="s">
        <v>917</v>
      </c>
      <c r="AE3" s="166" t="s">
        <v>918</v>
      </c>
      <c r="AF3" s="166" t="s">
        <v>917</v>
      </c>
      <c r="AH3" s="166" t="s">
        <v>916</v>
      </c>
      <c r="AI3" s="170" t="s">
        <v>917</v>
      </c>
      <c r="AJ3" s="166" t="s">
        <v>918</v>
      </c>
      <c r="AK3" s="166" t="s">
        <v>923</v>
      </c>
      <c r="AL3" s="166" t="s">
        <v>917</v>
      </c>
      <c r="AN3" s="170" t="s">
        <v>917</v>
      </c>
      <c r="AO3" s="166" t="s">
        <v>918</v>
      </c>
      <c r="AP3" s="166" t="s">
        <v>917</v>
      </c>
      <c r="AR3" s="170" t="s">
        <v>917</v>
      </c>
      <c r="AS3" s="166" t="s">
        <v>918</v>
      </c>
      <c r="AT3" s="166" t="s">
        <v>917</v>
      </c>
      <c r="AV3" s="170" t="s">
        <v>917</v>
      </c>
      <c r="AW3" s="166" t="s">
        <v>918</v>
      </c>
      <c r="AX3" s="166" t="s">
        <v>917</v>
      </c>
    </row>
    <row r="4" spans="1:50">
      <c r="A4" s="171" t="s">
        <v>64</v>
      </c>
      <c r="B4" s="172"/>
      <c r="C4" s="173" t="s">
        <v>65</v>
      </c>
      <c r="D4" s="174">
        <f>B4</f>
        <v>0</v>
      </c>
      <c r="E4" s="174">
        <f t="shared" ref="E4:E49" si="0">B4</f>
        <v>0</v>
      </c>
      <c r="F4" s="174" t="s">
        <v>66</v>
      </c>
      <c r="G4" s="175" t="s">
        <v>67</v>
      </c>
      <c r="I4" s="176" t="s">
        <v>68</v>
      </c>
      <c r="J4" s="177" t="s">
        <v>69</v>
      </c>
      <c r="K4" s="178" t="s">
        <v>38</v>
      </c>
      <c r="L4" s="177" t="s">
        <v>70</v>
      </c>
      <c r="M4" s="176" t="str">
        <f>K4</f>
        <v>BA</v>
      </c>
      <c r="N4" s="176" t="s">
        <v>924</v>
      </c>
      <c r="P4" s="176" t="s">
        <v>925</v>
      </c>
      <c r="R4" s="178" t="s">
        <v>71</v>
      </c>
      <c r="S4" s="176">
        <v>2009</v>
      </c>
      <c r="T4" s="176" t="str">
        <f>R4</f>
        <v>A</v>
      </c>
      <c r="V4" s="176">
        <v>0</v>
      </c>
      <c r="W4" s="179" t="s">
        <v>926</v>
      </c>
      <c r="X4" s="176" t="s">
        <v>927</v>
      </c>
      <c r="Y4" s="176" t="str">
        <f>W4</f>
        <v>0</v>
      </c>
      <c r="AA4" s="176" t="s">
        <v>72</v>
      </c>
      <c r="AC4" s="176" t="s">
        <v>73</v>
      </c>
      <c r="AD4" s="178" t="s">
        <v>74</v>
      </c>
      <c r="AE4" s="177" t="s">
        <v>75</v>
      </c>
      <c r="AF4" s="176" t="str">
        <f>AD4</f>
        <v>BK</v>
      </c>
      <c r="AH4" s="176" t="s">
        <v>71</v>
      </c>
      <c r="AI4" s="178" t="s">
        <v>76</v>
      </c>
      <c r="AJ4" s="177" t="s">
        <v>77</v>
      </c>
      <c r="AK4" s="176">
        <v>1</v>
      </c>
      <c r="AL4" s="176" t="str">
        <f>AI4</f>
        <v>FRE</v>
      </c>
      <c r="AN4" s="178" t="s">
        <v>67</v>
      </c>
      <c r="AO4" s="176" t="s">
        <v>78</v>
      </c>
      <c r="AP4" s="176" t="str">
        <f>AN4</f>
        <v>B</v>
      </c>
      <c r="AR4" s="178" t="s">
        <v>79</v>
      </c>
      <c r="AS4" s="176" t="s">
        <v>80</v>
      </c>
      <c r="AT4" s="176" t="str">
        <f t="shared" ref="AT4:AT9" si="1">AR4</f>
        <v>M</v>
      </c>
      <c r="AV4" s="180" t="s">
        <v>81</v>
      </c>
      <c r="AW4" s="181" t="s">
        <v>82</v>
      </c>
      <c r="AX4" s="181" t="str">
        <f t="shared" ref="AX4:AX20" si="2">AV4</f>
        <v>CN</v>
      </c>
    </row>
    <row r="5" spans="1:50">
      <c r="A5" s="171" t="s">
        <v>83</v>
      </c>
      <c r="B5" s="172"/>
      <c r="C5" s="173" t="s">
        <v>84</v>
      </c>
      <c r="D5" s="174">
        <f>B5</f>
        <v>0</v>
      </c>
      <c r="E5" s="174">
        <f t="shared" si="0"/>
        <v>0</v>
      </c>
      <c r="F5" s="174" t="s">
        <v>66</v>
      </c>
      <c r="G5" s="175" t="s">
        <v>67</v>
      </c>
      <c r="I5" s="176" t="s">
        <v>85</v>
      </c>
      <c r="J5" s="177" t="s">
        <v>86</v>
      </c>
      <c r="K5" s="178" t="s">
        <v>38</v>
      </c>
      <c r="L5" s="177" t="s">
        <v>70</v>
      </c>
      <c r="M5" s="176" t="str">
        <f t="shared" ref="M5:M50" si="3">K5</f>
        <v>BA</v>
      </c>
      <c r="N5" s="176" t="s">
        <v>924</v>
      </c>
      <c r="P5" s="176" t="s">
        <v>925</v>
      </c>
      <c r="R5" s="178" t="s">
        <v>67</v>
      </c>
      <c r="S5" s="176">
        <v>2010</v>
      </c>
      <c r="T5" s="176" t="str">
        <f t="shared" ref="T5:T13" si="4">R5</f>
        <v>B</v>
      </c>
      <c r="V5" s="176">
        <v>1</v>
      </c>
      <c r="W5" s="178" t="s">
        <v>87</v>
      </c>
      <c r="X5" s="176" t="s">
        <v>927</v>
      </c>
      <c r="Y5" s="176" t="str">
        <f t="shared" ref="Y5:Y13" si="5">W5</f>
        <v>0</v>
      </c>
      <c r="AA5" s="176" t="s">
        <v>88</v>
      </c>
      <c r="AC5" s="176" t="s">
        <v>89</v>
      </c>
      <c r="AD5" s="178"/>
      <c r="AE5" s="177" t="s">
        <v>90</v>
      </c>
      <c r="AF5" s="176">
        <f t="shared" ref="AF5:AF68" si="6">AD5</f>
        <v>0</v>
      </c>
      <c r="AH5" s="176" t="s">
        <v>43</v>
      </c>
      <c r="AI5" s="178" t="s">
        <v>91</v>
      </c>
      <c r="AJ5" s="177" t="s">
        <v>92</v>
      </c>
      <c r="AK5" s="176">
        <v>1</v>
      </c>
      <c r="AL5" s="176" t="str">
        <f t="shared" ref="AL5:AL12" si="7">AI5</f>
        <v>OXS</v>
      </c>
      <c r="AN5" s="178" t="s">
        <v>93</v>
      </c>
      <c r="AO5" s="176" t="s">
        <v>94</v>
      </c>
      <c r="AP5" s="176" t="str">
        <f>AN5</f>
        <v>C</v>
      </c>
      <c r="AR5" s="178" t="s">
        <v>95</v>
      </c>
      <c r="AS5" s="176" t="s">
        <v>96</v>
      </c>
      <c r="AT5" s="176" t="str">
        <f t="shared" si="1"/>
        <v>W</v>
      </c>
      <c r="AV5" s="180" t="s">
        <v>26</v>
      </c>
      <c r="AW5" s="181" t="s">
        <v>97</v>
      </c>
      <c r="AX5" s="181" t="str">
        <f t="shared" si="2"/>
        <v>JP</v>
      </c>
    </row>
    <row r="6" spans="1:50" ht="14.25" thickBot="1">
      <c r="A6" s="171" t="s">
        <v>98</v>
      </c>
      <c r="B6" s="172"/>
      <c r="C6" s="173" t="s">
        <v>99</v>
      </c>
      <c r="D6" s="174">
        <f>B6</f>
        <v>0</v>
      </c>
      <c r="E6" s="174">
        <f t="shared" si="0"/>
        <v>0</v>
      </c>
      <c r="F6" s="174" t="s">
        <v>66</v>
      </c>
      <c r="G6" s="175" t="s">
        <v>67</v>
      </c>
      <c r="I6" s="176" t="s">
        <v>100</v>
      </c>
      <c r="J6" s="177" t="s">
        <v>101</v>
      </c>
      <c r="K6" s="178" t="s">
        <v>102</v>
      </c>
      <c r="L6" s="177" t="s">
        <v>103</v>
      </c>
      <c r="M6" s="176" t="str">
        <f t="shared" si="3"/>
        <v>FL</v>
      </c>
      <c r="N6" s="176" t="s">
        <v>924</v>
      </c>
      <c r="P6" s="176" t="s">
        <v>925</v>
      </c>
      <c r="R6" s="178" t="s">
        <v>93</v>
      </c>
      <c r="S6" s="176">
        <v>2011</v>
      </c>
      <c r="T6" s="176" t="str">
        <f t="shared" si="4"/>
        <v>C</v>
      </c>
      <c r="V6" s="176">
        <v>2</v>
      </c>
      <c r="W6" s="178" t="s">
        <v>87</v>
      </c>
      <c r="X6" s="176" t="s">
        <v>927</v>
      </c>
      <c r="Y6" s="176" t="str">
        <f t="shared" si="5"/>
        <v>0</v>
      </c>
      <c r="AA6" s="176" t="s">
        <v>104</v>
      </c>
      <c r="AC6" s="176" t="s">
        <v>105</v>
      </c>
      <c r="AD6" s="178"/>
      <c r="AE6" s="177" t="s">
        <v>106</v>
      </c>
      <c r="AF6" s="176">
        <f t="shared" si="6"/>
        <v>0</v>
      </c>
      <c r="AI6" s="178" t="s">
        <v>107</v>
      </c>
      <c r="AJ6" s="177" t="s">
        <v>108</v>
      </c>
      <c r="AK6" s="176">
        <v>1</v>
      </c>
      <c r="AL6" s="176" t="str">
        <f t="shared" si="7"/>
        <v>OSS</v>
      </c>
      <c r="AN6" s="182" t="s">
        <v>79</v>
      </c>
      <c r="AO6" s="176" t="s">
        <v>109</v>
      </c>
      <c r="AP6" s="176" t="str">
        <f>AN6</f>
        <v>M</v>
      </c>
      <c r="AR6" s="178" t="s">
        <v>110</v>
      </c>
      <c r="AS6" s="176" t="s">
        <v>111</v>
      </c>
      <c r="AT6" s="176" t="str">
        <f t="shared" si="1"/>
        <v>U</v>
      </c>
      <c r="AV6" s="180" t="s">
        <v>112</v>
      </c>
      <c r="AW6" s="181" t="s">
        <v>113</v>
      </c>
      <c r="AX6" s="181" t="str">
        <f t="shared" si="2"/>
        <v>KR</v>
      </c>
    </row>
    <row r="7" spans="1:50" ht="14.25" thickBot="1">
      <c r="A7" s="171" t="s">
        <v>114</v>
      </c>
      <c r="B7" s="172"/>
      <c r="C7" s="173" t="s">
        <v>115</v>
      </c>
      <c r="D7" s="174">
        <f>B7</f>
        <v>0</v>
      </c>
      <c r="E7" s="174">
        <f t="shared" si="0"/>
        <v>0</v>
      </c>
      <c r="F7" s="174" t="s">
        <v>66</v>
      </c>
      <c r="G7" s="175" t="s">
        <v>67</v>
      </c>
      <c r="I7" s="176" t="s">
        <v>116</v>
      </c>
      <c r="J7" s="177" t="s">
        <v>117</v>
      </c>
      <c r="K7" s="178" t="s">
        <v>102</v>
      </c>
      <c r="L7" s="177" t="s">
        <v>103</v>
      </c>
      <c r="M7" s="176" t="str">
        <f t="shared" si="3"/>
        <v>FL</v>
      </c>
      <c r="N7" s="176" t="s">
        <v>924</v>
      </c>
      <c r="P7" s="176" t="s">
        <v>925</v>
      </c>
      <c r="R7" s="178" t="s">
        <v>118</v>
      </c>
      <c r="S7" s="176">
        <v>2012</v>
      </c>
      <c r="T7" s="176" t="str">
        <f t="shared" si="4"/>
        <v>D</v>
      </c>
      <c r="V7" s="176">
        <v>3</v>
      </c>
      <c r="W7" s="178" t="s">
        <v>87</v>
      </c>
      <c r="X7" s="176" t="s">
        <v>927</v>
      </c>
      <c r="Y7" s="176" t="str">
        <f t="shared" si="5"/>
        <v>0</v>
      </c>
      <c r="AA7" s="176" t="s">
        <v>119</v>
      </c>
      <c r="AC7" s="176" t="s">
        <v>120</v>
      </c>
      <c r="AD7" s="178"/>
      <c r="AE7" s="177" t="s">
        <v>121</v>
      </c>
      <c r="AF7" s="176">
        <f t="shared" si="6"/>
        <v>0</v>
      </c>
      <c r="AI7" s="178" t="s">
        <v>122</v>
      </c>
      <c r="AJ7" s="177" t="s">
        <v>79</v>
      </c>
      <c r="AK7" s="176">
        <v>1</v>
      </c>
      <c r="AL7" s="176" t="str">
        <f t="shared" si="7"/>
        <v>OMM</v>
      </c>
      <c r="AR7" s="178" t="s">
        <v>123</v>
      </c>
      <c r="AS7" s="176" t="s">
        <v>124</v>
      </c>
      <c r="AT7" s="176" t="str">
        <f t="shared" si="1"/>
        <v>K</v>
      </c>
      <c r="AV7" s="183" t="s">
        <v>125</v>
      </c>
      <c r="AW7" s="181" t="s">
        <v>126</v>
      </c>
      <c r="AX7" s="181" t="str">
        <f t="shared" si="2"/>
        <v>US</v>
      </c>
    </row>
    <row r="8" spans="1:50">
      <c r="A8" s="171" t="s">
        <v>127</v>
      </c>
      <c r="B8" s="172"/>
      <c r="C8" s="173" t="s">
        <v>128</v>
      </c>
      <c r="D8" s="174">
        <f>B8</f>
        <v>0</v>
      </c>
      <c r="E8" s="174">
        <f t="shared" si="0"/>
        <v>0</v>
      </c>
      <c r="F8" s="174" t="s">
        <v>66</v>
      </c>
      <c r="G8" s="175" t="s">
        <v>67</v>
      </c>
      <c r="I8" s="176" t="s">
        <v>129</v>
      </c>
      <c r="J8" s="177" t="s">
        <v>130</v>
      </c>
      <c r="K8" s="178" t="s">
        <v>50</v>
      </c>
      <c r="L8" s="177" t="s">
        <v>131</v>
      </c>
      <c r="M8" s="176" t="str">
        <f t="shared" si="3"/>
        <v>FI</v>
      </c>
      <c r="N8" s="176" t="s">
        <v>924</v>
      </c>
      <c r="P8" s="176" t="s">
        <v>925</v>
      </c>
      <c r="R8" s="178" t="s">
        <v>132</v>
      </c>
      <c r="S8" s="176">
        <v>2013</v>
      </c>
      <c r="T8" s="176" t="str">
        <f t="shared" si="4"/>
        <v>E</v>
      </c>
      <c r="V8" s="176">
        <v>4</v>
      </c>
      <c r="W8" s="178" t="s">
        <v>87</v>
      </c>
      <c r="X8" s="176" t="s">
        <v>927</v>
      </c>
      <c r="Y8" s="176" t="str">
        <f t="shared" si="5"/>
        <v>0</v>
      </c>
      <c r="AA8" s="176" t="s">
        <v>133</v>
      </c>
      <c r="AC8" s="176" t="s">
        <v>134</v>
      </c>
      <c r="AD8" s="178"/>
      <c r="AE8" s="177" t="s">
        <v>135</v>
      </c>
      <c r="AF8" s="176">
        <f t="shared" si="6"/>
        <v>0</v>
      </c>
      <c r="AI8" s="178" t="s">
        <v>136</v>
      </c>
      <c r="AJ8" s="177" t="s">
        <v>137</v>
      </c>
      <c r="AK8" s="176">
        <v>1</v>
      </c>
      <c r="AL8" s="176" t="str">
        <f t="shared" si="7"/>
        <v>OLL</v>
      </c>
      <c r="AR8" s="178" t="s">
        <v>43</v>
      </c>
      <c r="AS8" s="176" t="s">
        <v>138</v>
      </c>
      <c r="AT8" s="176" t="str">
        <f t="shared" si="1"/>
        <v>N</v>
      </c>
      <c r="AV8" s="181" t="s">
        <v>928</v>
      </c>
      <c r="AW8" s="181" t="s">
        <v>929</v>
      </c>
      <c r="AX8" s="181" t="str">
        <f t="shared" si="2"/>
        <v>IN</v>
      </c>
    </row>
    <row r="9" spans="1:50" ht="14.25" thickBot="1">
      <c r="A9" s="171" t="s">
        <v>139</v>
      </c>
      <c r="B9" s="172" t="s">
        <v>140</v>
      </c>
      <c r="C9" s="173" t="s">
        <v>141</v>
      </c>
      <c r="D9" s="174" t="s">
        <v>930</v>
      </c>
      <c r="E9" s="174" t="str">
        <f t="shared" si="0"/>
        <v>KDO</v>
      </c>
      <c r="F9" s="174" t="s">
        <v>66</v>
      </c>
      <c r="G9" s="175" t="s">
        <v>67</v>
      </c>
      <c r="I9" s="176" t="s">
        <v>142</v>
      </c>
      <c r="J9" s="177" t="s">
        <v>143</v>
      </c>
      <c r="K9" s="178" t="s">
        <v>50</v>
      </c>
      <c r="L9" s="177" t="s">
        <v>131</v>
      </c>
      <c r="M9" s="176" t="str">
        <f t="shared" si="3"/>
        <v>FI</v>
      </c>
      <c r="N9" s="176" t="s">
        <v>924</v>
      </c>
      <c r="P9" s="176" t="s">
        <v>925</v>
      </c>
      <c r="R9" s="178" t="s">
        <v>144</v>
      </c>
      <c r="S9" s="176">
        <v>2014</v>
      </c>
      <c r="T9" s="176" t="str">
        <f t="shared" si="4"/>
        <v>F</v>
      </c>
      <c r="V9" s="176">
        <v>5</v>
      </c>
      <c r="W9" s="179" t="s">
        <v>931</v>
      </c>
      <c r="X9" s="176" t="s">
        <v>932</v>
      </c>
      <c r="Y9" s="176" t="str">
        <f t="shared" si="5"/>
        <v>3</v>
      </c>
      <c r="AA9" s="176" t="s">
        <v>145</v>
      </c>
      <c r="AC9" s="176" t="s">
        <v>146</v>
      </c>
      <c r="AD9" s="178"/>
      <c r="AE9" s="177" t="s">
        <v>147</v>
      </c>
      <c r="AF9" s="176">
        <f t="shared" si="6"/>
        <v>0</v>
      </c>
      <c r="AI9" s="178" t="s">
        <v>148</v>
      </c>
      <c r="AJ9" s="177" t="s">
        <v>149</v>
      </c>
      <c r="AK9" s="176">
        <v>1</v>
      </c>
      <c r="AL9" s="176" t="str">
        <f t="shared" si="7"/>
        <v>OXL</v>
      </c>
      <c r="AR9" s="182" t="s">
        <v>71</v>
      </c>
      <c r="AS9" s="176" t="s">
        <v>150</v>
      </c>
      <c r="AT9" s="176" t="str">
        <f t="shared" si="1"/>
        <v>A</v>
      </c>
      <c r="AV9" s="181" t="s">
        <v>933</v>
      </c>
      <c r="AW9" s="181" t="s">
        <v>934</v>
      </c>
      <c r="AX9" s="181" t="str">
        <f t="shared" si="2"/>
        <v>BG</v>
      </c>
    </row>
    <row r="10" spans="1:50">
      <c r="A10" s="171" t="s">
        <v>116</v>
      </c>
      <c r="B10" s="172" t="s">
        <v>151</v>
      </c>
      <c r="C10" s="173" t="s">
        <v>152</v>
      </c>
      <c r="D10" s="174" t="str">
        <f>B10</f>
        <v>ZCD</v>
      </c>
      <c r="E10" s="174" t="str">
        <f t="shared" si="0"/>
        <v>ZCD</v>
      </c>
      <c r="F10" s="174" t="s">
        <v>66</v>
      </c>
      <c r="G10" s="175" t="s">
        <v>67</v>
      </c>
      <c r="I10" s="176" t="s">
        <v>153</v>
      </c>
      <c r="J10" s="177" t="s">
        <v>154</v>
      </c>
      <c r="K10" s="178" t="s">
        <v>50</v>
      </c>
      <c r="L10" s="177" t="s">
        <v>131</v>
      </c>
      <c r="M10" s="176" t="str">
        <f t="shared" si="3"/>
        <v>FI</v>
      </c>
      <c r="N10" s="176" t="s">
        <v>935</v>
      </c>
      <c r="P10" s="176" t="s">
        <v>936</v>
      </c>
      <c r="R10" s="178" t="s">
        <v>155</v>
      </c>
      <c r="S10" s="176">
        <v>2015</v>
      </c>
      <c r="T10" s="176" t="str">
        <f t="shared" si="4"/>
        <v>G</v>
      </c>
      <c r="V10" s="176">
        <v>6</v>
      </c>
      <c r="W10" s="178" t="s">
        <v>156</v>
      </c>
      <c r="X10" s="176" t="s">
        <v>932</v>
      </c>
      <c r="Y10" s="176" t="str">
        <f t="shared" si="5"/>
        <v>3</v>
      </c>
      <c r="AA10" s="176" t="s">
        <v>157</v>
      </c>
      <c r="AC10" s="176" t="s">
        <v>158</v>
      </c>
      <c r="AD10" s="178"/>
      <c r="AE10" s="177" t="s">
        <v>159</v>
      </c>
      <c r="AF10" s="176">
        <f t="shared" si="6"/>
        <v>0</v>
      </c>
      <c r="AH10" s="176" t="s">
        <v>160</v>
      </c>
      <c r="AI10" s="178" t="s">
        <v>161</v>
      </c>
      <c r="AJ10" s="177" t="s">
        <v>162</v>
      </c>
      <c r="AK10" s="176">
        <v>1</v>
      </c>
      <c r="AL10" s="176" t="str">
        <f t="shared" si="7"/>
        <v>OSM</v>
      </c>
      <c r="AV10" s="181" t="s">
        <v>937</v>
      </c>
      <c r="AW10" s="181" t="s">
        <v>938</v>
      </c>
      <c r="AX10" s="181" t="str">
        <f t="shared" si="2"/>
        <v>DE</v>
      </c>
    </row>
    <row r="11" spans="1:50">
      <c r="A11" s="171" t="s">
        <v>68</v>
      </c>
      <c r="B11" s="172" t="s">
        <v>163</v>
      </c>
      <c r="C11" s="173" t="s">
        <v>164</v>
      </c>
      <c r="D11" s="174" t="str">
        <f>B11</f>
        <v>ZCA</v>
      </c>
      <c r="E11" s="174" t="str">
        <f t="shared" si="0"/>
        <v>ZCA</v>
      </c>
      <c r="F11" s="174" t="s">
        <v>66</v>
      </c>
      <c r="G11" s="175" t="s">
        <v>67</v>
      </c>
      <c r="I11" s="176" t="s">
        <v>165</v>
      </c>
      <c r="J11" s="177" t="s">
        <v>166</v>
      </c>
      <c r="K11" s="178" t="s">
        <v>167</v>
      </c>
      <c r="L11" s="177" t="s">
        <v>168</v>
      </c>
      <c r="M11" s="176" t="str">
        <f t="shared" si="3"/>
        <v>WC</v>
      </c>
      <c r="N11" s="176" t="s">
        <v>935</v>
      </c>
      <c r="P11" s="176" t="s">
        <v>936</v>
      </c>
      <c r="R11" s="178" t="s">
        <v>169</v>
      </c>
      <c r="S11" s="176">
        <v>2016</v>
      </c>
      <c r="T11" s="176" t="str">
        <f t="shared" si="4"/>
        <v>H</v>
      </c>
      <c r="V11" s="176">
        <v>7</v>
      </c>
      <c r="W11" s="178" t="s">
        <v>156</v>
      </c>
      <c r="X11" s="176" t="s">
        <v>932</v>
      </c>
      <c r="Y11" s="176" t="str">
        <f t="shared" si="5"/>
        <v>3</v>
      </c>
      <c r="AA11" s="176" t="s">
        <v>170</v>
      </c>
      <c r="AC11" s="176" t="s">
        <v>171</v>
      </c>
      <c r="AD11" s="178"/>
      <c r="AE11" s="177" t="s">
        <v>172</v>
      </c>
      <c r="AF11" s="176">
        <f t="shared" si="6"/>
        <v>0</v>
      </c>
      <c r="AH11" s="176" t="s">
        <v>173</v>
      </c>
      <c r="AI11" s="178" t="s">
        <v>174</v>
      </c>
      <c r="AJ11" s="177" t="s">
        <v>175</v>
      </c>
      <c r="AK11" s="176">
        <v>1</v>
      </c>
      <c r="AL11" s="176" t="str">
        <f t="shared" si="7"/>
        <v>OML</v>
      </c>
      <c r="AV11" s="181" t="s">
        <v>939</v>
      </c>
      <c r="AW11" s="181" t="s">
        <v>940</v>
      </c>
      <c r="AX11" s="181" t="str">
        <f t="shared" si="2"/>
        <v>AT</v>
      </c>
    </row>
    <row r="12" spans="1:50">
      <c r="A12" s="171" t="s">
        <v>176</v>
      </c>
      <c r="B12" s="172" t="s">
        <v>177</v>
      </c>
      <c r="C12" s="173" t="s">
        <v>178</v>
      </c>
      <c r="D12" s="174" t="s">
        <v>941</v>
      </c>
      <c r="E12" s="174" t="str">
        <f t="shared" si="0"/>
        <v>KHA</v>
      </c>
      <c r="F12" s="174" t="s">
        <v>66</v>
      </c>
      <c r="G12" s="175" t="s">
        <v>67</v>
      </c>
      <c r="I12" s="176" t="s">
        <v>179</v>
      </c>
      <c r="J12" s="177" t="s">
        <v>180</v>
      </c>
      <c r="K12" s="178" t="s">
        <v>181</v>
      </c>
      <c r="L12" s="177" t="s">
        <v>180</v>
      </c>
      <c r="M12" s="176" t="str">
        <f t="shared" si="3"/>
        <v>TR</v>
      </c>
      <c r="N12" s="176" t="s">
        <v>935</v>
      </c>
      <c r="P12" s="176" t="s">
        <v>936</v>
      </c>
      <c r="R12" s="178" t="s">
        <v>182</v>
      </c>
      <c r="S12" s="176">
        <v>2017</v>
      </c>
      <c r="T12" s="176" t="str">
        <f t="shared" si="4"/>
        <v>I</v>
      </c>
      <c r="V12" s="176">
        <v>8</v>
      </c>
      <c r="W12" s="178" t="s">
        <v>156</v>
      </c>
      <c r="X12" s="176" t="s">
        <v>932</v>
      </c>
      <c r="Y12" s="176" t="str">
        <f t="shared" si="5"/>
        <v>3</v>
      </c>
      <c r="AA12" s="176" t="s">
        <v>183</v>
      </c>
      <c r="AC12" s="176" t="s">
        <v>184</v>
      </c>
      <c r="AD12" s="178"/>
      <c r="AE12" s="177" t="s">
        <v>185</v>
      </c>
      <c r="AF12" s="176">
        <f t="shared" si="6"/>
        <v>0</v>
      </c>
      <c r="AH12" s="176" t="s">
        <v>186</v>
      </c>
      <c r="AI12" s="178" t="s">
        <v>187</v>
      </c>
      <c r="AJ12" s="177" t="s">
        <v>188</v>
      </c>
      <c r="AK12" s="176">
        <v>1</v>
      </c>
      <c r="AL12" s="176" t="str">
        <f t="shared" si="7"/>
        <v>LXL</v>
      </c>
      <c r="AV12" s="181" t="s">
        <v>942</v>
      </c>
      <c r="AW12" s="181" t="s">
        <v>943</v>
      </c>
      <c r="AX12" s="181" t="str">
        <f t="shared" si="2"/>
        <v>BE</v>
      </c>
    </row>
    <row r="13" spans="1:50" ht="14.25" thickBot="1">
      <c r="A13" s="171" t="s">
        <v>189</v>
      </c>
      <c r="B13" s="172" t="s">
        <v>190</v>
      </c>
      <c r="C13" s="173" t="s">
        <v>191</v>
      </c>
      <c r="D13" s="174" t="s">
        <v>941</v>
      </c>
      <c r="E13" s="174" t="str">
        <f t="shared" si="0"/>
        <v>KKI</v>
      </c>
      <c r="F13" s="174" t="s">
        <v>66</v>
      </c>
      <c r="G13" s="175" t="s">
        <v>67</v>
      </c>
      <c r="I13" s="176" t="s">
        <v>192</v>
      </c>
      <c r="J13" s="177" t="s">
        <v>193</v>
      </c>
      <c r="K13" s="178" t="s">
        <v>181</v>
      </c>
      <c r="L13" s="177" t="s">
        <v>180</v>
      </c>
      <c r="M13" s="176" t="str">
        <f t="shared" si="3"/>
        <v>TR</v>
      </c>
      <c r="N13" s="176" t="s">
        <v>935</v>
      </c>
      <c r="P13" s="176" t="s">
        <v>936</v>
      </c>
      <c r="R13" s="182" t="s">
        <v>194</v>
      </c>
      <c r="S13" s="176">
        <v>2018</v>
      </c>
      <c r="T13" s="176" t="str">
        <f t="shared" si="4"/>
        <v>J</v>
      </c>
      <c r="V13" s="176">
        <v>9</v>
      </c>
      <c r="W13" s="182" t="s">
        <v>156</v>
      </c>
      <c r="X13" s="176" t="s">
        <v>932</v>
      </c>
      <c r="Y13" s="176" t="str">
        <f t="shared" si="5"/>
        <v>3</v>
      </c>
      <c r="AA13" s="176" t="s">
        <v>195</v>
      </c>
      <c r="AC13" s="176" t="s">
        <v>196</v>
      </c>
      <c r="AD13" s="178" t="s">
        <v>197</v>
      </c>
      <c r="AE13" s="177" t="s">
        <v>198</v>
      </c>
      <c r="AF13" s="176" t="str">
        <f t="shared" si="6"/>
        <v>BU</v>
      </c>
      <c r="AI13" s="178"/>
      <c r="AV13" s="181" t="s">
        <v>944</v>
      </c>
      <c r="AW13" s="181" t="s">
        <v>945</v>
      </c>
      <c r="AX13" s="181" t="str">
        <f t="shared" si="2"/>
        <v>CH</v>
      </c>
    </row>
    <row r="14" spans="1:50">
      <c r="A14" s="171" t="s">
        <v>199</v>
      </c>
      <c r="B14" s="172" t="s">
        <v>200</v>
      </c>
      <c r="C14" s="173" t="s">
        <v>201</v>
      </c>
      <c r="D14" s="174" t="s">
        <v>941</v>
      </c>
      <c r="E14" s="174" t="str">
        <f t="shared" si="0"/>
        <v>KLG</v>
      </c>
      <c r="F14" s="174" t="s">
        <v>66</v>
      </c>
      <c r="G14" s="175" t="s">
        <v>67</v>
      </c>
      <c r="I14" s="176" t="s">
        <v>202</v>
      </c>
      <c r="J14" s="177" t="s">
        <v>203</v>
      </c>
      <c r="K14" s="178" t="s">
        <v>181</v>
      </c>
      <c r="L14" s="177" t="s">
        <v>180</v>
      </c>
      <c r="M14" s="176" t="str">
        <f t="shared" si="3"/>
        <v>TR</v>
      </c>
      <c r="N14" s="176" t="s">
        <v>935</v>
      </c>
      <c r="P14" s="176" t="s">
        <v>936</v>
      </c>
      <c r="AC14" s="176" t="s">
        <v>38</v>
      </c>
      <c r="AD14" s="178"/>
      <c r="AE14" s="177" t="s">
        <v>204</v>
      </c>
      <c r="AF14" s="176">
        <f t="shared" si="6"/>
        <v>0</v>
      </c>
      <c r="AH14" s="176" t="s">
        <v>132</v>
      </c>
      <c r="AI14" s="178">
        <v>700</v>
      </c>
      <c r="AJ14" s="177" t="s">
        <v>205</v>
      </c>
      <c r="AK14" s="176" t="s">
        <v>946</v>
      </c>
      <c r="AL14" s="176">
        <f>AI14</f>
        <v>700</v>
      </c>
      <c r="AV14" s="181" t="s">
        <v>947</v>
      </c>
      <c r="AW14" s="181" t="s">
        <v>948</v>
      </c>
      <c r="AX14" s="181" t="str">
        <f t="shared" si="2"/>
        <v>ES</v>
      </c>
    </row>
    <row r="15" spans="1:50">
      <c r="A15" s="171" t="s">
        <v>206</v>
      </c>
      <c r="B15" s="172" t="s">
        <v>207</v>
      </c>
      <c r="C15" s="173" t="s">
        <v>208</v>
      </c>
      <c r="D15" s="174" t="s">
        <v>949</v>
      </c>
      <c r="E15" s="174" t="str">
        <f t="shared" si="0"/>
        <v>KLO</v>
      </c>
      <c r="F15" s="174" t="s">
        <v>66</v>
      </c>
      <c r="G15" s="175" t="s">
        <v>67</v>
      </c>
      <c r="I15" s="176" t="s">
        <v>209</v>
      </c>
      <c r="J15" s="177" t="s">
        <v>210</v>
      </c>
      <c r="K15" s="178" t="s">
        <v>181</v>
      </c>
      <c r="L15" s="177" t="s">
        <v>180</v>
      </c>
      <c r="M15" s="176" t="str">
        <f t="shared" si="3"/>
        <v>TR</v>
      </c>
      <c r="N15" s="176" t="s">
        <v>950</v>
      </c>
      <c r="P15" s="176" t="s">
        <v>951</v>
      </c>
      <c r="AC15" s="176" t="s">
        <v>211</v>
      </c>
      <c r="AD15" s="178"/>
      <c r="AE15" s="177" t="s">
        <v>212</v>
      </c>
      <c r="AF15" s="176">
        <f t="shared" si="6"/>
        <v>0</v>
      </c>
      <c r="AH15" s="176" t="s">
        <v>144</v>
      </c>
      <c r="AI15" s="178">
        <v>718</v>
      </c>
      <c r="AJ15" s="177" t="s">
        <v>213</v>
      </c>
      <c r="AK15" s="176" t="s">
        <v>952</v>
      </c>
      <c r="AL15" s="176">
        <f t="shared" ref="AL15:AL22" si="8">AI15</f>
        <v>718</v>
      </c>
      <c r="AV15" s="181" t="s">
        <v>953</v>
      </c>
      <c r="AW15" s="181" t="s">
        <v>954</v>
      </c>
      <c r="AX15" s="181" t="str">
        <f t="shared" si="2"/>
        <v>FR</v>
      </c>
    </row>
    <row r="16" spans="1:50">
      <c r="A16" s="171" t="s">
        <v>214</v>
      </c>
      <c r="B16" s="172" t="s">
        <v>215</v>
      </c>
      <c r="C16" s="173" t="s">
        <v>216</v>
      </c>
      <c r="D16" s="174" t="s">
        <v>955</v>
      </c>
      <c r="E16" s="174" t="str">
        <f t="shared" si="0"/>
        <v>NAN</v>
      </c>
      <c r="F16" s="174" t="s">
        <v>66</v>
      </c>
      <c r="G16" s="175" t="s">
        <v>67</v>
      </c>
      <c r="I16" s="176" t="s">
        <v>217</v>
      </c>
      <c r="J16" s="177" t="s">
        <v>218</v>
      </c>
      <c r="K16" s="178" t="s">
        <v>62</v>
      </c>
      <c r="L16" s="177" t="s">
        <v>218</v>
      </c>
      <c r="M16" s="176" t="str">
        <f t="shared" si="3"/>
        <v>UM</v>
      </c>
      <c r="N16" s="176" t="s">
        <v>950</v>
      </c>
      <c r="P16" s="176" t="s">
        <v>951</v>
      </c>
      <c r="AC16" s="176" t="s">
        <v>219</v>
      </c>
      <c r="AD16" s="178" t="s">
        <v>220</v>
      </c>
      <c r="AE16" s="177" t="s">
        <v>221</v>
      </c>
      <c r="AF16" s="176" t="str">
        <f t="shared" si="6"/>
        <v>BG</v>
      </c>
      <c r="AH16" s="176" t="s">
        <v>155</v>
      </c>
      <c r="AI16" s="178">
        <v>714</v>
      </c>
      <c r="AJ16" s="177" t="s">
        <v>222</v>
      </c>
      <c r="AK16" s="176" t="s">
        <v>952</v>
      </c>
      <c r="AL16" s="176">
        <f t="shared" si="8"/>
        <v>714</v>
      </c>
      <c r="AV16" s="181" t="s">
        <v>956</v>
      </c>
      <c r="AW16" s="181" t="s">
        <v>957</v>
      </c>
      <c r="AX16" s="181" t="str">
        <f t="shared" si="2"/>
        <v>GR</v>
      </c>
    </row>
    <row r="17" spans="1:50">
      <c r="A17" s="184" t="s">
        <v>223</v>
      </c>
      <c r="B17" s="185" t="s">
        <v>224</v>
      </c>
      <c r="C17" s="186" t="s">
        <v>225</v>
      </c>
      <c r="D17" s="187" t="s">
        <v>955</v>
      </c>
      <c r="E17" s="187" t="str">
        <f t="shared" si="0"/>
        <v>NAS</v>
      </c>
      <c r="F17" s="187" t="s">
        <v>66</v>
      </c>
      <c r="G17" s="188" t="s">
        <v>67</v>
      </c>
      <c r="I17" s="176" t="s">
        <v>226</v>
      </c>
      <c r="J17" s="177" t="s">
        <v>227</v>
      </c>
      <c r="K17" s="178" t="s">
        <v>228</v>
      </c>
      <c r="L17" s="177" t="s">
        <v>229</v>
      </c>
      <c r="M17" s="176" t="str">
        <f t="shared" si="3"/>
        <v>PE</v>
      </c>
      <c r="N17" s="176" t="s">
        <v>950</v>
      </c>
      <c r="P17" s="176" t="s">
        <v>951</v>
      </c>
      <c r="AC17" s="176" t="s">
        <v>230</v>
      </c>
      <c r="AD17" s="178"/>
      <c r="AE17" s="177" t="s">
        <v>231</v>
      </c>
      <c r="AF17" s="176">
        <f t="shared" si="6"/>
        <v>0</v>
      </c>
      <c r="AH17" s="176" t="s">
        <v>169</v>
      </c>
      <c r="AI17" s="178">
        <v>738</v>
      </c>
      <c r="AJ17" s="177" t="s">
        <v>232</v>
      </c>
      <c r="AK17" s="176" t="s">
        <v>952</v>
      </c>
      <c r="AL17" s="176">
        <f t="shared" si="8"/>
        <v>738</v>
      </c>
      <c r="AV17" s="181" t="s">
        <v>958</v>
      </c>
      <c r="AW17" s="181" t="s">
        <v>959</v>
      </c>
      <c r="AX17" s="181" t="str">
        <f t="shared" si="2"/>
        <v>IT</v>
      </c>
    </row>
    <row r="18" spans="1:50">
      <c r="A18" s="171" t="s">
        <v>233</v>
      </c>
      <c r="B18" s="172" t="s">
        <v>234</v>
      </c>
      <c r="C18" s="173" t="s">
        <v>235</v>
      </c>
      <c r="D18" s="174" t="s">
        <v>955</v>
      </c>
      <c r="E18" s="174" t="str">
        <f t="shared" si="0"/>
        <v>NAT</v>
      </c>
      <c r="F18" s="174" t="s">
        <v>66</v>
      </c>
      <c r="G18" s="175" t="s">
        <v>67</v>
      </c>
      <c r="I18" s="176" t="s">
        <v>236</v>
      </c>
      <c r="J18" s="177" t="s">
        <v>237</v>
      </c>
      <c r="K18" s="178" t="s">
        <v>33</v>
      </c>
      <c r="L18" s="177" t="s">
        <v>237</v>
      </c>
      <c r="M18" s="176" t="str">
        <f t="shared" si="3"/>
        <v>MI</v>
      </c>
      <c r="N18" s="176" t="s">
        <v>950</v>
      </c>
      <c r="P18" s="176" t="s">
        <v>951</v>
      </c>
      <c r="AC18" s="176" t="s">
        <v>238</v>
      </c>
      <c r="AD18" s="178"/>
      <c r="AE18" s="177" t="s">
        <v>239</v>
      </c>
      <c r="AF18" s="176">
        <f t="shared" si="6"/>
        <v>0</v>
      </c>
      <c r="AH18" s="176" t="s">
        <v>182</v>
      </c>
      <c r="AI18" s="178">
        <v>712</v>
      </c>
      <c r="AJ18" s="177" t="s">
        <v>240</v>
      </c>
      <c r="AK18" s="176" t="s">
        <v>952</v>
      </c>
      <c r="AL18" s="176">
        <f t="shared" si="8"/>
        <v>712</v>
      </c>
      <c r="AV18" s="181" t="s">
        <v>960</v>
      </c>
      <c r="AW18" s="181" t="s">
        <v>961</v>
      </c>
      <c r="AX18" s="181" t="str">
        <f t="shared" si="2"/>
        <v>PI</v>
      </c>
    </row>
    <row r="19" spans="1:50">
      <c r="A19" s="171" t="s">
        <v>241</v>
      </c>
      <c r="B19" s="172" t="s">
        <v>242</v>
      </c>
      <c r="C19" s="173" t="s">
        <v>243</v>
      </c>
      <c r="D19" s="174" t="s">
        <v>955</v>
      </c>
      <c r="E19" s="174" t="str">
        <f t="shared" si="0"/>
        <v>NBL</v>
      </c>
      <c r="F19" s="174" t="s">
        <v>66</v>
      </c>
      <c r="G19" s="175" t="s">
        <v>67</v>
      </c>
      <c r="I19" s="176" t="s">
        <v>244</v>
      </c>
      <c r="J19" s="177" t="s">
        <v>245</v>
      </c>
      <c r="K19" s="178" t="s">
        <v>37</v>
      </c>
      <c r="L19" s="177" t="s">
        <v>245</v>
      </c>
      <c r="M19" s="176" t="str">
        <f t="shared" si="3"/>
        <v>FE</v>
      </c>
      <c r="N19" s="176" t="s">
        <v>950</v>
      </c>
      <c r="P19" s="176" t="s">
        <v>951</v>
      </c>
      <c r="AC19" s="176" t="s">
        <v>246</v>
      </c>
      <c r="AD19" s="178" t="s">
        <v>176</v>
      </c>
      <c r="AE19" s="177" t="s">
        <v>247</v>
      </c>
      <c r="AF19" s="176" t="str">
        <f t="shared" si="6"/>
        <v>KH</v>
      </c>
      <c r="AH19" s="176" t="s">
        <v>194</v>
      </c>
      <c r="AI19" s="178">
        <v>758</v>
      </c>
      <c r="AJ19" s="177" t="s">
        <v>248</v>
      </c>
      <c r="AK19" s="176" t="s">
        <v>952</v>
      </c>
      <c r="AL19" s="176">
        <f t="shared" si="8"/>
        <v>758</v>
      </c>
      <c r="AV19" s="181" t="s">
        <v>962</v>
      </c>
      <c r="AW19" s="181" t="s">
        <v>963</v>
      </c>
      <c r="AX19" s="181" t="str">
        <f t="shared" si="2"/>
        <v>PT</v>
      </c>
    </row>
    <row r="20" spans="1:50">
      <c r="A20" s="184" t="s">
        <v>249</v>
      </c>
      <c r="B20" s="185" t="s">
        <v>250</v>
      </c>
      <c r="C20" s="186" t="s">
        <v>251</v>
      </c>
      <c r="D20" s="187" t="s">
        <v>964</v>
      </c>
      <c r="E20" s="187" t="str">
        <f t="shared" si="0"/>
        <v>NBR</v>
      </c>
      <c r="F20" s="187" t="s">
        <v>66</v>
      </c>
      <c r="G20" s="188" t="s">
        <v>67</v>
      </c>
      <c r="I20" s="176" t="s">
        <v>252</v>
      </c>
      <c r="J20" s="177" t="s">
        <v>253</v>
      </c>
      <c r="K20" s="178" t="s">
        <v>36</v>
      </c>
      <c r="L20" s="177" t="s">
        <v>253</v>
      </c>
      <c r="M20" s="176" t="str">
        <f t="shared" si="3"/>
        <v>HU</v>
      </c>
      <c r="N20" s="176" t="s">
        <v>935</v>
      </c>
      <c r="P20" s="176" t="s">
        <v>936</v>
      </c>
      <c r="AC20" s="176" t="s">
        <v>254</v>
      </c>
      <c r="AD20" s="178"/>
      <c r="AE20" s="177" t="s">
        <v>255</v>
      </c>
      <c r="AF20" s="176">
        <f t="shared" si="6"/>
        <v>0</v>
      </c>
      <c r="AH20" s="176" t="s">
        <v>123</v>
      </c>
      <c r="AI20" s="178">
        <v>734</v>
      </c>
      <c r="AJ20" s="177" t="s">
        <v>256</v>
      </c>
      <c r="AK20" s="176" t="s">
        <v>946</v>
      </c>
      <c r="AL20" s="176">
        <f t="shared" si="8"/>
        <v>734</v>
      </c>
      <c r="AV20" s="181" t="s">
        <v>965</v>
      </c>
      <c r="AW20" s="181" t="s">
        <v>966</v>
      </c>
      <c r="AX20" s="181" t="str">
        <f t="shared" si="2"/>
        <v>TW</v>
      </c>
    </row>
    <row r="21" spans="1:50">
      <c r="A21" s="171" t="s">
        <v>257</v>
      </c>
      <c r="B21" s="172" t="s">
        <v>258</v>
      </c>
      <c r="C21" s="173" t="s">
        <v>259</v>
      </c>
      <c r="D21" s="174" t="s">
        <v>964</v>
      </c>
      <c r="E21" s="174" t="str">
        <f t="shared" si="0"/>
        <v>NBE</v>
      </c>
      <c r="F21" s="174" t="s">
        <v>66</v>
      </c>
      <c r="G21" s="175" t="s">
        <v>67</v>
      </c>
      <c r="I21" s="176" t="s">
        <v>260</v>
      </c>
      <c r="J21" s="177" t="s">
        <v>261</v>
      </c>
      <c r="K21" s="178" t="s">
        <v>260</v>
      </c>
      <c r="L21" s="177" t="s">
        <v>261</v>
      </c>
      <c r="M21" s="176" t="str">
        <f t="shared" si="3"/>
        <v>CT</v>
      </c>
      <c r="N21" s="176" t="s">
        <v>935</v>
      </c>
      <c r="P21" s="176" t="s">
        <v>936</v>
      </c>
      <c r="AC21" s="176" t="s">
        <v>262</v>
      </c>
      <c r="AD21" s="178" t="s">
        <v>263</v>
      </c>
      <c r="AE21" s="177" t="s">
        <v>264</v>
      </c>
      <c r="AF21" s="176" t="str">
        <f t="shared" si="6"/>
        <v>BW</v>
      </c>
      <c r="AH21" s="176" t="s">
        <v>137</v>
      </c>
      <c r="AI21" s="178">
        <v>778</v>
      </c>
      <c r="AJ21" s="177" t="s">
        <v>265</v>
      </c>
      <c r="AK21" s="176" t="s">
        <v>946</v>
      </c>
      <c r="AL21" s="176">
        <f t="shared" si="8"/>
        <v>778</v>
      </c>
    </row>
    <row r="22" spans="1:50">
      <c r="A22" s="171" t="s">
        <v>266</v>
      </c>
      <c r="B22" s="172" t="s">
        <v>267</v>
      </c>
      <c r="C22" s="173" t="s">
        <v>268</v>
      </c>
      <c r="D22" s="174" t="s">
        <v>964</v>
      </c>
      <c r="E22" s="174" t="str">
        <f t="shared" si="0"/>
        <v>NCA</v>
      </c>
      <c r="F22" s="174" t="s">
        <v>66</v>
      </c>
      <c r="G22" s="175" t="s">
        <v>67</v>
      </c>
      <c r="I22" s="176" t="s">
        <v>269</v>
      </c>
      <c r="J22" s="177" t="s">
        <v>270</v>
      </c>
      <c r="K22" s="178" t="s">
        <v>269</v>
      </c>
      <c r="L22" s="177" t="s">
        <v>270</v>
      </c>
      <c r="M22" s="176" t="str">
        <f t="shared" si="3"/>
        <v>CM</v>
      </c>
      <c r="N22" s="176" t="s">
        <v>935</v>
      </c>
      <c r="P22" s="176" t="s">
        <v>936</v>
      </c>
      <c r="AC22" s="176" t="s">
        <v>271</v>
      </c>
      <c r="AD22" s="178"/>
      <c r="AE22" s="177" t="s">
        <v>272</v>
      </c>
      <c r="AF22" s="176">
        <f t="shared" si="6"/>
        <v>0</v>
      </c>
      <c r="AH22" s="176" t="s">
        <v>79</v>
      </c>
      <c r="AI22" s="178">
        <v>800</v>
      </c>
      <c r="AJ22" s="177" t="s">
        <v>273</v>
      </c>
      <c r="AK22" s="176" t="s">
        <v>946</v>
      </c>
      <c r="AL22" s="176">
        <f t="shared" si="8"/>
        <v>800</v>
      </c>
    </row>
    <row r="23" spans="1:50">
      <c r="A23" s="171" t="s">
        <v>274</v>
      </c>
      <c r="B23" s="172" t="s">
        <v>275</v>
      </c>
      <c r="C23" s="173" t="s">
        <v>276</v>
      </c>
      <c r="D23" s="174" t="s">
        <v>964</v>
      </c>
      <c r="E23" s="174" t="str">
        <f t="shared" si="0"/>
        <v>NCU</v>
      </c>
      <c r="F23" s="174" t="s">
        <v>66</v>
      </c>
      <c r="G23" s="175" t="s">
        <v>67</v>
      </c>
      <c r="I23" s="176" t="s">
        <v>277</v>
      </c>
      <c r="J23" s="177" t="s">
        <v>278</v>
      </c>
      <c r="K23" s="178" t="s">
        <v>60</v>
      </c>
      <c r="L23" s="177" t="s">
        <v>278</v>
      </c>
      <c r="M23" s="176" t="str">
        <f t="shared" si="3"/>
        <v>FA</v>
      </c>
      <c r="N23" s="176" t="s">
        <v>935</v>
      </c>
      <c r="P23" s="176" t="s">
        <v>936</v>
      </c>
      <c r="AC23" s="176" t="s">
        <v>279</v>
      </c>
      <c r="AD23" s="178"/>
      <c r="AE23" s="177" t="s">
        <v>280</v>
      </c>
      <c r="AF23" s="176">
        <f t="shared" si="6"/>
        <v>0</v>
      </c>
      <c r="AI23" s="178"/>
    </row>
    <row r="24" spans="1:50">
      <c r="A24" s="171" t="s">
        <v>281</v>
      </c>
      <c r="B24" s="172" t="s">
        <v>282</v>
      </c>
      <c r="C24" s="173" t="s">
        <v>283</v>
      </c>
      <c r="D24" s="174" t="s">
        <v>964</v>
      </c>
      <c r="E24" s="174" t="str">
        <f t="shared" si="0"/>
        <v>NDB</v>
      </c>
      <c r="F24" s="174" t="s">
        <v>66</v>
      </c>
      <c r="G24" s="175" t="s">
        <v>67</v>
      </c>
      <c r="I24" s="176" t="s">
        <v>284</v>
      </c>
      <c r="J24" s="177" t="s">
        <v>285</v>
      </c>
      <c r="K24" s="178" t="s">
        <v>60</v>
      </c>
      <c r="L24" s="177" t="s">
        <v>278</v>
      </c>
      <c r="M24" s="176" t="str">
        <f t="shared" si="3"/>
        <v>FA</v>
      </c>
      <c r="N24" s="176" t="s">
        <v>935</v>
      </c>
      <c r="P24" s="176" t="s">
        <v>936</v>
      </c>
      <c r="AC24" s="176" t="s">
        <v>286</v>
      </c>
      <c r="AD24" s="178" t="s">
        <v>98</v>
      </c>
      <c r="AE24" s="177" t="s">
        <v>287</v>
      </c>
      <c r="AF24" s="176" t="str">
        <f t="shared" si="6"/>
        <v>BR</v>
      </c>
      <c r="AI24" s="178">
        <v>600</v>
      </c>
      <c r="AJ24" s="177" t="s">
        <v>288</v>
      </c>
      <c r="AK24" s="176" t="s">
        <v>967</v>
      </c>
      <c r="AL24" s="176">
        <f t="shared" ref="AL24:AL31" si="9">AI24</f>
        <v>600</v>
      </c>
    </row>
    <row r="25" spans="1:50">
      <c r="A25" s="171" t="s">
        <v>289</v>
      </c>
      <c r="B25" s="172" t="s">
        <v>290</v>
      </c>
      <c r="C25" s="173" t="s">
        <v>291</v>
      </c>
      <c r="D25" s="174" t="s">
        <v>964</v>
      </c>
      <c r="E25" s="174" t="str">
        <f t="shared" si="0"/>
        <v>NDE</v>
      </c>
      <c r="F25" s="174" t="s">
        <v>66</v>
      </c>
      <c r="G25" s="175" t="s">
        <v>67</v>
      </c>
      <c r="I25" s="176" t="s">
        <v>292</v>
      </c>
      <c r="J25" s="177" t="s">
        <v>293</v>
      </c>
      <c r="K25" s="178" t="s">
        <v>60</v>
      </c>
      <c r="L25" s="177" t="s">
        <v>278</v>
      </c>
      <c r="M25" s="176" t="str">
        <f t="shared" si="3"/>
        <v>FA</v>
      </c>
      <c r="N25" s="176" t="s">
        <v>935</v>
      </c>
      <c r="P25" s="176" t="s">
        <v>936</v>
      </c>
      <c r="AC25" s="176" t="s">
        <v>68</v>
      </c>
      <c r="AD25" s="178"/>
      <c r="AE25" s="177" t="s">
        <v>294</v>
      </c>
      <c r="AF25" s="176">
        <f t="shared" si="6"/>
        <v>0</v>
      </c>
      <c r="AI25" s="178">
        <v>618</v>
      </c>
      <c r="AJ25" s="177" t="s">
        <v>295</v>
      </c>
      <c r="AK25" s="176" t="s">
        <v>967</v>
      </c>
      <c r="AL25" s="176">
        <f t="shared" si="9"/>
        <v>618</v>
      </c>
    </row>
    <row r="26" spans="1:50">
      <c r="A26" s="184" t="s">
        <v>296</v>
      </c>
      <c r="B26" s="185" t="s">
        <v>297</v>
      </c>
      <c r="C26" s="186" t="s">
        <v>298</v>
      </c>
      <c r="D26" s="187" t="s">
        <v>964</v>
      </c>
      <c r="E26" s="187" t="str">
        <f t="shared" si="0"/>
        <v>NDO</v>
      </c>
      <c r="F26" s="187" t="s">
        <v>66</v>
      </c>
      <c r="G26" s="188" t="s">
        <v>67</v>
      </c>
      <c r="I26" s="176" t="s">
        <v>299</v>
      </c>
      <c r="J26" s="177" t="s">
        <v>300</v>
      </c>
      <c r="K26" s="178" t="s">
        <v>60</v>
      </c>
      <c r="L26" s="177" t="s">
        <v>278</v>
      </c>
      <c r="M26" s="176" t="str">
        <f t="shared" si="3"/>
        <v>FA</v>
      </c>
      <c r="N26" s="176" t="s">
        <v>935</v>
      </c>
      <c r="P26" s="176" t="s">
        <v>936</v>
      </c>
      <c r="AC26" s="176" t="s">
        <v>165</v>
      </c>
      <c r="AD26" s="178"/>
      <c r="AE26" s="177" t="s">
        <v>301</v>
      </c>
      <c r="AF26" s="176">
        <f t="shared" si="6"/>
        <v>0</v>
      </c>
      <c r="AI26" s="178">
        <v>614</v>
      </c>
      <c r="AJ26" s="177" t="s">
        <v>302</v>
      </c>
      <c r="AK26" s="176" t="s">
        <v>967</v>
      </c>
      <c r="AL26" s="176">
        <f t="shared" si="9"/>
        <v>614</v>
      </c>
    </row>
    <row r="27" spans="1:50">
      <c r="A27" s="184" t="s">
        <v>303</v>
      </c>
      <c r="B27" s="185" t="s">
        <v>304</v>
      </c>
      <c r="C27" s="186" t="s">
        <v>305</v>
      </c>
      <c r="D27" s="187" t="s">
        <v>964</v>
      </c>
      <c r="E27" s="187" t="str">
        <f t="shared" si="0"/>
        <v>NGI</v>
      </c>
      <c r="F27" s="187" t="s">
        <v>66</v>
      </c>
      <c r="G27" s="188" t="s">
        <v>67</v>
      </c>
      <c r="I27" s="176" t="s">
        <v>81</v>
      </c>
      <c r="J27" s="177" t="s">
        <v>306</v>
      </c>
      <c r="K27" s="178" t="s">
        <v>56</v>
      </c>
      <c r="L27" s="177" t="s">
        <v>307</v>
      </c>
      <c r="M27" s="176" t="str">
        <f t="shared" si="3"/>
        <v>BE</v>
      </c>
      <c r="N27" s="176" t="s">
        <v>935</v>
      </c>
      <c r="P27" s="176" t="s">
        <v>936</v>
      </c>
      <c r="AC27" s="176" t="s">
        <v>100</v>
      </c>
      <c r="AD27" s="178" t="s">
        <v>299</v>
      </c>
      <c r="AE27" s="177" t="s">
        <v>308</v>
      </c>
      <c r="AF27" s="176" t="str">
        <f t="shared" si="6"/>
        <v>CH</v>
      </c>
      <c r="AH27" s="176" t="s">
        <v>169</v>
      </c>
      <c r="AI27" s="178">
        <v>638</v>
      </c>
      <c r="AJ27" s="177" t="s">
        <v>309</v>
      </c>
      <c r="AK27" s="176" t="s">
        <v>967</v>
      </c>
      <c r="AL27" s="176">
        <f t="shared" si="9"/>
        <v>638</v>
      </c>
    </row>
    <row r="28" spans="1:50">
      <c r="A28" s="184" t="s">
        <v>310</v>
      </c>
      <c r="B28" s="185" t="s">
        <v>311</v>
      </c>
      <c r="C28" s="186" t="s">
        <v>312</v>
      </c>
      <c r="D28" s="187" t="s">
        <v>964</v>
      </c>
      <c r="E28" s="187" t="str">
        <f t="shared" si="0"/>
        <v>NIN</v>
      </c>
      <c r="F28" s="187" t="s">
        <v>66</v>
      </c>
      <c r="G28" s="188" t="s">
        <v>67</v>
      </c>
      <c r="I28" s="176" t="s">
        <v>313</v>
      </c>
      <c r="J28" s="177" t="s">
        <v>314</v>
      </c>
      <c r="K28" s="178" t="s">
        <v>56</v>
      </c>
      <c r="L28" s="177" t="s">
        <v>307</v>
      </c>
      <c r="M28" s="176" t="str">
        <f t="shared" si="3"/>
        <v>BE</v>
      </c>
      <c r="N28" s="176" t="s">
        <v>935</v>
      </c>
      <c r="P28" s="176" t="s">
        <v>936</v>
      </c>
      <c r="AC28" s="176" t="s">
        <v>116</v>
      </c>
      <c r="AD28" s="178"/>
      <c r="AE28" s="177" t="s">
        <v>315</v>
      </c>
      <c r="AF28" s="176">
        <f t="shared" si="6"/>
        <v>0</v>
      </c>
      <c r="AH28" s="176" t="s">
        <v>182</v>
      </c>
      <c r="AI28" s="178">
        <v>612</v>
      </c>
      <c r="AJ28" s="177" t="s">
        <v>316</v>
      </c>
      <c r="AK28" s="176" t="s">
        <v>967</v>
      </c>
      <c r="AL28" s="176">
        <f t="shared" si="9"/>
        <v>612</v>
      </c>
    </row>
    <row r="29" spans="1:50">
      <c r="A29" s="171" t="s">
        <v>317</v>
      </c>
      <c r="B29" s="172" t="s">
        <v>318</v>
      </c>
      <c r="C29" s="173" t="s">
        <v>319</v>
      </c>
      <c r="D29" s="174" t="s">
        <v>964</v>
      </c>
      <c r="E29" s="174" t="str">
        <f t="shared" si="0"/>
        <v>NMR</v>
      </c>
      <c r="F29" s="174" t="s">
        <v>66</v>
      </c>
      <c r="G29" s="175" t="s">
        <v>67</v>
      </c>
      <c r="I29" s="176" t="s">
        <v>320</v>
      </c>
      <c r="J29" s="177" t="s">
        <v>321</v>
      </c>
      <c r="K29" s="178" t="s">
        <v>56</v>
      </c>
      <c r="L29" s="177" t="s">
        <v>307</v>
      </c>
      <c r="M29" s="176" t="str">
        <f t="shared" si="3"/>
        <v>BE</v>
      </c>
      <c r="N29" s="176" t="s">
        <v>935</v>
      </c>
      <c r="P29" s="176" t="s">
        <v>936</v>
      </c>
      <c r="AC29" s="176" t="s">
        <v>129</v>
      </c>
      <c r="AD29" s="178" t="s">
        <v>252</v>
      </c>
      <c r="AE29" s="177" t="s">
        <v>322</v>
      </c>
      <c r="AF29" s="176" t="str">
        <f t="shared" si="6"/>
        <v>CL</v>
      </c>
      <c r="AH29" s="176" t="s">
        <v>194</v>
      </c>
      <c r="AI29" s="178">
        <v>658</v>
      </c>
      <c r="AJ29" s="177" t="s">
        <v>323</v>
      </c>
      <c r="AK29" s="176" t="s">
        <v>967</v>
      </c>
      <c r="AL29" s="176">
        <f t="shared" si="9"/>
        <v>658</v>
      </c>
    </row>
    <row r="30" spans="1:50">
      <c r="A30" s="171" t="s">
        <v>324</v>
      </c>
      <c r="B30" s="172" t="s">
        <v>325</v>
      </c>
      <c r="C30" s="173" t="s">
        <v>326</v>
      </c>
      <c r="D30" s="174" t="s">
        <v>964</v>
      </c>
      <c r="E30" s="174" t="str">
        <f t="shared" si="0"/>
        <v>NMA</v>
      </c>
      <c r="F30" s="174" t="s">
        <v>66</v>
      </c>
      <c r="G30" s="175" t="s">
        <v>67</v>
      </c>
      <c r="I30" s="176" t="s">
        <v>327</v>
      </c>
      <c r="J30" s="177" t="s">
        <v>328</v>
      </c>
      <c r="K30" s="178" t="s">
        <v>59</v>
      </c>
      <c r="L30" s="177" t="s">
        <v>329</v>
      </c>
      <c r="M30" s="176" t="str">
        <f t="shared" si="3"/>
        <v>VB</v>
      </c>
      <c r="N30" s="176" t="s">
        <v>935</v>
      </c>
      <c r="P30" s="176" t="s">
        <v>936</v>
      </c>
      <c r="AC30" s="176" t="s">
        <v>179</v>
      </c>
      <c r="AD30" s="178"/>
      <c r="AE30" s="177" t="s">
        <v>330</v>
      </c>
      <c r="AF30" s="176">
        <f t="shared" si="6"/>
        <v>0</v>
      </c>
      <c r="AH30" s="176" t="s">
        <v>123</v>
      </c>
      <c r="AI30" s="178">
        <v>634</v>
      </c>
      <c r="AJ30" s="177" t="s">
        <v>331</v>
      </c>
      <c r="AK30" s="176" t="s">
        <v>967</v>
      </c>
      <c r="AL30" s="176">
        <f t="shared" si="9"/>
        <v>634</v>
      </c>
    </row>
    <row r="31" spans="1:50">
      <c r="A31" s="171" t="s">
        <v>332</v>
      </c>
      <c r="B31" s="172" t="s">
        <v>333</v>
      </c>
      <c r="C31" s="173" t="s">
        <v>334</v>
      </c>
      <c r="D31" s="174" t="s">
        <v>964</v>
      </c>
      <c r="E31" s="174" t="str">
        <f t="shared" si="0"/>
        <v>NME</v>
      </c>
      <c r="F31" s="174" t="s">
        <v>66</v>
      </c>
      <c r="G31" s="175" t="s">
        <v>67</v>
      </c>
      <c r="I31" s="176" t="s">
        <v>335</v>
      </c>
      <c r="J31" s="177" t="s">
        <v>336</v>
      </c>
      <c r="K31" s="178" t="s">
        <v>54</v>
      </c>
      <c r="L31" s="177" t="s">
        <v>336</v>
      </c>
      <c r="M31" s="176" t="str">
        <f t="shared" si="3"/>
        <v>EB</v>
      </c>
      <c r="N31" s="176" t="s">
        <v>935</v>
      </c>
      <c r="P31" s="176" t="s">
        <v>936</v>
      </c>
      <c r="AC31" s="176" t="s">
        <v>337</v>
      </c>
      <c r="AD31" s="178" t="s">
        <v>338</v>
      </c>
      <c r="AE31" s="177" t="s">
        <v>339</v>
      </c>
      <c r="AF31" s="176" t="str">
        <f t="shared" si="6"/>
        <v>GY</v>
      </c>
      <c r="AH31" s="176" t="s">
        <v>118</v>
      </c>
      <c r="AI31" s="178">
        <v>678</v>
      </c>
      <c r="AJ31" s="177" t="s">
        <v>340</v>
      </c>
      <c r="AK31" s="176" t="s">
        <v>967</v>
      </c>
      <c r="AL31" s="176">
        <f t="shared" si="9"/>
        <v>678</v>
      </c>
    </row>
    <row r="32" spans="1:50">
      <c r="A32" s="171" t="s">
        <v>341</v>
      </c>
      <c r="B32" s="172" t="s">
        <v>342</v>
      </c>
      <c r="C32" s="173" t="s">
        <v>343</v>
      </c>
      <c r="D32" s="174" t="s">
        <v>964</v>
      </c>
      <c r="E32" s="174" t="str">
        <f t="shared" si="0"/>
        <v>NNA</v>
      </c>
      <c r="F32" s="174" t="s">
        <v>66</v>
      </c>
      <c r="G32" s="175" t="s">
        <v>67</v>
      </c>
      <c r="J32" s="177" t="s">
        <v>344</v>
      </c>
      <c r="K32" s="178" t="s">
        <v>35</v>
      </c>
      <c r="L32" s="177" t="s">
        <v>344</v>
      </c>
      <c r="M32" s="176" t="str">
        <f t="shared" si="3"/>
        <v>ER</v>
      </c>
      <c r="N32" s="176" t="s">
        <v>935</v>
      </c>
      <c r="P32" s="176" t="s">
        <v>936</v>
      </c>
      <c r="AC32" s="176" t="s">
        <v>345</v>
      </c>
      <c r="AD32" s="178"/>
      <c r="AE32" s="177" t="s">
        <v>346</v>
      </c>
      <c r="AF32" s="176">
        <f t="shared" si="6"/>
        <v>0</v>
      </c>
      <c r="AI32" s="178"/>
    </row>
    <row r="33" spans="1:38">
      <c r="A33" s="171" t="s">
        <v>347</v>
      </c>
      <c r="B33" s="172" t="s">
        <v>348</v>
      </c>
      <c r="C33" s="173" t="s">
        <v>349</v>
      </c>
      <c r="D33" s="174" t="s">
        <v>964</v>
      </c>
      <c r="E33" s="174" t="str">
        <f t="shared" si="0"/>
        <v>NOR</v>
      </c>
      <c r="F33" s="174" t="s">
        <v>66</v>
      </c>
      <c r="G33" s="175" t="s">
        <v>67</v>
      </c>
      <c r="J33" s="177" t="s">
        <v>350</v>
      </c>
      <c r="K33" s="178" t="s">
        <v>28</v>
      </c>
      <c r="L33" s="177" t="s">
        <v>350</v>
      </c>
      <c r="M33" s="176" t="str">
        <f t="shared" si="3"/>
        <v>TP</v>
      </c>
      <c r="N33" s="176" t="s">
        <v>935</v>
      </c>
      <c r="P33" s="176" t="s">
        <v>936</v>
      </c>
      <c r="AC33" s="176" t="s">
        <v>351</v>
      </c>
      <c r="AD33" s="178"/>
      <c r="AE33" s="177" t="s">
        <v>352</v>
      </c>
      <c r="AF33" s="176">
        <f t="shared" si="6"/>
        <v>0</v>
      </c>
      <c r="AH33" s="176">
        <v>4</v>
      </c>
      <c r="AI33" s="178">
        <v>240</v>
      </c>
      <c r="AJ33" s="177">
        <v>240</v>
      </c>
      <c r="AK33" s="176" t="s">
        <v>968</v>
      </c>
      <c r="AL33" s="176">
        <f>AI33</f>
        <v>240</v>
      </c>
    </row>
    <row r="34" spans="1:38">
      <c r="A34" s="171" t="s">
        <v>353</v>
      </c>
      <c r="B34" s="172" t="s">
        <v>354</v>
      </c>
      <c r="C34" s="173" t="s">
        <v>355</v>
      </c>
      <c r="D34" s="174" t="s">
        <v>964</v>
      </c>
      <c r="E34" s="174" t="str">
        <f t="shared" si="0"/>
        <v>NPA</v>
      </c>
      <c r="F34" s="174" t="s">
        <v>66</v>
      </c>
      <c r="G34" s="175" t="s">
        <v>67</v>
      </c>
      <c r="I34" s="176" t="s">
        <v>356</v>
      </c>
      <c r="J34" s="177" t="s">
        <v>357</v>
      </c>
      <c r="K34" s="178" t="s">
        <v>358</v>
      </c>
      <c r="L34" s="177" t="s">
        <v>359</v>
      </c>
      <c r="M34" s="176" t="str">
        <f t="shared" si="3"/>
        <v>MU</v>
      </c>
      <c r="N34" s="176" t="s">
        <v>935</v>
      </c>
      <c r="O34" s="176" t="s">
        <v>969</v>
      </c>
      <c r="P34" s="176" t="s">
        <v>969</v>
      </c>
      <c r="AC34" s="176" t="s">
        <v>360</v>
      </c>
      <c r="AD34" s="178"/>
      <c r="AE34" s="177" t="s">
        <v>361</v>
      </c>
      <c r="AF34" s="176">
        <f t="shared" si="6"/>
        <v>0</v>
      </c>
      <c r="AH34" s="176">
        <v>5</v>
      </c>
      <c r="AI34" s="178">
        <v>250</v>
      </c>
      <c r="AJ34" s="177">
        <v>250</v>
      </c>
      <c r="AK34" s="176" t="s">
        <v>968</v>
      </c>
      <c r="AL34" s="176">
        <f>AI34</f>
        <v>250</v>
      </c>
    </row>
    <row r="35" spans="1:38">
      <c r="A35" s="184" t="s">
        <v>362</v>
      </c>
      <c r="B35" s="185" t="s">
        <v>363</v>
      </c>
      <c r="C35" s="186" t="s">
        <v>364</v>
      </c>
      <c r="D35" s="187" t="s">
        <v>964</v>
      </c>
      <c r="E35" s="187" t="str">
        <f t="shared" si="0"/>
        <v>NPH</v>
      </c>
      <c r="F35" s="187" t="s">
        <v>66</v>
      </c>
      <c r="G35" s="188" t="s">
        <v>67</v>
      </c>
      <c r="I35" s="176" t="s">
        <v>54</v>
      </c>
      <c r="J35" s="177" t="s">
        <v>365</v>
      </c>
      <c r="K35" s="178" t="s">
        <v>358</v>
      </c>
      <c r="L35" s="177" t="s">
        <v>359</v>
      </c>
      <c r="N35" s="176" t="s">
        <v>935</v>
      </c>
      <c r="O35" s="176" t="s">
        <v>969</v>
      </c>
      <c r="P35" s="176" t="s">
        <v>969</v>
      </c>
      <c r="AC35" s="176" t="s">
        <v>366</v>
      </c>
      <c r="AD35" s="178"/>
      <c r="AE35" s="177" t="s">
        <v>367</v>
      </c>
      <c r="AF35" s="176">
        <f t="shared" si="6"/>
        <v>0</v>
      </c>
      <c r="AH35" s="176">
        <v>7</v>
      </c>
      <c r="AI35" s="178">
        <v>270</v>
      </c>
      <c r="AJ35" s="177">
        <v>270</v>
      </c>
      <c r="AK35" s="176" t="s">
        <v>968</v>
      </c>
      <c r="AL35" s="176">
        <f>AI35</f>
        <v>270</v>
      </c>
    </row>
    <row r="36" spans="1:38" ht="14.25" thickBot="1">
      <c r="A36" s="184" t="s">
        <v>368</v>
      </c>
      <c r="B36" s="185" t="s">
        <v>369</v>
      </c>
      <c r="C36" s="186" t="s">
        <v>370</v>
      </c>
      <c r="D36" s="187" t="s">
        <v>964</v>
      </c>
      <c r="E36" s="187" t="str">
        <f t="shared" si="0"/>
        <v>NPI</v>
      </c>
      <c r="F36" s="187" t="s">
        <v>66</v>
      </c>
      <c r="G36" s="188" t="s">
        <v>67</v>
      </c>
      <c r="I36" s="176" t="s">
        <v>371</v>
      </c>
      <c r="J36" s="177" t="s">
        <v>372</v>
      </c>
      <c r="K36" s="178" t="s">
        <v>358</v>
      </c>
      <c r="L36" s="177" t="s">
        <v>359</v>
      </c>
      <c r="N36" s="176" t="s">
        <v>935</v>
      </c>
      <c r="O36" s="176" t="s">
        <v>969</v>
      </c>
      <c r="P36" s="176" t="s">
        <v>969</v>
      </c>
      <c r="AC36" s="176" t="s">
        <v>373</v>
      </c>
      <c r="AD36" s="178"/>
      <c r="AE36" s="177" t="s">
        <v>374</v>
      </c>
      <c r="AF36" s="176">
        <f t="shared" si="6"/>
        <v>0</v>
      </c>
      <c r="AH36" s="176">
        <v>8</v>
      </c>
      <c r="AI36" s="182">
        <v>280</v>
      </c>
      <c r="AJ36" s="177">
        <v>280</v>
      </c>
      <c r="AK36" s="176" t="s">
        <v>968</v>
      </c>
      <c r="AL36" s="176">
        <f>AI36</f>
        <v>280</v>
      </c>
    </row>
    <row r="37" spans="1:38">
      <c r="A37" s="171" t="s">
        <v>375</v>
      </c>
      <c r="B37" s="172" t="s">
        <v>376</v>
      </c>
      <c r="C37" s="173" t="s">
        <v>377</v>
      </c>
      <c r="D37" s="174" t="s">
        <v>964</v>
      </c>
      <c r="E37" s="174" t="str">
        <f t="shared" si="0"/>
        <v>NRA</v>
      </c>
      <c r="F37" s="174" t="s">
        <v>66</v>
      </c>
      <c r="G37" s="175" t="s">
        <v>67</v>
      </c>
      <c r="J37" s="177" t="s">
        <v>378</v>
      </c>
      <c r="K37" s="178" t="s">
        <v>379</v>
      </c>
      <c r="L37" s="177" t="s">
        <v>378</v>
      </c>
      <c r="M37" s="176" t="str">
        <f t="shared" si="3"/>
        <v>WA</v>
      </c>
      <c r="N37" s="176" t="s">
        <v>935</v>
      </c>
      <c r="O37" s="176" t="s">
        <v>969</v>
      </c>
      <c r="P37" s="176" t="s">
        <v>969</v>
      </c>
      <c r="AC37" s="176" t="s">
        <v>380</v>
      </c>
      <c r="AD37" s="178"/>
      <c r="AE37" s="177" t="s">
        <v>381</v>
      </c>
      <c r="AF37" s="176">
        <f t="shared" si="6"/>
        <v>0</v>
      </c>
    </row>
    <row r="38" spans="1:38">
      <c r="A38" s="171" t="s">
        <v>382</v>
      </c>
      <c r="B38" s="172" t="s">
        <v>383</v>
      </c>
      <c r="C38" s="173" t="s">
        <v>384</v>
      </c>
      <c r="D38" s="174" t="s">
        <v>964</v>
      </c>
      <c r="E38" s="174" t="str">
        <f t="shared" si="0"/>
        <v>NRD</v>
      </c>
      <c r="F38" s="174" t="s">
        <v>66</v>
      </c>
      <c r="G38" s="175" t="s">
        <v>67</v>
      </c>
      <c r="I38" s="176" t="s">
        <v>55</v>
      </c>
      <c r="J38" s="177" t="s">
        <v>385</v>
      </c>
      <c r="K38" s="178" t="s">
        <v>55</v>
      </c>
      <c r="L38" s="177" t="s">
        <v>386</v>
      </c>
      <c r="M38" s="176" t="str">
        <f t="shared" si="3"/>
        <v>ED</v>
      </c>
      <c r="N38" s="176" t="s">
        <v>935</v>
      </c>
      <c r="O38" s="176" t="s">
        <v>969</v>
      </c>
      <c r="P38" s="176" t="s">
        <v>969</v>
      </c>
      <c r="AC38" s="176" t="s">
        <v>387</v>
      </c>
      <c r="AD38" s="178" t="s">
        <v>388</v>
      </c>
      <c r="AE38" s="177" t="s">
        <v>389</v>
      </c>
      <c r="AF38" s="176" t="str">
        <f t="shared" si="6"/>
        <v>MT</v>
      </c>
    </row>
    <row r="39" spans="1:38">
      <c r="A39" s="184" t="s">
        <v>390</v>
      </c>
      <c r="B39" s="185" t="s">
        <v>391</v>
      </c>
      <c r="C39" s="186" t="s">
        <v>392</v>
      </c>
      <c r="D39" s="187" t="s">
        <v>964</v>
      </c>
      <c r="E39" s="187" t="str">
        <f t="shared" si="0"/>
        <v>NRE</v>
      </c>
      <c r="F39" s="187" t="s">
        <v>66</v>
      </c>
      <c r="G39" s="188" t="s">
        <v>67</v>
      </c>
      <c r="I39" s="176" t="s">
        <v>60</v>
      </c>
      <c r="J39" s="177" t="s">
        <v>393</v>
      </c>
      <c r="K39" s="178" t="s">
        <v>100</v>
      </c>
      <c r="L39" s="177" t="s">
        <v>394</v>
      </c>
      <c r="M39" s="176" t="str">
        <f t="shared" si="3"/>
        <v>CC</v>
      </c>
      <c r="N39" s="176" t="s">
        <v>935</v>
      </c>
      <c r="O39" s="176" t="s">
        <v>969</v>
      </c>
      <c r="P39" s="176" t="s">
        <v>969</v>
      </c>
      <c r="AC39" s="176" t="s">
        <v>395</v>
      </c>
      <c r="AD39" s="178" t="s">
        <v>396</v>
      </c>
      <c r="AE39" s="177" t="s">
        <v>397</v>
      </c>
      <c r="AF39" s="176" t="str">
        <f t="shared" si="6"/>
        <v>GR</v>
      </c>
    </row>
    <row r="40" spans="1:38">
      <c r="A40" s="171" t="s">
        <v>398</v>
      </c>
      <c r="B40" s="172" t="s">
        <v>399</v>
      </c>
      <c r="C40" s="173" t="s">
        <v>400</v>
      </c>
      <c r="D40" s="174" t="s">
        <v>964</v>
      </c>
      <c r="E40" s="174" t="str">
        <f t="shared" si="0"/>
        <v>NRO</v>
      </c>
      <c r="F40" s="174" t="s">
        <v>66</v>
      </c>
      <c r="G40" s="175" t="s">
        <v>67</v>
      </c>
      <c r="I40" s="176" t="s">
        <v>401</v>
      </c>
      <c r="J40" s="177" t="s">
        <v>402</v>
      </c>
      <c r="K40" s="178" t="s">
        <v>85</v>
      </c>
      <c r="L40" s="177" t="s">
        <v>403</v>
      </c>
      <c r="M40" s="176" t="str">
        <f t="shared" si="3"/>
        <v>CS</v>
      </c>
      <c r="N40" s="176" t="s">
        <v>935</v>
      </c>
      <c r="O40" s="176" t="s">
        <v>969</v>
      </c>
      <c r="P40" s="176" t="s">
        <v>969</v>
      </c>
      <c r="AC40" s="176" t="s">
        <v>404</v>
      </c>
      <c r="AD40" s="178"/>
      <c r="AE40" s="177" t="s">
        <v>405</v>
      </c>
      <c r="AF40" s="176">
        <f t="shared" si="6"/>
        <v>0</v>
      </c>
    </row>
    <row r="41" spans="1:38">
      <c r="A41" s="171" t="s">
        <v>406</v>
      </c>
      <c r="B41" s="172" t="s">
        <v>407</v>
      </c>
      <c r="C41" s="173" t="s">
        <v>408</v>
      </c>
      <c r="D41" s="174" t="s">
        <v>964</v>
      </c>
      <c r="E41" s="174" t="str">
        <f t="shared" si="0"/>
        <v>NRY</v>
      </c>
      <c r="F41" s="174" t="s">
        <v>66</v>
      </c>
      <c r="G41" s="175" t="s">
        <v>67</v>
      </c>
      <c r="I41" s="176" t="s">
        <v>409</v>
      </c>
      <c r="J41" s="177" t="s">
        <v>410</v>
      </c>
      <c r="K41" s="178" t="s">
        <v>411</v>
      </c>
      <c r="L41" s="177" t="s">
        <v>412</v>
      </c>
      <c r="M41" s="176" t="str">
        <f t="shared" si="3"/>
        <v>DC</v>
      </c>
      <c r="N41" s="176" t="s">
        <v>935</v>
      </c>
      <c r="O41" s="176" t="s">
        <v>969</v>
      </c>
      <c r="P41" s="176" t="s">
        <v>969</v>
      </c>
      <c r="AC41" s="176" t="s">
        <v>413</v>
      </c>
      <c r="AD41" s="178"/>
      <c r="AE41" s="177" t="s">
        <v>414</v>
      </c>
      <c r="AF41" s="176">
        <f t="shared" si="6"/>
        <v>0</v>
      </c>
    </row>
    <row r="42" spans="1:38">
      <c r="A42" s="171" t="s">
        <v>415</v>
      </c>
      <c r="B42" s="172" t="s">
        <v>416</v>
      </c>
      <c r="C42" s="173" t="s">
        <v>417</v>
      </c>
      <c r="D42" s="174" t="s">
        <v>964</v>
      </c>
      <c r="E42" s="174" t="str">
        <f t="shared" si="0"/>
        <v>NTI</v>
      </c>
      <c r="F42" s="174" t="s">
        <v>66</v>
      </c>
      <c r="G42" s="175" t="s">
        <v>67</v>
      </c>
      <c r="J42" s="177" t="s">
        <v>418</v>
      </c>
      <c r="K42" s="189" t="s">
        <v>249</v>
      </c>
      <c r="L42" s="190" t="s">
        <v>419</v>
      </c>
      <c r="M42" s="191" t="str">
        <f t="shared" si="3"/>
        <v>AC</v>
      </c>
      <c r="N42" s="191" t="s">
        <v>935</v>
      </c>
      <c r="O42" s="192" t="s">
        <v>969</v>
      </c>
      <c r="P42" s="191" t="s">
        <v>969</v>
      </c>
      <c r="AC42" s="176" t="s">
        <v>420</v>
      </c>
      <c r="AD42" s="178"/>
      <c r="AE42" s="177" t="s">
        <v>421</v>
      </c>
      <c r="AF42" s="176">
        <f t="shared" si="6"/>
        <v>0</v>
      </c>
    </row>
    <row r="43" spans="1:38">
      <c r="A43" s="171" t="s">
        <v>422</v>
      </c>
      <c r="B43" s="172" t="s">
        <v>423</v>
      </c>
      <c r="C43" s="173" t="s">
        <v>424</v>
      </c>
      <c r="D43" s="174" t="s">
        <v>964</v>
      </c>
      <c r="E43" s="174" t="str">
        <f t="shared" si="0"/>
        <v>NTW</v>
      </c>
      <c r="F43" s="174" t="s">
        <v>66</v>
      </c>
      <c r="G43" s="175" t="s">
        <v>67</v>
      </c>
      <c r="I43" s="176" t="s">
        <v>406</v>
      </c>
      <c r="J43" s="177" t="s">
        <v>425</v>
      </c>
      <c r="K43" s="178" t="s">
        <v>34</v>
      </c>
      <c r="L43" s="177" t="s">
        <v>970</v>
      </c>
      <c r="M43" s="176" t="str">
        <f t="shared" si="3"/>
        <v>TS</v>
      </c>
      <c r="N43" s="176" t="s">
        <v>971</v>
      </c>
      <c r="O43" s="176" t="s">
        <v>971</v>
      </c>
      <c r="P43" s="176" t="s">
        <v>971</v>
      </c>
      <c r="AC43" s="176" t="s">
        <v>426</v>
      </c>
      <c r="AD43" s="178"/>
      <c r="AE43" s="177" t="s">
        <v>427</v>
      </c>
      <c r="AF43" s="176">
        <f t="shared" si="6"/>
        <v>0</v>
      </c>
    </row>
    <row r="44" spans="1:38">
      <c r="A44" s="184" t="s">
        <v>428</v>
      </c>
      <c r="B44" s="185" t="s">
        <v>429</v>
      </c>
      <c r="C44" s="186" t="s">
        <v>430</v>
      </c>
      <c r="D44" s="187" t="s">
        <v>964</v>
      </c>
      <c r="E44" s="187" t="str">
        <f t="shared" si="0"/>
        <v>NWS</v>
      </c>
      <c r="F44" s="187" t="s">
        <v>66</v>
      </c>
      <c r="G44" s="188" t="s">
        <v>67</v>
      </c>
      <c r="J44" s="177" t="s">
        <v>431</v>
      </c>
      <c r="K44" s="178" t="s">
        <v>27</v>
      </c>
      <c r="L44" s="177" t="s">
        <v>972</v>
      </c>
      <c r="M44" s="176" t="str">
        <f t="shared" si="3"/>
        <v>TL</v>
      </c>
      <c r="N44" s="176" t="s">
        <v>971</v>
      </c>
      <c r="O44" s="176" t="s">
        <v>971</v>
      </c>
      <c r="P44" s="176" t="s">
        <v>971</v>
      </c>
      <c r="AC44" s="176" t="s">
        <v>432</v>
      </c>
      <c r="AD44" s="178"/>
      <c r="AE44" s="177" t="s">
        <v>433</v>
      </c>
      <c r="AF44" s="176">
        <f t="shared" si="6"/>
        <v>0</v>
      </c>
    </row>
    <row r="45" spans="1:38">
      <c r="A45" s="184" t="s">
        <v>434</v>
      </c>
      <c r="B45" s="185" t="s">
        <v>435</v>
      </c>
      <c r="C45" s="186" t="s">
        <v>436</v>
      </c>
      <c r="D45" s="187" t="s">
        <v>964</v>
      </c>
      <c r="E45" s="187" t="str">
        <f t="shared" si="0"/>
        <v>NYA</v>
      </c>
      <c r="F45" s="187" t="s">
        <v>66</v>
      </c>
      <c r="G45" s="188" t="s">
        <v>67</v>
      </c>
      <c r="J45" s="177" t="s">
        <v>437</v>
      </c>
      <c r="K45" s="178" t="s">
        <v>24</v>
      </c>
      <c r="L45" s="177" t="s">
        <v>973</v>
      </c>
      <c r="M45" s="176" t="str">
        <f t="shared" si="3"/>
        <v>TH</v>
      </c>
      <c r="N45" s="176" t="s">
        <v>971</v>
      </c>
      <c r="O45" s="176" t="s">
        <v>971</v>
      </c>
      <c r="P45" s="176" t="s">
        <v>971</v>
      </c>
      <c r="AC45" s="176" t="s">
        <v>438</v>
      </c>
      <c r="AD45" s="178"/>
      <c r="AE45" s="177" t="s">
        <v>439</v>
      </c>
      <c r="AF45" s="176">
        <f t="shared" si="6"/>
        <v>0</v>
      </c>
    </row>
    <row r="46" spans="1:38">
      <c r="A46" s="171" t="s">
        <v>440</v>
      </c>
      <c r="B46" s="172" t="s">
        <v>441</v>
      </c>
      <c r="C46" s="173" t="s">
        <v>442</v>
      </c>
      <c r="D46" s="174" t="s">
        <v>964</v>
      </c>
      <c r="E46" s="171" t="str">
        <f t="shared" si="0"/>
        <v>NEW</v>
      </c>
      <c r="F46" s="171" t="s">
        <v>974</v>
      </c>
      <c r="G46" s="193" t="s">
        <v>975</v>
      </c>
      <c r="K46" s="178" t="s">
        <v>25</v>
      </c>
      <c r="L46" s="177" t="s">
        <v>976</v>
      </c>
      <c r="M46" s="176" t="str">
        <f t="shared" si="3"/>
        <v>HP</v>
      </c>
      <c r="N46" s="176" t="s">
        <v>971</v>
      </c>
      <c r="O46" s="176" t="s">
        <v>971</v>
      </c>
      <c r="P46" s="176" t="s">
        <v>971</v>
      </c>
      <c r="AC46" s="176" t="s">
        <v>443</v>
      </c>
      <c r="AD46" s="178"/>
      <c r="AE46" s="177" t="s">
        <v>444</v>
      </c>
      <c r="AF46" s="176">
        <f t="shared" si="6"/>
        <v>0</v>
      </c>
    </row>
    <row r="47" spans="1:38">
      <c r="A47" s="171" t="s">
        <v>445</v>
      </c>
      <c r="B47" s="172" t="s">
        <v>446</v>
      </c>
      <c r="C47" s="173" t="s">
        <v>447</v>
      </c>
      <c r="D47" s="174" t="s">
        <v>941</v>
      </c>
      <c r="E47" s="174" t="str">
        <f t="shared" si="0"/>
        <v>KNE</v>
      </c>
      <c r="F47" s="174" t="s">
        <v>66</v>
      </c>
      <c r="G47" s="175" t="s">
        <v>67</v>
      </c>
      <c r="J47" s="177" t="s">
        <v>448</v>
      </c>
      <c r="K47" s="178" t="s">
        <v>26</v>
      </c>
      <c r="L47" s="177" t="s">
        <v>977</v>
      </c>
      <c r="M47" s="176" t="str">
        <f t="shared" si="3"/>
        <v>JP</v>
      </c>
      <c r="N47" s="176" t="s">
        <v>971</v>
      </c>
      <c r="O47" s="176" t="s">
        <v>971</v>
      </c>
      <c r="P47" s="176" t="s">
        <v>971</v>
      </c>
      <c r="AC47" s="176" t="s">
        <v>449</v>
      </c>
      <c r="AD47" s="178"/>
      <c r="AE47" s="177" t="s">
        <v>450</v>
      </c>
      <c r="AF47" s="176">
        <f t="shared" si="6"/>
        <v>0</v>
      </c>
    </row>
    <row r="48" spans="1:38">
      <c r="A48" s="171" t="s">
        <v>451</v>
      </c>
      <c r="B48" s="172" t="s">
        <v>452</v>
      </c>
      <c r="C48" s="173" t="s">
        <v>453</v>
      </c>
      <c r="D48" s="174" t="s">
        <v>941</v>
      </c>
      <c r="E48" s="174" t="str">
        <f t="shared" si="0"/>
        <v>KSA</v>
      </c>
      <c r="F48" s="174" t="s">
        <v>66</v>
      </c>
      <c r="G48" s="175" t="s">
        <v>67</v>
      </c>
      <c r="I48" s="176" t="s">
        <v>454</v>
      </c>
      <c r="J48" s="177" t="s">
        <v>455</v>
      </c>
      <c r="K48" s="178" t="s">
        <v>454</v>
      </c>
      <c r="L48" s="177" t="s">
        <v>455</v>
      </c>
      <c r="M48" s="176" t="str">
        <f t="shared" si="3"/>
        <v>FF</v>
      </c>
      <c r="N48" s="176" t="s">
        <v>935</v>
      </c>
      <c r="O48" s="176" t="s">
        <v>978</v>
      </c>
      <c r="P48" s="176" t="s">
        <v>978</v>
      </c>
      <c r="AC48" s="176" t="s">
        <v>456</v>
      </c>
      <c r="AD48" s="178"/>
      <c r="AE48" s="177" t="s">
        <v>457</v>
      </c>
      <c r="AF48" s="176">
        <f t="shared" si="6"/>
        <v>0</v>
      </c>
    </row>
    <row r="49" spans="1:32">
      <c r="A49" s="171" t="s">
        <v>458</v>
      </c>
      <c r="B49" s="172" t="s">
        <v>459</v>
      </c>
      <c r="C49" s="173" t="s">
        <v>460</v>
      </c>
      <c r="D49" s="174" t="s">
        <v>941</v>
      </c>
      <c r="E49" s="174" t="str">
        <f t="shared" si="0"/>
        <v>KSK</v>
      </c>
      <c r="F49" s="174" t="s">
        <v>66</v>
      </c>
      <c r="G49" s="175" t="s">
        <v>67</v>
      </c>
      <c r="I49" s="176" t="s">
        <v>31</v>
      </c>
      <c r="J49" s="177" t="s">
        <v>461</v>
      </c>
      <c r="K49" s="178" t="s">
        <v>31</v>
      </c>
      <c r="L49" s="177" t="s">
        <v>979</v>
      </c>
      <c r="M49" s="176" t="str">
        <f t="shared" si="3"/>
        <v>BP</v>
      </c>
      <c r="N49" s="176" t="s">
        <v>935</v>
      </c>
      <c r="O49" s="176" t="s">
        <v>980</v>
      </c>
      <c r="P49" s="176" t="s">
        <v>980</v>
      </c>
      <c r="AC49" s="176" t="s">
        <v>462</v>
      </c>
      <c r="AD49" s="178" t="s">
        <v>422</v>
      </c>
      <c r="AE49" s="177" t="s">
        <v>463</v>
      </c>
      <c r="AF49" s="176" t="str">
        <f t="shared" si="6"/>
        <v>AR</v>
      </c>
    </row>
    <row r="50" spans="1:32">
      <c r="A50" s="184"/>
      <c r="B50" s="185" t="s">
        <v>981</v>
      </c>
      <c r="C50" s="186" t="s">
        <v>982</v>
      </c>
      <c r="D50" s="187" t="s">
        <v>983</v>
      </c>
      <c r="E50" s="184" t="str">
        <f>B50</f>
        <v>BBC</v>
      </c>
      <c r="F50" s="187" t="s">
        <v>66</v>
      </c>
      <c r="G50" s="188" t="s">
        <v>67</v>
      </c>
      <c r="K50" s="178" t="s">
        <v>984</v>
      </c>
      <c r="L50" s="177" t="s">
        <v>985</v>
      </c>
      <c r="M50" s="176" t="str">
        <f t="shared" si="3"/>
        <v>JS</v>
      </c>
      <c r="N50" s="176" t="s">
        <v>971</v>
      </c>
      <c r="O50" s="176" t="s">
        <v>971</v>
      </c>
      <c r="P50" s="176" t="s">
        <v>971</v>
      </c>
      <c r="AC50" s="176" t="s">
        <v>464</v>
      </c>
      <c r="AD50" s="178"/>
      <c r="AE50" s="177" t="s">
        <v>465</v>
      </c>
      <c r="AF50" s="176">
        <f t="shared" si="6"/>
        <v>0</v>
      </c>
    </row>
    <row r="51" spans="1:32">
      <c r="A51" s="184"/>
      <c r="B51" s="185" t="s">
        <v>986</v>
      </c>
      <c r="C51" s="186" t="s">
        <v>987</v>
      </c>
      <c r="D51" s="187" t="s">
        <v>983</v>
      </c>
      <c r="E51" s="187" t="str">
        <f>B51</f>
        <v>BCB</v>
      </c>
      <c r="F51" s="187" t="s">
        <v>66</v>
      </c>
      <c r="G51" s="188" t="s">
        <v>67</v>
      </c>
      <c r="K51" s="189" t="s">
        <v>988</v>
      </c>
      <c r="L51" s="190" t="s">
        <v>989</v>
      </c>
      <c r="M51" s="191" t="s">
        <v>988</v>
      </c>
      <c r="N51" s="191" t="s">
        <v>935</v>
      </c>
      <c r="O51" s="191" t="s">
        <v>980</v>
      </c>
      <c r="P51" s="191" t="s">
        <v>980</v>
      </c>
      <c r="AC51" s="176" t="s">
        <v>466</v>
      </c>
      <c r="AD51" s="178" t="s">
        <v>467</v>
      </c>
      <c r="AE51" s="177" t="s">
        <v>468</v>
      </c>
      <c r="AF51" s="176" t="str">
        <f t="shared" si="6"/>
        <v>NY</v>
      </c>
    </row>
    <row r="52" spans="1:32" ht="14.25" thickBot="1">
      <c r="A52" s="194" t="s">
        <v>60</v>
      </c>
      <c r="B52" s="195" t="s">
        <v>469</v>
      </c>
      <c r="C52" s="196" t="s">
        <v>470</v>
      </c>
      <c r="D52" s="197" t="str">
        <f t="shared" ref="D52:D107" si="10">B52</f>
        <v>VOL</v>
      </c>
      <c r="E52" s="197" t="str">
        <f t="shared" ref="E52:E107" si="11">B52</f>
        <v>VOL</v>
      </c>
      <c r="F52" s="197" t="s">
        <v>66</v>
      </c>
      <c r="G52" s="198" t="s">
        <v>67</v>
      </c>
      <c r="K52" s="182" t="s">
        <v>962</v>
      </c>
      <c r="L52" s="177" t="s">
        <v>990</v>
      </c>
      <c r="M52" s="176" t="s">
        <v>962</v>
      </c>
      <c r="N52" s="176" t="s">
        <v>971</v>
      </c>
      <c r="O52" s="176" t="s">
        <v>971</v>
      </c>
      <c r="P52" s="176" t="s">
        <v>971</v>
      </c>
      <c r="AC52" s="176" t="s">
        <v>471</v>
      </c>
      <c r="AD52" s="178"/>
      <c r="AE52" s="177" t="s">
        <v>472</v>
      </c>
      <c r="AF52" s="176">
        <f t="shared" si="6"/>
        <v>0</v>
      </c>
    </row>
    <row r="53" spans="1:32">
      <c r="A53" s="194" t="s">
        <v>401</v>
      </c>
      <c r="B53" s="195" t="s">
        <v>473</v>
      </c>
      <c r="C53" s="196" t="s">
        <v>474</v>
      </c>
      <c r="D53" s="197" t="str">
        <f t="shared" si="10"/>
        <v>BIL</v>
      </c>
      <c r="E53" s="197" t="str">
        <f t="shared" si="11"/>
        <v>BIL</v>
      </c>
      <c r="F53" s="197" t="s">
        <v>991</v>
      </c>
      <c r="G53" s="198" t="s">
        <v>67</v>
      </c>
      <c r="K53" s="199" t="s">
        <v>992</v>
      </c>
      <c r="L53" s="200" t="s">
        <v>993</v>
      </c>
      <c r="M53" s="199" t="s">
        <v>992</v>
      </c>
      <c r="N53" s="199" t="s">
        <v>994</v>
      </c>
      <c r="O53" s="199" t="s">
        <v>994</v>
      </c>
      <c r="P53" s="199" t="s">
        <v>971</v>
      </c>
      <c r="AC53" s="176" t="s">
        <v>475</v>
      </c>
      <c r="AD53" s="178" t="s">
        <v>476</v>
      </c>
      <c r="AE53" s="177" t="s">
        <v>477</v>
      </c>
      <c r="AF53" s="176" t="str">
        <f t="shared" si="6"/>
        <v>PP</v>
      </c>
    </row>
    <row r="54" spans="1:32">
      <c r="A54" s="194" t="s">
        <v>409</v>
      </c>
      <c r="B54" s="195" t="s">
        <v>478</v>
      </c>
      <c r="C54" s="196" t="s">
        <v>479</v>
      </c>
      <c r="D54" s="197" t="str">
        <f t="shared" si="10"/>
        <v>QSV</v>
      </c>
      <c r="E54" s="197" t="str">
        <f t="shared" si="11"/>
        <v>QSV</v>
      </c>
      <c r="F54" s="197" t="s">
        <v>991</v>
      </c>
      <c r="G54" s="198" t="s">
        <v>67</v>
      </c>
      <c r="K54" s="176" t="s">
        <v>995</v>
      </c>
      <c r="L54" s="177" t="s">
        <v>996</v>
      </c>
      <c r="M54" s="176" t="s">
        <v>995</v>
      </c>
      <c r="N54" s="176" t="s">
        <v>997</v>
      </c>
      <c r="O54" s="176" t="s">
        <v>419</v>
      </c>
      <c r="P54" s="176" t="s">
        <v>419</v>
      </c>
      <c r="AC54" s="176" t="s">
        <v>480</v>
      </c>
      <c r="AD54" s="178"/>
      <c r="AE54" s="177" t="s">
        <v>481</v>
      </c>
      <c r="AF54" s="176">
        <f t="shared" si="6"/>
        <v>0</v>
      </c>
    </row>
    <row r="55" spans="1:32">
      <c r="A55" s="194" t="s">
        <v>482</v>
      </c>
      <c r="B55" s="195" t="s">
        <v>483</v>
      </c>
      <c r="C55" s="196" t="s">
        <v>484</v>
      </c>
      <c r="D55" s="197" t="str">
        <f t="shared" si="10"/>
        <v>ROX</v>
      </c>
      <c r="E55" s="197" t="str">
        <f t="shared" si="11"/>
        <v>ROX</v>
      </c>
      <c r="F55" s="197" t="s">
        <v>991</v>
      </c>
      <c r="G55" s="198" t="s">
        <v>67</v>
      </c>
      <c r="K55" s="176" t="s">
        <v>998</v>
      </c>
      <c r="L55" s="177" t="s">
        <v>999</v>
      </c>
      <c r="M55" s="176" t="s">
        <v>998</v>
      </c>
      <c r="N55" s="176" t="s">
        <v>997</v>
      </c>
      <c r="O55" s="176" t="s">
        <v>419</v>
      </c>
      <c r="P55" s="176" t="s">
        <v>419</v>
      </c>
      <c r="AC55" s="176" t="s">
        <v>485</v>
      </c>
      <c r="AD55" s="178"/>
      <c r="AE55" s="177" t="s">
        <v>486</v>
      </c>
      <c r="AF55" s="176">
        <f t="shared" si="6"/>
        <v>0</v>
      </c>
    </row>
    <row r="56" spans="1:32">
      <c r="A56" s="194" t="s">
        <v>37</v>
      </c>
      <c r="B56" s="195" t="s">
        <v>487</v>
      </c>
      <c r="C56" s="196" t="s">
        <v>488</v>
      </c>
      <c r="D56" s="197" t="str">
        <f t="shared" si="10"/>
        <v>GRA</v>
      </c>
      <c r="E56" s="197" t="str">
        <f t="shared" si="11"/>
        <v>GRA</v>
      </c>
      <c r="F56" s="197" t="s">
        <v>1000</v>
      </c>
      <c r="G56" s="198" t="s">
        <v>67</v>
      </c>
      <c r="K56" s="176" t="s">
        <v>1001</v>
      </c>
      <c r="L56" s="177" t="s">
        <v>1002</v>
      </c>
      <c r="M56" s="176" t="s">
        <v>1001</v>
      </c>
      <c r="N56" s="176" t="s">
        <v>1003</v>
      </c>
      <c r="O56" s="176" t="s">
        <v>1003</v>
      </c>
      <c r="P56" s="176" t="s">
        <v>1003</v>
      </c>
      <c r="AC56" s="176" t="s">
        <v>489</v>
      </c>
      <c r="AD56" s="178"/>
      <c r="AE56" s="177" t="s">
        <v>490</v>
      </c>
      <c r="AF56" s="176">
        <f t="shared" si="6"/>
        <v>0</v>
      </c>
    </row>
    <row r="57" spans="1:32">
      <c r="A57" s="201"/>
      <c r="B57" s="202" t="s">
        <v>1004</v>
      </c>
      <c r="C57" s="203" t="s">
        <v>1005</v>
      </c>
      <c r="D57" s="204" t="str">
        <f>B57</f>
        <v>GRL</v>
      </c>
      <c r="E57" s="204" t="str">
        <f>B57</f>
        <v>GRL</v>
      </c>
      <c r="F57" s="204" t="s">
        <v>1000</v>
      </c>
      <c r="G57" s="205" t="s">
        <v>67</v>
      </c>
      <c r="K57" s="176" t="s">
        <v>1006</v>
      </c>
      <c r="L57" s="177" t="s">
        <v>1007</v>
      </c>
      <c r="M57" s="176" t="s">
        <v>1006</v>
      </c>
      <c r="N57" s="176" t="s">
        <v>901</v>
      </c>
      <c r="O57" s="176" t="s">
        <v>902</v>
      </c>
      <c r="P57" s="176" t="s">
        <v>902</v>
      </c>
      <c r="AC57" s="176" t="s">
        <v>491</v>
      </c>
      <c r="AD57" s="178"/>
      <c r="AE57" s="177" t="s">
        <v>492</v>
      </c>
      <c r="AF57" s="176">
        <f t="shared" si="6"/>
        <v>0</v>
      </c>
    </row>
    <row r="58" spans="1:32">
      <c r="A58" s="206"/>
      <c r="B58" s="207" t="s">
        <v>1008</v>
      </c>
      <c r="C58" s="208" t="s">
        <v>1009</v>
      </c>
      <c r="D58" s="209" t="str">
        <f>B58</f>
        <v>GRH</v>
      </c>
      <c r="E58" s="209" t="str">
        <f>B58</f>
        <v>GRH</v>
      </c>
      <c r="F58" s="209" t="s">
        <v>493</v>
      </c>
      <c r="G58" s="210" t="s">
        <v>67</v>
      </c>
      <c r="K58" s="191" t="s">
        <v>2032</v>
      </c>
      <c r="L58" s="190" t="s">
        <v>2033</v>
      </c>
      <c r="M58" s="191" t="s">
        <v>2032</v>
      </c>
      <c r="N58" s="191" t="s">
        <v>2034</v>
      </c>
      <c r="O58" s="191" t="s">
        <v>2034</v>
      </c>
      <c r="P58" s="191" t="s">
        <v>2034</v>
      </c>
      <c r="AC58" s="176" t="s">
        <v>494</v>
      </c>
      <c r="AD58" s="178"/>
      <c r="AE58" s="177" t="s">
        <v>495</v>
      </c>
      <c r="AF58" s="176">
        <f t="shared" si="6"/>
        <v>0</v>
      </c>
    </row>
    <row r="59" spans="1:32">
      <c r="A59" s="194" t="s">
        <v>454</v>
      </c>
      <c r="B59" s="195" t="s">
        <v>496</v>
      </c>
      <c r="C59" s="196" t="s">
        <v>497</v>
      </c>
      <c r="D59" s="197" t="str">
        <f t="shared" si="10"/>
        <v>BUT</v>
      </c>
      <c r="E59" s="197" t="str">
        <f t="shared" si="11"/>
        <v>BUT</v>
      </c>
      <c r="F59" s="197" t="s">
        <v>991</v>
      </c>
      <c r="G59" s="198" t="s">
        <v>67</v>
      </c>
      <c r="K59" s="377" t="s">
        <v>2272</v>
      </c>
      <c r="L59" s="378" t="s">
        <v>2035</v>
      </c>
      <c r="M59" s="377" t="s">
        <v>2272</v>
      </c>
      <c r="N59" s="377" t="s">
        <v>2273</v>
      </c>
      <c r="O59" s="377"/>
      <c r="P59" s="377" t="s">
        <v>936</v>
      </c>
      <c r="AC59" s="176" t="s">
        <v>498</v>
      </c>
      <c r="AD59" s="178"/>
      <c r="AE59" s="177" t="s">
        <v>499</v>
      </c>
      <c r="AF59" s="176">
        <f t="shared" si="6"/>
        <v>0</v>
      </c>
    </row>
    <row r="60" spans="1:32">
      <c r="A60" s="194" t="s">
        <v>500</v>
      </c>
      <c r="B60" s="195" t="s">
        <v>501</v>
      </c>
      <c r="C60" s="196" t="s">
        <v>502</v>
      </c>
      <c r="D60" s="197" t="str">
        <f t="shared" si="10"/>
        <v>ZZZ</v>
      </c>
      <c r="E60" s="197" t="str">
        <f t="shared" si="11"/>
        <v>ZZZ</v>
      </c>
      <c r="F60" s="197"/>
      <c r="G60" s="198" t="s">
        <v>67</v>
      </c>
      <c r="K60" s="191" t="s">
        <v>2037</v>
      </c>
      <c r="L60" s="190" t="s">
        <v>2038</v>
      </c>
      <c r="M60" s="191" t="s">
        <v>2037</v>
      </c>
      <c r="N60" s="191" t="s">
        <v>2034</v>
      </c>
      <c r="O60" s="191" t="s">
        <v>2034</v>
      </c>
      <c r="P60" s="191" t="s">
        <v>2034</v>
      </c>
      <c r="AC60" s="176" t="s">
        <v>503</v>
      </c>
      <c r="AD60" s="178"/>
      <c r="AE60" s="177" t="s">
        <v>504</v>
      </c>
      <c r="AF60" s="176">
        <f t="shared" si="6"/>
        <v>0</v>
      </c>
    </row>
    <row r="61" spans="1:32">
      <c r="A61" s="194" t="s">
        <v>505</v>
      </c>
      <c r="B61" s="195" t="s">
        <v>501</v>
      </c>
      <c r="C61" s="196" t="s">
        <v>506</v>
      </c>
      <c r="D61" s="197" t="str">
        <f t="shared" si="10"/>
        <v>ZZZ</v>
      </c>
      <c r="E61" s="197" t="str">
        <f t="shared" si="11"/>
        <v>ZZZ</v>
      </c>
      <c r="F61" s="197"/>
      <c r="G61" s="198" t="s">
        <v>67</v>
      </c>
      <c r="K61" s="191" t="s">
        <v>2039</v>
      </c>
      <c r="L61" s="190" t="s">
        <v>2040</v>
      </c>
      <c r="M61" s="191" t="s">
        <v>2039</v>
      </c>
      <c r="N61" s="191" t="s">
        <v>2034</v>
      </c>
      <c r="O61" s="191" t="s">
        <v>2034</v>
      </c>
      <c r="P61" s="191" t="s">
        <v>2034</v>
      </c>
      <c r="AC61" s="176" t="s">
        <v>507</v>
      </c>
      <c r="AD61" s="178"/>
      <c r="AE61" s="177" t="s">
        <v>508</v>
      </c>
      <c r="AF61" s="176">
        <f t="shared" si="6"/>
        <v>0</v>
      </c>
    </row>
    <row r="62" spans="1:32">
      <c r="A62" s="194" t="s">
        <v>50</v>
      </c>
      <c r="B62" s="195" t="s">
        <v>509</v>
      </c>
      <c r="C62" s="196" t="s">
        <v>510</v>
      </c>
      <c r="D62" s="197" t="str">
        <f t="shared" si="10"/>
        <v>STU</v>
      </c>
      <c r="E62" s="197" t="str">
        <f t="shared" si="11"/>
        <v>STU</v>
      </c>
      <c r="F62" s="197" t="s">
        <v>991</v>
      </c>
      <c r="G62" s="198" t="s">
        <v>67</v>
      </c>
      <c r="K62" s="191" t="s">
        <v>2041</v>
      </c>
      <c r="L62" s="190" t="s">
        <v>2042</v>
      </c>
      <c r="M62" s="191" t="s">
        <v>2041</v>
      </c>
      <c r="N62" s="191" t="s">
        <v>2034</v>
      </c>
      <c r="O62" s="191" t="s">
        <v>2034</v>
      </c>
      <c r="P62" s="191" t="s">
        <v>2034</v>
      </c>
      <c r="AC62" s="176" t="s">
        <v>511</v>
      </c>
      <c r="AD62" s="178"/>
      <c r="AE62" s="177" t="s">
        <v>512</v>
      </c>
      <c r="AF62" s="176">
        <f t="shared" si="6"/>
        <v>0</v>
      </c>
    </row>
    <row r="63" spans="1:32">
      <c r="A63" s="194" t="s">
        <v>513</v>
      </c>
      <c r="B63" s="195" t="s">
        <v>514</v>
      </c>
      <c r="C63" s="196" t="s">
        <v>515</v>
      </c>
      <c r="D63" s="197" t="str">
        <f t="shared" si="10"/>
        <v>NIX</v>
      </c>
      <c r="E63" s="197" t="str">
        <f t="shared" si="11"/>
        <v>NIX</v>
      </c>
      <c r="F63" s="197" t="s">
        <v>991</v>
      </c>
      <c r="G63" s="198" t="s">
        <v>67</v>
      </c>
      <c r="K63" s="191" t="s">
        <v>2043</v>
      </c>
      <c r="L63" s="190" t="s">
        <v>2044</v>
      </c>
      <c r="M63" s="191" t="s">
        <v>2043</v>
      </c>
      <c r="N63" s="191" t="s">
        <v>2034</v>
      </c>
      <c r="O63" s="191" t="s">
        <v>2034</v>
      </c>
      <c r="P63" s="191" t="s">
        <v>2034</v>
      </c>
      <c r="AC63" s="176" t="s">
        <v>516</v>
      </c>
      <c r="AD63" s="178" t="s">
        <v>517</v>
      </c>
      <c r="AE63" s="177" t="s">
        <v>518</v>
      </c>
      <c r="AF63" s="176" t="str">
        <f t="shared" si="6"/>
        <v>RE</v>
      </c>
    </row>
    <row r="64" spans="1:32">
      <c r="A64" s="194" t="s">
        <v>519</v>
      </c>
      <c r="B64" s="195" t="s">
        <v>501</v>
      </c>
      <c r="C64" s="196" t="s">
        <v>520</v>
      </c>
      <c r="D64" s="197" t="str">
        <f t="shared" si="10"/>
        <v>ZZZ</v>
      </c>
      <c r="E64" s="197" t="str">
        <f t="shared" si="11"/>
        <v>ZZZ</v>
      </c>
      <c r="F64" s="197"/>
      <c r="G64" s="198" t="s">
        <v>67</v>
      </c>
      <c r="K64" s="191" t="s">
        <v>2045</v>
      </c>
      <c r="L64" s="190" t="s">
        <v>2046</v>
      </c>
      <c r="M64" s="191" t="s">
        <v>2045</v>
      </c>
      <c r="N64" s="191" t="s">
        <v>2036</v>
      </c>
      <c r="O64" s="191" t="s">
        <v>2047</v>
      </c>
      <c r="P64" s="191" t="s">
        <v>2047</v>
      </c>
      <c r="AC64" s="176" t="s">
        <v>521</v>
      </c>
      <c r="AD64" s="178"/>
      <c r="AE64" s="177" t="s">
        <v>522</v>
      </c>
      <c r="AF64" s="176">
        <f t="shared" si="6"/>
        <v>0</v>
      </c>
    </row>
    <row r="65" spans="1:32">
      <c r="A65" s="194" t="s">
        <v>102</v>
      </c>
      <c r="B65" s="195" t="s">
        <v>523</v>
      </c>
      <c r="C65" s="196" t="s">
        <v>524</v>
      </c>
      <c r="D65" s="197" t="str">
        <f t="shared" si="10"/>
        <v>ANA</v>
      </c>
      <c r="E65" s="197" t="str">
        <f t="shared" si="11"/>
        <v>ANA</v>
      </c>
      <c r="F65" s="197" t="s">
        <v>991</v>
      </c>
      <c r="G65" s="198" t="s">
        <v>67</v>
      </c>
      <c r="K65" s="191" t="s">
        <v>2048</v>
      </c>
      <c r="L65" s="190" t="s">
        <v>2049</v>
      </c>
      <c r="M65" s="191" t="s">
        <v>2048</v>
      </c>
      <c r="N65" s="191" t="s">
        <v>2036</v>
      </c>
      <c r="O65" s="191" t="s">
        <v>2050</v>
      </c>
      <c r="P65" s="191" t="s">
        <v>2050</v>
      </c>
      <c r="AC65" s="176" t="s">
        <v>525</v>
      </c>
      <c r="AD65" s="178"/>
      <c r="AE65" s="177" t="s">
        <v>526</v>
      </c>
      <c r="AF65" s="176">
        <f t="shared" si="6"/>
        <v>0</v>
      </c>
    </row>
    <row r="66" spans="1:32">
      <c r="A66" s="194" t="s">
        <v>527</v>
      </c>
      <c r="B66" s="195" t="s">
        <v>528</v>
      </c>
      <c r="C66" s="196" t="s">
        <v>529</v>
      </c>
      <c r="D66" s="197" t="str">
        <f t="shared" si="10"/>
        <v>ADA</v>
      </c>
      <c r="E66" s="197" t="str">
        <f t="shared" si="11"/>
        <v>ADA</v>
      </c>
      <c r="F66" s="197" t="s">
        <v>991</v>
      </c>
      <c r="G66" s="198" t="s">
        <v>67</v>
      </c>
      <c r="K66" s="191" t="s">
        <v>2051</v>
      </c>
      <c r="L66" s="190" t="s">
        <v>2052</v>
      </c>
      <c r="M66" s="191" t="s">
        <v>2051</v>
      </c>
      <c r="N66" s="191" t="s">
        <v>2034</v>
      </c>
      <c r="O66" s="191" t="s">
        <v>2034</v>
      </c>
      <c r="P66" s="191" t="s">
        <v>2034</v>
      </c>
      <c r="AC66" s="176" t="s">
        <v>530</v>
      </c>
      <c r="AD66" s="178" t="s">
        <v>531</v>
      </c>
      <c r="AE66" s="177" t="s">
        <v>532</v>
      </c>
      <c r="AF66" s="176" t="str">
        <f t="shared" si="6"/>
        <v>PK</v>
      </c>
    </row>
    <row r="67" spans="1:32">
      <c r="A67" s="194" t="s">
        <v>533</v>
      </c>
      <c r="B67" s="195" t="s">
        <v>534</v>
      </c>
      <c r="C67" s="196" t="s">
        <v>535</v>
      </c>
      <c r="D67" s="197" t="str">
        <f t="shared" si="10"/>
        <v>NKE</v>
      </c>
      <c r="E67" s="197" t="str">
        <f t="shared" si="11"/>
        <v>NKE</v>
      </c>
      <c r="F67" s="197"/>
      <c r="G67" s="198" t="s">
        <v>67</v>
      </c>
      <c r="K67" s="176" t="s">
        <v>2053</v>
      </c>
      <c r="L67" s="177" t="s">
        <v>2054</v>
      </c>
      <c r="M67" s="176" t="s">
        <v>2053</v>
      </c>
      <c r="N67" s="191" t="s">
        <v>2034</v>
      </c>
      <c r="O67" s="191" t="s">
        <v>2034</v>
      </c>
      <c r="P67" s="191" t="s">
        <v>2034</v>
      </c>
      <c r="AC67" s="176" t="s">
        <v>536</v>
      </c>
      <c r="AD67" s="178"/>
      <c r="AE67" s="177" t="s">
        <v>537</v>
      </c>
      <c r="AF67" s="176">
        <f t="shared" si="6"/>
        <v>0</v>
      </c>
    </row>
    <row r="68" spans="1:32">
      <c r="A68" s="194" t="s">
        <v>538</v>
      </c>
      <c r="B68" s="195" t="s">
        <v>539</v>
      </c>
      <c r="C68" s="196" t="s">
        <v>540</v>
      </c>
      <c r="D68" s="197" t="str">
        <f t="shared" si="10"/>
        <v>PUM</v>
      </c>
      <c r="E68" s="197" t="str">
        <f t="shared" si="11"/>
        <v>PUM</v>
      </c>
      <c r="F68" s="197"/>
      <c r="G68" s="198" t="s">
        <v>67</v>
      </c>
      <c r="K68" s="364" t="s">
        <v>2056</v>
      </c>
      <c r="L68" s="177" t="s">
        <v>2055</v>
      </c>
      <c r="M68" s="176" t="str">
        <f>K68</f>
        <v>SN</v>
      </c>
      <c r="N68" s="176" t="s">
        <v>924</v>
      </c>
      <c r="P68" s="176" t="s">
        <v>925</v>
      </c>
      <c r="AC68" s="176" t="s">
        <v>541</v>
      </c>
      <c r="AD68" s="178"/>
      <c r="AE68" s="177" t="s">
        <v>542</v>
      </c>
      <c r="AF68" s="176">
        <f t="shared" si="6"/>
        <v>0</v>
      </c>
    </row>
    <row r="69" spans="1:32">
      <c r="A69" s="194" t="s">
        <v>543</v>
      </c>
      <c r="B69" s="195" t="s">
        <v>501</v>
      </c>
      <c r="C69" s="196" t="s">
        <v>544</v>
      </c>
      <c r="D69" s="197" t="str">
        <f t="shared" si="10"/>
        <v>ZZZ</v>
      </c>
      <c r="E69" s="197" t="str">
        <f t="shared" si="11"/>
        <v>ZZZ</v>
      </c>
      <c r="F69" s="197"/>
      <c r="G69" s="198" t="s">
        <v>67</v>
      </c>
      <c r="AC69" s="176" t="s">
        <v>545</v>
      </c>
      <c r="AD69" s="178"/>
      <c r="AE69" s="177" t="s">
        <v>546</v>
      </c>
      <c r="AF69" s="176">
        <f t="shared" ref="AF69:AF114" si="12">AD69</f>
        <v>0</v>
      </c>
    </row>
    <row r="70" spans="1:32">
      <c r="A70" s="194" t="s">
        <v>547</v>
      </c>
      <c r="B70" s="195" t="s">
        <v>501</v>
      </c>
      <c r="C70" s="196" t="s">
        <v>548</v>
      </c>
      <c r="D70" s="197" t="str">
        <f t="shared" si="10"/>
        <v>ZZZ</v>
      </c>
      <c r="E70" s="197" t="str">
        <f t="shared" si="11"/>
        <v>ZZZ</v>
      </c>
      <c r="F70" s="197"/>
      <c r="G70" s="198" t="s">
        <v>67</v>
      </c>
      <c r="AC70" s="176" t="s">
        <v>549</v>
      </c>
      <c r="AD70" s="178"/>
      <c r="AE70" s="177" t="s">
        <v>550</v>
      </c>
      <c r="AF70" s="176">
        <f t="shared" si="12"/>
        <v>0</v>
      </c>
    </row>
    <row r="71" spans="1:32">
      <c r="A71" s="194" t="s">
        <v>551</v>
      </c>
      <c r="B71" s="195" t="s">
        <v>501</v>
      </c>
      <c r="C71" s="196" t="s">
        <v>552</v>
      </c>
      <c r="D71" s="197" t="str">
        <f t="shared" si="10"/>
        <v>ZZZ</v>
      </c>
      <c r="E71" s="197" t="str">
        <f t="shared" si="11"/>
        <v>ZZZ</v>
      </c>
      <c r="F71" s="197"/>
      <c r="G71" s="198" t="s">
        <v>67</v>
      </c>
      <c r="AC71" s="176" t="s">
        <v>553</v>
      </c>
      <c r="AD71" s="178"/>
      <c r="AE71" s="177" t="s">
        <v>554</v>
      </c>
      <c r="AF71" s="176">
        <f t="shared" si="12"/>
        <v>0</v>
      </c>
    </row>
    <row r="72" spans="1:32">
      <c r="A72" s="194" t="s">
        <v>555</v>
      </c>
      <c r="B72" s="195" t="s">
        <v>501</v>
      </c>
      <c r="C72" s="196" t="s">
        <v>556</v>
      </c>
      <c r="D72" s="197" t="str">
        <f t="shared" si="10"/>
        <v>ZZZ</v>
      </c>
      <c r="E72" s="197" t="str">
        <f t="shared" si="11"/>
        <v>ZZZ</v>
      </c>
      <c r="F72" s="197"/>
      <c r="G72" s="198" t="s">
        <v>67</v>
      </c>
      <c r="AC72" s="176" t="s">
        <v>557</v>
      </c>
      <c r="AD72" s="178"/>
      <c r="AE72" s="177" t="s">
        <v>558</v>
      </c>
      <c r="AF72" s="176">
        <f t="shared" si="12"/>
        <v>0</v>
      </c>
    </row>
    <row r="73" spans="1:32">
      <c r="A73" s="194" t="s">
        <v>559</v>
      </c>
      <c r="B73" s="195" t="s">
        <v>501</v>
      </c>
      <c r="C73" s="196" t="s">
        <v>560</v>
      </c>
      <c r="D73" s="197" t="str">
        <f t="shared" si="10"/>
        <v>ZZZ</v>
      </c>
      <c r="E73" s="197" t="str">
        <f t="shared" si="11"/>
        <v>ZZZ</v>
      </c>
      <c r="F73" s="197"/>
      <c r="G73" s="198" t="s">
        <v>67</v>
      </c>
      <c r="AC73" s="176" t="s">
        <v>561</v>
      </c>
      <c r="AD73" s="178"/>
      <c r="AE73" s="177" t="s">
        <v>562</v>
      </c>
      <c r="AF73" s="176">
        <f t="shared" si="12"/>
        <v>0</v>
      </c>
    </row>
    <row r="74" spans="1:32">
      <c r="A74" s="194" t="s">
        <v>563</v>
      </c>
      <c r="B74" s="195" t="s">
        <v>501</v>
      </c>
      <c r="C74" s="196" t="s">
        <v>564</v>
      </c>
      <c r="D74" s="197" t="str">
        <f t="shared" si="10"/>
        <v>ZZZ</v>
      </c>
      <c r="E74" s="197" t="str">
        <f t="shared" si="11"/>
        <v>ZZZ</v>
      </c>
      <c r="F74" s="197"/>
      <c r="G74" s="198" t="s">
        <v>67</v>
      </c>
      <c r="AC74" s="176" t="s">
        <v>565</v>
      </c>
      <c r="AD74" s="178"/>
      <c r="AE74" s="177" t="s">
        <v>566</v>
      </c>
      <c r="AF74" s="176">
        <f t="shared" si="12"/>
        <v>0</v>
      </c>
    </row>
    <row r="75" spans="1:32">
      <c r="A75" s="194" t="s">
        <v>567</v>
      </c>
      <c r="B75" s="195" t="s">
        <v>568</v>
      </c>
      <c r="C75" s="196" t="s">
        <v>569</v>
      </c>
      <c r="D75" s="197" t="str">
        <f t="shared" si="10"/>
        <v>DRA</v>
      </c>
      <c r="E75" s="197" t="str">
        <f t="shared" si="11"/>
        <v>DRA</v>
      </c>
      <c r="F75" s="197" t="s">
        <v>991</v>
      </c>
      <c r="G75" s="198" t="s">
        <v>67</v>
      </c>
      <c r="AC75" s="176" t="s">
        <v>570</v>
      </c>
      <c r="AD75" s="178" t="s">
        <v>571</v>
      </c>
      <c r="AE75" s="177" t="s">
        <v>572</v>
      </c>
      <c r="AF75" s="176" t="str">
        <f t="shared" si="12"/>
        <v>BL</v>
      </c>
    </row>
    <row r="76" spans="1:32">
      <c r="A76" s="194" t="s">
        <v>573</v>
      </c>
      <c r="B76" s="195" t="s">
        <v>574</v>
      </c>
      <c r="C76" s="196" t="s">
        <v>574</v>
      </c>
      <c r="D76" s="197" t="str">
        <f t="shared" si="10"/>
        <v>HUF</v>
      </c>
      <c r="E76" s="197" t="str">
        <f t="shared" si="11"/>
        <v>HUF</v>
      </c>
      <c r="F76" s="197" t="s">
        <v>991</v>
      </c>
      <c r="G76" s="198" t="s">
        <v>67</v>
      </c>
      <c r="AC76" s="176" t="s">
        <v>575</v>
      </c>
      <c r="AD76" s="178"/>
      <c r="AE76" s="177" t="s">
        <v>576</v>
      </c>
      <c r="AF76" s="176">
        <f t="shared" si="12"/>
        <v>0</v>
      </c>
    </row>
    <row r="77" spans="1:32">
      <c r="A77" s="194" t="s">
        <v>577</v>
      </c>
      <c r="B77" s="195" t="s">
        <v>578</v>
      </c>
      <c r="C77" s="196" t="s">
        <v>579</v>
      </c>
      <c r="D77" s="197" t="str">
        <f t="shared" si="10"/>
        <v>HUN</v>
      </c>
      <c r="E77" s="197" t="str">
        <f t="shared" si="11"/>
        <v>HUN</v>
      </c>
      <c r="F77" s="197" t="s">
        <v>991</v>
      </c>
      <c r="G77" s="198" t="s">
        <v>67</v>
      </c>
      <c r="AC77" s="176" t="s">
        <v>580</v>
      </c>
      <c r="AD77" s="178"/>
      <c r="AE77" s="177" t="s">
        <v>581</v>
      </c>
      <c r="AF77" s="176">
        <f t="shared" si="12"/>
        <v>0</v>
      </c>
    </row>
    <row r="78" spans="1:32">
      <c r="A78" s="194" t="s">
        <v>582</v>
      </c>
      <c r="B78" s="195" t="s">
        <v>501</v>
      </c>
      <c r="C78" s="196" t="s">
        <v>583</v>
      </c>
      <c r="D78" s="197" t="str">
        <f t="shared" si="10"/>
        <v>ZZZ</v>
      </c>
      <c r="E78" s="197" t="str">
        <f t="shared" si="11"/>
        <v>ZZZ</v>
      </c>
      <c r="F78" s="197"/>
      <c r="G78" s="198" t="s">
        <v>67</v>
      </c>
      <c r="AC78" s="176" t="s">
        <v>584</v>
      </c>
      <c r="AD78" s="178"/>
      <c r="AE78" s="177" t="s">
        <v>585</v>
      </c>
      <c r="AF78" s="176">
        <f t="shared" si="12"/>
        <v>0</v>
      </c>
    </row>
    <row r="79" spans="1:32">
      <c r="A79" s="194" t="s">
        <v>586</v>
      </c>
      <c r="B79" s="195" t="s">
        <v>587</v>
      </c>
      <c r="C79" s="196" t="s">
        <v>1010</v>
      </c>
      <c r="D79" s="197" t="str">
        <f t="shared" si="10"/>
        <v>GOO</v>
      </c>
      <c r="E79" s="197" t="str">
        <f t="shared" si="11"/>
        <v>GOO</v>
      </c>
      <c r="F79" s="197" t="s">
        <v>1000</v>
      </c>
      <c r="G79" s="198" t="s">
        <v>67</v>
      </c>
      <c r="AC79" s="176" t="s">
        <v>588</v>
      </c>
      <c r="AD79" s="178"/>
      <c r="AE79" s="177" t="s">
        <v>589</v>
      </c>
      <c r="AF79" s="176">
        <f t="shared" si="12"/>
        <v>0</v>
      </c>
    </row>
    <row r="80" spans="1:32">
      <c r="A80" s="211"/>
      <c r="B80" s="202" t="s">
        <v>1011</v>
      </c>
      <c r="C80" s="212" t="s">
        <v>1012</v>
      </c>
      <c r="D80" s="204" t="str">
        <f>B80</f>
        <v>GOL</v>
      </c>
      <c r="E80" s="204" t="str">
        <f>B80</f>
        <v>GOL</v>
      </c>
      <c r="F80" s="204" t="s">
        <v>1000</v>
      </c>
      <c r="G80" s="205" t="s">
        <v>67</v>
      </c>
      <c r="AC80" s="176" t="s">
        <v>590</v>
      </c>
      <c r="AD80" s="178"/>
      <c r="AE80" s="177" t="s">
        <v>591</v>
      </c>
      <c r="AF80" s="176">
        <f t="shared" si="12"/>
        <v>0</v>
      </c>
    </row>
    <row r="81" spans="1:32">
      <c r="A81" s="206"/>
      <c r="B81" s="207" t="s">
        <v>1013</v>
      </c>
      <c r="C81" s="208" t="s">
        <v>1014</v>
      </c>
      <c r="D81" s="209" t="str">
        <f>B81</f>
        <v>GOD</v>
      </c>
      <c r="E81" s="209" t="str">
        <f>B81</f>
        <v>GOD</v>
      </c>
      <c r="F81" s="209" t="s">
        <v>493</v>
      </c>
      <c r="G81" s="210" t="s">
        <v>67</v>
      </c>
      <c r="AC81" s="176" t="s">
        <v>592</v>
      </c>
      <c r="AD81" s="178"/>
      <c r="AE81" s="177" t="s">
        <v>593</v>
      </c>
      <c r="AF81" s="176">
        <f t="shared" si="12"/>
        <v>0</v>
      </c>
    </row>
    <row r="82" spans="1:32">
      <c r="A82" s="194" t="s">
        <v>594</v>
      </c>
      <c r="B82" s="195" t="s">
        <v>595</v>
      </c>
      <c r="C82" s="196" t="s">
        <v>596</v>
      </c>
      <c r="D82" s="197" t="str">
        <f t="shared" si="10"/>
        <v>CRO</v>
      </c>
      <c r="E82" s="197" t="str">
        <f t="shared" si="11"/>
        <v>CRO</v>
      </c>
      <c r="F82" s="197" t="s">
        <v>991</v>
      </c>
      <c r="G82" s="198" t="s">
        <v>67</v>
      </c>
      <c r="AC82" s="176" t="s">
        <v>597</v>
      </c>
      <c r="AD82" s="178"/>
      <c r="AE82" s="177" t="s">
        <v>598</v>
      </c>
      <c r="AF82" s="176">
        <f t="shared" si="12"/>
        <v>0</v>
      </c>
    </row>
    <row r="83" spans="1:32">
      <c r="A83" s="194" t="s">
        <v>599</v>
      </c>
      <c r="B83" s="195" t="s">
        <v>501</v>
      </c>
      <c r="C83" s="196" t="s">
        <v>600</v>
      </c>
      <c r="D83" s="197" t="str">
        <f t="shared" si="10"/>
        <v>ZZZ</v>
      </c>
      <c r="E83" s="197" t="str">
        <f t="shared" si="11"/>
        <v>ZZZ</v>
      </c>
      <c r="F83" s="197"/>
      <c r="G83" s="198" t="s">
        <v>67</v>
      </c>
      <c r="AC83" s="176" t="s">
        <v>601</v>
      </c>
      <c r="AD83" s="178"/>
      <c r="AE83" s="177" t="s">
        <v>602</v>
      </c>
      <c r="AF83" s="176">
        <f t="shared" si="12"/>
        <v>0</v>
      </c>
    </row>
    <row r="84" spans="1:32">
      <c r="A84" s="194" t="s">
        <v>603</v>
      </c>
      <c r="B84" s="195" t="s">
        <v>501</v>
      </c>
      <c r="C84" s="196" t="s">
        <v>604</v>
      </c>
      <c r="D84" s="197" t="str">
        <f t="shared" si="10"/>
        <v>ZZZ</v>
      </c>
      <c r="E84" s="197" t="str">
        <f t="shared" si="11"/>
        <v>ZZZ</v>
      </c>
      <c r="F84" s="197"/>
      <c r="G84" s="198" t="s">
        <v>67</v>
      </c>
      <c r="AC84" s="176" t="s">
        <v>605</v>
      </c>
      <c r="AD84" s="178"/>
      <c r="AE84" s="177" t="s">
        <v>606</v>
      </c>
      <c r="AF84" s="176">
        <f t="shared" si="12"/>
        <v>0</v>
      </c>
    </row>
    <row r="85" spans="1:32">
      <c r="A85" s="194" t="s">
        <v>607</v>
      </c>
      <c r="B85" s="195" t="s">
        <v>501</v>
      </c>
      <c r="C85" s="196" t="s">
        <v>608</v>
      </c>
      <c r="D85" s="197" t="str">
        <f t="shared" si="10"/>
        <v>ZZZ</v>
      </c>
      <c r="E85" s="197" t="str">
        <f t="shared" si="11"/>
        <v>ZZZ</v>
      </c>
      <c r="F85" s="197"/>
      <c r="G85" s="198" t="s">
        <v>67</v>
      </c>
      <c r="AC85" s="176" t="s">
        <v>609</v>
      </c>
      <c r="AD85" s="178" t="s">
        <v>610</v>
      </c>
      <c r="AE85" s="177" t="s">
        <v>611</v>
      </c>
      <c r="AF85" s="176" t="str">
        <f t="shared" si="12"/>
        <v>WH</v>
      </c>
    </row>
    <row r="86" spans="1:32">
      <c r="A86" s="194" t="s">
        <v>456</v>
      </c>
      <c r="B86" s="195" t="s">
        <v>501</v>
      </c>
      <c r="C86" s="196" t="s">
        <v>612</v>
      </c>
      <c r="D86" s="197" t="str">
        <f t="shared" si="10"/>
        <v>ZZZ</v>
      </c>
      <c r="E86" s="197" t="str">
        <f t="shared" si="11"/>
        <v>ZZZ</v>
      </c>
      <c r="F86" s="197"/>
      <c r="G86" s="198" t="s">
        <v>67</v>
      </c>
      <c r="AC86" s="176" t="s">
        <v>613</v>
      </c>
      <c r="AD86" s="178" t="s">
        <v>614</v>
      </c>
      <c r="AE86" s="177" t="s">
        <v>615</v>
      </c>
      <c r="AF86" s="176" t="str">
        <f t="shared" si="12"/>
        <v>SL</v>
      </c>
    </row>
    <row r="87" spans="1:32">
      <c r="A87" s="194" t="s">
        <v>462</v>
      </c>
      <c r="B87" s="195" t="s">
        <v>616</v>
      </c>
      <c r="C87" s="196" t="s">
        <v>617</v>
      </c>
      <c r="D87" s="197" t="str">
        <f t="shared" si="10"/>
        <v>TRU</v>
      </c>
      <c r="E87" s="197" t="str">
        <f t="shared" si="11"/>
        <v>TRU</v>
      </c>
      <c r="F87" s="197" t="s">
        <v>1015</v>
      </c>
      <c r="G87" s="198" t="s">
        <v>67</v>
      </c>
      <c r="AC87" s="176" t="s">
        <v>618</v>
      </c>
      <c r="AD87" s="178"/>
      <c r="AE87" s="177" t="s">
        <v>619</v>
      </c>
      <c r="AF87" s="176">
        <f t="shared" si="12"/>
        <v>0</v>
      </c>
    </row>
    <row r="88" spans="1:32">
      <c r="A88" s="201"/>
      <c r="B88" s="202" t="s">
        <v>1016</v>
      </c>
      <c r="C88" s="203" t="s">
        <v>1017</v>
      </c>
      <c r="D88" s="204" t="str">
        <f t="shared" si="10"/>
        <v>TRL</v>
      </c>
      <c r="E88" s="204" t="str">
        <f t="shared" si="11"/>
        <v>TRL</v>
      </c>
      <c r="F88" s="204" t="s">
        <v>1015</v>
      </c>
      <c r="G88" s="205" t="s">
        <v>67</v>
      </c>
      <c r="AC88" s="176" t="s">
        <v>620</v>
      </c>
      <c r="AD88" s="178" t="s">
        <v>621</v>
      </c>
      <c r="AE88" s="177" t="s">
        <v>622</v>
      </c>
      <c r="AF88" s="176" t="str">
        <f t="shared" si="12"/>
        <v>IV</v>
      </c>
    </row>
    <row r="89" spans="1:32">
      <c r="A89" s="194" t="s">
        <v>464</v>
      </c>
      <c r="B89" s="195" t="s">
        <v>623</v>
      </c>
      <c r="C89" s="196" t="s">
        <v>624</v>
      </c>
      <c r="D89" s="197" t="str">
        <f t="shared" si="10"/>
        <v>DAK</v>
      </c>
      <c r="E89" s="197" t="str">
        <f t="shared" si="11"/>
        <v>DAK</v>
      </c>
      <c r="F89" s="197" t="s">
        <v>991</v>
      </c>
      <c r="G89" s="198" t="s">
        <v>67</v>
      </c>
      <c r="AC89" s="176" t="s">
        <v>625</v>
      </c>
      <c r="AD89" s="178"/>
      <c r="AE89" s="177" t="s">
        <v>626</v>
      </c>
      <c r="AF89" s="176">
        <f t="shared" si="12"/>
        <v>0</v>
      </c>
    </row>
    <row r="90" spans="1:32">
      <c r="A90" s="194" t="s">
        <v>627</v>
      </c>
      <c r="B90" s="195" t="s">
        <v>501</v>
      </c>
      <c r="C90" s="196" t="s">
        <v>628</v>
      </c>
      <c r="D90" s="197" t="str">
        <f t="shared" si="10"/>
        <v>ZZZ</v>
      </c>
      <c r="E90" s="197" t="str">
        <f t="shared" si="11"/>
        <v>ZZZ</v>
      </c>
      <c r="F90" s="197"/>
      <c r="G90" s="198" t="s">
        <v>67</v>
      </c>
      <c r="AC90" s="176" t="s">
        <v>629</v>
      </c>
      <c r="AD90" s="178"/>
      <c r="AE90" s="177" t="s">
        <v>630</v>
      </c>
      <c r="AF90" s="176">
        <f t="shared" si="12"/>
        <v>0</v>
      </c>
    </row>
    <row r="91" spans="1:32">
      <c r="A91" s="194" t="s">
        <v>631</v>
      </c>
      <c r="B91" s="195" t="s">
        <v>632</v>
      </c>
      <c r="C91" s="196" t="s">
        <v>633</v>
      </c>
      <c r="D91" s="197" t="str">
        <f t="shared" si="10"/>
        <v>EDH</v>
      </c>
      <c r="E91" s="197" t="str">
        <f t="shared" si="11"/>
        <v>EDH</v>
      </c>
      <c r="F91" s="197" t="s">
        <v>1015</v>
      </c>
      <c r="G91" s="198" t="s">
        <v>67</v>
      </c>
      <c r="AC91" s="176" t="s">
        <v>634</v>
      </c>
      <c r="AD91" s="178" t="s">
        <v>635</v>
      </c>
      <c r="AE91" s="177" t="s">
        <v>636</v>
      </c>
      <c r="AF91" s="176" t="str">
        <f t="shared" si="12"/>
        <v>YE</v>
      </c>
    </row>
    <row r="92" spans="1:32">
      <c r="A92" s="194" t="s">
        <v>637</v>
      </c>
      <c r="B92" s="195" t="s">
        <v>501</v>
      </c>
      <c r="C92" s="196" t="s">
        <v>638</v>
      </c>
      <c r="D92" s="197" t="str">
        <f t="shared" si="10"/>
        <v>ZZZ</v>
      </c>
      <c r="E92" s="197" t="str">
        <f t="shared" si="11"/>
        <v>ZZZ</v>
      </c>
      <c r="F92" s="197"/>
      <c r="G92" s="198" t="s">
        <v>67</v>
      </c>
      <c r="AC92" s="176" t="s">
        <v>639</v>
      </c>
      <c r="AD92" s="178"/>
      <c r="AE92" s="177" t="s">
        <v>640</v>
      </c>
      <c r="AF92" s="176">
        <f t="shared" si="12"/>
        <v>0</v>
      </c>
    </row>
    <row r="93" spans="1:32">
      <c r="A93" s="194" t="s">
        <v>641</v>
      </c>
      <c r="B93" s="195" t="s">
        <v>501</v>
      </c>
      <c r="C93" s="196" t="s">
        <v>642</v>
      </c>
      <c r="D93" s="197" t="str">
        <f t="shared" si="10"/>
        <v>ZZZ</v>
      </c>
      <c r="E93" s="197" t="str">
        <f t="shared" si="11"/>
        <v>ZZZ</v>
      </c>
      <c r="F93" s="197"/>
      <c r="G93" s="198" t="s">
        <v>67</v>
      </c>
      <c r="AC93" s="176" t="s">
        <v>643</v>
      </c>
      <c r="AD93" s="178" t="s">
        <v>627</v>
      </c>
      <c r="AE93" s="177" t="s">
        <v>644</v>
      </c>
      <c r="AF93" s="176" t="str">
        <f t="shared" si="12"/>
        <v>GD</v>
      </c>
    </row>
    <row r="94" spans="1:32">
      <c r="A94" s="194" t="s">
        <v>645</v>
      </c>
      <c r="B94" s="195" t="s">
        <v>501</v>
      </c>
      <c r="C94" s="196" t="s">
        <v>646</v>
      </c>
      <c r="D94" s="197" t="str">
        <f t="shared" si="10"/>
        <v>ZZZ</v>
      </c>
      <c r="E94" s="197" t="str">
        <f t="shared" si="11"/>
        <v>ZZZ</v>
      </c>
      <c r="F94" s="197"/>
      <c r="G94" s="198" t="s">
        <v>67</v>
      </c>
      <c r="AC94" s="176" t="s">
        <v>647</v>
      </c>
      <c r="AD94" s="178"/>
      <c r="AE94" s="177" t="s">
        <v>648</v>
      </c>
      <c r="AF94" s="176">
        <f t="shared" si="12"/>
        <v>0</v>
      </c>
    </row>
    <row r="95" spans="1:32">
      <c r="A95" s="194" t="s">
        <v>649</v>
      </c>
      <c r="B95" s="195" t="s">
        <v>501</v>
      </c>
      <c r="C95" s="196" t="s">
        <v>650</v>
      </c>
      <c r="D95" s="197" t="str">
        <f t="shared" si="10"/>
        <v>ZZZ</v>
      </c>
      <c r="E95" s="197" t="str">
        <f t="shared" si="11"/>
        <v>ZZZ</v>
      </c>
      <c r="F95" s="197"/>
      <c r="G95" s="198" t="s">
        <v>67</v>
      </c>
      <c r="AC95" s="176" t="s">
        <v>651</v>
      </c>
      <c r="AD95" s="178"/>
      <c r="AE95" s="177" t="s">
        <v>652</v>
      </c>
      <c r="AF95" s="176">
        <f t="shared" si="12"/>
        <v>0</v>
      </c>
    </row>
    <row r="96" spans="1:32">
      <c r="A96" s="194" t="s">
        <v>653</v>
      </c>
      <c r="B96" s="195" t="s">
        <v>654</v>
      </c>
      <c r="C96" s="196" t="s">
        <v>655</v>
      </c>
      <c r="D96" s="197" t="str">
        <f t="shared" si="10"/>
        <v>KAN</v>
      </c>
      <c r="E96" s="197" t="str">
        <f t="shared" si="11"/>
        <v>KAN</v>
      </c>
      <c r="F96" s="197" t="s">
        <v>493</v>
      </c>
      <c r="G96" s="198" t="s">
        <v>67</v>
      </c>
      <c r="AC96" s="176" t="s">
        <v>656</v>
      </c>
      <c r="AD96" s="178" t="s">
        <v>657</v>
      </c>
      <c r="AE96" s="177" t="s">
        <v>658</v>
      </c>
      <c r="AF96" s="176" t="str">
        <f t="shared" si="12"/>
        <v>OR</v>
      </c>
    </row>
    <row r="97" spans="1:32">
      <c r="A97" s="194" t="s">
        <v>659</v>
      </c>
      <c r="B97" s="195" t="s">
        <v>501</v>
      </c>
      <c r="C97" s="196" t="s">
        <v>660</v>
      </c>
      <c r="D97" s="197" t="str">
        <f t="shared" si="10"/>
        <v>ZZZ</v>
      </c>
      <c r="E97" s="197" t="str">
        <f t="shared" si="11"/>
        <v>ZZZ</v>
      </c>
      <c r="F97" s="197"/>
      <c r="G97" s="198" t="s">
        <v>67</v>
      </c>
      <c r="AC97" s="176" t="s">
        <v>661</v>
      </c>
      <c r="AD97" s="178"/>
      <c r="AE97" s="177" t="s">
        <v>662</v>
      </c>
      <c r="AF97" s="176">
        <f t="shared" si="12"/>
        <v>0</v>
      </c>
    </row>
    <row r="98" spans="1:32">
      <c r="A98" s="194" t="s">
        <v>663</v>
      </c>
      <c r="B98" s="195" t="s">
        <v>501</v>
      </c>
      <c r="C98" s="196" t="s">
        <v>664</v>
      </c>
      <c r="D98" s="197" t="str">
        <f t="shared" si="10"/>
        <v>ZZZ</v>
      </c>
      <c r="E98" s="197" t="str">
        <f t="shared" si="11"/>
        <v>ZZZ</v>
      </c>
      <c r="F98" s="197"/>
      <c r="G98" s="198" t="s">
        <v>67</v>
      </c>
      <c r="AC98" s="176" t="s">
        <v>665</v>
      </c>
      <c r="AD98" s="178"/>
      <c r="AE98" s="177" t="s">
        <v>666</v>
      </c>
      <c r="AF98" s="176">
        <f t="shared" si="12"/>
        <v>0</v>
      </c>
    </row>
    <row r="99" spans="1:32">
      <c r="A99" s="194" t="s">
        <v>667</v>
      </c>
      <c r="B99" s="195" t="s">
        <v>501</v>
      </c>
      <c r="C99" s="196" t="s">
        <v>668</v>
      </c>
      <c r="D99" s="197" t="str">
        <f t="shared" si="10"/>
        <v>ZZZ</v>
      </c>
      <c r="E99" s="197" t="str">
        <f t="shared" si="11"/>
        <v>ZZZ</v>
      </c>
      <c r="F99" s="197"/>
      <c r="G99" s="198" t="s">
        <v>67</v>
      </c>
      <c r="AD99" s="178"/>
    </row>
    <row r="100" spans="1:32">
      <c r="A100" s="194" t="s">
        <v>396</v>
      </c>
      <c r="B100" s="195" t="s">
        <v>669</v>
      </c>
      <c r="C100" s="196" t="s">
        <v>670</v>
      </c>
      <c r="D100" s="197" t="str">
        <f t="shared" si="10"/>
        <v>WES</v>
      </c>
      <c r="E100" s="197" t="str">
        <f t="shared" si="11"/>
        <v>WES</v>
      </c>
      <c r="F100" s="197" t="s">
        <v>991</v>
      </c>
      <c r="G100" s="198" t="s">
        <v>67</v>
      </c>
      <c r="AD100" s="178"/>
    </row>
    <row r="101" spans="1:32">
      <c r="A101" s="194" t="s">
        <v>671</v>
      </c>
      <c r="B101" s="195" t="s">
        <v>501</v>
      </c>
      <c r="C101" s="196" t="s">
        <v>672</v>
      </c>
      <c r="D101" s="197" t="str">
        <f t="shared" si="10"/>
        <v>ZZZ</v>
      </c>
      <c r="E101" s="197" t="str">
        <f t="shared" si="11"/>
        <v>ZZZ</v>
      </c>
      <c r="F101" s="197"/>
      <c r="G101" s="198" t="s">
        <v>67</v>
      </c>
      <c r="AD101" s="178"/>
    </row>
    <row r="102" spans="1:32">
      <c r="A102" s="194" t="s">
        <v>673</v>
      </c>
      <c r="B102" s="195" t="s">
        <v>674</v>
      </c>
      <c r="C102" s="196" t="s">
        <v>675</v>
      </c>
      <c r="D102" s="197" t="str">
        <f t="shared" si="10"/>
        <v>TWI</v>
      </c>
      <c r="E102" s="197" t="str">
        <f t="shared" si="11"/>
        <v>TWI</v>
      </c>
      <c r="F102" s="197" t="s">
        <v>974</v>
      </c>
      <c r="G102" s="198" t="s">
        <v>67</v>
      </c>
      <c r="AC102" s="176" t="s">
        <v>676</v>
      </c>
      <c r="AD102" s="178"/>
      <c r="AE102" s="177" t="s">
        <v>677</v>
      </c>
      <c r="AF102" s="176">
        <f t="shared" si="12"/>
        <v>0</v>
      </c>
    </row>
    <row r="103" spans="1:32">
      <c r="A103" s="194"/>
      <c r="B103" s="195" t="s">
        <v>678</v>
      </c>
      <c r="C103" s="196" t="s">
        <v>679</v>
      </c>
      <c r="D103" s="197" t="str">
        <f t="shared" si="10"/>
        <v>RVC</v>
      </c>
      <c r="E103" s="197" t="str">
        <f t="shared" si="11"/>
        <v>RVC</v>
      </c>
      <c r="F103" s="197" t="s">
        <v>991</v>
      </c>
      <c r="G103" s="198" t="s">
        <v>67</v>
      </c>
      <c r="AD103" s="178"/>
    </row>
    <row r="104" spans="1:32">
      <c r="A104" s="194"/>
      <c r="B104" s="195" t="s">
        <v>1018</v>
      </c>
      <c r="C104" s="196" t="s">
        <v>1019</v>
      </c>
      <c r="D104" s="197" t="str">
        <f t="shared" si="10"/>
        <v>AKU</v>
      </c>
      <c r="E104" s="197" t="str">
        <f t="shared" si="11"/>
        <v>AKU</v>
      </c>
      <c r="F104" s="197" t="s">
        <v>493</v>
      </c>
      <c r="G104" s="198" t="s">
        <v>975</v>
      </c>
      <c r="AD104" s="178"/>
    </row>
    <row r="105" spans="1:32">
      <c r="A105" s="194"/>
      <c r="B105" s="195" t="s">
        <v>1020</v>
      </c>
      <c r="C105" s="196" t="s">
        <v>1020</v>
      </c>
      <c r="D105" s="197" t="str">
        <f t="shared" si="10"/>
        <v>NHL</v>
      </c>
      <c r="E105" s="197" t="str">
        <f t="shared" si="11"/>
        <v>NHL</v>
      </c>
      <c r="F105" s="197" t="s">
        <v>66</v>
      </c>
      <c r="G105" s="198" t="s">
        <v>975</v>
      </c>
      <c r="AC105" s="176" t="s">
        <v>680</v>
      </c>
      <c r="AD105" s="178"/>
      <c r="AE105" s="177" t="s">
        <v>681</v>
      </c>
      <c r="AF105" s="176">
        <f t="shared" si="12"/>
        <v>0</v>
      </c>
    </row>
    <row r="106" spans="1:32">
      <c r="A106" s="194"/>
      <c r="B106" s="195" t="s">
        <v>1021</v>
      </c>
      <c r="C106" s="196" t="s">
        <v>1022</v>
      </c>
      <c r="D106" s="197" t="str">
        <f t="shared" si="10"/>
        <v>JRC</v>
      </c>
      <c r="E106" s="197" t="str">
        <f t="shared" si="11"/>
        <v>JRC</v>
      </c>
      <c r="F106" s="197" t="s">
        <v>991</v>
      </c>
      <c r="G106" s="198" t="s">
        <v>975</v>
      </c>
      <c r="AC106" s="176" t="s">
        <v>682</v>
      </c>
      <c r="AD106" s="178"/>
      <c r="AE106" s="177" t="s">
        <v>683</v>
      </c>
      <c r="AF106" s="176">
        <f t="shared" si="12"/>
        <v>0</v>
      </c>
    </row>
    <row r="107" spans="1:32">
      <c r="A107" s="194"/>
      <c r="B107" s="195" t="s">
        <v>1023</v>
      </c>
      <c r="C107" s="196" t="s">
        <v>1024</v>
      </c>
      <c r="D107" s="197" t="str">
        <f t="shared" si="10"/>
        <v>BRH</v>
      </c>
      <c r="E107" s="197" t="str">
        <f t="shared" si="11"/>
        <v>BRH</v>
      </c>
      <c r="F107" s="197" t="s">
        <v>991</v>
      </c>
      <c r="G107" s="198" t="s">
        <v>975</v>
      </c>
      <c r="AC107" s="176" t="s">
        <v>684</v>
      </c>
      <c r="AD107" s="178"/>
      <c r="AE107" s="177" t="s">
        <v>685</v>
      </c>
      <c r="AF107" s="176">
        <f t="shared" si="12"/>
        <v>0</v>
      </c>
    </row>
    <row r="108" spans="1:32">
      <c r="A108" s="213"/>
      <c r="B108" s="214" t="s">
        <v>1025</v>
      </c>
      <c r="C108" s="215" t="s">
        <v>1026</v>
      </c>
      <c r="D108" s="216" t="str">
        <f>B108</f>
        <v>ZEL</v>
      </c>
      <c r="E108" s="216" t="str">
        <f>B108</f>
        <v>ZEL</v>
      </c>
      <c r="F108" s="216" t="s">
        <v>1000</v>
      </c>
      <c r="G108" s="217" t="s">
        <v>67</v>
      </c>
      <c r="AC108" s="176" t="s">
        <v>686</v>
      </c>
      <c r="AD108" s="178"/>
      <c r="AE108" s="177" t="s">
        <v>687</v>
      </c>
      <c r="AF108" s="176">
        <f t="shared" si="12"/>
        <v>0</v>
      </c>
    </row>
    <row r="109" spans="1:32">
      <c r="A109" s="201"/>
      <c r="B109" s="202" t="s">
        <v>1027</v>
      </c>
      <c r="C109" s="203" t="s">
        <v>1028</v>
      </c>
      <c r="D109" s="204" t="str">
        <f>B109</f>
        <v>KRH</v>
      </c>
      <c r="E109" s="204" t="str">
        <f>B109</f>
        <v>KRH</v>
      </c>
      <c r="F109" s="204" t="s">
        <v>1000</v>
      </c>
      <c r="G109" s="205" t="s">
        <v>67</v>
      </c>
      <c r="AC109" s="176" t="s">
        <v>688</v>
      </c>
      <c r="AD109" s="178"/>
      <c r="AE109" s="177" t="s">
        <v>689</v>
      </c>
      <c r="AF109" s="176">
        <f t="shared" si="12"/>
        <v>0</v>
      </c>
    </row>
    <row r="110" spans="1:32">
      <c r="A110" s="201"/>
      <c r="B110" s="202" t="s">
        <v>1029</v>
      </c>
      <c r="C110" s="203" t="s">
        <v>1030</v>
      </c>
      <c r="D110" s="204" t="str">
        <f>B110</f>
        <v>BRL</v>
      </c>
      <c r="E110" s="204" t="str">
        <f>B110</f>
        <v>BRL</v>
      </c>
      <c r="F110" s="204" t="s">
        <v>1000</v>
      </c>
      <c r="G110" s="205" t="s">
        <v>67</v>
      </c>
      <c r="AC110" s="176" t="s">
        <v>690</v>
      </c>
      <c r="AD110" s="178"/>
      <c r="AE110" s="177" t="s">
        <v>691</v>
      </c>
      <c r="AF110" s="176">
        <f t="shared" si="12"/>
        <v>0</v>
      </c>
    </row>
    <row r="111" spans="1:32">
      <c r="A111" s="201"/>
      <c r="B111" s="202" t="s">
        <v>1031</v>
      </c>
      <c r="C111" s="203" t="s">
        <v>1032</v>
      </c>
      <c r="D111" s="204" t="str">
        <f>B111</f>
        <v>CDL</v>
      </c>
      <c r="E111" s="204" t="str">
        <f>B111</f>
        <v>CDL</v>
      </c>
      <c r="F111" s="204" t="s">
        <v>969</v>
      </c>
      <c r="G111" s="205" t="s">
        <v>67</v>
      </c>
      <c r="AC111" s="176" t="s">
        <v>692</v>
      </c>
      <c r="AD111" s="178" t="s">
        <v>507</v>
      </c>
      <c r="AE111" s="177" t="s">
        <v>693</v>
      </c>
      <c r="AF111" s="176" t="str">
        <f t="shared" si="12"/>
        <v>NA</v>
      </c>
    </row>
    <row r="112" spans="1:32">
      <c r="A112" s="201"/>
      <c r="B112" s="202" t="s">
        <v>1033</v>
      </c>
      <c r="C112" s="203" t="s">
        <v>1034</v>
      </c>
      <c r="D112" s="204" t="s">
        <v>1033</v>
      </c>
      <c r="E112" s="204" t="s">
        <v>1033</v>
      </c>
      <c r="F112" s="204" t="s">
        <v>1000</v>
      </c>
      <c r="G112" s="205" t="s">
        <v>975</v>
      </c>
      <c r="AC112" s="176" t="s">
        <v>694</v>
      </c>
      <c r="AD112" s="178"/>
      <c r="AE112" s="177" t="s">
        <v>695</v>
      </c>
      <c r="AF112" s="176">
        <f t="shared" si="12"/>
        <v>0</v>
      </c>
    </row>
    <row r="113" spans="1:32">
      <c r="A113" s="201"/>
      <c r="B113" s="202" t="s">
        <v>1035</v>
      </c>
      <c r="C113" s="203" t="s">
        <v>1036</v>
      </c>
      <c r="D113" s="204" t="s">
        <v>1035</v>
      </c>
      <c r="E113" s="204" t="s">
        <v>1035</v>
      </c>
      <c r="F113" s="204" t="s">
        <v>1000</v>
      </c>
      <c r="G113" s="205" t="s">
        <v>975</v>
      </c>
      <c r="AC113" s="176" t="s">
        <v>698</v>
      </c>
      <c r="AD113" s="178" t="s">
        <v>698</v>
      </c>
      <c r="AE113" s="177" t="s">
        <v>1037</v>
      </c>
      <c r="AF113" s="176" t="str">
        <f t="shared" si="12"/>
        <v>ZZ</v>
      </c>
    </row>
    <row r="114" spans="1:32">
      <c r="A114" s="201"/>
      <c r="B114" s="202" t="s">
        <v>1038</v>
      </c>
      <c r="C114" s="203" t="s">
        <v>1039</v>
      </c>
      <c r="D114" s="204" t="s">
        <v>1038</v>
      </c>
      <c r="E114" s="204" t="s">
        <v>1038</v>
      </c>
      <c r="F114" s="204" t="s">
        <v>1000</v>
      </c>
      <c r="G114" s="205" t="s">
        <v>975</v>
      </c>
      <c r="AD114" s="178" t="s">
        <v>702</v>
      </c>
      <c r="AE114" s="177" t="s">
        <v>703</v>
      </c>
      <c r="AF114" s="176" t="str">
        <f t="shared" si="12"/>
        <v>LI</v>
      </c>
    </row>
    <row r="115" spans="1:32" ht="14.25" thickBot="1">
      <c r="A115" s="201"/>
      <c r="B115" s="202" t="s">
        <v>1040</v>
      </c>
      <c r="C115" s="203" t="s">
        <v>1041</v>
      </c>
      <c r="D115" s="204" t="s">
        <v>1040</v>
      </c>
      <c r="E115" s="204" t="s">
        <v>1040</v>
      </c>
      <c r="F115" s="204" t="s">
        <v>1000</v>
      </c>
      <c r="G115" s="205" t="s">
        <v>975</v>
      </c>
      <c r="AC115" s="218"/>
      <c r="AD115" s="219" t="s">
        <v>1042</v>
      </c>
      <c r="AE115" s="220" t="s">
        <v>1043</v>
      </c>
      <c r="AF115" s="218"/>
    </row>
    <row r="116" spans="1:32" ht="15" thickTop="1" thickBot="1">
      <c r="A116" s="221" t="s">
        <v>696</v>
      </c>
      <c r="B116" s="222" t="s">
        <v>61</v>
      </c>
      <c r="C116" s="223" t="s">
        <v>697</v>
      </c>
      <c r="D116" s="224" t="str">
        <f t="shared" ref="D116:D135" si="13">B116</f>
        <v>PLA</v>
      </c>
      <c r="E116" s="224" t="str">
        <f t="shared" ref="E116:E135" si="14">B116</f>
        <v>PLA</v>
      </c>
      <c r="F116" s="224"/>
      <c r="G116" s="225" t="s">
        <v>1044</v>
      </c>
      <c r="AC116" s="218"/>
      <c r="AD116" s="226" t="s">
        <v>1045</v>
      </c>
      <c r="AE116" s="220" t="s">
        <v>1046</v>
      </c>
      <c r="AF116" s="218"/>
    </row>
    <row r="117" spans="1:32">
      <c r="A117" s="227" t="s">
        <v>699</v>
      </c>
      <c r="B117" s="172" t="s">
        <v>700</v>
      </c>
      <c r="C117" s="228" t="s">
        <v>701</v>
      </c>
      <c r="D117" s="229" t="str">
        <f t="shared" si="13"/>
        <v>UPO</v>
      </c>
      <c r="E117" s="229" t="str">
        <f t="shared" si="14"/>
        <v>UPO</v>
      </c>
      <c r="F117" s="229"/>
      <c r="G117" s="230" t="s">
        <v>79</v>
      </c>
    </row>
    <row r="118" spans="1:32">
      <c r="A118" s="227" t="s">
        <v>704</v>
      </c>
      <c r="B118" s="172" t="s">
        <v>705</v>
      </c>
      <c r="C118" s="228" t="s">
        <v>706</v>
      </c>
      <c r="D118" s="229" t="str">
        <f t="shared" si="13"/>
        <v>ECK</v>
      </c>
      <c r="E118" s="229" t="str">
        <f t="shared" si="14"/>
        <v>ECK</v>
      </c>
      <c r="F118" s="229"/>
      <c r="G118" s="230" t="s">
        <v>79</v>
      </c>
    </row>
    <row r="119" spans="1:32">
      <c r="A119" s="227" t="s">
        <v>707</v>
      </c>
      <c r="B119" s="172" t="s">
        <v>708</v>
      </c>
      <c r="C119" s="228" t="s">
        <v>709</v>
      </c>
      <c r="D119" s="229" t="str">
        <f t="shared" si="13"/>
        <v>EUR</v>
      </c>
      <c r="E119" s="229" t="str">
        <f t="shared" si="14"/>
        <v>EUR</v>
      </c>
      <c r="F119" s="229"/>
      <c r="G119" s="230" t="s">
        <v>79</v>
      </c>
    </row>
    <row r="120" spans="1:32">
      <c r="A120" s="227" t="s">
        <v>710</v>
      </c>
      <c r="B120" s="172" t="s">
        <v>711</v>
      </c>
      <c r="C120" s="228" t="s">
        <v>712</v>
      </c>
      <c r="D120" s="229" t="str">
        <f t="shared" si="13"/>
        <v>LID</v>
      </c>
      <c r="E120" s="229" t="str">
        <f t="shared" si="14"/>
        <v>LID</v>
      </c>
      <c r="F120" s="229"/>
      <c r="G120" s="230" t="s">
        <v>79</v>
      </c>
    </row>
    <row r="121" spans="1:32">
      <c r="A121" s="227" t="s">
        <v>713</v>
      </c>
      <c r="B121" s="172" t="s">
        <v>714</v>
      </c>
      <c r="C121" s="228" t="s">
        <v>714</v>
      </c>
      <c r="D121" s="229" t="str">
        <f t="shared" si="13"/>
        <v>RXG</v>
      </c>
      <c r="E121" s="229" t="str">
        <f t="shared" si="14"/>
        <v>RXG</v>
      </c>
      <c r="F121" s="229"/>
      <c r="G121" s="230" t="s">
        <v>79</v>
      </c>
    </row>
    <row r="122" spans="1:32">
      <c r="A122" s="227" t="s">
        <v>715</v>
      </c>
      <c r="B122" s="172" t="s">
        <v>716</v>
      </c>
      <c r="C122" s="228" t="s">
        <v>717</v>
      </c>
      <c r="D122" s="229" t="str">
        <f t="shared" si="13"/>
        <v>NOX</v>
      </c>
      <c r="E122" s="229" t="str">
        <f t="shared" si="14"/>
        <v>NOX</v>
      </c>
      <c r="F122" s="229"/>
      <c r="G122" s="230" t="s">
        <v>79</v>
      </c>
    </row>
    <row r="123" spans="1:32">
      <c r="A123" s="227" t="s">
        <v>718</v>
      </c>
      <c r="B123" s="172" t="s">
        <v>719</v>
      </c>
      <c r="C123" s="228" t="s">
        <v>719</v>
      </c>
      <c r="D123" s="229" t="str">
        <f t="shared" si="13"/>
        <v>MIX</v>
      </c>
      <c r="E123" s="229" t="str">
        <f t="shared" si="14"/>
        <v>MIX</v>
      </c>
      <c r="F123" s="229"/>
      <c r="G123" s="230" t="s">
        <v>79</v>
      </c>
    </row>
    <row r="124" spans="1:32">
      <c r="A124" s="227" t="s">
        <v>720</v>
      </c>
      <c r="B124" s="172" t="s">
        <v>721</v>
      </c>
      <c r="C124" s="228" t="s">
        <v>722</v>
      </c>
      <c r="D124" s="229" t="str">
        <f t="shared" si="13"/>
        <v>KOR</v>
      </c>
      <c r="E124" s="229" t="str">
        <f t="shared" si="14"/>
        <v>KOR</v>
      </c>
      <c r="F124" s="229"/>
      <c r="G124" s="230" t="s">
        <v>79</v>
      </c>
    </row>
    <row r="125" spans="1:32">
      <c r="A125" s="227" t="s">
        <v>723</v>
      </c>
      <c r="B125" s="172" t="s">
        <v>32</v>
      </c>
      <c r="C125" s="228" t="s">
        <v>1047</v>
      </c>
      <c r="D125" s="229" t="str">
        <f t="shared" si="13"/>
        <v>JIL</v>
      </c>
      <c r="E125" s="229" t="str">
        <f t="shared" si="14"/>
        <v>JIL</v>
      </c>
      <c r="F125" s="229" t="s">
        <v>493</v>
      </c>
      <c r="G125" s="230" t="s">
        <v>79</v>
      </c>
    </row>
    <row r="126" spans="1:32">
      <c r="A126" s="227" t="s">
        <v>724</v>
      </c>
      <c r="B126" s="172" t="s">
        <v>725</v>
      </c>
      <c r="C126" s="228" t="s">
        <v>726</v>
      </c>
      <c r="D126" s="229" t="str">
        <f t="shared" si="13"/>
        <v>LIH</v>
      </c>
      <c r="E126" s="229" t="str">
        <f t="shared" si="14"/>
        <v>LIH</v>
      </c>
      <c r="F126" s="229"/>
      <c r="G126" s="230" t="s">
        <v>79</v>
      </c>
    </row>
    <row r="127" spans="1:32">
      <c r="A127" s="227" t="s">
        <v>727</v>
      </c>
      <c r="B127" s="172" t="s">
        <v>3</v>
      </c>
      <c r="C127" s="228" t="s">
        <v>728</v>
      </c>
      <c r="D127" s="229" t="str">
        <f t="shared" si="13"/>
        <v>ELS</v>
      </c>
      <c r="E127" s="229" t="str">
        <f t="shared" si="14"/>
        <v>ELS</v>
      </c>
      <c r="F127" s="229" t="s">
        <v>1015</v>
      </c>
      <c r="G127" s="230" t="s">
        <v>79</v>
      </c>
    </row>
    <row r="128" spans="1:32">
      <c r="A128" s="227" t="s">
        <v>729</v>
      </c>
      <c r="B128" s="172" t="s">
        <v>730</v>
      </c>
      <c r="C128" s="228" t="s">
        <v>731</v>
      </c>
      <c r="D128" s="229" t="str">
        <f t="shared" si="13"/>
        <v>COC</v>
      </c>
      <c r="E128" s="229" t="str">
        <f t="shared" si="14"/>
        <v>COC</v>
      </c>
      <c r="F128" s="229" t="s">
        <v>1015</v>
      </c>
      <c r="G128" s="230" t="s">
        <v>79</v>
      </c>
    </row>
    <row r="129" spans="1:7">
      <c r="A129" s="227"/>
      <c r="B129" s="172" t="s">
        <v>1048</v>
      </c>
      <c r="C129" s="228" t="s">
        <v>1049</v>
      </c>
      <c r="D129" s="229" t="str">
        <f t="shared" si="13"/>
        <v>B1A</v>
      </c>
      <c r="E129" s="229" t="str">
        <f t="shared" si="14"/>
        <v>B1A</v>
      </c>
      <c r="F129" s="229" t="s">
        <v>732</v>
      </c>
      <c r="G129" s="230" t="s">
        <v>79</v>
      </c>
    </row>
    <row r="130" spans="1:7">
      <c r="A130" s="227"/>
      <c r="B130" s="172" t="s">
        <v>1050</v>
      </c>
      <c r="C130" s="228" t="s">
        <v>1051</v>
      </c>
      <c r="D130" s="229" t="str">
        <f t="shared" si="13"/>
        <v>BMD</v>
      </c>
      <c r="E130" s="229" t="str">
        <f t="shared" si="14"/>
        <v>BMD</v>
      </c>
      <c r="F130" s="229" t="s">
        <v>493</v>
      </c>
      <c r="G130" s="230" t="s">
        <v>79</v>
      </c>
    </row>
    <row r="131" spans="1:7">
      <c r="A131" s="227"/>
      <c r="B131" s="172" t="s">
        <v>1052</v>
      </c>
      <c r="C131" s="228" t="s">
        <v>1053</v>
      </c>
      <c r="D131" s="229" t="str">
        <f t="shared" si="13"/>
        <v>HCU</v>
      </c>
      <c r="E131" s="229" t="str">
        <f t="shared" si="14"/>
        <v>HCU</v>
      </c>
      <c r="F131" s="229" t="s">
        <v>493</v>
      </c>
      <c r="G131" s="230" t="s">
        <v>79</v>
      </c>
    </row>
    <row r="132" spans="1:7">
      <c r="A132" s="227"/>
      <c r="B132" s="172" t="s">
        <v>1054</v>
      </c>
      <c r="C132" s="228" t="s">
        <v>1055</v>
      </c>
      <c r="D132" s="229" t="str">
        <f t="shared" si="13"/>
        <v>NOV</v>
      </c>
      <c r="E132" s="229" t="str">
        <f t="shared" si="14"/>
        <v>NOV</v>
      </c>
      <c r="F132" s="229" t="s">
        <v>66</v>
      </c>
      <c r="G132" s="230" t="s">
        <v>79</v>
      </c>
    </row>
    <row r="133" spans="1:7">
      <c r="A133" s="227"/>
      <c r="B133" s="172" t="s">
        <v>47</v>
      </c>
      <c r="C133" s="228" t="s">
        <v>1056</v>
      </c>
      <c r="D133" s="229" t="str">
        <f t="shared" si="13"/>
        <v>SMB</v>
      </c>
      <c r="E133" s="229" t="str">
        <f t="shared" si="14"/>
        <v>SMB</v>
      </c>
      <c r="F133" s="229" t="s">
        <v>66</v>
      </c>
      <c r="G133" s="230" t="s">
        <v>79</v>
      </c>
    </row>
    <row r="134" spans="1:7">
      <c r="A134" s="227"/>
      <c r="B134" s="172" t="s">
        <v>1057</v>
      </c>
      <c r="C134" s="228" t="s">
        <v>1058</v>
      </c>
      <c r="D134" s="229" t="str">
        <f t="shared" si="13"/>
        <v>VBL</v>
      </c>
      <c r="E134" s="229" t="str">
        <f t="shared" si="14"/>
        <v>VBL</v>
      </c>
      <c r="F134" s="229" t="s">
        <v>66</v>
      </c>
      <c r="G134" s="230" t="s">
        <v>79</v>
      </c>
    </row>
    <row r="135" spans="1:7">
      <c r="A135" s="227"/>
      <c r="B135" s="172" t="s">
        <v>46</v>
      </c>
      <c r="C135" s="228" t="s">
        <v>733</v>
      </c>
      <c r="D135" s="229" t="str">
        <f t="shared" si="13"/>
        <v>WTR</v>
      </c>
      <c r="E135" s="229" t="str">
        <f t="shared" si="14"/>
        <v>WTR</v>
      </c>
      <c r="F135" s="229" t="s">
        <v>493</v>
      </c>
      <c r="G135" s="230" t="s">
        <v>79</v>
      </c>
    </row>
    <row r="136" spans="1:7">
      <c r="A136" s="227"/>
      <c r="B136" s="172" t="s">
        <v>1059</v>
      </c>
      <c r="C136" s="228" t="s">
        <v>1060</v>
      </c>
      <c r="D136" s="229" t="str">
        <f>B136</f>
        <v>BRO</v>
      </c>
      <c r="E136" s="229" t="str">
        <f>B136</f>
        <v>BRO</v>
      </c>
      <c r="F136" s="229" t="s">
        <v>1015</v>
      </c>
      <c r="G136" s="230" t="s">
        <v>79</v>
      </c>
    </row>
    <row r="137" spans="1:7">
      <c r="A137" s="227"/>
      <c r="B137" s="172" t="s">
        <v>1061</v>
      </c>
      <c r="C137" s="228" t="s">
        <v>1062</v>
      </c>
      <c r="D137" s="229" t="str">
        <f>B137</f>
        <v>JOI</v>
      </c>
      <c r="E137" s="229" t="str">
        <f>B137</f>
        <v>JOI</v>
      </c>
      <c r="F137" s="229" t="s">
        <v>493</v>
      </c>
      <c r="G137" s="230" t="s">
        <v>79</v>
      </c>
    </row>
    <row r="138" spans="1:7">
      <c r="A138" s="227"/>
      <c r="B138" s="172" t="s">
        <v>1063</v>
      </c>
      <c r="C138" s="228" t="s">
        <v>1064</v>
      </c>
      <c r="D138" s="229" t="str">
        <f t="shared" ref="D138:D161" si="15">B138</f>
        <v>NAA</v>
      </c>
      <c r="E138" s="229" t="str">
        <f t="shared" ref="E138:E161" si="16">B138</f>
        <v>NAA</v>
      </c>
      <c r="F138" s="229" t="s">
        <v>66</v>
      </c>
      <c r="G138" s="230" t="s">
        <v>79</v>
      </c>
    </row>
    <row r="139" spans="1:7">
      <c r="A139" s="227"/>
      <c r="B139" s="172" t="s">
        <v>1065</v>
      </c>
      <c r="C139" s="228" t="s">
        <v>1065</v>
      </c>
      <c r="D139" s="229" t="str">
        <f t="shared" si="15"/>
        <v>UCL</v>
      </c>
      <c r="E139" s="229" t="str">
        <f t="shared" si="16"/>
        <v>UCL</v>
      </c>
      <c r="F139" s="229" t="s">
        <v>66</v>
      </c>
      <c r="G139" s="230" t="s">
        <v>79</v>
      </c>
    </row>
    <row r="140" spans="1:7">
      <c r="A140" s="227"/>
      <c r="B140" s="172" t="s">
        <v>1066</v>
      </c>
      <c r="C140" s="228" t="s">
        <v>1067</v>
      </c>
      <c r="D140" s="229" t="str">
        <f t="shared" si="15"/>
        <v>AND</v>
      </c>
      <c r="E140" s="229" t="str">
        <f t="shared" si="16"/>
        <v>AND</v>
      </c>
      <c r="F140" s="229" t="s">
        <v>1015</v>
      </c>
      <c r="G140" s="230" t="s">
        <v>79</v>
      </c>
    </row>
    <row r="141" spans="1:7">
      <c r="A141" s="227"/>
      <c r="B141" s="172" t="s">
        <v>1068</v>
      </c>
      <c r="C141" s="228" t="s">
        <v>1069</v>
      </c>
      <c r="D141" s="229" t="str">
        <f t="shared" si="15"/>
        <v>URB</v>
      </c>
      <c r="E141" s="229" t="str">
        <f t="shared" si="16"/>
        <v>URB</v>
      </c>
      <c r="F141" s="229" t="s">
        <v>1015</v>
      </c>
      <c r="G141" s="230" t="s">
        <v>79</v>
      </c>
    </row>
    <row r="142" spans="1:7">
      <c r="A142" s="227"/>
      <c r="B142" s="172" t="s">
        <v>1366</v>
      </c>
      <c r="C142" s="228" t="s">
        <v>1367</v>
      </c>
      <c r="D142" s="229" t="str">
        <f>B142</f>
        <v>RGM</v>
      </c>
      <c r="E142" s="229" t="str">
        <f>B142</f>
        <v>RGM</v>
      </c>
      <c r="F142" s="229" t="s">
        <v>1015</v>
      </c>
      <c r="G142" s="230" t="s">
        <v>79</v>
      </c>
    </row>
    <row r="143" spans="1:7">
      <c r="A143" s="211"/>
      <c r="B143" s="202" t="s">
        <v>1070</v>
      </c>
      <c r="C143" s="212" t="s">
        <v>1071</v>
      </c>
      <c r="D143" s="231" t="str">
        <f t="shared" si="15"/>
        <v>JST</v>
      </c>
      <c r="E143" s="231" t="str">
        <f t="shared" si="16"/>
        <v>JST</v>
      </c>
      <c r="F143" s="231" t="s">
        <v>493</v>
      </c>
      <c r="G143" s="232" t="s">
        <v>79</v>
      </c>
    </row>
    <row r="144" spans="1:7">
      <c r="A144" s="211"/>
      <c r="B144" s="202" t="s">
        <v>1072</v>
      </c>
      <c r="C144" s="212" t="s">
        <v>1073</v>
      </c>
      <c r="D144" s="231" t="str">
        <f t="shared" si="15"/>
        <v>JLL</v>
      </c>
      <c r="E144" s="231" t="str">
        <f t="shared" si="16"/>
        <v>JLL</v>
      </c>
      <c r="F144" s="231" t="s">
        <v>493</v>
      </c>
      <c r="G144" s="232" t="s">
        <v>79</v>
      </c>
    </row>
    <row r="145" spans="1:30" ht="14.25" thickBot="1">
      <c r="A145" s="233"/>
      <c r="B145" s="234" t="s">
        <v>1074</v>
      </c>
      <c r="C145" s="235" t="s">
        <v>1075</v>
      </c>
      <c r="D145" s="236" t="str">
        <f t="shared" si="15"/>
        <v>BEL</v>
      </c>
      <c r="E145" s="236" t="str">
        <f t="shared" si="16"/>
        <v>BEL</v>
      </c>
      <c r="F145" s="236" t="s">
        <v>493</v>
      </c>
      <c r="G145" s="237" t="s">
        <v>79</v>
      </c>
    </row>
    <row r="146" spans="1:30" ht="14.25" thickTop="1">
      <c r="A146" s="194" t="s">
        <v>734</v>
      </c>
      <c r="B146" s="195" t="s">
        <v>735</v>
      </c>
      <c r="C146" s="196" t="s">
        <v>736</v>
      </c>
      <c r="D146" s="197" t="str">
        <f t="shared" si="15"/>
        <v>ZGN</v>
      </c>
      <c r="E146" s="197" t="str">
        <f t="shared" si="16"/>
        <v>ZGN</v>
      </c>
      <c r="F146" s="197"/>
      <c r="G146" s="198" t="s">
        <v>1076</v>
      </c>
    </row>
    <row r="147" spans="1:30">
      <c r="A147" s="194" t="s">
        <v>737</v>
      </c>
      <c r="B147" s="195" t="s">
        <v>738</v>
      </c>
      <c r="C147" s="196" t="s">
        <v>739</v>
      </c>
      <c r="D147" s="197" t="str">
        <f t="shared" si="15"/>
        <v>ZGO</v>
      </c>
      <c r="E147" s="197" t="str">
        <f t="shared" si="16"/>
        <v>ZGO</v>
      </c>
      <c r="F147" s="197"/>
      <c r="G147" s="198" t="s">
        <v>1076</v>
      </c>
    </row>
    <row r="148" spans="1:30">
      <c r="A148" s="194" t="s">
        <v>740</v>
      </c>
      <c r="B148" s="195" t="s">
        <v>741</v>
      </c>
      <c r="C148" s="196" t="s">
        <v>742</v>
      </c>
      <c r="D148" s="197" t="str">
        <f t="shared" si="15"/>
        <v>ZGP</v>
      </c>
      <c r="E148" s="197" t="str">
        <f t="shared" si="16"/>
        <v>ZGP</v>
      </c>
      <c r="F148" s="197"/>
      <c r="G148" s="198" t="s">
        <v>1076</v>
      </c>
    </row>
    <row r="149" spans="1:30">
      <c r="A149" s="194" t="s">
        <v>743</v>
      </c>
      <c r="B149" s="195" t="s">
        <v>744</v>
      </c>
      <c r="C149" s="196" t="s">
        <v>745</v>
      </c>
      <c r="D149" s="197" t="str">
        <f t="shared" si="15"/>
        <v>ZGQ</v>
      </c>
      <c r="E149" s="197" t="str">
        <f t="shared" si="16"/>
        <v>ZGQ</v>
      </c>
      <c r="F149" s="197"/>
      <c r="G149" s="198" t="s">
        <v>1076</v>
      </c>
    </row>
    <row r="150" spans="1:30">
      <c r="A150" s="194" t="s">
        <v>746</v>
      </c>
      <c r="B150" s="195" t="s">
        <v>747</v>
      </c>
      <c r="C150" s="196" t="s">
        <v>748</v>
      </c>
      <c r="D150" s="197" t="str">
        <f t="shared" si="15"/>
        <v>ZGT</v>
      </c>
      <c r="E150" s="197" t="str">
        <f t="shared" si="16"/>
        <v>ZGT</v>
      </c>
      <c r="F150" s="197"/>
      <c r="G150" s="198" t="s">
        <v>1076</v>
      </c>
    </row>
    <row r="151" spans="1:30">
      <c r="A151" s="194" t="s">
        <v>749</v>
      </c>
      <c r="B151" s="195" t="s">
        <v>750</v>
      </c>
      <c r="C151" s="196" t="s">
        <v>751</v>
      </c>
      <c r="D151" s="197" t="str">
        <f t="shared" si="15"/>
        <v>ZGU</v>
      </c>
      <c r="E151" s="197" t="str">
        <f t="shared" si="16"/>
        <v>ZGU</v>
      </c>
      <c r="F151" s="197"/>
      <c r="G151" s="198" t="s">
        <v>1076</v>
      </c>
    </row>
    <row r="152" spans="1:30">
      <c r="A152" s="194" t="s">
        <v>752</v>
      </c>
      <c r="B152" s="195" t="s">
        <v>753</v>
      </c>
      <c r="C152" s="196" t="s">
        <v>754</v>
      </c>
      <c r="D152" s="197" t="str">
        <f t="shared" si="15"/>
        <v>ZGV</v>
      </c>
      <c r="E152" s="197" t="str">
        <f t="shared" si="16"/>
        <v>ZGV</v>
      </c>
      <c r="F152" s="197"/>
      <c r="G152" s="198" t="s">
        <v>1076</v>
      </c>
    </row>
    <row r="153" spans="1:30">
      <c r="A153" s="194" t="s">
        <v>755</v>
      </c>
      <c r="B153" s="195" t="s">
        <v>756</v>
      </c>
      <c r="C153" s="196" t="s">
        <v>757</v>
      </c>
      <c r="D153" s="197" t="str">
        <f t="shared" si="15"/>
        <v>ZGW</v>
      </c>
      <c r="E153" s="197" t="str">
        <f t="shared" si="16"/>
        <v>ZGW</v>
      </c>
      <c r="F153" s="197"/>
      <c r="G153" s="198" t="s">
        <v>1076</v>
      </c>
    </row>
    <row r="154" spans="1:30">
      <c r="A154" s="194" t="s">
        <v>758</v>
      </c>
      <c r="B154" s="195" t="s">
        <v>759</v>
      </c>
      <c r="C154" s="196" t="s">
        <v>760</v>
      </c>
      <c r="D154" s="197" t="str">
        <f t="shared" si="15"/>
        <v>ZGX</v>
      </c>
      <c r="E154" s="197" t="str">
        <f t="shared" si="16"/>
        <v>ZGX</v>
      </c>
      <c r="F154" s="197"/>
      <c r="G154" s="198" t="s">
        <v>1076</v>
      </c>
    </row>
    <row r="155" spans="1:30">
      <c r="A155" s="194" t="s">
        <v>338</v>
      </c>
      <c r="B155" s="195" t="s">
        <v>761</v>
      </c>
      <c r="C155" s="196" t="s">
        <v>762</v>
      </c>
      <c r="D155" s="197" t="str">
        <f t="shared" si="15"/>
        <v>ZGY</v>
      </c>
      <c r="E155" s="197" t="str">
        <f t="shared" si="16"/>
        <v>ZGY</v>
      </c>
      <c r="F155" s="197"/>
      <c r="G155" s="198" t="s">
        <v>1076</v>
      </c>
    </row>
    <row r="156" spans="1:30">
      <c r="A156" s="194" t="s">
        <v>395</v>
      </c>
      <c r="B156" s="195" t="s">
        <v>763</v>
      </c>
      <c r="C156" s="196" t="s">
        <v>764</v>
      </c>
      <c r="D156" s="197" t="str">
        <f t="shared" si="15"/>
        <v>ZG1</v>
      </c>
      <c r="E156" s="197" t="str">
        <f t="shared" si="16"/>
        <v>ZG1</v>
      </c>
      <c r="F156" s="197"/>
      <c r="G156" s="198" t="s">
        <v>1076</v>
      </c>
    </row>
    <row r="157" spans="1:30">
      <c r="A157" s="194" t="s">
        <v>404</v>
      </c>
      <c r="B157" s="195" t="s">
        <v>765</v>
      </c>
      <c r="C157" s="196" t="s">
        <v>766</v>
      </c>
      <c r="D157" s="197" t="str">
        <f t="shared" si="15"/>
        <v>ZG2</v>
      </c>
      <c r="E157" s="197" t="str">
        <f t="shared" si="16"/>
        <v>ZG2</v>
      </c>
      <c r="F157" s="197"/>
      <c r="G157" s="198" t="s">
        <v>1076</v>
      </c>
    </row>
    <row r="158" spans="1:30">
      <c r="A158" s="194" t="s">
        <v>413</v>
      </c>
      <c r="B158" s="195" t="s">
        <v>767</v>
      </c>
      <c r="C158" s="196" t="s">
        <v>768</v>
      </c>
      <c r="D158" s="197" t="str">
        <f t="shared" si="15"/>
        <v>ZG3</v>
      </c>
      <c r="E158" s="197" t="str">
        <f t="shared" si="16"/>
        <v>ZG3</v>
      </c>
      <c r="F158" s="197"/>
      <c r="G158" s="198" t="s">
        <v>1076</v>
      </c>
      <c r="AD158" s="178"/>
    </row>
    <row r="159" spans="1:30">
      <c r="A159" s="194" t="s">
        <v>420</v>
      </c>
      <c r="B159" s="195" t="s">
        <v>769</v>
      </c>
      <c r="C159" s="196" t="s">
        <v>770</v>
      </c>
      <c r="D159" s="197" t="str">
        <f t="shared" si="15"/>
        <v>ZG4</v>
      </c>
      <c r="E159" s="197" t="str">
        <f t="shared" si="16"/>
        <v>ZG4</v>
      </c>
      <c r="F159" s="197"/>
      <c r="G159" s="198" t="s">
        <v>1076</v>
      </c>
    </row>
    <row r="160" spans="1:30">
      <c r="A160" s="194" t="s">
        <v>771</v>
      </c>
      <c r="B160" s="195" t="s">
        <v>772</v>
      </c>
      <c r="C160" s="196" t="s">
        <v>773</v>
      </c>
      <c r="D160" s="197" t="str">
        <f t="shared" si="15"/>
        <v>NBP</v>
      </c>
      <c r="E160" s="197" t="str">
        <f t="shared" si="16"/>
        <v>NBP</v>
      </c>
      <c r="F160" s="197"/>
      <c r="G160" s="198" t="s">
        <v>1076</v>
      </c>
    </row>
    <row r="161" spans="1:7">
      <c r="A161" s="194" t="s">
        <v>774</v>
      </c>
      <c r="B161" s="195" t="s">
        <v>775</v>
      </c>
      <c r="C161" s="196" t="s">
        <v>776</v>
      </c>
      <c r="D161" s="197" t="str">
        <f t="shared" si="15"/>
        <v>DBP</v>
      </c>
      <c r="E161" s="197" t="str">
        <f t="shared" si="16"/>
        <v>DBP</v>
      </c>
      <c r="F161" s="197"/>
      <c r="G161" s="198" t="s">
        <v>1076</v>
      </c>
    </row>
    <row r="162" spans="1:7" ht="14.25" thickBot="1">
      <c r="A162" s="194"/>
      <c r="B162" s="238" t="s">
        <v>1077</v>
      </c>
      <c r="C162" s="196" t="s">
        <v>1078</v>
      </c>
      <c r="D162" s="197" t="str">
        <f>B162</f>
        <v>FFT</v>
      </c>
      <c r="E162" s="197" t="str">
        <f>B162</f>
        <v>FFT</v>
      </c>
      <c r="F162" s="197" t="s">
        <v>991</v>
      </c>
      <c r="G162" s="198" t="s">
        <v>1076</v>
      </c>
    </row>
  </sheetData>
  <autoFilter ref="A1:F135"/>
  <mergeCells count="9">
    <mergeCell ref="AN2:AP2"/>
    <mergeCell ref="AR2:AT2"/>
    <mergeCell ref="AV2:AX2"/>
    <mergeCell ref="A2:G2"/>
    <mergeCell ref="I2:N2"/>
    <mergeCell ref="R2:T2"/>
    <mergeCell ref="V2:Y2"/>
    <mergeCell ref="AC2:AF2"/>
    <mergeCell ref="AH2:AL2"/>
  </mergeCells>
  <phoneticPr fontId="3" type="noConversion"/>
  <conditionalFormatting sqref="S4:V13 H4:L49">
    <cfRule type="expression" dxfId="93" priority="94" stopIfTrue="1">
      <formula>H3=H4</formula>
    </cfRule>
  </conditionalFormatting>
  <conditionalFormatting sqref="V4:Y13 I4:M49 M50">
    <cfRule type="expression" dxfId="92" priority="93" stopIfTrue="1">
      <formula>I3=I4</formula>
    </cfRule>
  </conditionalFormatting>
  <conditionalFormatting sqref="K4:M49 M50">
    <cfRule type="expression" dxfId="91" priority="92" stopIfTrue="1">
      <formula>K3=K4</formula>
    </cfRule>
  </conditionalFormatting>
  <conditionalFormatting sqref="V4:Y13 I4:M49 M50">
    <cfRule type="expression" dxfId="90" priority="91" stopIfTrue="1">
      <formula>I3=I4</formula>
    </cfRule>
  </conditionalFormatting>
  <conditionalFormatting sqref="K4:M49 M50">
    <cfRule type="expression" dxfId="89" priority="90" stopIfTrue="1">
      <formula>K3=K4</formula>
    </cfRule>
  </conditionalFormatting>
  <conditionalFormatting sqref="V4:Y13 I4:M49 M50">
    <cfRule type="expression" dxfId="88" priority="89" stopIfTrue="1">
      <formula>I3=I4</formula>
    </cfRule>
  </conditionalFormatting>
  <conditionalFormatting sqref="K4:M49 M50">
    <cfRule type="expression" dxfId="87" priority="88" stopIfTrue="1">
      <formula>K3=K4</formula>
    </cfRule>
  </conditionalFormatting>
  <conditionalFormatting sqref="V4:Y13 I4:M49 M50">
    <cfRule type="expression" dxfId="86" priority="87" stopIfTrue="1">
      <formula>I3=I4</formula>
    </cfRule>
  </conditionalFormatting>
  <conditionalFormatting sqref="K4:M49 M50">
    <cfRule type="expression" dxfId="85" priority="86" stopIfTrue="1">
      <formula>K3=K4</formula>
    </cfRule>
  </conditionalFormatting>
  <conditionalFormatting sqref="V4:Y13 I4:M49 M50">
    <cfRule type="expression" dxfId="84" priority="85" stopIfTrue="1">
      <formula>I3=I4</formula>
    </cfRule>
  </conditionalFormatting>
  <conditionalFormatting sqref="K4:M49 M50">
    <cfRule type="expression" dxfId="83" priority="84" stopIfTrue="1">
      <formula>K3=K4</formula>
    </cfRule>
  </conditionalFormatting>
  <conditionalFormatting sqref="V4:Y13 I4:M49 M50">
    <cfRule type="expression" dxfId="82" priority="83" stopIfTrue="1">
      <formula>I3=I4</formula>
    </cfRule>
  </conditionalFormatting>
  <conditionalFormatting sqref="K4:M49 M50">
    <cfRule type="expression" dxfId="81" priority="82" stopIfTrue="1">
      <formula>K3=K4</formula>
    </cfRule>
  </conditionalFormatting>
  <conditionalFormatting sqref="V4:Y13 I4:M49 M50">
    <cfRule type="expression" dxfId="80" priority="81" stopIfTrue="1">
      <formula>I3=I4</formula>
    </cfRule>
  </conditionalFormatting>
  <conditionalFormatting sqref="K4:M49 M50">
    <cfRule type="expression" dxfId="79" priority="80" stopIfTrue="1">
      <formula>K3=K4</formula>
    </cfRule>
  </conditionalFormatting>
  <conditionalFormatting sqref="V4:Y13 I4:M49">
    <cfRule type="expression" dxfId="78" priority="79" stopIfTrue="1">
      <formula>I3=I4</formula>
    </cfRule>
  </conditionalFormatting>
  <conditionalFormatting sqref="I4:M49 M50">
    <cfRule type="expression" dxfId="77" priority="78" stopIfTrue="1">
      <formula>I3=I4</formula>
    </cfRule>
  </conditionalFormatting>
  <conditionalFormatting sqref="K4:M49 M50">
    <cfRule type="expression" dxfId="76" priority="77" stopIfTrue="1">
      <formula>K3=K4</formula>
    </cfRule>
  </conditionalFormatting>
  <conditionalFormatting sqref="I4:M49 M50">
    <cfRule type="expression" dxfId="75" priority="76" stopIfTrue="1">
      <formula>I3=I4</formula>
    </cfRule>
  </conditionalFormatting>
  <conditionalFormatting sqref="K4:M49 M50">
    <cfRule type="expression" dxfId="74" priority="75" stopIfTrue="1">
      <formula>K3=K4</formula>
    </cfRule>
  </conditionalFormatting>
  <conditionalFormatting sqref="I4:M49 M50">
    <cfRule type="expression" dxfId="73" priority="74" stopIfTrue="1">
      <formula>I3=I4</formula>
    </cfRule>
  </conditionalFormatting>
  <conditionalFormatting sqref="K4:M49 M50">
    <cfRule type="expression" dxfId="72" priority="73" stopIfTrue="1">
      <formula>K3=K4</formula>
    </cfRule>
  </conditionalFormatting>
  <conditionalFormatting sqref="V4:Y13 I4:M49 M50">
    <cfRule type="expression" dxfId="71" priority="72" stopIfTrue="1">
      <formula>I3=I4</formula>
    </cfRule>
  </conditionalFormatting>
  <conditionalFormatting sqref="K4:M49 M50">
    <cfRule type="expression" dxfId="70" priority="71" stopIfTrue="1">
      <formula>K3=K4</formula>
    </cfRule>
  </conditionalFormatting>
  <conditionalFormatting sqref="V4:Y13 I4:M49 M50">
    <cfRule type="expression" dxfId="69" priority="70" stopIfTrue="1">
      <formula>I3=I4</formula>
    </cfRule>
  </conditionalFormatting>
  <conditionalFormatting sqref="K4:M49 M50">
    <cfRule type="expression" dxfId="68" priority="69" stopIfTrue="1">
      <formula>K3=K4</formula>
    </cfRule>
  </conditionalFormatting>
  <conditionalFormatting sqref="V4:Y13 I4:M49 M50">
    <cfRule type="expression" dxfId="67" priority="68" stopIfTrue="1">
      <formula>I3=I4</formula>
    </cfRule>
  </conditionalFormatting>
  <conditionalFormatting sqref="K4:M49 M50">
    <cfRule type="expression" dxfId="66" priority="67" stopIfTrue="1">
      <formula>K3=K4</formula>
    </cfRule>
  </conditionalFormatting>
  <conditionalFormatting sqref="V4:Y13 I4:M49 M50">
    <cfRule type="expression" dxfId="65" priority="66" stopIfTrue="1">
      <formula>I3=I4</formula>
    </cfRule>
  </conditionalFormatting>
  <conditionalFormatting sqref="K4:M49 M50">
    <cfRule type="expression" dxfId="64" priority="65" stopIfTrue="1">
      <formula>K3=K4</formula>
    </cfRule>
  </conditionalFormatting>
  <conditionalFormatting sqref="V4:Y13 I4:M49 M50">
    <cfRule type="expression" dxfId="63" priority="64" stopIfTrue="1">
      <formula>I3=I4</formula>
    </cfRule>
  </conditionalFormatting>
  <conditionalFormatting sqref="K4:M49 M50">
    <cfRule type="expression" dxfId="62" priority="63" stopIfTrue="1">
      <formula>K3=K4</formula>
    </cfRule>
  </conditionalFormatting>
  <conditionalFormatting sqref="V4:Y13 I4:M49 M50">
    <cfRule type="expression" dxfId="61" priority="62" stopIfTrue="1">
      <formula>I3=I4</formula>
    </cfRule>
  </conditionalFormatting>
  <conditionalFormatting sqref="K4:M49 M50">
    <cfRule type="expression" dxfId="60" priority="61" stopIfTrue="1">
      <formula>K3=K4</formula>
    </cfRule>
  </conditionalFormatting>
  <conditionalFormatting sqref="V4:Y13 I4:M49">
    <cfRule type="expression" dxfId="59" priority="60" stopIfTrue="1">
      <formula>I3=I4</formula>
    </cfRule>
  </conditionalFormatting>
  <conditionalFormatting sqref="I4:M49 M50">
    <cfRule type="expression" dxfId="58" priority="59" stopIfTrue="1">
      <formula>I3=I4</formula>
    </cfRule>
  </conditionalFormatting>
  <conditionalFormatting sqref="K4:M49 M50">
    <cfRule type="expression" dxfId="57" priority="58" stopIfTrue="1">
      <formula>K3=K4</formula>
    </cfRule>
  </conditionalFormatting>
  <conditionalFormatting sqref="I4:M49 M50">
    <cfRule type="expression" dxfId="56" priority="57" stopIfTrue="1">
      <formula>I3=I4</formula>
    </cfRule>
  </conditionalFormatting>
  <conditionalFormatting sqref="K4:M49 M50">
    <cfRule type="expression" dxfId="55" priority="56" stopIfTrue="1">
      <formula>K3=K4</formula>
    </cfRule>
  </conditionalFormatting>
  <conditionalFormatting sqref="I4:M49 M50">
    <cfRule type="expression" dxfId="54" priority="55" stopIfTrue="1">
      <formula>I3=I4</formula>
    </cfRule>
  </conditionalFormatting>
  <conditionalFormatting sqref="K4:M49 M50">
    <cfRule type="expression" dxfId="53" priority="54" stopIfTrue="1">
      <formula>K3=K4</formula>
    </cfRule>
  </conditionalFormatting>
  <conditionalFormatting sqref="V4:Y13 I4:M49 M50">
    <cfRule type="expression" dxfId="52" priority="53" stopIfTrue="1">
      <formula>I3=I4</formula>
    </cfRule>
  </conditionalFormatting>
  <conditionalFormatting sqref="K4:M49 M50">
    <cfRule type="expression" dxfId="51" priority="52" stopIfTrue="1">
      <formula>K3=K4</formula>
    </cfRule>
  </conditionalFormatting>
  <conditionalFormatting sqref="V4:Y13 I4:M49 M50">
    <cfRule type="expression" dxfId="50" priority="51" stopIfTrue="1">
      <formula>I3=I4</formula>
    </cfRule>
  </conditionalFormatting>
  <conditionalFormatting sqref="K4:M49 M50">
    <cfRule type="expression" dxfId="49" priority="50" stopIfTrue="1">
      <formula>K3=K4</formula>
    </cfRule>
  </conditionalFormatting>
  <conditionalFormatting sqref="V4:Y13 I4:M49 M50">
    <cfRule type="expression" dxfId="48" priority="49" stopIfTrue="1">
      <formula>I3=I4</formula>
    </cfRule>
  </conditionalFormatting>
  <conditionalFormatting sqref="K4:M49 M50">
    <cfRule type="expression" dxfId="47" priority="48" stopIfTrue="1">
      <formula>K3=K4</formula>
    </cfRule>
  </conditionalFormatting>
  <conditionalFormatting sqref="K68:L68">
    <cfRule type="expression" dxfId="46" priority="47" stopIfTrue="1">
      <formula>K67=K68</formula>
    </cfRule>
  </conditionalFormatting>
  <conditionalFormatting sqref="K68:M68">
    <cfRule type="expression" dxfId="45" priority="46" stopIfTrue="1">
      <formula>K67=K68</formula>
    </cfRule>
  </conditionalFormatting>
  <conditionalFormatting sqref="K68:M68">
    <cfRule type="expression" dxfId="44" priority="45" stopIfTrue="1">
      <formula>K67=K68</formula>
    </cfRule>
  </conditionalFormatting>
  <conditionalFormatting sqref="K68:M68">
    <cfRule type="expression" dxfId="43" priority="44" stopIfTrue="1">
      <formula>K67=K68</formula>
    </cfRule>
  </conditionalFormatting>
  <conditionalFormatting sqref="K68:M68">
    <cfRule type="expression" dxfId="42" priority="43" stopIfTrue="1">
      <formula>K67=K68</formula>
    </cfRule>
  </conditionalFormatting>
  <conditionalFormatting sqref="K68:M68">
    <cfRule type="expression" dxfId="41" priority="42" stopIfTrue="1">
      <formula>K67=K68</formula>
    </cfRule>
  </conditionalFormatting>
  <conditionalFormatting sqref="K68:M68">
    <cfRule type="expression" dxfId="40" priority="41" stopIfTrue="1">
      <formula>K67=K68</formula>
    </cfRule>
  </conditionalFormatting>
  <conditionalFormatting sqref="K68:M68">
    <cfRule type="expression" dxfId="39" priority="40" stopIfTrue="1">
      <formula>K67=K68</formula>
    </cfRule>
  </conditionalFormatting>
  <conditionalFormatting sqref="K68:M68">
    <cfRule type="expression" dxfId="38" priority="39" stopIfTrue="1">
      <formula>K67=K68</formula>
    </cfRule>
  </conditionalFormatting>
  <conditionalFormatting sqref="K68:M68">
    <cfRule type="expression" dxfId="37" priority="38" stopIfTrue="1">
      <formula>K67=K68</formula>
    </cfRule>
  </conditionalFormatting>
  <conditionalFormatting sqref="K68:M68">
    <cfRule type="expression" dxfId="36" priority="37" stopIfTrue="1">
      <formula>K67=K68</formula>
    </cfRule>
  </conditionalFormatting>
  <conditionalFormatting sqref="K68:M68">
    <cfRule type="expression" dxfId="35" priority="36" stopIfTrue="1">
      <formula>K67=K68</formula>
    </cfRule>
  </conditionalFormatting>
  <conditionalFormatting sqref="K68:M68">
    <cfRule type="expression" dxfId="34" priority="35" stopIfTrue="1">
      <formula>K67=K68</formula>
    </cfRule>
  </conditionalFormatting>
  <conditionalFormatting sqref="K68:M68">
    <cfRule type="expression" dxfId="33" priority="34" stopIfTrue="1">
      <formula>K67=K68</formula>
    </cfRule>
  </conditionalFormatting>
  <conditionalFormatting sqref="K68:M68">
    <cfRule type="expression" dxfId="32" priority="33" stopIfTrue="1">
      <formula>K67=K68</formula>
    </cfRule>
  </conditionalFormatting>
  <conditionalFormatting sqref="K68:M68">
    <cfRule type="expression" dxfId="31" priority="32" stopIfTrue="1">
      <formula>K67=K68</formula>
    </cfRule>
  </conditionalFormatting>
  <conditionalFormatting sqref="K68:M68">
    <cfRule type="expression" dxfId="30" priority="31" stopIfTrue="1">
      <formula>K67=K68</formula>
    </cfRule>
  </conditionalFormatting>
  <conditionalFormatting sqref="K68:M68">
    <cfRule type="expression" dxfId="29" priority="30" stopIfTrue="1">
      <formula>K67=K68</formula>
    </cfRule>
  </conditionalFormatting>
  <conditionalFormatting sqref="K68:M68">
    <cfRule type="expression" dxfId="28" priority="29" stopIfTrue="1">
      <formula>K67=K68</formula>
    </cfRule>
  </conditionalFormatting>
  <conditionalFormatting sqref="K68:M68">
    <cfRule type="expression" dxfId="27" priority="28" stopIfTrue="1">
      <formula>K67=K68</formula>
    </cfRule>
  </conditionalFormatting>
  <conditionalFormatting sqref="K68:M68">
    <cfRule type="expression" dxfId="26" priority="27" stopIfTrue="1">
      <formula>K67=K68</formula>
    </cfRule>
  </conditionalFormatting>
  <conditionalFormatting sqref="K68:M68">
    <cfRule type="expression" dxfId="25" priority="26" stopIfTrue="1">
      <formula>K67=K68</formula>
    </cfRule>
  </conditionalFormatting>
  <conditionalFormatting sqref="K68:M68">
    <cfRule type="expression" dxfId="24" priority="25" stopIfTrue="1">
      <formula>K67=K68</formula>
    </cfRule>
  </conditionalFormatting>
  <conditionalFormatting sqref="K68:M68">
    <cfRule type="expression" dxfId="23" priority="24" stopIfTrue="1">
      <formula>K67=K68</formula>
    </cfRule>
  </conditionalFormatting>
  <conditionalFormatting sqref="K68:M68">
    <cfRule type="expression" dxfId="22" priority="23" stopIfTrue="1">
      <formula>K67=K68</formula>
    </cfRule>
  </conditionalFormatting>
  <conditionalFormatting sqref="K68:M68">
    <cfRule type="expression" dxfId="21" priority="22" stopIfTrue="1">
      <formula>K67=K68</formula>
    </cfRule>
  </conditionalFormatting>
  <conditionalFormatting sqref="K68:M68">
    <cfRule type="expression" dxfId="20" priority="21" stopIfTrue="1">
      <formula>K67=K68</formula>
    </cfRule>
  </conditionalFormatting>
  <conditionalFormatting sqref="K68:M68">
    <cfRule type="expression" dxfId="19" priority="20" stopIfTrue="1">
      <formula>K67=K68</formula>
    </cfRule>
  </conditionalFormatting>
  <conditionalFormatting sqref="K68:M68">
    <cfRule type="expression" dxfId="18" priority="19" stopIfTrue="1">
      <formula>K67=K68</formula>
    </cfRule>
  </conditionalFormatting>
  <conditionalFormatting sqref="K68:M68">
    <cfRule type="expression" dxfId="17" priority="18" stopIfTrue="1">
      <formula>K67=K68</formula>
    </cfRule>
  </conditionalFormatting>
  <conditionalFormatting sqref="K68:M68">
    <cfRule type="expression" dxfId="16" priority="17" stopIfTrue="1">
      <formula>K67=K68</formula>
    </cfRule>
  </conditionalFormatting>
  <conditionalFormatting sqref="K68:M68">
    <cfRule type="expression" dxfId="15" priority="16" stopIfTrue="1">
      <formula>K67=K68</formula>
    </cfRule>
  </conditionalFormatting>
  <conditionalFormatting sqref="K68:M68">
    <cfRule type="expression" dxfId="14" priority="15" stopIfTrue="1">
      <formula>K67=K68</formula>
    </cfRule>
  </conditionalFormatting>
  <conditionalFormatting sqref="K68:M68">
    <cfRule type="expression" dxfId="13" priority="14" stopIfTrue="1">
      <formula>K67=K68</formula>
    </cfRule>
  </conditionalFormatting>
  <conditionalFormatting sqref="K68:M68">
    <cfRule type="expression" dxfId="12" priority="13" stopIfTrue="1">
      <formula>K67=K68</formula>
    </cfRule>
  </conditionalFormatting>
  <conditionalFormatting sqref="K68:M68">
    <cfRule type="expression" dxfId="11" priority="12" stopIfTrue="1">
      <formula>K67=K68</formula>
    </cfRule>
  </conditionalFormatting>
  <conditionalFormatting sqref="K68:M68">
    <cfRule type="expression" dxfId="10" priority="11" stopIfTrue="1">
      <formula>K67=K68</formula>
    </cfRule>
  </conditionalFormatting>
  <conditionalFormatting sqref="K68:M68">
    <cfRule type="expression" dxfId="9" priority="10" stopIfTrue="1">
      <formula>K67=K68</formula>
    </cfRule>
  </conditionalFormatting>
  <conditionalFormatting sqref="K68:M68">
    <cfRule type="expression" dxfId="8" priority="9" stopIfTrue="1">
      <formula>K67=K68</formula>
    </cfRule>
  </conditionalFormatting>
  <conditionalFormatting sqref="K68:M68">
    <cfRule type="expression" dxfId="7" priority="8" stopIfTrue="1">
      <formula>K67=K68</formula>
    </cfRule>
  </conditionalFormatting>
  <conditionalFormatting sqref="K68:M68">
    <cfRule type="expression" dxfId="6" priority="7" stopIfTrue="1">
      <formula>K67=K68</formula>
    </cfRule>
  </conditionalFormatting>
  <conditionalFormatting sqref="K68:M68">
    <cfRule type="expression" dxfId="5" priority="6" stopIfTrue="1">
      <formula>K67=K68</formula>
    </cfRule>
  </conditionalFormatting>
  <conditionalFormatting sqref="K68:M68">
    <cfRule type="expression" dxfId="4" priority="5" stopIfTrue="1">
      <formula>K67=K68</formula>
    </cfRule>
  </conditionalFormatting>
  <conditionalFormatting sqref="K68:M68">
    <cfRule type="expression" dxfId="3" priority="4" stopIfTrue="1">
      <formula>K67=K68</formula>
    </cfRule>
  </conditionalFormatting>
  <conditionalFormatting sqref="K68:M68">
    <cfRule type="expression" dxfId="2" priority="3" stopIfTrue="1">
      <formula>K67=K68</formula>
    </cfRule>
  </conditionalFormatting>
  <conditionalFormatting sqref="K68:M68">
    <cfRule type="expression" dxfId="1" priority="2" stopIfTrue="1">
      <formula>K67=K68</formula>
    </cfRule>
  </conditionalFormatting>
  <conditionalFormatting sqref="K68:M68">
    <cfRule type="expression" dxfId="0" priority="1" stopIfTrue="1">
      <formula>K67=K68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1"/>
  </sheetPr>
  <dimension ref="A1:C85"/>
  <sheetViews>
    <sheetView zoomScale="80" zoomScaleNormal="80" workbookViewId="0">
      <pane xSplit="1" ySplit="3" topLeftCell="B22" activePane="bottomRight" state="frozen"/>
      <selection activeCell="I13" sqref="I13"/>
      <selection pane="topRight" activeCell="I13" sqref="I13"/>
      <selection pane="bottomLeft" activeCell="I13" sqref="I13"/>
      <selection pane="bottomRight" activeCell="G77" sqref="G77"/>
    </sheetView>
  </sheetViews>
  <sheetFormatPr defaultRowHeight="13.5"/>
  <cols>
    <col min="1" max="1" width="18.875" style="329" customWidth="1"/>
    <col min="2" max="2" width="9" style="330" customWidth="1"/>
    <col min="3" max="3" width="9" style="331"/>
    <col min="4" max="16384" width="9" style="8"/>
  </cols>
  <sheetData>
    <row r="1" spans="1:3">
      <c r="A1" s="277">
        <v>1</v>
      </c>
      <c r="B1" s="277">
        <v>2</v>
      </c>
      <c r="C1" s="277">
        <v>3</v>
      </c>
    </row>
    <row r="2" spans="1:3" ht="27.75" thickBot="1">
      <c r="A2" s="278" t="s">
        <v>1133</v>
      </c>
      <c r="B2" s="279" t="s">
        <v>1134</v>
      </c>
      <c r="C2" s="280" t="s">
        <v>1135</v>
      </c>
    </row>
    <row r="3" spans="1:3" ht="14.25" thickTop="1">
      <c r="A3" s="281" t="s">
        <v>1136</v>
      </c>
      <c r="B3" s="282">
        <v>2</v>
      </c>
      <c r="C3" s="283"/>
    </row>
    <row r="4" spans="1:3">
      <c r="A4" s="284" t="s">
        <v>1137</v>
      </c>
      <c r="B4" s="285">
        <v>2</v>
      </c>
      <c r="C4" s="286"/>
    </row>
    <row r="5" spans="1:3">
      <c r="A5" s="287" t="s">
        <v>1138</v>
      </c>
      <c r="B5" s="288">
        <v>2</v>
      </c>
      <c r="C5" s="289" t="s">
        <v>1139</v>
      </c>
    </row>
    <row r="6" spans="1:3">
      <c r="A6" s="284" t="s">
        <v>1140</v>
      </c>
      <c r="B6" s="285">
        <v>2</v>
      </c>
      <c r="C6" s="286"/>
    </row>
    <row r="7" spans="1:3">
      <c r="A7" s="287" t="s">
        <v>1141</v>
      </c>
      <c r="B7" s="288">
        <v>2</v>
      </c>
      <c r="C7" s="289" t="s">
        <v>1139</v>
      </c>
    </row>
    <row r="8" spans="1:3">
      <c r="A8" s="287" t="s">
        <v>1142</v>
      </c>
      <c r="B8" s="288">
        <v>2</v>
      </c>
      <c r="C8" s="289" t="s">
        <v>1139</v>
      </c>
    </row>
    <row r="9" spans="1:3">
      <c r="A9" s="287" t="s">
        <v>1143</v>
      </c>
      <c r="B9" s="288">
        <v>2</v>
      </c>
      <c r="C9" s="289" t="s">
        <v>1144</v>
      </c>
    </row>
    <row r="10" spans="1:3">
      <c r="A10" s="284" t="s">
        <v>1145</v>
      </c>
      <c r="B10" s="285">
        <v>2</v>
      </c>
      <c r="C10" s="286" t="s">
        <v>1139</v>
      </c>
    </row>
    <row r="11" spans="1:3">
      <c r="A11" s="284" t="s">
        <v>1146</v>
      </c>
      <c r="B11" s="285">
        <v>2</v>
      </c>
      <c r="C11" s="286"/>
    </row>
    <row r="12" spans="1:3">
      <c r="A12" s="284" t="s">
        <v>1147</v>
      </c>
      <c r="B12" s="285">
        <v>2</v>
      </c>
      <c r="C12" s="286"/>
    </row>
    <row r="13" spans="1:3">
      <c r="A13" s="284" t="s">
        <v>1148</v>
      </c>
      <c r="B13" s="285">
        <v>2</v>
      </c>
      <c r="C13" s="286" t="s">
        <v>1139</v>
      </c>
    </row>
    <row r="14" spans="1:3" ht="14.25" thickBot="1">
      <c r="A14" s="290" t="s">
        <v>1149</v>
      </c>
      <c r="B14" s="291">
        <v>2</v>
      </c>
      <c r="C14" s="292" t="s">
        <v>1139</v>
      </c>
    </row>
    <row r="15" spans="1:3" ht="14.25" thickTop="1">
      <c r="A15" s="293" t="s">
        <v>1150</v>
      </c>
      <c r="B15" s="294">
        <v>2</v>
      </c>
      <c r="C15" s="295" t="s">
        <v>1139</v>
      </c>
    </row>
    <row r="16" spans="1:3">
      <c r="A16" s="287" t="s">
        <v>1151</v>
      </c>
      <c r="B16" s="288">
        <v>2</v>
      </c>
      <c r="C16" s="289" t="s">
        <v>1139</v>
      </c>
    </row>
    <row r="17" spans="1:3">
      <c r="A17" s="287" t="s">
        <v>49</v>
      </c>
      <c r="B17" s="288">
        <v>2</v>
      </c>
      <c r="C17" s="289" t="s">
        <v>1139</v>
      </c>
    </row>
    <row r="18" spans="1:3">
      <c r="A18" s="284" t="s">
        <v>1152</v>
      </c>
      <c r="B18" s="285">
        <v>2</v>
      </c>
      <c r="C18" s="286" t="s">
        <v>1139</v>
      </c>
    </row>
    <row r="19" spans="1:3">
      <c r="A19" s="287" t="s">
        <v>1153</v>
      </c>
      <c r="B19" s="288">
        <v>2</v>
      </c>
      <c r="C19" s="289" t="s">
        <v>1139</v>
      </c>
    </row>
    <row r="20" spans="1:3">
      <c r="A20" s="284" t="s">
        <v>1154</v>
      </c>
      <c r="B20" s="285">
        <v>2</v>
      </c>
      <c r="C20" s="286"/>
    </row>
    <row r="21" spans="1:3">
      <c r="A21" s="296" t="s">
        <v>1155</v>
      </c>
      <c r="B21" s="297">
        <v>2</v>
      </c>
      <c r="C21" s="298" t="s">
        <v>1139</v>
      </c>
    </row>
    <row r="22" spans="1:3">
      <c r="A22" s="296" t="s">
        <v>1156</v>
      </c>
      <c r="B22" s="297">
        <v>2</v>
      </c>
      <c r="C22" s="298" t="s">
        <v>1139</v>
      </c>
    </row>
    <row r="23" spans="1:3">
      <c r="A23" s="299" t="s">
        <v>1157</v>
      </c>
      <c r="B23" s="300">
        <v>2</v>
      </c>
      <c r="C23" s="301" t="s">
        <v>1139</v>
      </c>
    </row>
    <row r="24" spans="1:3">
      <c r="A24" s="299" t="s">
        <v>1158</v>
      </c>
      <c r="B24" s="300">
        <v>2</v>
      </c>
      <c r="C24" s="301" t="s">
        <v>1139</v>
      </c>
    </row>
    <row r="25" spans="1:3">
      <c r="A25" s="302" t="s">
        <v>1159</v>
      </c>
      <c r="B25" s="300">
        <v>2</v>
      </c>
      <c r="C25" s="301" t="s">
        <v>1139</v>
      </c>
    </row>
    <row r="26" spans="1:3">
      <c r="A26" s="303" t="s">
        <v>1160</v>
      </c>
      <c r="B26" s="285">
        <v>2</v>
      </c>
      <c r="C26" s="286"/>
    </row>
    <row r="27" spans="1:3" ht="14.25" thickBot="1">
      <c r="A27" s="304" t="s">
        <v>1161</v>
      </c>
      <c r="B27" s="305">
        <v>2</v>
      </c>
      <c r="C27" s="306" t="s">
        <v>1139</v>
      </c>
    </row>
    <row r="28" spans="1:3" ht="14.25" thickTop="1">
      <c r="A28" s="293" t="s">
        <v>1162</v>
      </c>
      <c r="B28" s="294">
        <v>1</v>
      </c>
      <c r="C28" s="295" t="s">
        <v>1163</v>
      </c>
    </row>
    <row r="29" spans="1:3">
      <c r="A29" s="284" t="s">
        <v>633</v>
      </c>
      <c r="B29" s="285">
        <v>1</v>
      </c>
      <c r="C29" s="286"/>
    </row>
    <row r="30" spans="1:3">
      <c r="A30" s="287" t="s">
        <v>1164</v>
      </c>
      <c r="B30" s="288">
        <v>1</v>
      </c>
      <c r="C30" s="289" t="s">
        <v>1165</v>
      </c>
    </row>
    <row r="31" spans="1:3">
      <c r="A31" s="307" t="s">
        <v>675</v>
      </c>
      <c r="B31" s="288">
        <v>1</v>
      </c>
      <c r="C31" s="289" t="s">
        <v>1165</v>
      </c>
    </row>
    <row r="32" spans="1:3">
      <c r="A32" s="296" t="s">
        <v>1166</v>
      </c>
      <c r="B32" s="297">
        <v>1</v>
      </c>
      <c r="C32" s="298" t="s">
        <v>1165</v>
      </c>
    </row>
    <row r="33" spans="1:3">
      <c r="A33" s="296" t="s">
        <v>1167</v>
      </c>
      <c r="B33" s="297">
        <v>1</v>
      </c>
      <c r="C33" s="298" t="s">
        <v>1168</v>
      </c>
    </row>
    <row r="34" spans="1:3">
      <c r="A34" s="284" t="s">
        <v>1169</v>
      </c>
      <c r="B34" s="285">
        <v>1</v>
      </c>
      <c r="C34" s="286"/>
    </row>
    <row r="35" spans="1:3">
      <c r="A35" s="302" t="s">
        <v>1170</v>
      </c>
      <c r="B35" s="300">
        <v>1</v>
      </c>
      <c r="C35" s="301" t="s">
        <v>1165</v>
      </c>
    </row>
    <row r="36" spans="1:3">
      <c r="A36" s="308" t="s">
        <v>1171</v>
      </c>
      <c r="B36" s="309">
        <v>1</v>
      </c>
      <c r="C36" s="310" t="s">
        <v>1172</v>
      </c>
    </row>
    <row r="37" spans="1:3">
      <c r="A37" s="308" t="s">
        <v>1173</v>
      </c>
      <c r="B37" s="309">
        <v>1</v>
      </c>
      <c r="C37" s="310" t="s">
        <v>1174</v>
      </c>
    </row>
    <row r="38" spans="1:3">
      <c r="A38" s="311" t="s">
        <v>1175</v>
      </c>
      <c r="B38" s="312">
        <v>1</v>
      </c>
      <c r="C38" s="310" t="s">
        <v>1172</v>
      </c>
    </row>
    <row r="39" spans="1:3">
      <c r="A39" s="311" t="s">
        <v>1176</v>
      </c>
      <c r="B39" s="312">
        <v>1</v>
      </c>
      <c r="C39" s="313" t="s">
        <v>1172</v>
      </c>
    </row>
    <row r="40" spans="1:3">
      <c r="A40" s="311" t="s">
        <v>1177</v>
      </c>
      <c r="B40" s="312">
        <v>1</v>
      </c>
      <c r="C40" s="310" t="s">
        <v>708</v>
      </c>
    </row>
    <row r="41" spans="1:3">
      <c r="A41" s="302" t="s">
        <v>1178</v>
      </c>
      <c r="B41" s="300">
        <v>1</v>
      </c>
      <c r="C41" s="314" t="s">
        <v>708</v>
      </c>
    </row>
    <row r="42" spans="1:3" ht="14.25" thickBot="1">
      <c r="A42" s="304" t="s">
        <v>1179</v>
      </c>
      <c r="B42" s="305">
        <v>1</v>
      </c>
      <c r="C42" s="306" t="s">
        <v>1168</v>
      </c>
    </row>
    <row r="43" spans="1:3" ht="14.25" thickTop="1">
      <c r="A43" s="293" t="s">
        <v>1180</v>
      </c>
      <c r="B43" s="294">
        <v>1</v>
      </c>
      <c r="C43" s="295" t="s">
        <v>1165</v>
      </c>
    </row>
    <row r="44" spans="1:3">
      <c r="A44" s="287" t="s">
        <v>1181</v>
      </c>
      <c r="B44" s="288">
        <v>1</v>
      </c>
      <c r="C44" s="289" t="s">
        <v>1139</v>
      </c>
    </row>
    <row r="45" spans="1:3">
      <c r="A45" s="287" t="s">
        <v>1182</v>
      </c>
      <c r="B45" s="288">
        <v>1</v>
      </c>
      <c r="C45" s="289" t="s">
        <v>1139</v>
      </c>
    </row>
    <row r="46" spans="1:3">
      <c r="A46" s="315" t="s">
        <v>1183</v>
      </c>
      <c r="B46" s="316">
        <v>1</v>
      </c>
      <c r="C46" s="317" t="s">
        <v>1139</v>
      </c>
    </row>
    <row r="47" spans="1:3">
      <c r="A47" s="284" t="s">
        <v>1184</v>
      </c>
      <c r="B47" s="285">
        <v>2</v>
      </c>
      <c r="C47" s="286" t="s">
        <v>1139</v>
      </c>
    </row>
    <row r="48" spans="1:3">
      <c r="A48" s="284" t="s">
        <v>1185</v>
      </c>
      <c r="B48" s="285">
        <v>2</v>
      </c>
      <c r="C48" s="286"/>
    </row>
    <row r="49" spans="1:3">
      <c r="A49" s="284" t="s">
        <v>1186</v>
      </c>
      <c r="B49" s="285">
        <v>2</v>
      </c>
      <c r="C49" s="286"/>
    </row>
    <row r="50" spans="1:3">
      <c r="A50" s="287" t="s">
        <v>1187</v>
      </c>
      <c r="B50" s="288">
        <v>1</v>
      </c>
      <c r="C50" s="289" t="s">
        <v>1165</v>
      </c>
    </row>
    <row r="51" spans="1:3">
      <c r="A51" s="287" t="s">
        <v>1188</v>
      </c>
      <c r="B51" s="288">
        <v>1</v>
      </c>
      <c r="C51" s="289" t="s">
        <v>1165</v>
      </c>
    </row>
    <row r="52" spans="1:3">
      <c r="A52" s="287" t="s">
        <v>1189</v>
      </c>
      <c r="B52" s="288">
        <v>1</v>
      </c>
      <c r="C52" s="289" t="s">
        <v>1165</v>
      </c>
    </row>
    <row r="53" spans="1:3" ht="14.25" thickBot="1">
      <c r="A53" s="318" t="s">
        <v>1190</v>
      </c>
      <c r="B53" s="319">
        <v>1</v>
      </c>
      <c r="C53" s="320"/>
    </row>
    <row r="54" spans="1:3" ht="14.25" thickTop="1">
      <c r="A54" s="293" t="s">
        <v>44</v>
      </c>
      <c r="B54" s="294">
        <v>1</v>
      </c>
      <c r="C54" s="295" t="s">
        <v>1165</v>
      </c>
    </row>
    <row r="55" spans="1:3">
      <c r="A55" s="284" t="s">
        <v>1191</v>
      </c>
      <c r="B55" s="285">
        <v>1</v>
      </c>
      <c r="C55" s="286"/>
    </row>
    <row r="56" spans="1:3">
      <c r="A56" s="287" t="s">
        <v>1120</v>
      </c>
      <c r="B56" s="288">
        <v>1</v>
      </c>
      <c r="C56" s="289" t="s">
        <v>1165</v>
      </c>
    </row>
    <row r="57" spans="1:3">
      <c r="A57" s="287" t="s">
        <v>1192</v>
      </c>
      <c r="B57" s="288">
        <v>1</v>
      </c>
      <c r="C57" s="289" t="s">
        <v>1165</v>
      </c>
    </row>
    <row r="58" spans="1:3">
      <c r="A58" s="303" t="s">
        <v>1193</v>
      </c>
      <c r="B58" s="285">
        <v>1</v>
      </c>
      <c r="C58" s="286"/>
    </row>
    <row r="59" spans="1:3">
      <c r="A59" s="287" t="s">
        <v>1194</v>
      </c>
      <c r="B59" s="288">
        <v>1</v>
      </c>
      <c r="C59" s="289" t="s">
        <v>1165</v>
      </c>
    </row>
    <row r="60" spans="1:3">
      <c r="A60" s="287" t="s">
        <v>1368</v>
      </c>
      <c r="B60" s="288">
        <v>1</v>
      </c>
      <c r="C60" s="289" t="s">
        <v>1165</v>
      </c>
    </row>
    <row r="61" spans="1:3">
      <c r="A61" s="287" t="s">
        <v>1195</v>
      </c>
      <c r="B61" s="288">
        <v>1</v>
      </c>
      <c r="C61" s="289" t="s">
        <v>1165</v>
      </c>
    </row>
    <row r="62" spans="1:3">
      <c r="A62" s="287" t="s">
        <v>792</v>
      </c>
      <c r="B62" s="288">
        <v>1</v>
      </c>
      <c r="C62" s="321" t="s">
        <v>1165</v>
      </c>
    </row>
    <row r="63" spans="1:3">
      <c r="A63" s="287" t="s">
        <v>1196</v>
      </c>
      <c r="B63" s="288">
        <v>2</v>
      </c>
      <c r="C63" s="289" t="s">
        <v>1165</v>
      </c>
    </row>
    <row r="64" spans="1:3">
      <c r="A64" s="284" t="s">
        <v>1197</v>
      </c>
      <c r="B64" s="285">
        <v>1</v>
      </c>
      <c r="C64" s="286"/>
    </row>
    <row r="65" spans="1:3">
      <c r="A65" s="287" t="s">
        <v>1198</v>
      </c>
      <c r="B65" s="288">
        <v>1</v>
      </c>
      <c r="C65" s="289" t="s">
        <v>1165</v>
      </c>
    </row>
    <row r="66" spans="1:3">
      <c r="A66" s="287" t="s">
        <v>1199</v>
      </c>
      <c r="B66" s="288">
        <v>1</v>
      </c>
      <c r="C66" s="289" t="s">
        <v>1165</v>
      </c>
    </row>
    <row r="67" spans="1:3">
      <c r="A67" s="322" t="s">
        <v>1200</v>
      </c>
      <c r="B67" s="323">
        <v>1</v>
      </c>
      <c r="C67" s="324" t="s">
        <v>1165</v>
      </c>
    </row>
    <row r="68" spans="1:3">
      <c r="A68" s="296" t="s">
        <v>1201</v>
      </c>
      <c r="B68" s="297">
        <v>1</v>
      </c>
      <c r="C68" s="298" t="s">
        <v>1165</v>
      </c>
    </row>
    <row r="69" spans="1:3">
      <c r="A69" s="296" t="s">
        <v>1202</v>
      </c>
      <c r="B69" s="297">
        <v>1</v>
      </c>
      <c r="C69" s="298" t="s">
        <v>1165</v>
      </c>
    </row>
    <row r="70" spans="1:3">
      <c r="A70" s="302" t="s">
        <v>1203</v>
      </c>
      <c r="B70" s="300">
        <v>1</v>
      </c>
      <c r="C70" s="301" t="s">
        <v>1165</v>
      </c>
    </row>
    <row r="71" spans="1:3">
      <c r="A71" s="302" t="s">
        <v>1204</v>
      </c>
      <c r="B71" s="300">
        <v>1</v>
      </c>
      <c r="C71" s="301" t="s">
        <v>1165</v>
      </c>
    </row>
    <row r="72" spans="1:3">
      <c r="A72" s="325" t="s">
        <v>1205</v>
      </c>
      <c r="B72" s="312">
        <v>1</v>
      </c>
      <c r="C72" s="313" t="s">
        <v>1165</v>
      </c>
    </row>
    <row r="73" spans="1:3" ht="14.25" thickBot="1">
      <c r="A73" s="304" t="s">
        <v>1206</v>
      </c>
      <c r="B73" s="305">
        <v>1</v>
      </c>
      <c r="C73" s="306" t="s">
        <v>1165</v>
      </c>
    </row>
    <row r="74" spans="1:3" ht="15" thickTop="1" thickBot="1">
      <c r="A74" s="326" t="s">
        <v>1207</v>
      </c>
      <c r="B74" s="327"/>
      <c r="C74" s="328" t="s">
        <v>1139</v>
      </c>
    </row>
    <row r="75" spans="1:3" ht="14.25" thickTop="1"/>
    <row r="76" spans="1:3">
      <c r="A76" s="329" t="s">
        <v>1208</v>
      </c>
      <c r="B76" s="330">
        <v>1</v>
      </c>
      <c r="C76" s="331" t="s">
        <v>1209</v>
      </c>
    </row>
    <row r="77" spans="1:3">
      <c r="A77" s="329" t="s">
        <v>894</v>
      </c>
      <c r="B77" s="330">
        <v>1</v>
      </c>
      <c r="C77" s="331" t="s">
        <v>1209</v>
      </c>
    </row>
    <row r="78" spans="1:3">
      <c r="A78" s="329" t="s">
        <v>895</v>
      </c>
      <c r="B78" s="330">
        <v>1</v>
      </c>
      <c r="C78" s="331" t="s">
        <v>1209</v>
      </c>
    </row>
    <row r="79" spans="1:3">
      <c r="A79" s="329" t="s">
        <v>896</v>
      </c>
      <c r="B79" s="330">
        <v>1</v>
      </c>
      <c r="C79" s="331" t="s">
        <v>1209</v>
      </c>
    </row>
    <row r="80" spans="1:3">
      <c r="A80" s="329" t="s">
        <v>897</v>
      </c>
      <c r="B80" s="330">
        <v>1</v>
      </c>
      <c r="C80" s="331" t="s">
        <v>1209</v>
      </c>
    </row>
    <row r="81" spans="1:3">
      <c r="A81" s="329" t="s">
        <v>1210</v>
      </c>
      <c r="B81" s="330">
        <v>1</v>
      </c>
      <c r="C81" s="331" t="s">
        <v>1209</v>
      </c>
    </row>
    <row r="82" spans="1:3">
      <c r="A82" s="329" t="s">
        <v>1211</v>
      </c>
      <c r="B82" s="330">
        <v>1</v>
      </c>
      <c r="C82" s="331" t="s">
        <v>1209</v>
      </c>
    </row>
    <row r="83" spans="1:3">
      <c r="A83" s="329" t="s">
        <v>1115</v>
      </c>
      <c r="B83" s="330">
        <v>1</v>
      </c>
      <c r="C83" s="331" t="s">
        <v>1209</v>
      </c>
    </row>
    <row r="84" spans="1:3">
      <c r="A84" s="329" t="s">
        <v>1905</v>
      </c>
      <c r="B84" s="330">
        <v>1</v>
      </c>
      <c r="C84" s="331" t="s">
        <v>1906</v>
      </c>
    </row>
    <row r="85" spans="1:3">
      <c r="A85" s="329" t="s">
        <v>2159</v>
      </c>
      <c r="B85" s="330">
        <v>1</v>
      </c>
      <c r="C85" s="331" t="s">
        <v>1209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1"/>
  </sheetPr>
  <dimension ref="A1:F359"/>
  <sheetViews>
    <sheetView topLeftCell="A344" zoomScale="80" zoomScaleNormal="80" workbookViewId="0">
      <selection activeCell="E359" sqref="E359"/>
    </sheetView>
  </sheetViews>
  <sheetFormatPr defaultRowHeight="13.5"/>
  <cols>
    <col min="1" max="1" width="9.875" style="271" bestFit="1" customWidth="1"/>
    <col min="2" max="2" width="5.25" style="81" bestFit="1" customWidth="1"/>
    <col min="3" max="4" width="3.75" style="81" bestFit="1" customWidth="1"/>
    <col min="5" max="5" width="6.25" style="81" bestFit="1" customWidth="1"/>
    <col min="6" max="6" width="9" style="81"/>
    <col min="7" max="16384" width="9" style="8"/>
  </cols>
  <sheetData>
    <row r="1" spans="1:6" s="81" customFormat="1">
      <c r="A1" s="271" t="s">
        <v>1124</v>
      </c>
      <c r="B1" s="81" t="s">
        <v>1123</v>
      </c>
      <c r="C1" s="81" t="s">
        <v>1130</v>
      </c>
      <c r="D1" s="81" t="s">
        <v>1131</v>
      </c>
      <c r="E1" s="81" t="s">
        <v>1130</v>
      </c>
      <c r="F1" s="81" t="s">
        <v>1132</v>
      </c>
    </row>
    <row r="2" spans="1:6">
      <c r="A2" s="271">
        <v>41448</v>
      </c>
      <c r="B2" s="81" t="str">
        <f t="shared" ref="B2:B8" si="0">TEXT(A2,"AAA")</f>
        <v>일</v>
      </c>
      <c r="C2" s="81">
        <f t="shared" ref="C2:C8" si="1">WEEKNUM(A2)</f>
        <v>26</v>
      </c>
      <c r="D2" s="276">
        <v>6</v>
      </c>
      <c r="E2" s="276">
        <v>4</v>
      </c>
      <c r="F2" s="81" t="str">
        <f t="shared" ref="F2:F8" si="2">D2&amp;"월 "&amp;E2&amp;"주"</f>
        <v>6월 4주</v>
      </c>
    </row>
    <row r="3" spans="1:6">
      <c r="A3" s="271">
        <f t="shared" ref="A3:A65" si="3">A2+1</f>
        <v>41449</v>
      </c>
      <c r="B3" s="81" t="str">
        <f t="shared" si="0"/>
        <v>월</v>
      </c>
      <c r="C3" s="81">
        <f t="shared" si="1"/>
        <v>26</v>
      </c>
      <c r="D3" s="81">
        <f t="shared" ref="D3:D8" si="4">D2</f>
        <v>6</v>
      </c>
      <c r="E3" s="81">
        <f t="shared" ref="E3:E8" si="5">E2</f>
        <v>4</v>
      </c>
      <c r="F3" s="81" t="str">
        <f t="shared" si="2"/>
        <v>6월 4주</v>
      </c>
    </row>
    <row r="4" spans="1:6">
      <c r="A4" s="271">
        <f t="shared" si="3"/>
        <v>41450</v>
      </c>
      <c r="B4" s="81" t="str">
        <f t="shared" si="0"/>
        <v>화</v>
      </c>
      <c r="C4" s="81">
        <f t="shared" si="1"/>
        <v>26</v>
      </c>
      <c r="D4" s="81">
        <f t="shared" si="4"/>
        <v>6</v>
      </c>
      <c r="E4" s="81">
        <f t="shared" si="5"/>
        <v>4</v>
      </c>
      <c r="F4" s="81" t="str">
        <f t="shared" si="2"/>
        <v>6월 4주</v>
      </c>
    </row>
    <row r="5" spans="1:6">
      <c r="A5" s="271">
        <f t="shared" si="3"/>
        <v>41451</v>
      </c>
      <c r="B5" s="81" t="str">
        <f t="shared" si="0"/>
        <v>수</v>
      </c>
      <c r="C5" s="81">
        <f t="shared" si="1"/>
        <v>26</v>
      </c>
      <c r="D5" s="81">
        <f t="shared" si="4"/>
        <v>6</v>
      </c>
      <c r="E5" s="81">
        <f t="shared" si="5"/>
        <v>4</v>
      </c>
      <c r="F5" s="81" t="str">
        <f t="shared" si="2"/>
        <v>6월 4주</v>
      </c>
    </row>
    <row r="6" spans="1:6">
      <c r="A6" s="271">
        <f t="shared" si="3"/>
        <v>41452</v>
      </c>
      <c r="B6" s="81" t="str">
        <f t="shared" si="0"/>
        <v>목</v>
      </c>
      <c r="C6" s="81">
        <f t="shared" si="1"/>
        <v>26</v>
      </c>
      <c r="D6" s="81">
        <f t="shared" si="4"/>
        <v>6</v>
      </c>
      <c r="E6" s="81">
        <f t="shared" si="5"/>
        <v>4</v>
      </c>
      <c r="F6" s="81" t="str">
        <f t="shared" si="2"/>
        <v>6월 4주</v>
      </c>
    </row>
    <row r="7" spans="1:6">
      <c r="A7" s="271">
        <f t="shared" si="3"/>
        <v>41453</v>
      </c>
      <c r="B7" s="81" t="str">
        <f t="shared" si="0"/>
        <v>금</v>
      </c>
      <c r="C7" s="81">
        <f t="shared" si="1"/>
        <v>26</v>
      </c>
      <c r="D7" s="81">
        <f t="shared" si="4"/>
        <v>6</v>
      </c>
      <c r="E7" s="81">
        <f t="shared" si="5"/>
        <v>4</v>
      </c>
      <c r="F7" s="81" t="str">
        <f t="shared" si="2"/>
        <v>6월 4주</v>
      </c>
    </row>
    <row r="8" spans="1:6">
      <c r="A8" s="271">
        <f t="shared" si="3"/>
        <v>41454</v>
      </c>
      <c r="B8" s="81" t="str">
        <f t="shared" si="0"/>
        <v>토</v>
      </c>
      <c r="C8" s="81">
        <f t="shared" si="1"/>
        <v>26</v>
      </c>
      <c r="D8" s="81">
        <f t="shared" si="4"/>
        <v>6</v>
      </c>
      <c r="E8" s="81">
        <f t="shared" si="5"/>
        <v>4</v>
      </c>
      <c r="F8" s="81" t="str">
        <f t="shared" si="2"/>
        <v>6월 4주</v>
      </c>
    </row>
    <row r="9" spans="1:6">
      <c r="A9" s="271">
        <f t="shared" si="3"/>
        <v>41455</v>
      </c>
      <c r="B9" s="81" t="str">
        <f>TEXT(A9,"AAA")</f>
        <v>일</v>
      </c>
      <c r="C9" s="81">
        <f>WEEKNUM(A9)</f>
        <v>27</v>
      </c>
      <c r="D9" s="276">
        <v>7</v>
      </c>
      <c r="E9" s="276">
        <v>1</v>
      </c>
      <c r="F9" s="81" t="str">
        <f>D9&amp;"월 "&amp;E9&amp;"주"</f>
        <v>7월 1주</v>
      </c>
    </row>
    <row r="10" spans="1:6">
      <c r="A10" s="271">
        <f t="shared" si="3"/>
        <v>41456</v>
      </c>
      <c r="B10" s="81" t="str">
        <f t="shared" ref="B10:B73" si="6">TEXT(A10,"AAA")</f>
        <v>월</v>
      </c>
      <c r="C10" s="81">
        <f t="shared" ref="C10:C73" si="7">WEEKNUM(A10)</f>
        <v>27</v>
      </c>
      <c r="D10" s="81">
        <f>D9</f>
        <v>7</v>
      </c>
      <c r="E10" s="81">
        <f>E9</f>
        <v>1</v>
      </c>
      <c r="F10" s="81" t="str">
        <f t="shared" ref="F10:F73" si="8">D10&amp;"월 "&amp;E10&amp;"주"</f>
        <v>7월 1주</v>
      </c>
    </row>
    <row r="11" spans="1:6">
      <c r="A11" s="271">
        <f t="shared" si="3"/>
        <v>41457</v>
      </c>
      <c r="B11" s="81" t="str">
        <f t="shared" si="6"/>
        <v>화</v>
      </c>
      <c r="C11" s="81">
        <f t="shared" si="7"/>
        <v>27</v>
      </c>
      <c r="D11" s="81">
        <f t="shared" ref="D11:D74" si="9">D10</f>
        <v>7</v>
      </c>
      <c r="E11" s="81">
        <f t="shared" ref="E11:E74" si="10">E10</f>
        <v>1</v>
      </c>
      <c r="F11" s="81" t="str">
        <f t="shared" si="8"/>
        <v>7월 1주</v>
      </c>
    </row>
    <row r="12" spans="1:6">
      <c r="A12" s="271">
        <f t="shared" si="3"/>
        <v>41458</v>
      </c>
      <c r="B12" s="81" t="str">
        <f t="shared" si="6"/>
        <v>수</v>
      </c>
      <c r="C12" s="81">
        <f t="shared" si="7"/>
        <v>27</v>
      </c>
      <c r="D12" s="81">
        <f t="shared" si="9"/>
        <v>7</v>
      </c>
      <c r="E12" s="81">
        <f t="shared" si="10"/>
        <v>1</v>
      </c>
      <c r="F12" s="81" t="str">
        <f t="shared" si="8"/>
        <v>7월 1주</v>
      </c>
    </row>
    <row r="13" spans="1:6">
      <c r="A13" s="271">
        <f t="shared" si="3"/>
        <v>41459</v>
      </c>
      <c r="B13" s="81" t="str">
        <f t="shared" si="6"/>
        <v>목</v>
      </c>
      <c r="C13" s="81">
        <f t="shared" si="7"/>
        <v>27</v>
      </c>
      <c r="D13" s="81">
        <f t="shared" si="9"/>
        <v>7</v>
      </c>
      <c r="E13" s="81">
        <f t="shared" si="10"/>
        <v>1</v>
      </c>
      <c r="F13" s="81" t="str">
        <f t="shared" si="8"/>
        <v>7월 1주</v>
      </c>
    </row>
    <row r="14" spans="1:6">
      <c r="A14" s="271">
        <f t="shared" si="3"/>
        <v>41460</v>
      </c>
      <c r="B14" s="81" t="str">
        <f t="shared" si="6"/>
        <v>금</v>
      </c>
      <c r="C14" s="81">
        <f t="shared" si="7"/>
        <v>27</v>
      </c>
      <c r="D14" s="81">
        <f t="shared" si="9"/>
        <v>7</v>
      </c>
      <c r="E14" s="81">
        <f t="shared" si="10"/>
        <v>1</v>
      </c>
      <c r="F14" s="81" t="str">
        <f t="shared" si="8"/>
        <v>7월 1주</v>
      </c>
    </row>
    <row r="15" spans="1:6">
      <c r="A15" s="271">
        <f t="shared" si="3"/>
        <v>41461</v>
      </c>
      <c r="B15" s="81" t="str">
        <f t="shared" si="6"/>
        <v>토</v>
      </c>
      <c r="C15" s="81">
        <f t="shared" si="7"/>
        <v>27</v>
      </c>
      <c r="D15" s="81">
        <f t="shared" si="9"/>
        <v>7</v>
      </c>
      <c r="E15" s="81">
        <f t="shared" si="10"/>
        <v>1</v>
      </c>
      <c r="F15" s="81" t="str">
        <f t="shared" si="8"/>
        <v>7월 1주</v>
      </c>
    </row>
    <row r="16" spans="1:6">
      <c r="A16" s="271">
        <f t="shared" si="3"/>
        <v>41462</v>
      </c>
      <c r="B16" s="81" t="str">
        <f t="shared" si="6"/>
        <v>일</v>
      </c>
      <c r="C16" s="81">
        <f t="shared" si="7"/>
        <v>28</v>
      </c>
      <c r="D16" s="81">
        <f t="shared" si="9"/>
        <v>7</v>
      </c>
      <c r="E16" s="81">
        <f>E9+1</f>
        <v>2</v>
      </c>
      <c r="F16" s="81" t="str">
        <f t="shared" si="8"/>
        <v>7월 2주</v>
      </c>
    </row>
    <row r="17" spans="1:6">
      <c r="A17" s="271">
        <f t="shared" si="3"/>
        <v>41463</v>
      </c>
      <c r="B17" s="81" t="str">
        <f t="shared" si="6"/>
        <v>월</v>
      </c>
      <c r="C17" s="81">
        <f t="shared" si="7"/>
        <v>28</v>
      </c>
      <c r="D17" s="81">
        <f t="shared" si="9"/>
        <v>7</v>
      </c>
      <c r="E17" s="81">
        <f t="shared" si="10"/>
        <v>2</v>
      </c>
      <c r="F17" s="81" t="str">
        <f t="shared" si="8"/>
        <v>7월 2주</v>
      </c>
    </row>
    <row r="18" spans="1:6">
      <c r="A18" s="271">
        <f t="shared" si="3"/>
        <v>41464</v>
      </c>
      <c r="B18" s="81" t="str">
        <f t="shared" si="6"/>
        <v>화</v>
      </c>
      <c r="C18" s="81">
        <f t="shared" si="7"/>
        <v>28</v>
      </c>
      <c r="D18" s="81">
        <f t="shared" si="9"/>
        <v>7</v>
      </c>
      <c r="E18" s="81">
        <f t="shared" si="10"/>
        <v>2</v>
      </c>
      <c r="F18" s="81" t="str">
        <f t="shared" si="8"/>
        <v>7월 2주</v>
      </c>
    </row>
    <row r="19" spans="1:6">
      <c r="A19" s="271">
        <f t="shared" si="3"/>
        <v>41465</v>
      </c>
      <c r="B19" s="81" t="str">
        <f t="shared" si="6"/>
        <v>수</v>
      </c>
      <c r="C19" s="81">
        <f t="shared" si="7"/>
        <v>28</v>
      </c>
      <c r="D19" s="81">
        <f t="shared" si="9"/>
        <v>7</v>
      </c>
      <c r="E19" s="81">
        <f t="shared" si="10"/>
        <v>2</v>
      </c>
      <c r="F19" s="81" t="str">
        <f t="shared" si="8"/>
        <v>7월 2주</v>
      </c>
    </row>
    <row r="20" spans="1:6">
      <c r="A20" s="271">
        <f t="shared" si="3"/>
        <v>41466</v>
      </c>
      <c r="B20" s="81" t="str">
        <f t="shared" si="6"/>
        <v>목</v>
      </c>
      <c r="C20" s="81">
        <f t="shared" si="7"/>
        <v>28</v>
      </c>
      <c r="D20" s="81">
        <f t="shared" si="9"/>
        <v>7</v>
      </c>
      <c r="E20" s="81">
        <f t="shared" si="10"/>
        <v>2</v>
      </c>
      <c r="F20" s="81" t="str">
        <f t="shared" si="8"/>
        <v>7월 2주</v>
      </c>
    </row>
    <row r="21" spans="1:6">
      <c r="A21" s="271">
        <f t="shared" si="3"/>
        <v>41467</v>
      </c>
      <c r="B21" s="81" t="str">
        <f t="shared" si="6"/>
        <v>금</v>
      </c>
      <c r="C21" s="81">
        <f t="shared" si="7"/>
        <v>28</v>
      </c>
      <c r="D21" s="81">
        <f t="shared" si="9"/>
        <v>7</v>
      </c>
      <c r="E21" s="81">
        <f t="shared" si="10"/>
        <v>2</v>
      </c>
      <c r="F21" s="81" t="str">
        <f t="shared" si="8"/>
        <v>7월 2주</v>
      </c>
    </row>
    <row r="22" spans="1:6">
      <c r="A22" s="271">
        <f t="shared" si="3"/>
        <v>41468</v>
      </c>
      <c r="B22" s="81" t="str">
        <f t="shared" si="6"/>
        <v>토</v>
      </c>
      <c r="C22" s="81">
        <f t="shared" si="7"/>
        <v>28</v>
      </c>
      <c r="D22" s="81">
        <f t="shared" si="9"/>
        <v>7</v>
      </c>
      <c r="E22" s="81">
        <f t="shared" si="10"/>
        <v>2</v>
      </c>
      <c r="F22" s="81" t="str">
        <f t="shared" si="8"/>
        <v>7월 2주</v>
      </c>
    </row>
    <row r="23" spans="1:6">
      <c r="A23" s="271">
        <f t="shared" si="3"/>
        <v>41469</v>
      </c>
      <c r="B23" s="81" t="str">
        <f t="shared" si="6"/>
        <v>일</v>
      </c>
      <c r="C23" s="81">
        <f t="shared" si="7"/>
        <v>29</v>
      </c>
      <c r="D23" s="81">
        <f t="shared" si="9"/>
        <v>7</v>
      </c>
      <c r="E23" s="81">
        <f>E16+1</f>
        <v>3</v>
      </c>
      <c r="F23" s="81" t="str">
        <f t="shared" si="8"/>
        <v>7월 3주</v>
      </c>
    </row>
    <row r="24" spans="1:6">
      <c r="A24" s="271">
        <f t="shared" si="3"/>
        <v>41470</v>
      </c>
      <c r="B24" s="81" t="str">
        <f t="shared" si="6"/>
        <v>월</v>
      </c>
      <c r="C24" s="81">
        <f t="shared" si="7"/>
        <v>29</v>
      </c>
      <c r="D24" s="81">
        <f t="shared" si="9"/>
        <v>7</v>
      </c>
      <c r="E24" s="81">
        <f t="shared" si="10"/>
        <v>3</v>
      </c>
      <c r="F24" s="81" t="str">
        <f t="shared" si="8"/>
        <v>7월 3주</v>
      </c>
    </row>
    <row r="25" spans="1:6">
      <c r="A25" s="271">
        <f t="shared" si="3"/>
        <v>41471</v>
      </c>
      <c r="B25" s="81" t="str">
        <f t="shared" si="6"/>
        <v>화</v>
      </c>
      <c r="C25" s="81">
        <f t="shared" si="7"/>
        <v>29</v>
      </c>
      <c r="D25" s="81">
        <f t="shared" si="9"/>
        <v>7</v>
      </c>
      <c r="E25" s="81">
        <f t="shared" si="10"/>
        <v>3</v>
      </c>
      <c r="F25" s="81" t="str">
        <f t="shared" si="8"/>
        <v>7월 3주</v>
      </c>
    </row>
    <row r="26" spans="1:6">
      <c r="A26" s="271">
        <f t="shared" si="3"/>
        <v>41472</v>
      </c>
      <c r="B26" s="81" t="str">
        <f t="shared" si="6"/>
        <v>수</v>
      </c>
      <c r="C26" s="81">
        <f t="shared" si="7"/>
        <v>29</v>
      </c>
      <c r="D26" s="81">
        <f t="shared" si="9"/>
        <v>7</v>
      </c>
      <c r="E26" s="81">
        <f t="shared" si="10"/>
        <v>3</v>
      </c>
      <c r="F26" s="81" t="str">
        <f t="shared" si="8"/>
        <v>7월 3주</v>
      </c>
    </row>
    <row r="27" spans="1:6">
      <c r="A27" s="271">
        <f t="shared" si="3"/>
        <v>41473</v>
      </c>
      <c r="B27" s="81" t="str">
        <f t="shared" si="6"/>
        <v>목</v>
      </c>
      <c r="C27" s="81">
        <f t="shared" si="7"/>
        <v>29</v>
      </c>
      <c r="D27" s="81">
        <f t="shared" si="9"/>
        <v>7</v>
      </c>
      <c r="E27" s="81">
        <f t="shared" si="10"/>
        <v>3</v>
      </c>
      <c r="F27" s="81" t="str">
        <f t="shared" si="8"/>
        <v>7월 3주</v>
      </c>
    </row>
    <row r="28" spans="1:6">
      <c r="A28" s="271">
        <f t="shared" si="3"/>
        <v>41474</v>
      </c>
      <c r="B28" s="81" t="str">
        <f t="shared" si="6"/>
        <v>금</v>
      </c>
      <c r="C28" s="81">
        <f t="shared" si="7"/>
        <v>29</v>
      </c>
      <c r="D28" s="81">
        <f t="shared" si="9"/>
        <v>7</v>
      </c>
      <c r="E28" s="81">
        <f t="shared" si="10"/>
        <v>3</v>
      </c>
      <c r="F28" s="81" t="str">
        <f t="shared" si="8"/>
        <v>7월 3주</v>
      </c>
    </row>
    <row r="29" spans="1:6">
      <c r="A29" s="271">
        <f t="shared" si="3"/>
        <v>41475</v>
      </c>
      <c r="B29" s="81" t="str">
        <f t="shared" si="6"/>
        <v>토</v>
      </c>
      <c r="C29" s="81">
        <f t="shared" si="7"/>
        <v>29</v>
      </c>
      <c r="D29" s="81">
        <f t="shared" si="9"/>
        <v>7</v>
      </c>
      <c r="E29" s="81">
        <f t="shared" si="10"/>
        <v>3</v>
      </c>
      <c r="F29" s="81" t="str">
        <f t="shared" si="8"/>
        <v>7월 3주</v>
      </c>
    </row>
    <row r="30" spans="1:6">
      <c r="A30" s="271">
        <f t="shared" si="3"/>
        <v>41476</v>
      </c>
      <c r="B30" s="81" t="str">
        <f t="shared" si="6"/>
        <v>일</v>
      </c>
      <c r="C30" s="81">
        <f t="shared" si="7"/>
        <v>30</v>
      </c>
      <c r="D30" s="81">
        <f t="shared" si="9"/>
        <v>7</v>
      </c>
      <c r="E30" s="81">
        <f>E23+1</f>
        <v>4</v>
      </c>
      <c r="F30" s="81" t="str">
        <f t="shared" si="8"/>
        <v>7월 4주</v>
      </c>
    </row>
    <row r="31" spans="1:6">
      <c r="A31" s="271">
        <f t="shared" si="3"/>
        <v>41477</v>
      </c>
      <c r="B31" s="81" t="str">
        <f t="shared" si="6"/>
        <v>월</v>
      </c>
      <c r="C31" s="81">
        <f t="shared" si="7"/>
        <v>30</v>
      </c>
      <c r="D31" s="81">
        <f t="shared" si="9"/>
        <v>7</v>
      </c>
      <c r="E31" s="81">
        <f t="shared" si="10"/>
        <v>4</v>
      </c>
      <c r="F31" s="81" t="str">
        <f t="shared" si="8"/>
        <v>7월 4주</v>
      </c>
    </row>
    <row r="32" spans="1:6">
      <c r="A32" s="271">
        <f t="shared" si="3"/>
        <v>41478</v>
      </c>
      <c r="B32" s="81" t="str">
        <f t="shared" si="6"/>
        <v>화</v>
      </c>
      <c r="C32" s="81">
        <f t="shared" si="7"/>
        <v>30</v>
      </c>
      <c r="D32" s="81">
        <f t="shared" si="9"/>
        <v>7</v>
      </c>
      <c r="E32" s="81">
        <f t="shared" si="10"/>
        <v>4</v>
      </c>
      <c r="F32" s="81" t="str">
        <f t="shared" si="8"/>
        <v>7월 4주</v>
      </c>
    </row>
    <row r="33" spans="1:6">
      <c r="A33" s="271">
        <f t="shared" si="3"/>
        <v>41479</v>
      </c>
      <c r="B33" s="81" t="str">
        <f t="shared" si="6"/>
        <v>수</v>
      </c>
      <c r="C33" s="81">
        <f t="shared" si="7"/>
        <v>30</v>
      </c>
      <c r="D33" s="81">
        <f t="shared" si="9"/>
        <v>7</v>
      </c>
      <c r="E33" s="81">
        <f t="shared" si="10"/>
        <v>4</v>
      </c>
      <c r="F33" s="81" t="str">
        <f t="shared" si="8"/>
        <v>7월 4주</v>
      </c>
    </row>
    <row r="34" spans="1:6">
      <c r="A34" s="271">
        <f t="shared" si="3"/>
        <v>41480</v>
      </c>
      <c r="B34" s="81" t="str">
        <f t="shared" si="6"/>
        <v>목</v>
      </c>
      <c r="C34" s="81">
        <f t="shared" si="7"/>
        <v>30</v>
      </c>
      <c r="D34" s="81">
        <f t="shared" si="9"/>
        <v>7</v>
      </c>
      <c r="E34" s="81">
        <f t="shared" si="10"/>
        <v>4</v>
      </c>
      <c r="F34" s="81" t="str">
        <f t="shared" si="8"/>
        <v>7월 4주</v>
      </c>
    </row>
    <row r="35" spans="1:6">
      <c r="A35" s="271">
        <f t="shared" si="3"/>
        <v>41481</v>
      </c>
      <c r="B35" s="81" t="str">
        <f t="shared" si="6"/>
        <v>금</v>
      </c>
      <c r="C35" s="81">
        <f t="shared" si="7"/>
        <v>30</v>
      </c>
      <c r="D35" s="81">
        <f t="shared" si="9"/>
        <v>7</v>
      </c>
      <c r="E35" s="81">
        <f t="shared" si="10"/>
        <v>4</v>
      </c>
      <c r="F35" s="81" t="str">
        <f t="shared" si="8"/>
        <v>7월 4주</v>
      </c>
    </row>
    <row r="36" spans="1:6">
      <c r="A36" s="271">
        <f t="shared" si="3"/>
        <v>41482</v>
      </c>
      <c r="B36" s="81" t="str">
        <f t="shared" si="6"/>
        <v>토</v>
      </c>
      <c r="C36" s="81">
        <f t="shared" si="7"/>
        <v>30</v>
      </c>
      <c r="D36" s="81">
        <f t="shared" si="9"/>
        <v>7</v>
      </c>
      <c r="E36" s="81">
        <f t="shared" si="10"/>
        <v>4</v>
      </c>
      <c r="F36" s="81" t="str">
        <f t="shared" si="8"/>
        <v>7월 4주</v>
      </c>
    </row>
    <row r="37" spans="1:6">
      <c r="A37" s="271">
        <f t="shared" si="3"/>
        <v>41483</v>
      </c>
      <c r="B37" s="81" t="str">
        <f t="shared" si="6"/>
        <v>일</v>
      </c>
      <c r="C37" s="81">
        <f t="shared" si="7"/>
        <v>31</v>
      </c>
      <c r="D37" s="276">
        <v>8</v>
      </c>
      <c r="E37" s="276">
        <v>1</v>
      </c>
      <c r="F37" s="81" t="str">
        <f t="shared" si="8"/>
        <v>8월 1주</v>
      </c>
    </row>
    <row r="38" spans="1:6">
      <c r="A38" s="271">
        <f t="shared" si="3"/>
        <v>41484</v>
      </c>
      <c r="B38" s="81" t="str">
        <f t="shared" si="6"/>
        <v>월</v>
      </c>
      <c r="C38" s="81">
        <f t="shared" si="7"/>
        <v>31</v>
      </c>
      <c r="D38" s="81">
        <f t="shared" si="9"/>
        <v>8</v>
      </c>
      <c r="E38" s="81">
        <f t="shared" si="10"/>
        <v>1</v>
      </c>
      <c r="F38" s="81" t="str">
        <f t="shared" si="8"/>
        <v>8월 1주</v>
      </c>
    </row>
    <row r="39" spans="1:6">
      <c r="A39" s="271">
        <f t="shared" si="3"/>
        <v>41485</v>
      </c>
      <c r="B39" s="81" t="str">
        <f t="shared" si="6"/>
        <v>화</v>
      </c>
      <c r="C39" s="81">
        <f t="shared" si="7"/>
        <v>31</v>
      </c>
      <c r="D39" s="81">
        <f t="shared" si="9"/>
        <v>8</v>
      </c>
      <c r="E39" s="81">
        <f t="shared" si="10"/>
        <v>1</v>
      </c>
      <c r="F39" s="81" t="str">
        <f t="shared" si="8"/>
        <v>8월 1주</v>
      </c>
    </row>
    <row r="40" spans="1:6">
      <c r="A40" s="271">
        <f t="shared" si="3"/>
        <v>41486</v>
      </c>
      <c r="B40" s="81" t="str">
        <f t="shared" si="6"/>
        <v>수</v>
      </c>
      <c r="C40" s="81">
        <f t="shared" si="7"/>
        <v>31</v>
      </c>
      <c r="D40" s="81">
        <f t="shared" si="9"/>
        <v>8</v>
      </c>
      <c r="E40" s="81">
        <f t="shared" si="10"/>
        <v>1</v>
      </c>
      <c r="F40" s="81" t="str">
        <f t="shared" si="8"/>
        <v>8월 1주</v>
      </c>
    </row>
    <row r="41" spans="1:6">
      <c r="A41" s="271">
        <f t="shared" si="3"/>
        <v>41487</v>
      </c>
      <c r="B41" s="81" t="str">
        <f t="shared" si="6"/>
        <v>목</v>
      </c>
      <c r="C41" s="81">
        <f t="shared" si="7"/>
        <v>31</v>
      </c>
      <c r="D41" s="81">
        <f t="shared" si="9"/>
        <v>8</v>
      </c>
      <c r="E41" s="81">
        <f t="shared" si="10"/>
        <v>1</v>
      </c>
      <c r="F41" s="81" t="str">
        <f t="shared" si="8"/>
        <v>8월 1주</v>
      </c>
    </row>
    <row r="42" spans="1:6">
      <c r="A42" s="271">
        <f t="shared" si="3"/>
        <v>41488</v>
      </c>
      <c r="B42" s="81" t="str">
        <f t="shared" si="6"/>
        <v>금</v>
      </c>
      <c r="C42" s="81">
        <f t="shared" si="7"/>
        <v>31</v>
      </c>
      <c r="D42" s="81">
        <f t="shared" si="9"/>
        <v>8</v>
      </c>
      <c r="E42" s="81">
        <f t="shared" si="10"/>
        <v>1</v>
      </c>
      <c r="F42" s="81" t="str">
        <f t="shared" si="8"/>
        <v>8월 1주</v>
      </c>
    </row>
    <row r="43" spans="1:6">
      <c r="A43" s="271">
        <f t="shared" si="3"/>
        <v>41489</v>
      </c>
      <c r="B43" s="81" t="str">
        <f t="shared" si="6"/>
        <v>토</v>
      </c>
      <c r="C43" s="81">
        <f t="shared" si="7"/>
        <v>31</v>
      </c>
      <c r="D43" s="81">
        <f t="shared" si="9"/>
        <v>8</v>
      </c>
      <c r="E43" s="81">
        <f t="shared" si="10"/>
        <v>1</v>
      </c>
      <c r="F43" s="81" t="str">
        <f t="shared" si="8"/>
        <v>8월 1주</v>
      </c>
    </row>
    <row r="44" spans="1:6">
      <c r="A44" s="271">
        <f t="shared" si="3"/>
        <v>41490</v>
      </c>
      <c r="B44" s="81" t="str">
        <f t="shared" si="6"/>
        <v>일</v>
      </c>
      <c r="C44" s="81">
        <f t="shared" si="7"/>
        <v>32</v>
      </c>
      <c r="D44" s="81">
        <f t="shared" si="9"/>
        <v>8</v>
      </c>
      <c r="E44" s="81">
        <f>E37+1</f>
        <v>2</v>
      </c>
      <c r="F44" s="81" t="str">
        <f t="shared" si="8"/>
        <v>8월 2주</v>
      </c>
    </row>
    <row r="45" spans="1:6">
      <c r="A45" s="271">
        <f t="shared" si="3"/>
        <v>41491</v>
      </c>
      <c r="B45" s="81" t="str">
        <f t="shared" si="6"/>
        <v>월</v>
      </c>
      <c r="C45" s="81">
        <f t="shared" si="7"/>
        <v>32</v>
      </c>
      <c r="D45" s="81">
        <f t="shared" si="9"/>
        <v>8</v>
      </c>
      <c r="E45" s="81">
        <f t="shared" si="10"/>
        <v>2</v>
      </c>
      <c r="F45" s="81" t="str">
        <f t="shared" si="8"/>
        <v>8월 2주</v>
      </c>
    </row>
    <row r="46" spans="1:6">
      <c r="A46" s="271">
        <f t="shared" si="3"/>
        <v>41492</v>
      </c>
      <c r="B46" s="81" t="str">
        <f t="shared" si="6"/>
        <v>화</v>
      </c>
      <c r="C46" s="81">
        <f t="shared" si="7"/>
        <v>32</v>
      </c>
      <c r="D46" s="81">
        <f t="shared" si="9"/>
        <v>8</v>
      </c>
      <c r="E46" s="81">
        <f t="shared" si="10"/>
        <v>2</v>
      </c>
      <c r="F46" s="81" t="str">
        <f t="shared" si="8"/>
        <v>8월 2주</v>
      </c>
    </row>
    <row r="47" spans="1:6">
      <c r="A47" s="271">
        <f t="shared" si="3"/>
        <v>41493</v>
      </c>
      <c r="B47" s="81" t="str">
        <f t="shared" si="6"/>
        <v>수</v>
      </c>
      <c r="C47" s="81">
        <f t="shared" si="7"/>
        <v>32</v>
      </c>
      <c r="D47" s="81">
        <f t="shared" si="9"/>
        <v>8</v>
      </c>
      <c r="E47" s="81">
        <f t="shared" si="10"/>
        <v>2</v>
      </c>
      <c r="F47" s="81" t="str">
        <f t="shared" si="8"/>
        <v>8월 2주</v>
      </c>
    </row>
    <row r="48" spans="1:6">
      <c r="A48" s="271">
        <f t="shared" si="3"/>
        <v>41494</v>
      </c>
      <c r="B48" s="81" t="str">
        <f t="shared" si="6"/>
        <v>목</v>
      </c>
      <c r="C48" s="81">
        <f t="shared" si="7"/>
        <v>32</v>
      </c>
      <c r="D48" s="81">
        <f t="shared" si="9"/>
        <v>8</v>
      </c>
      <c r="E48" s="81">
        <f t="shared" si="10"/>
        <v>2</v>
      </c>
      <c r="F48" s="81" t="str">
        <f t="shared" si="8"/>
        <v>8월 2주</v>
      </c>
    </row>
    <row r="49" spans="1:6">
      <c r="A49" s="271">
        <f t="shared" si="3"/>
        <v>41495</v>
      </c>
      <c r="B49" s="81" t="str">
        <f t="shared" si="6"/>
        <v>금</v>
      </c>
      <c r="C49" s="81">
        <f t="shared" si="7"/>
        <v>32</v>
      </c>
      <c r="D49" s="81">
        <f t="shared" si="9"/>
        <v>8</v>
      </c>
      <c r="E49" s="81">
        <f t="shared" si="10"/>
        <v>2</v>
      </c>
      <c r="F49" s="81" t="str">
        <f t="shared" si="8"/>
        <v>8월 2주</v>
      </c>
    </row>
    <row r="50" spans="1:6">
      <c r="A50" s="271">
        <f t="shared" si="3"/>
        <v>41496</v>
      </c>
      <c r="B50" s="81" t="str">
        <f t="shared" si="6"/>
        <v>토</v>
      </c>
      <c r="C50" s="81">
        <f t="shared" si="7"/>
        <v>32</v>
      </c>
      <c r="D50" s="81">
        <f t="shared" si="9"/>
        <v>8</v>
      </c>
      <c r="E50" s="81">
        <f t="shared" si="10"/>
        <v>2</v>
      </c>
      <c r="F50" s="81" t="str">
        <f t="shared" si="8"/>
        <v>8월 2주</v>
      </c>
    </row>
    <row r="51" spans="1:6">
      <c r="A51" s="271">
        <f t="shared" si="3"/>
        <v>41497</v>
      </c>
      <c r="B51" s="81" t="str">
        <f t="shared" si="6"/>
        <v>일</v>
      </c>
      <c r="C51" s="81">
        <f t="shared" si="7"/>
        <v>33</v>
      </c>
      <c r="D51" s="81">
        <f t="shared" si="9"/>
        <v>8</v>
      </c>
      <c r="E51" s="81">
        <f>E44+1</f>
        <v>3</v>
      </c>
      <c r="F51" s="81" t="str">
        <f t="shared" si="8"/>
        <v>8월 3주</v>
      </c>
    </row>
    <row r="52" spans="1:6">
      <c r="A52" s="271">
        <f t="shared" si="3"/>
        <v>41498</v>
      </c>
      <c r="B52" s="81" t="str">
        <f t="shared" si="6"/>
        <v>월</v>
      </c>
      <c r="C52" s="81">
        <f t="shared" si="7"/>
        <v>33</v>
      </c>
      <c r="D52" s="81">
        <f t="shared" si="9"/>
        <v>8</v>
      </c>
      <c r="E52" s="81">
        <f t="shared" si="10"/>
        <v>3</v>
      </c>
      <c r="F52" s="81" t="str">
        <f t="shared" si="8"/>
        <v>8월 3주</v>
      </c>
    </row>
    <row r="53" spans="1:6">
      <c r="A53" s="271">
        <f t="shared" si="3"/>
        <v>41499</v>
      </c>
      <c r="B53" s="81" t="str">
        <f t="shared" si="6"/>
        <v>화</v>
      </c>
      <c r="C53" s="81">
        <f t="shared" si="7"/>
        <v>33</v>
      </c>
      <c r="D53" s="81">
        <f t="shared" si="9"/>
        <v>8</v>
      </c>
      <c r="E53" s="81">
        <f t="shared" si="10"/>
        <v>3</v>
      </c>
      <c r="F53" s="81" t="str">
        <f t="shared" si="8"/>
        <v>8월 3주</v>
      </c>
    </row>
    <row r="54" spans="1:6">
      <c r="A54" s="271">
        <f t="shared" si="3"/>
        <v>41500</v>
      </c>
      <c r="B54" s="81" t="str">
        <f t="shared" si="6"/>
        <v>수</v>
      </c>
      <c r="C54" s="81">
        <f t="shared" si="7"/>
        <v>33</v>
      </c>
      <c r="D54" s="81">
        <f t="shared" si="9"/>
        <v>8</v>
      </c>
      <c r="E54" s="81">
        <f t="shared" si="10"/>
        <v>3</v>
      </c>
      <c r="F54" s="81" t="str">
        <f t="shared" si="8"/>
        <v>8월 3주</v>
      </c>
    </row>
    <row r="55" spans="1:6">
      <c r="A55" s="271">
        <f t="shared" si="3"/>
        <v>41501</v>
      </c>
      <c r="B55" s="81" t="str">
        <f t="shared" si="6"/>
        <v>목</v>
      </c>
      <c r="C55" s="81">
        <f t="shared" si="7"/>
        <v>33</v>
      </c>
      <c r="D55" s="81">
        <f t="shared" si="9"/>
        <v>8</v>
      </c>
      <c r="E55" s="81">
        <f t="shared" si="10"/>
        <v>3</v>
      </c>
      <c r="F55" s="81" t="str">
        <f t="shared" si="8"/>
        <v>8월 3주</v>
      </c>
    </row>
    <row r="56" spans="1:6">
      <c r="A56" s="271">
        <f t="shared" si="3"/>
        <v>41502</v>
      </c>
      <c r="B56" s="81" t="str">
        <f t="shared" si="6"/>
        <v>금</v>
      </c>
      <c r="C56" s="81">
        <f t="shared" si="7"/>
        <v>33</v>
      </c>
      <c r="D56" s="81">
        <f t="shared" si="9"/>
        <v>8</v>
      </c>
      <c r="E56" s="81">
        <f t="shared" si="10"/>
        <v>3</v>
      </c>
      <c r="F56" s="81" t="str">
        <f t="shared" si="8"/>
        <v>8월 3주</v>
      </c>
    </row>
    <row r="57" spans="1:6">
      <c r="A57" s="271">
        <f t="shared" si="3"/>
        <v>41503</v>
      </c>
      <c r="B57" s="81" t="str">
        <f t="shared" si="6"/>
        <v>토</v>
      </c>
      <c r="C57" s="81">
        <f t="shared" si="7"/>
        <v>33</v>
      </c>
      <c r="D57" s="81">
        <f t="shared" si="9"/>
        <v>8</v>
      </c>
      <c r="E57" s="81">
        <f t="shared" si="10"/>
        <v>3</v>
      </c>
      <c r="F57" s="81" t="str">
        <f t="shared" si="8"/>
        <v>8월 3주</v>
      </c>
    </row>
    <row r="58" spans="1:6">
      <c r="A58" s="271">
        <f t="shared" si="3"/>
        <v>41504</v>
      </c>
      <c r="B58" s="81" t="str">
        <f t="shared" si="6"/>
        <v>일</v>
      </c>
      <c r="C58" s="81">
        <f t="shared" si="7"/>
        <v>34</v>
      </c>
      <c r="D58" s="81">
        <f t="shared" si="9"/>
        <v>8</v>
      </c>
      <c r="E58" s="81">
        <f>E51+1</f>
        <v>4</v>
      </c>
      <c r="F58" s="81" t="str">
        <f t="shared" si="8"/>
        <v>8월 4주</v>
      </c>
    </row>
    <row r="59" spans="1:6">
      <c r="A59" s="271">
        <f t="shared" si="3"/>
        <v>41505</v>
      </c>
      <c r="B59" s="81" t="str">
        <f t="shared" si="6"/>
        <v>월</v>
      </c>
      <c r="C59" s="81">
        <f t="shared" si="7"/>
        <v>34</v>
      </c>
      <c r="D59" s="81">
        <f t="shared" si="9"/>
        <v>8</v>
      </c>
      <c r="E59" s="81">
        <f t="shared" si="10"/>
        <v>4</v>
      </c>
      <c r="F59" s="81" t="str">
        <f t="shared" si="8"/>
        <v>8월 4주</v>
      </c>
    </row>
    <row r="60" spans="1:6">
      <c r="A60" s="271">
        <f t="shared" si="3"/>
        <v>41506</v>
      </c>
      <c r="B60" s="81" t="str">
        <f t="shared" si="6"/>
        <v>화</v>
      </c>
      <c r="C60" s="81">
        <f t="shared" si="7"/>
        <v>34</v>
      </c>
      <c r="D60" s="81">
        <f t="shared" si="9"/>
        <v>8</v>
      </c>
      <c r="E60" s="81">
        <f t="shared" si="10"/>
        <v>4</v>
      </c>
      <c r="F60" s="81" t="str">
        <f t="shared" si="8"/>
        <v>8월 4주</v>
      </c>
    </row>
    <row r="61" spans="1:6">
      <c r="A61" s="271">
        <f t="shared" si="3"/>
        <v>41507</v>
      </c>
      <c r="B61" s="81" t="str">
        <f t="shared" si="6"/>
        <v>수</v>
      </c>
      <c r="C61" s="81">
        <f t="shared" si="7"/>
        <v>34</v>
      </c>
      <c r="D61" s="81">
        <f t="shared" si="9"/>
        <v>8</v>
      </c>
      <c r="E61" s="81">
        <f t="shared" si="10"/>
        <v>4</v>
      </c>
      <c r="F61" s="81" t="str">
        <f t="shared" si="8"/>
        <v>8월 4주</v>
      </c>
    </row>
    <row r="62" spans="1:6">
      <c r="A62" s="271">
        <f t="shared" si="3"/>
        <v>41508</v>
      </c>
      <c r="B62" s="81" t="str">
        <f t="shared" si="6"/>
        <v>목</v>
      </c>
      <c r="C62" s="81">
        <f t="shared" si="7"/>
        <v>34</v>
      </c>
      <c r="D62" s="81">
        <f t="shared" si="9"/>
        <v>8</v>
      </c>
      <c r="E62" s="81">
        <f t="shared" si="10"/>
        <v>4</v>
      </c>
      <c r="F62" s="81" t="str">
        <f t="shared" si="8"/>
        <v>8월 4주</v>
      </c>
    </row>
    <row r="63" spans="1:6">
      <c r="A63" s="271">
        <f t="shared" si="3"/>
        <v>41509</v>
      </c>
      <c r="B63" s="81" t="str">
        <f t="shared" si="6"/>
        <v>금</v>
      </c>
      <c r="C63" s="81">
        <f t="shared" si="7"/>
        <v>34</v>
      </c>
      <c r="D63" s="81">
        <f t="shared" si="9"/>
        <v>8</v>
      </c>
      <c r="E63" s="81">
        <f t="shared" si="10"/>
        <v>4</v>
      </c>
      <c r="F63" s="81" t="str">
        <f t="shared" si="8"/>
        <v>8월 4주</v>
      </c>
    </row>
    <row r="64" spans="1:6">
      <c r="A64" s="271">
        <f t="shared" si="3"/>
        <v>41510</v>
      </c>
      <c r="B64" s="81" t="str">
        <f t="shared" si="6"/>
        <v>토</v>
      </c>
      <c r="C64" s="81">
        <f t="shared" si="7"/>
        <v>34</v>
      </c>
      <c r="D64" s="81">
        <f t="shared" si="9"/>
        <v>8</v>
      </c>
      <c r="E64" s="81">
        <f t="shared" si="10"/>
        <v>4</v>
      </c>
      <c r="F64" s="81" t="str">
        <f t="shared" si="8"/>
        <v>8월 4주</v>
      </c>
    </row>
    <row r="65" spans="1:6">
      <c r="A65" s="271">
        <f t="shared" si="3"/>
        <v>41511</v>
      </c>
      <c r="B65" s="81" t="str">
        <f t="shared" si="6"/>
        <v>일</v>
      </c>
      <c r="C65" s="81">
        <f t="shared" si="7"/>
        <v>35</v>
      </c>
      <c r="D65" s="81">
        <f t="shared" si="9"/>
        <v>8</v>
      </c>
      <c r="E65" s="81">
        <f>E58+1</f>
        <v>5</v>
      </c>
      <c r="F65" s="81" t="str">
        <f t="shared" si="8"/>
        <v>8월 5주</v>
      </c>
    </row>
    <row r="66" spans="1:6">
      <c r="A66" s="271">
        <f t="shared" ref="A66:A129" si="11">A65+1</f>
        <v>41512</v>
      </c>
      <c r="B66" s="81" t="str">
        <f t="shared" si="6"/>
        <v>월</v>
      </c>
      <c r="C66" s="81">
        <f t="shared" si="7"/>
        <v>35</v>
      </c>
      <c r="D66" s="81">
        <f t="shared" si="9"/>
        <v>8</v>
      </c>
      <c r="E66" s="81">
        <f t="shared" si="10"/>
        <v>5</v>
      </c>
      <c r="F66" s="81" t="str">
        <f t="shared" si="8"/>
        <v>8월 5주</v>
      </c>
    </row>
    <row r="67" spans="1:6">
      <c r="A67" s="271">
        <f t="shared" si="11"/>
        <v>41513</v>
      </c>
      <c r="B67" s="81" t="str">
        <f t="shared" si="6"/>
        <v>화</v>
      </c>
      <c r="C67" s="81">
        <f t="shared" si="7"/>
        <v>35</v>
      </c>
      <c r="D67" s="81">
        <f t="shared" si="9"/>
        <v>8</v>
      </c>
      <c r="E67" s="81">
        <f t="shared" si="10"/>
        <v>5</v>
      </c>
      <c r="F67" s="81" t="str">
        <f t="shared" si="8"/>
        <v>8월 5주</v>
      </c>
    </row>
    <row r="68" spans="1:6">
      <c r="A68" s="271">
        <f t="shared" si="11"/>
        <v>41514</v>
      </c>
      <c r="B68" s="81" t="str">
        <f t="shared" si="6"/>
        <v>수</v>
      </c>
      <c r="C68" s="81">
        <f t="shared" si="7"/>
        <v>35</v>
      </c>
      <c r="D68" s="81">
        <f t="shared" si="9"/>
        <v>8</v>
      </c>
      <c r="E68" s="81">
        <f t="shared" si="10"/>
        <v>5</v>
      </c>
      <c r="F68" s="81" t="str">
        <f t="shared" si="8"/>
        <v>8월 5주</v>
      </c>
    </row>
    <row r="69" spans="1:6">
      <c r="A69" s="271">
        <f t="shared" si="11"/>
        <v>41515</v>
      </c>
      <c r="B69" s="81" t="str">
        <f t="shared" si="6"/>
        <v>목</v>
      </c>
      <c r="C69" s="81">
        <f t="shared" si="7"/>
        <v>35</v>
      </c>
      <c r="D69" s="81">
        <f t="shared" si="9"/>
        <v>8</v>
      </c>
      <c r="E69" s="81">
        <f t="shared" si="10"/>
        <v>5</v>
      </c>
      <c r="F69" s="81" t="str">
        <f t="shared" si="8"/>
        <v>8월 5주</v>
      </c>
    </row>
    <row r="70" spans="1:6">
      <c r="A70" s="271">
        <f t="shared" si="11"/>
        <v>41516</v>
      </c>
      <c r="B70" s="81" t="str">
        <f t="shared" si="6"/>
        <v>금</v>
      </c>
      <c r="C70" s="81">
        <f t="shared" si="7"/>
        <v>35</v>
      </c>
      <c r="D70" s="81">
        <f t="shared" si="9"/>
        <v>8</v>
      </c>
      <c r="E70" s="81">
        <f t="shared" si="10"/>
        <v>5</v>
      </c>
      <c r="F70" s="81" t="str">
        <f t="shared" si="8"/>
        <v>8월 5주</v>
      </c>
    </row>
    <row r="71" spans="1:6">
      <c r="A71" s="271">
        <f t="shared" si="11"/>
        <v>41517</v>
      </c>
      <c r="B71" s="81" t="str">
        <f t="shared" si="6"/>
        <v>토</v>
      </c>
      <c r="C71" s="81">
        <f t="shared" si="7"/>
        <v>35</v>
      </c>
      <c r="D71" s="81">
        <f t="shared" si="9"/>
        <v>8</v>
      </c>
      <c r="E71" s="81">
        <f t="shared" si="10"/>
        <v>5</v>
      </c>
      <c r="F71" s="81" t="str">
        <f t="shared" si="8"/>
        <v>8월 5주</v>
      </c>
    </row>
    <row r="72" spans="1:6">
      <c r="A72" s="271">
        <f t="shared" si="11"/>
        <v>41518</v>
      </c>
      <c r="B72" s="81" t="str">
        <f t="shared" si="6"/>
        <v>일</v>
      </c>
      <c r="C72" s="81">
        <f t="shared" si="7"/>
        <v>36</v>
      </c>
      <c r="D72" s="276">
        <v>9</v>
      </c>
      <c r="E72" s="276">
        <v>1</v>
      </c>
      <c r="F72" s="81" t="str">
        <f t="shared" si="8"/>
        <v>9월 1주</v>
      </c>
    </row>
    <row r="73" spans="1:6">
      <c r="A73" s="271">
        <f t="shared" si="11"/>
        <v>41519</v>
      </c>
      <c r="B73" s="81" t="str">
        <f t="shared" si="6"/>
        <v>월</v>
      </c>
      <c r="C73" s="81">
        <f t="shared" si="7"/>
        <v>36</v>
      </c>
      <c r="D73" s="81">
        <f t="shared" si="9"/>
        <v>9</v>
      </c>
      <c r="E73" s="81">
        <f t="shared" si="10"/>
        <v>1</v>
      </c>
      <c r="F73" s="81" t="str">
        <f t="shared" si="8"/>
        <v>9월 1주</v>
      </c>
    </row>
    <row r="74" spans="1:6">
      <c r="A74" s="271">
        <f t="shared" si="11"/>
        <v>41520</v>
      </c>
      <c r="B74" s="81" t="str">
        <f t="shared" ref="B74:B137" si="12">TEXT(A74,"AAA")</f>
        <v>화</v>
      </c>
      <c r="C74" s="81">
        <f t="shared" ref="C74:C137" si="13">WEEKNUM(A74)</f>
        <v>36</v>
      </c>
      <c r="D74" s="81">
        <f t="shared" si="9"/>
        <v>9</v>
      </c>
      <c r="E74" s="81">
        <f t="shared" si="10"/>
        <v>1</v>
      </c>
      <c r="F74" s="81" t="str">
        <f t="shared" ref="F74:F137" si="14">D74&amp;"월 "&amp;E74&amp;"주"</f>
        <v>9월 1주</v>
      </c>
    </row>
    <row r="75" spans="1:6">
      <c r="A75" s="271">
        <f t="shared" si="11"/>
        <v>41521</v>
      </c>
      <c r="B75" s="81" t="str">
        <f t="shared" si="12"/>
        <v>수</v>
      </c>
      <c r="C75" s="81">
        <f t="shared" si="13"/>
        <v>36</v>
      </c>
      <c r="D75" s="81">
        <f t="shared" ref="D75:E138" si="15">D74</f>
        <v>9</v>
      </c>
      <c r="E75" s="81">
        <f t="shared" si="15"/>
        <v>1</v>
      </c>
      <c r="F75" s="81" t="str">
        <f t="shared" si="14"/>
        <v>9월 1주</v>
      </c>
    </row>
    <row r="76" spans="1:6">
      <c r="A76" s="271">
        <f t="shared" si="11"/>
        <v>41522</v>
      </c>
      <c r="B76" s="81" t="str">
        <f t="shared" si="12"/>
        <v>목</v>
      </c>
      <c r="C76" s="81">
        <f t="shared" si="13"/>
        <v>36</v>
      </c>
      <c r="D76" s="81">
        <f t="shared" si="15"/>
        <v>9</v>
      </c>
      <c r="E76" s="81">
        <f t="shared" si="15"/>
        <v>1</v>
      </c>
      <c r="F76" s="81" t="str">
        <f t="shared" si="14"/>
        <v>9월 1주</v>
      </c>
    </row>
    <row r="77" spans="1:6">
      <c r="A77" s="271">
        <f t="shared" si="11"/>
        <v>41523</v>
      </c>
      <c r="B77" s="81" t="str">
        <f t="shared" si="12"/>
        <v>금</v>
      </c>
      <c r="C77" s="81">
        <f t="shared" si="13"/>
        <v>36</v>
      </c>
      <c r="D77" s="81">
        <f t="shared" si="15"/>
        <v>9</v>
      </c>
      <c r="E77" s="81">
        <f t="shared" si="15"/>
        <v>1</v>
      </c>
      <c r="F77" s="81" t="str">
        <f t="shared" si="14"/>
        <v>9월 1주</v>
      </c>
    </row>
    <row r="78" spans="1:6">
      <c r="A78" s="271">
        <f t="shared" si="11"/>
        <v>41524</v>
      </c>
      <c r="B78" s="81" t="str">
        <f t="shared" si="12"/>
        <v>토</v>
      </c>
      <c r="C78" s="81">
        <f t="shared" si="13"/>
        <v>36</v>
      </c>
      <c r="D78" s="81">
        <f t="shared" si="15"/>
        <v>9</v>
      </c>
      <c r="E78" s="81">
        <f t="shared" si="15"/>
        <v>1</v>
      </c>
      <c r="F78" s="81" t="str">
        <f t="shared" si="14"/>
        <v>9월 1주</v>
      </c>
    </row>
    <row r="79" spans="1:6">
      <c r="A79" s="271">
        <f t="shared" si="11"/>
        <v>41525</v>
      </c>
      <c r="B79" s="81" t="str">
        <f t="shared" si="12"/>
        <v>일</v>
      </c>
      <c r="C79" s="81">
        <f t="shared" si="13"/>
        <v>37</v>
      </c>
      <c r="D79" s="81">
        <f t="shared" si="15"/>
        <v>9</v>
      </c>
      <c r="E79" s="81">
        <f>E72+1</f>
        <v>2</v>
      </c>
      <c r="F79" s="81" t="str">
        <f t="shared" si="14"/>
        <v>9월 2주</v>
      </c>
    </row>
    <row r="80" spans="1:6">
      <c r="A80" s="271">
        <f t="shared" si="11"/>
        <v>41526</v>
      </c>
      <c r="B80" s="81" t="str">
        <f t="shared" si="12"/>
        <v>월</v>
      </c>
      <c r="C80" s="81">
        <f t="shared" si="13"/>
        <v>37</v>
      </c>
      <c r="D80" s="81">
        <f t="shared" si="15"/>
        <v>9</v>
      </c>
      <c r="E80" s="81">
        <f t="shared" si="15"/>
        <v>2</v>
      </c>
      <c r="F80" s="81" t="str">
        <f t="shared" si="14"/>
        <v>9월 2주</v>
      </c>
    </row>
    <row r="81" spans="1:6">
      <c r="A81" s="271">
        <f t="shared" si="11"/>
        <v>41527</v>
      </c>
      <c r="B81" s="81" t="str">
        <f t="shared" si="12"/>
        <v>화</v>
      </c>
      <c r="C81" s="81">
        <f t="shared" si="13"/>
        <v>37</v>
      </c>
      <c r="D81" s="81">
        <f t="shared" si="15"/>
        <v>9</v>
      </c>
      <c r="E81" s="81">
        <f t="shared" si="15"/>
        <v>2</v>
      </c>
      <c r="F81" s="81" t="str">
        <f t="shared" si="14"/>
        <v>9월 2주</v>
      </c>
    </row>
    <row r="82" spans="1:6">
      <c r="A82" s="271">
        <f t="shared" si="11"/>
        <v>41528</v>
      </c>
      <c r="B82" s="81" t="str">
        <f t="shared" si="12"/>
        <v>수</v>
      </c>
      <c r="C82" s="81">
        <f t="shared" si="13"/>
        <v>37</v>
      </c>
      <c r="D82" s="81">
        <f t="shared" si="15"/>
        <v>9</v>
      </c>
      <c r="E82" s="81">
        <f t="shared" si="15"/>
        <v>2</v>
      </c>
      <c r="F82" s="81" t="str">
        <f t="shared" si="14"/>
        <v>9월 2주</v>
      </c>
    </row>
    <row r="83" spans="1:6">
      <c r="A83" s="271">
        <f t="shared" si="11"/>
        <v>41529</v>
      </c>
      <c r="B83" s="81" t="str">
        <f t="shared" si="12"/>
        <v>목</v>
      </c>
      <c r="C83" s="81">
        <f t="shared" si="13"/>
        <v>37</v>
      </c>
      <c r="D83" s="81">
        <f t="shared" si="15"/>
        <v>9</v>
      </c>
      <c r="E83" s="81">
        <f t="shared" si="15"/>
        <v>2</v>
      </c>
      <c r="F83" s="81" t="str">
        <f t="shared" si="14"/>
        <v>9월 2주</v>
      </c>
    </row>
    <row r="84" spans="1:6">
      <c r="A84" s="271">
        <f t="shared" si="11"/>
        <v>41530</v>
      </c>
      <c r="B84" s="81" t="str">
        <f t="shared" si="12"/>
        <v>금</v>
      </c>
      <c r="C84" s="81">
        <f t="shared" si="13"/>
        <v>37</v>
      </c>
      <c r="D84" s="81">
        <f t="shared" si="15"/>
        <v>9</v>
      </c>
      <c r="E84" s="81">
        <f t="shared" si="15"/>
        <v>2</v>
      </c>
      <c r="F84" s="81" t="str">
        <f t="shared" si="14"/>
        <v>9월 2주</v>
      </c>
    </row>
    <row r="85" spans="1:6">
      <c r="A85" s="271">
        <f t="shared" si="11"/>
        <v>41531</v>
      </c>
      <c r="B85" s="81" t="str">
        <f t="shared" si="12"/>
        <v>토</v>
      </c>
      <c r="C85" s="81">
        <f t="shared" si="13"/>
        <v>37</v>
      </c>
      <c r="D85" s="81">
        <f t="shared" si="15"/>
        <v>9</v>
      </c>
      <c r="E85" s="81">
        <f t="shared" si="15"/>
        <v>2</v>
      </c>
      <c r="F85" s="81" t="str">
        <f t="shared" si="14"/>
        <v>9월 2주</v>
      </c>
    </row>
    <row r="86" spans="1:6">
      <c r="A86" s="271">
        <f t="shared" si="11"/>
        <v>41532</v>
      </c>
      <c r="B86" s="81" t="str">
        <f t="shared" si="12"/>
        <v>일</v>
      </c>
      <c r="C86" s="81">
        <f t="shared" si="13"/>
        <v>38</v>
      </c>
      <c r="D86" s="81">
        <f t="shared" si="15"/>
        <v>9</v>
      </c>
      <c r="E86" s="81">
        <f>E79+1</f>
        <v>3</v>
      </c>
      <c r="F86" s="81" t="str">
        <f t="shared" si="14"/>
        <v>9월 3주</v>
      </c>
    </row>
    <row r="87" spans="1:6">
      <c r="A87" s="271">
        <f t="shared" si="11"/>
        <v>41533</v>
      </c>
      <c r="B87" s="81" t="str">
        <f t="shared" si="12"/>
        <v>월</v>
      </c>
      <c r="C87" s="81">
        <f t="shared" si="13"/>
        <v>38</v>
      </c>
      <c r="D87" s="81">
        <f t="shared" si="15"/>
        <v>9</v>
      </c>
      <c r="E87" s="81">
        <f t="shared" si="15"/>
        <v>3</v>
      </c>
      <c r="F87" s="81" t="str">
        <f t="shared" si="14"/>
        <v>9월 3주</v>
      </c>
    </row>
    <row r="88" spans="1:6">
      <c r="A88" s="271">
        <f t="shared" si="11"/>
        <v>41534</v>
      </c>
      <c r="B88" s="81" t="str">
        <f t="shared" si="12"/>
        <v>화</v>
      </c>
      <c r="C88" s="81">
        <f t="shared" si="13"/>
        <v>38</v>
      </c>
      <c r="D88" s="81">
        <f t="shared" si="15"/>
        <v>9</v>
      </c>
      <c r="E88" s="81">
        <f t="shared" si="15"/>
        <v>3</v>
      </c>
      <c r="F88" s="81" t="str">
        <f t="shared" si="14"/>
        <v>9월 3주</v>
      </c>
    </row>
    <row r="89" spans="1:6">
      <c r="A89" s="271">
        <f t="shared" si="11"/>
        <v>41535</v>
      </c>
      <c r="B89" s="81" t="str">
        <f t="shared" si="12"/>
        <v>수</v>
      </c>
      <c r="C89" s="81">
        <f t="shared" si="13"/>
        <v>38</v>
      </c>
      <c r="D89" s="81">
        <f t="shared" si="15"/>
        <v>9</v>
      </c>
      <c r="E89" s="81">
        <f t="shared" si="15"/>
        <v>3</v>
      </c>
      <c r="F89" s="81" t="str">
        <f t="shared" si="14"/>
        <v>9월 3주</v>
      </c>
    </row>
    <row r="90" spans="1:6">
      <c r="A90" s="271">
        <f t="shared" si="11"/>
        <v>41536</v>
      </c>
      <c r="B90" s="81" t="str">
        <f t="shared" si="12"/>
        <v>목</v>
      </c>
      <c r="C90" s="81">
        <f t="shared" si="13"/>
        <v>38</v>
      </c>
      <c r="D90" s="81">
        <f t="shared" si="15"/>
        <v>9</v>
      </c>
      <c r="E90" s="81">
        <f t="shared" si="15"/>
        <v>3</v>
      </c>
      <c r="F90" s="81" t="str">
        <f t="shared" si="14"/>
        <v>9월 3주</v>
      </c>
    </row>
    <row r="91" spans="1:6">
      <c r="A91" s="271">
        <f t="shared" si="11"/>
        <v>41537</v>
      </c>
      <c r="B91" s="81" t="str">
        <f t="shared" si="12"/>
        <v>금</v>
      </c>
      <c r="C91" s="81">
        <f t="shared" si="13"/>
        <v>38</v>
      </c>
      <c r="D91" s="81">
        <f t="shared" si="15"/>
        <v>9</v>
      </c>
      <c r="E91" s="81">
        <f t="shared" si="15"/>
        <v>3</v>
      </c>
      <c r="F91" s="81" t="str">
        <f t="shared" si="14"/>
        <v>9월 3주</v>
      </c>
    </row>
    <row r="92" spans="1:6">
      <c r="A92" s="271">
        <f t="shared" si="11"/>
        <v>41538</v>
      </c>
      <c r="B92" s="81" t="str">
        <f t="shared" si="12"/>
        <v>토</v>
      </c>
      <c r="C92" s="81">
        <f t="shared" si="13"/>
        <v>38</v>
      </c>
      <c r="D92" s="81">
        <f t="shared" si="15"/>
        <v>9</v>
      </c>
      <c r="E92" s="81">
        <f t="shared" si="15"/>
        <v>3</v>
      </c>
      <c r="F92" s="81" t="str">
        <f t="shared" si="14"/>
        <v>9월 3주</v>
      </c>
    </row>
    <row r="93" spans="1:6">
      <c r="A93" s="271">
        <f t="shared" si="11"/>
        <v>41539</v>
      </c>
      <c r="B93" s="81" t="str">
        <f t="shared" si="12"/>
        <v>일</v>
      </c>
      <c r="C93" s="81">
        <f t="shared" si="13"/>
        <v>39</v>
      </c>
      <c r="D93" s="81">
        <f t="shared" si="15"/>
        <v>9</v>
      </c>
      <c r="E93" s="81">
        <f>E86+1</f>
        <v>4</v>
      </c>
      <c r="F93" s="81" t="str">
        <f t="shared" si="14"/>
        <v>9월 4주</v>
      </c>
    </row>
    <row r="94" spans="1:6">
      <c r="A94" s="271">
        <f t="shared" si="11"/>
        <v>41540</v>
      </c>
      <c r="B94" s="81" t="str">
        <f t="shared" si="12"/>
        <v>월</v>
      </c>
      <c r="C94" s="81">
        <f t="shared" si="13"/>
        <v>39</v>
      </c>
      <c r="D94" s="81">
        <f t="shared" si="15"/>
        <v>9</v>
      </c>
      <c r="E94" s="81">
        <f t="shared" si="15"/>
        <v>4</v>
      </c>
      <c r="F94" s="81" t="str">
        <f t="shared" si="14"/>
        <v>9월 4주</v>
      </c>
    </row>
    <row r="95" spans="1:6">
      <c r="A95" s="271">
        <f t="shared" si="11"/>
        <v>41541</v>
      </c>
      <c r="B95" s="81" t="str">
        <f t="shared" si="12"/>
        <v>화</v>
      </c>
      <c r="C95" s="81">
        <f t="shared" si="13"/>
        <v>39</v>
      </c>
      <c r="D95" s="81">
        <f t="shared" si="15"/>
        <v>9</v>
      </c>
      <c r="E95" s="81">
        <f t="shared" si="15"/>
        <v>4</v>
      </c>
      <c r="F95" s="81" t="str">
        <f t="shared" si="14"/>
        <v>9월 4주</v>
      </c>
    </row>
    <row r="96" spans="1:6">
      <c r="A96" s="271">
        <f t="shared" si="11"/>
        <v>41542</v>
      </c>
      <c r="B96" s="81" t="str">
        <f t="shared" si="12"/>
        <v>수</v>
      </c>
      <c r="C96" s="81">
        <f t="shared" si="13"/>
        <v>39</v>
      </c>
      <c r="D96" s="81">
        <f t="shared" si="15"/>
        <v>9</v>
      </c>
      <c r="E96" s="81">
        <f t="shared" si="15"/>
        <v>4</v>
      </c>
      <c r="F96" s="81" t="str">
        <f t="shared" si="14"/>
        <v>9월 4주</v>
      </c>
    </row>
    <row r="97" spans="1:6">
      <c r="A97" s="271">
        <f t="shared" si="11"/>
        <v>41543</v>
      </c>
      <c r="B97" s="81" t="str">
        <f t="shared" si="12"/>
        <v>목</v>
      </c>
      <c r="C97" s="81">
        <f t="shared" si="13"/>
        <v>39</v>
      </c>
      <c r="D97" s="81">
        <f t="shared" si="15"/>
        <v>9</v>
      </c>
      <c r="E97" s="81">
        <f t="shared" si="15"/>
        <v>4</v>
      </c>
      <c r="F97" s="81" t="str">
        <f t="shared" si="14"/>
        <v>9월 4주</v>
      </c>
    </row>
    <row r="98" spans="1:6">
      <c r="A98" s="271">
        <f t="shared" si="11"/>
        <v>41544</v>
      </c>
      <c r="B98" s="81" t="str">
        <f t="shared" si="12"/>
        <v>금</v>
      </c>
      <c r="C98" s="81">
        <f t="shared" si="13"/>
        <v>39</v>
      </c>
      <c r="D98" s="81">
        <f t="shared" si="15"/>
        <v>9</v>
      </c>
      <c r="E98" s="81">
        <f t="shared" si="15"/>
        <v>4</v>
      </c>
      <c r="F98" s="81" t="str">
        <f t="shared" si="14"/>
        <v>9월 4주</v>
      </c>
    </row>
    <row r="99" spans="1:6">
      <c r="A99" s="271">
        <f t="shared" si="11"/>
        <v>41545</v>
      </c>
      <c r="B99" s="81" t="str">
        <f t="shared" si="12"/>
        <v>토</v>
      </c>
      <c r="C99" s="81">
        <f t="shared" si="13"/>
        <v>39</v>
      </c>
      <c r="D99" s="81">
        <f t="shared" si="15"/>
        <v>9</v>
      </c>
      <c r="E99" s="81">
        <f t="shared" si="15"/>
        <v>4</v>
      </c>
      <c r="F99" s="81" t="str">
        <f t="shared" si="14"/>
        <v>9월 4주</v>
      </c>
    </row>
    <row r="100" spans="1:6">
      <c r="A100" s="271">
        <f t="shared" si="11"/>
        <v>41546</v>
      </c>
      <c r="B100" s="81" t="str">
        <f t="shared" si="12"/>
        <v>일</v>
      </c>
      <c r="C100" s="81">
        <f t="shared" si="13"/>
        <v>40</v>
      </c>
      <c r="D100" s="276">
        <v>10</v>
      </c>
      <c r="E100" s="276">
        <v>1</v>
      </c>
      <c r="F100" s="81" t="str">
        <f t="shared" si="14"/>
        <v>10월 1주</v>
      </c>
    </row>
    <row r="101" spans="1:6">
      <c r="A101" s="271">
        <f t="shared" si="11"/>
        <v>41547</v>
      </c>
      <c r="B101" s="81" t="str">
        <f t="shared" si="12"/>
        <v>월</v>
      </c>
      <c r="C101" s="81">
        <f t="shared" si="13"/>
        <v>40</v>
      </c>
      <c r="D101" s="81">
        <f t="shared" si="15"/>
        <v>10</v>
      </c>
      <c r="E101" s="81">
        <f t="shared" si="15"/>
        <v>1</v>
      </c>
      <c r="F101" s="81" t="str">
        <f t="shared" si="14"/>
        <v>10월 1주</v>
      </c>
    </row>
    <row r="102" spans="1:6">
      <c r="A102" s="271">
        <f t="shared" si="11"/>
        <v>41548</v>
      </c>
      <c r="B102" s="81" t="str">
        <f t="shared" si="12"/>
        <v>화</v>
      </c>
      <c r="C102" s="81">
        <f t="shared" si="13"/>
        <v>40</v>
      </c>
      <c r="D102" s="81">
        <f t="shared" si="15"/>
        <v>10</v>
      </c>
      <c r="E102" s="81">
        <f t="shared" si="15"/>
        <v>1</v>
      </c>
      <c r="F102" s="81" t="str">
        <f t="shared" si="14"/>
        <v>10월 1주</v>
      </c>
    </row>
    <row r="103" spans="1:6">
      <c r="A103" s="271">
        <f t="shared" si="11"/>
        <v>41549</v>
      </c>
      <c r="B103" s="81" t="str">
        <f t="shared" si="12"/>
        <v>수</v>
      </c>
      <c r="C103" s="81">
        <f t="shared" si="13"/>
        <v>40</v>
      </c>
      <c r="D103" s="81">
        <f t="shared" si="15"/>
        <v>10</v>
      </c>
      <c r="E103" s="81">
        <f t="shared" si="15"/>
        <v>1</v>
      </c>
      <c r="F103" s="81" t="str">
        <f t="shared" si="14"/>
        <v>10월 1주</v>
      </c>
    </row>
    <row r="104" spans="1:6">
      <c r="A104" s="271">
        <f t="shared" si="11"/>
        <v>41550</v>
      </c>
      <c r="B104" s="81" t="str">
        <f t="shared" si="12"/>
        <v>목</v>
      </c>
      <c r="C104" s="81">
        <f t="shared" si="13"/>
        <v>40</v>
      </c>
      <c r="D104" s="81">
        <f t="shared" si="15"/>
        <v>10</v>
      </c>
      <c r="E104" s="81">
        <f t="shared" si="15"/>
        <v>1</v>
      </c>
      <c r="F104" s="81" t="str">
        <f t="shared" si="14"/>
        <v>10월 1주</v>
      </c>
    </row>
    <row r="105" spans="1:6">
      <c r="A105" s="271">
        <f t="shared" si="11"/>
        <v>41551</v>
      </c>
      <c r="B105" s="81" t="str">
        <f t="shared" si="12"/>
        <v>금</v>
      </c>
      <c r="C105" s="81">
        <f t="shared" si="13"/>
        <v>40</v>
      </c>
      <c r="D105" s="81">
        <f t="shared" si="15"/>
        <v>10</v>
      </c>
      <c r="E105" s="81">
        <f t="shared" si="15"/>
        <v>1</v>
      </c>
      <c r="F105" s="81" t="str">
        <f t="shared" si="14"/>
        <v>10월 1주</v>
      </c>
    </row>
    <row r="106" spans="1:6">
      <c r="A106" s="271">
        <f t="shared" si="11"/>
        <v>41552</v>
      </c>
      <c r="B106" s="81" t="str">
        <f t="shared" si="12"/>
        <v>토</v>
      </c>
      <c r="C106" s="81">
        <f t="shared" si="13"/>
        <v>40</v>
      </c>
      <c r="D106" s="81">
        <f t="shared" si="15"/>
        <v>10</v>
      </c>
      <c r="E106" s="81">
        <f t="shared" si="15"/>
        <v>1</v>
      </c>
      <c r="F106" s="81" t="str">
        <f t="shared" si="14"/>
        <v>10월 1주</v>
      </c>
    </row>
    <row r="107" spans="1:6">
      <c r="A107" s="271">
        <f t="shared" si="11"/>
        <v>41553</v>
      </c>
      <c r="B107" s="81" t="str">
        <f t="shared" si="12"/>
        <v>일</v>
      </c>
      <c r="C107" s="81">
        <f t="shared" si="13"/>
        <v>41</v>
      </c>
      <c r="D107" s="81">
        <f t="shared" si="15"/>
        <v>10</v>
      </c>
      <c r="E107" s="81">
        <f>E100+1</f>
        <v>2</v>
      </c>
      <c r="F107" s="81" t="str">
        <f t="shared" si="14"/>
        <v>10월 2주</v>
      </c>
    </row>
    <row r="108" spans="1:6">
      <c r="A108" s="271">
        <f t="shared" si="11"/>
        <v>41554</v>
      </c>
      <c r="B108" s="81" t="str">
        <f t="shared" si="12"/>
        <v>월</v>
      </c>
      <c r="C108" s="81">
        <f t="shared" si="13"/>
        <v>41</v>
      </c>
      <c r="D108" s="81">
        <f t="shared" si="15"/>
        <v>10</v>
      </c>
      <c r="E108" s="81">
        <f t="shared" si="15"/>
        <v>2</v>
      </c>
      <c r="F108" s="81" t="str">
        <f t="shared" si="14"/>
        <v>10월 2주</v>
      </c>
    </row>
    <row r="109" spans="1:6">
      <c r="A109" s="271">
        <f t="shared" si="11"/>
        <v>41555</v>
      </c>
      <c r="B109" s="81" t="str">
        <f t="shared" si="12"/>
        <v>화</v>
      </c>
      <c r="C109" s="81">
        <f t="shared" si="13"/>
        <v>41</v>
      </c>
      <c r="D109" s="81">
        <f t="shared" si="15"/>
        <v>10</v>
      </c>
      <c r="E109" s="81">
        <f t="shared" si="15"/>
        <v>2</v>
      </c>
      <c r="F109" s="81" t="str">
        <f t="shared" si="14"/>
        <v>10월 2주</v>
      </c>
    </row>
    <row r="110" spans="1:6">
      <c r="A110" s="271">
        <f t="shared" si="11"/>
        <v>41556</v>
      </c>
      <c r="B110" s="81" t="str">
        <f t="shared" si="12"/>
        <v>수</v>
      </c>
      <c r="C110" s="81">
        <f t="shared" si="13"/>
        <v>41</v>
      </c>
      <c r="D110" s="81">
        <f t="shared" si="15"/>
        <v>10</v>
      </c>
      <c r="E110" s="81">
        <f t="shared" si="15"/>
        <v>2</v>
      </c>
      <c r="F110" s="81" t="str">
        <f t="shared" si="14"/>
        <v>10월 2주</v>
      </c>
    </row>
    <row r="111" spans="1:6">
      <c r="A111" s="271">
        <f t="shared" si="11"/>
        <v>41557</v>
      </c>
      <c r="B111" s="81" t="str">
        <f t="shared" si="12"/>
        <v>목</v>
      </c>
      <c r="C111" s="81">
        <f t="shared" si="13"/>
        <v>41</v>
      </c>
      <c r="D111" s="81">
        <f t="shared" si="15"/>
        <v>10</v>
      </c>
      <c r="E111" s="81">
        <f t="shared" si="15"/>
        <v>2</v>
      </c>
      <c r="F111" s="81" t="str">
        <f t="shared" si="14"/>
        <v>10월 2주</v>
      </c>
    </row>
    <row r="112" spans="1:6">
      <c r="A112" s="271">
        <f t="shared" si="11"/>
        <v>41558</v>
      </c>
      <c r="B112" s="81" t="str">
        <f t="shared" si="12"/>
        <v>금</v>
      </c>
      <c r="C112" s="81">
        <f t="shared" si="13"/>
        <v>41</v>
      </c>
      <c r="D112" s="81">
        <f t="shared" si="15"/>
        <v>10</v>
      </c>
      <c r="E112" s="81">
        <f t="shared" si="15"/>
        <v>2</v>
      </c>
      <c r="F112" s="81" t="str">
        <f t="shared" si="14"/>
        <v>10월 2주</v>
      </c>
    </row>
    <row r="113" spans="1:6">
      <c r="A113" s="271">
        <f t="shared" si="11"/>
        <v>41559</v>
      </c>
      <c r="B113" s="81" t="str">
        <f t="shared" si="12"/>
        <v>토</v>
      </c>
      <c r="C113" s="81">
        <f t="shared" si="13"/>
        <v>41</v>
      </c>
      <c r="D113" s="81">
        <f t="shared" si="15"/>
        <v>10</v>
      </c>
      <c r="E113" s="81">
        <f t="shared" si="15"/>
        <v>2</v>
      </c>
      <c r="F113" s="81" t="str">
        <f t="shared" si="14"/>
        <v>10월 2주</v>
      </c>
    </row>
    <row r="114" spans="1:6">
      <c r="A114" s="271">
        <f t="shared" si="11"/>
        <v>41560</v>
      </c>
      <c r="B114" s="81" t="str">
        <f t="shared" si="12"/>
        <v>일</v>
      </c>
      <c r="C114" s="81">
        <f t="shared" si="13"/>
        <v>42</v>
      </c>
      <c r="D114" s="81">
        <f t="shared" si="15"/>
        <v>10</v>
      </c>
      <c r="E114" s="81">
        <f>E107+1</f>
        <v>3</v>
      </c>
      <c r="F114" s="81" t="str">
        <f t="shared" si="14"/>
        <v>10월 3주</v>
      </c>
    </row>
    <row r="115" spans="1:6">
      <c r="A115" s="271">
        <f t="shared" si="11"/>
        <v>41561</v>
      </c>
      <c r="B115" s="81" t="str">
        <f t="shared" si="12"/>
        <v>월</v>
      </c>
      <c r="C115" s="81">
        <f t="shared" si="13"/>
        <v>42</v>
      </c>
      <c r="D115" s="81">
        <f t="shared" si="15"/>
        <v>10</v>
      </c>
      <c r="E115" s="81">
        <f t="shared" si="15"/>
        <v>3</v>
      </c>
      <c r="F115" s="81" t="str">
        <f t="shared" si="14"/>
        <v>10월 3주</v>
      </c>
    </row>
    <row r="116" spans="1:6">
      <c r="A116" s="271">
        <f t="shared" si="11"/>
        <v>41562</v>
      </c>
      <c r="B116" s="81" t="str">
        <f t="shared" si="12"/>
        <v>화</v>
      </c>
      <c r="C116" s="81">
        <f t="shared" si="13"/>
        <v>42</v>
      </c>
      <c r="D116" s="81">
        <f t="shared" si="15"/>
        <v>10</v>
      </c>
      <c r="E116" s="81">
        <f t="shared" si="15"/>
        <v>3</v>
      </c>
      <c r="F116" s="81" t="str">
        <f t="shared" si="14"/>
        <v>10월 3주</v>
      </c>
    </row>
    <row r="117" spans="1:6">
      <c r="A117" s="271">
        <f t="shared" si="11"/>
        <v>41563</v>
      </c>
      <c r="B117" s="81" t="str">
        <f t="shared" si="12"/>
        <v>수</v>
      </c>
      <c r="C117" s="81">
        <f t="shared" si="13"/>
        <v>42</v>
      </c>
      <c r="D117" s="81">
        <f t="shared" si="15"/>
        <v>10</v>
      </c>
      <c r="E117" s="81">
        <f t="shared" si="15"/>
        <v>3</v>
      </c>
      <c r="F117" s="81" t="str">
        <f t="shared" si="14"/>
        <v>10월 3주</v>
      </c>
    </row>
    <row r="118" spans="1:6">
      <c r="A118" s="271">
        <f t="shared" si="11"/>
        <v>41564</v>
      </c>
      <c r="B118" s="81" t="str">
        <f t="shared" si="12"/>
        <v>목</v>
      </c>
      <c r="C118" s="81">
        <f t="shared" si="13"/>
        <v>42</v>
      </c>
      <c r="D118" s="81">
        <f t="shared" si="15"/>
        <v>10</v>
      </c>
      <c r="E118" s="81">
        <f t="shared" si="15"/>
        <v>3</v>
      </c>
      <c r="F118" s="81" t="str">
        <f t="shared" si="14"/>
        <v>10월 3주</v>
      </c>
    </row>
    <row r="119" spans="1:6">
      <c r="A119" s="271">
        <f t="shared" si="11"/>
        <v>41565</v>
      </c>
      <c r="B119" s="81" t="str">
        <f t="shared" si="12"/>
        <v>금</v>
      </c>
      <c r="C119" s="81">
        <f t="shared" si="13"/>
        <v>42</v>
      </c>
      <c r="D119" s="81">
        <f t="shared" si="15"/>
        <v>10</v>
      </c>
      <c r="E119" s="81">
        <f t="shared" si="15"/>
        <v>3</v>
      </c>
      <c r="F119" s="81" t="str">
        <f t="shared" si="14"/>
        <v>10월 3주</v>
      </c>
    </row>
    <row r="120" spans="1:6">
      <c r="A120" s="271">
        <f t="shared" si="11"/>
        <v>41566</v>
      </c>
      <c r="B120" s="81" t="str">
        <f t="shared" si="12"/>
        <v>토</v>
      </c>
      <c r="C120" s="81">
        <f t="shared" si="13"/>
        <v>42</v>
      </c>
      <c r="D120" s="81">
        <f t="shared" si="15"/>
        <v>10</v>
      </c>
      <c r="E120" s="81">
        <f t="shared" si="15"/>
        <v>3</v>
      </c>
      <c r="F120" s="81" t="str">
        <f t="shared" si="14"/>
        <v>10월 3주</v>
      </c>
    </row>
    <row r="121" spans="1:6">
      <c r="A121" s="271">
        <f t="shared" si="11"/>
        <v>41567</v>
      </c>
      <c r="B121" s="81" t="str">
        <f t="shared" si="12"/>
        <v>일</v>
      </c>
      <c r="C121" s="81">
        <f t="shared" si="13"/>
        <v>43</v>
      </c>
      <c r="D121" s="81">
        <f t="shared" si="15"/>
        <v>10</v>
      </c>
      <c r="E121" s="81">
        <f>E114+1</f>
        <v>4</v>
      </c>
      <c r="F121" s="81" t="str">
        <f t="shared" si="14"/>
        <v>10월 4주</v>
      </c>
    </row>
    <row r="122" spans="1:6">
      <c r="A122" s="271">
        <f t="shared" si="11"/>
        <v>41568</v>
      </c>
      <c r="B122" s="81" t="str">
        <f t="shared" si="12"/>
        <v>월</v>
      </c>
      <c r="C122" s="81">
        <f t="shared" si="13"/>
        <v>43</v>
      </c>
      <c r="D122" s="81">
        <f t="shared" si="15"/>
        <v>10</v>
      </c>
      <c r="E122" s="81">
        <f t="shared" si="15"/>
        <v>4</v>
      </c>
      <c r="F122" s="81" t="str">
        <f t="shared" si="14"/>
        <v>10월 4주</v>
      </c>
    </row>
    <row r="123" spans="1:6">
      <c r="A123" s="271">
        <f t="shared" si="11"/>
        <v>41569</v>
      </c>
      <c r="B123" s="81" t="str">
        <f t="shared" si="12"/>
        <v>화</v>
      </c>
      <c r="C123" s="81">
        <f t="shared" si="13"/>
        <v>43</v>
      </c>
      <c r="D123" s="81">
        <f t="shared" si="15"/>
        <v>10</v>
      </c>
      <c r="E123" s="81">
        <f t="shared" si="15"/>
        <v>4</v>
      </c>
      <c r="F123" s="81" t="str">
        <f t="shared" si="14"/>
        <v>10월 4주</v>
      </c>
    </row>
    <row r="124" spans="1:6">
      <c r="A124" s="271">
        <f t="shared" si="11"/>
        <v>41570</v>
      </c>
      <c r="B124" s="81" t="str">
        <f t="shared" si="12"/>
        <v>수</v>
      </c>
      <c r="C124" s="81">
        <f t="shared" si="13"/>
        <v>43</v>
      </c>
      <c r="D124" s="81">
        <f t="shared" si="15"/>
        <v>10</v>
      </c>
      <c r="E124" s="81">
        <f t="shared" si="15"/>
        <v>4</v>
      </c>
      <c r="F124" s="81" t="str">
        <f t="shared" si="14"/>
        <v>10월 4주</v>
      </c>
    </row>
    <row r="125" spans="1:6">
      <c r="A125" s="271">
        <f t="shared" si="11"/>
        <v>41571</v>
      </c>
      <c r="B125" s="81" t="str">
        <f t="shared" si="12"/>
        <v>목</v>
      </c>
      <c r="C125" s="81">
        <f t="shared" si="13"/>
        <v>43</v>
      </c>
      <c r="D125" s="81">
        <f t="shared" si="15"/>
        <v>10</v>
      </c>
      <c r="E125" s="81">
        <f t="shared" si="15"/>
        <v>4</v>
      </c>
      <c r="F125" s="81" t="str">
        <f t="shared" si="14"/>
        <v>10월 4주</v>
      </c>
    </row>
    <row r="126" spans="1:6">
      <c r="A126" s="271">
        <f t="shared" si="11"/>
        <v>41572</v>
      </c>
      <c r="B126" s="81" t="str">
        <f t="shared" si="12"/>
        <v>금</v>
      </c>
      <c r="C126" s="81">
        <f t="shared" si="13"/>
        <v>43</v>
      </c>
      <c r="D126" s="81">
        <f t="shared" si="15"/>
        <v>10</v>
      </c>
      <c r="E126" s="81">
        <f t="shared" si="15"/>
        <v>4</v>
      </c>
      <c r="F126" s="81" t="str">
        <f t="shared" si="14"/>
        <v>10월 4주</v>
      </c>
    </row>
    <row r="127" spans="1:6">
      <c r="A127" s="271">
        <f t="shared" si="11"/>
        <v>41573</v>
      </c>
      <c r="B127" s="81" t="str">
        <f t="shared" si="12"/>
        <v>토</v>
      </c>
      <c r="C127" s="81">
        <f t="shared" si="13"/>
        <v>43</v>
      </c>
      <c r="D127" s="81">
        <f t="shared" si="15"/>
        <v>10</v>
      </c>
      <c r="E127" s="81">
        <f t="shared" si="15"/>
        <v>4</v>
      </c>
      <c r="F127" s="81" t="str">
        <f t="shared" si="14"/>
        <v>10월 4주</v>
      </c>
    </row>
    <row r="128" spans="1:6">
      <c r="A128" s="271">
        <f t="shared" si="11"/>
        <v>41574</v>
      </c>
      <c r="B128" s="81" t="str">
        <f t="shared" si="12"/>
        <v>일</v>
      </c>
      <c r="C128" s="81">
        <f t="shared" si="13"/>
        <v>44</v>
      </c>
      <c r="D128" s="81">
        <f t="shared" si="15"/>
        <v>10</v>
      </c>
      <c r="E128" s="81">
        <f>E121+1</f>
        <v>5</v>
      </c>
      <c r="F128" s="81" t="str">
        <f t="shared" si="14"/>
        <v>10월 5주</v>
      </c>
    </row>
    <row r="129" spans="1:6">
      <c r="A129" s="271">
        <f t="shared" si="11"/>
        <v>41575</v>
      </c>
      <c r="B129" s="81" t="str">
        <f t="shared" si="12"/>
        <v>월</v>
      </c>
      <c r="C129" s="81">
        <f t="shared" si="13"/>
        <v>44</v>
      </c>
      <c r="D129" s="81">
        <f t="shared" si="15"/>
        <v>10</v>
      </c>
      <c r="E129" s="81">
        <f t="shared" si="15"/>
        <v>5</v>
      </c>
      <c r="F129" s="81" t="str">
        <f t="shared" si="14"/>
        <v>10월 5주</v>
      </c>
    </row>
    <row r="130" spans="1:6">
      <c r="A130" s="271">
        <f t="shared" ref="A130:A193" si="16">A129+1</f>
        <v>41576</v>
      </c>
      <c r="B130" s="81" t="str">
        <f t="shared" si="12"/>
        <v>화</v>
      </c>
      <c r="C130" s="81">
        <f t="shared" si="13"/>
        <v>44</v>
      </c>
      <c r="D130" s="81">
        <f t="shared" si="15"/>
        <v>10</v>
      </c>
      <c r="E130" s="81">
        <f t="shared" si="15"/>
        <v>5</v>
      </c>
      <c r="F130" s="81" t="str">
        <f t="shared" si="14"/>
        <v>10월 5주</v>
      </c>
    </row>
    <row r="131" spans="1:6">
      <c r="A131" s="271">
        <f t="shared" si="16"/>
        <v>41577</v>
      </c>
      <c r="B131" s="81" t="str">
        <f t="shared" si="12"/>
        <v>수</v>
      </c>
      <c r="C131" s="81">
        <f t="shared" si="13"/>
        <v>44</v>
      </c>
      <c r="D131" s="81">
        <f t="shared" si="15"/>
        <v>10</v>
      </c>
      <c r="E131" s="81">
        <f t="shared" si="15"/>
        <v>5</v>
      </c>
      <c r="F131" s="81" t="str">
        <f t="shared" si="14"/>
        <v>10월 5주</v>
      </c>
    </row>
    <row r="132" spans="1:6">
      <c r="A132" s="271">
        <f t="shared" si="16"/>
        <v>41578</v>
      </c>
      <c r="B132" s="81" t="str">
        <f t="shared" si="12"/>
        <v>목</v>
      </c>
      <c r="C132" s="81">
        <f t="shared" si="13"/>
        <v>44</v>
      </c>
      <c r="D132" s="81">
        <f t="shared" si="15"/>
        <v>10</v>
      </c>
      <c r="E132" s="81">
        <f t="shared" si="15"/>
        <v>5</v>
      </c>
      <c r="F132" s="81" t="str">
        <f t="shared" si="14"/>
        <v>10월 5주</v>
      </c>
    </row>
    <row r="133" spans="1:6">
      <c r="A133" s="271">
        <f t="shared" si="16"/>
        <v>41579</v>
      </c>
      <c r="B133" s="81" t="str">
        <f t="shared" si="12"/>
        <v>금</v>
      </c>
      <c r="C133" s="81">
        <f t="shared" si="13"/>
        <v>44</v>
      </c>
      <c r="D133" s="81">
        <f t="shared" si="15"/>
        <v>10</v>
      </c>
      <c r="E133" s="81">
        <f t="shared" si="15"/>
        <v>5</v>
      </c>
      <c r="F133" s="81" t="str">
        <f t="shared" si="14"/>
        <v>10월 5주</v>
      </c>
    </row>
    <row r="134" spans="1:6">
      <c r="A134" s="271">
        <f t="shared" si="16"/>
        <v>41580</v>
      </c>
      <c r="B134" s="81" t="str">
        <f t="shared" si="12"/>
        <v>토</v>
      </c>
      <c r="C134" s="81">
        <f t="shared" si="13"/>
        <v>44</v>
      </c>
      <c r="D134" s="81">
        <f t="shared" si="15"/>
        <v>10</v>
      </c>
      <c r="E134" s="81">
        <f t="shared" si="15"/>
        <v>5</v>
      </c>
      <c r="F134" s="81" t="str">
        <f t="shared" si="14"/>
        <v>10월 5주</v>
      </c>
    </row>
    <row r="135" spans="1:6">
      <c r="A135" s="271">
        <f t="shared" si="16"/>
        <v>41581</v>
      </c>
      <c r="B135" s="81" t="str">
        <f t="shared" si="12"/>
        <v>일</v>
      </c>
      <c r="C135" s="81">
        <f t="shared" si="13"/>
        <v>45</v>
      </c>
      <c r="D135" s="276">
        <v>11</v>
      </c>
      <c r="E135" s="276">
        <v>1</v>
      </c>
      <c r="F135" s="81" t="str">
        <f t="shared" si="14"/>
        <v>11월 1주</v>
      </c>
    </row>
    <row r="136" spans="1:6">
      <c r="A136" s="271">
        <f t="shared" si="16"/>
        <v>41582</v>
      </c>
      <c r="B136" s="81" t="str">
        <f t="shared" si="12"/>
        <v>월</v>
      </c>
      <c r="C136" s="81">
        <f t="shared" si="13"/>
        <v>45</v>
      </c>
      <c r="D136" s="81">
        <f t="shared" si="15"/>
        <v>11</v>
      </c>
      <c r="E136" s="81">
        <f t="shared" si="15"/>
        <v>1</v>
      </c>
      <c r="F136" s="81" t="str">
        <f t="shared" si="14"/>
        <v>11월 1주</v>
      </c>
    </row>
    <row r="137" spans="1:6">
      <c r="A137" s="271">
        <f t="shared" si="16"/>
        <v>41583</v>
      </c>
      <c r="B137" s="81" t="str">
        <f t="shared" si="12"/>
        <v>화</v>
      </c>
      <c r="C137" s="81">
        <f t="shared" si="13"/>
        <v>45</v>
      </c>
      <c r="D137" s="81">
        <f t="shared" si="15"/>
        <v>11</v>
      </c>
      <c r="E137" s="81">
        <f t="shared" si="15"/>
        <v>1</v>
      </c>
      <c r="F137" s="81" t="str">
        <f t="shared" si="14"/>
        <v>11월 1주</v>
      </c>
    </row>
    <row r="138" spans="1:6">
      <c r="A138" s="271">
        <f t="shared" si="16"/>
        <v>41584</v>
      </c>
      <c r="B138" s="81" t="str">
        <f t="shared" ref="B138:B201" si="17">TEXT(A138,"AAA")</f>
        <v>수</v>
      </c>
      <c r="C138" s="81">
        <f t="shared" ref="C138:C201" si="18">WEEKNUM(A138)</f>
        <v>45</v>
      </c>
      <c r="D138" s="81">
        <f t="shared" si="15"/>
        <v>11</v>
      </c>
      <c r="E138" s="81">
        <f t="shared" si="15"/>
        <v>1</v>
      </c>
      <c r="F138" s="81" t="str">
        <f t="shared" ref="F138:F201" si="19">D138&amp;"월 "&amp;E138&amp;"주"</f>
        <v>11월 1주</v>
      </c>
    </row>
    <row r="139" spans="1:6">
      <c r="A139" s="271">
        <f t="shared" si="16"/>
        <v>41585</v>
      </c>
      <c r="B139" s="81" t="str">
        <f t="shared" si="17"/>
        <v>목</v>
      </c>
      <c r="C139" s="81">
        <f t="shared" si="18"/>
        <v>45</v>
      </c>
      <c r="D139" s="81">
        <f t="shared" ref="D139:E197" si="20">D138</f>
        <v>11</v>
      </c>
      <c r="E139" s="81">
        <f t="shared" si="20"/>
        <v>1</v>
      </c>
      <c r="F139" s="81" t="str">
        <f t="shared" si="19"/>
        <v>11월 1주</v>
      </c>
    </row>
    <row r="140" spans="1:6">
      <c r="A140" s="271">
        <f t="shared" si="16"/>
        <v>41586</v>
      </c>
      <c r="B140" s="81" t="str">
        <f t="shared" si="17"/>
        <v>금</v>
      </c>
      <c r="C140" s="81">
        <f t="shared" si="18"/>
        <v>45</v>
      </c>
      <c r="D140" s="81">
        <f t="shared" si="20"/>
        <v>11</v>
      </c>
      <c r="E140" s="81">
        <f t="shared" si="20"/>
        <v>1</v>
      </c>
      <c r="F140" s="81" t="str">
        <f t="shared" si="19"/>
        <v>11월 1주</v>
      </c>
    </row>
    <row r="141" spans="1:6">
      <c r="A141" s="271">
        <f t="shared" si="16"/>
        <v>41587</v>
      </c>
      <c r="B141" s="81" t="str">
        <f t="shared" si="17"/>
        <v>토</v>
      </c>
      <c r="C141" s="81">
        <f t="shared" si="18"/>
        <v>45</v>
      </c>
      <c r="D141" s="81">
        <f t="shared" si="20"/>
        <v>11</v>
      </c>
      <c r="E141" s="81">
        <f t="shared" si="20"/>
        <v>1</v>
      </c>
      <c r="F141" s="81" t="str">
        <f t="shared" si="19"/>
        <v>11월 1주</v>
      </c>
    </row>
    <row r="142" spans="1:6">
      <c r="A142" s="271">
        <f t="shared" si="16"/>
        <v>41588</v>
      </c>
      <c r="B142" s="81" t="str">
        <f t="shared" si="17"/>
        <v>일</v>
      </c>
      <c r="C142" s="81">
        <f t="shared" si="18"/>
        <v>46</v>
      </c>
      <c r="D142" s="81">
        <f t="shared" si="20"/>
        <v>11</v>
      </c>
      <c r="E142" s="81">
        <f>E135+1</f>
        <v>2</v>
      </c>
      <c r="F142" s="81" t="str">
        <f t="shared" si="19"/>
        <v>11월 2주</v>
      </c>
    </row>
    <row r="143" spans="1:6">
      <c r="A143" s="271">
        <f t="shared" si="16"/>
        <v>41589</v>
      </c>
      <c r="B143" s="81" t="str">
        <f t="shared" si="17"/>
        <v>월</v>
      </c>
      <c r="C143" s="81">
        <f t="shared" si="18"/>
        <v>46</v>
      </c>
      <c r="D143" s="81">
        <f t="shared" si="20"/>
        <v>11</v>
      </c>
      <c r="E143" s="81">
        <f t="shared" si="20"/>
        <v>2</v>
      </c>
      <c r="F143" s="81" t="str">
        <f t="shared" si="19"/>
        <v>11월 2주</v>
      </c>
    </row>
    <row r="144" spans="1:6">
      <c r="A144" s="271">
        <f t="shared" si="16"/>
        <v>41590</v>
      </c>
      <c r="B144" s="81" t="str">
        <f t="shared" si="17"/>
        <v>화</v>
      </c>
      <c r="C144" s="81">
        <f t="shared" si="18"/>
        <v>46</v>
      </c>
      <c r="D144" s="81">
        <f t="shared" si="20"/>
        <v>11</v>
      </c>
      <c r="E144" s="81">
        <f t="shared" si="20"/>
        <v>2</v>
      </c>
      <c r="F144" s="81" t="str">
        <f t="shared" si="19"/>
        <v>11월 2주</v>
      </c>
    </row>
    <row r="145" spans="1:6">
      <c r="A145" s="271">
        <f t="shared" si="16"/>
        <v>41591</v>
      </c>
      <c r="B145" s="81" t="str">
        <f t="shared" si="17"/>
        <v>수</v>
      </c>
      <c r="C145" s="81">
        <f t="shared" si="18"/>
        <v>46</v>
      </c>
      <c r="D145" s="81">
        <f t="shared" si="20"/>
        <v>11</v>
      </c>
      <c r="E145" s="81">
        <f t="shared" si="20"/>
        <v>2</v>
      </c>
      <c r="F145" s="81" t="str">
        <f t="shared" si="19"/>
        <v>11월 2주</v>
      </c>
    </row>
    <row r="146" spans="1:6">
      <c r="A146" s="271">
        <f t="shared" si="16"/>
        <v>41592</v>
      </c>
      <c r="B146" s="81" t="str">
        <f t="shared" si="17"/>
        <v>목</v>
      </c>
      <c r="C146" s="81">
        <f t="shared" si="18"/>
        <v>46</v>
      </c>
      <c r="D146" s="81">
        <f t="shared" si="20"/>
        <v>11</v>
      </c>
      <c r="E146" s="81">
        <f t="shared" si="20"/>
        <v>2</v>
      </c>
      <c r="F146" s="81" t="str">
        <f t="shared" si="19"/>
        <v>11월 2주</v>
      </c>
    </row>
    <row r="147" spans="1:6">
      <c r="A147" s="271">
        <f t="shared" si="16"/>
        <v>41593</v>
      </c>
      <c r="B147" s="81" t="str">
        <f t="shared" si="17"/>
        <v>금</v>
      </c>
      <c r="C147" s="81">
        <f t="shared" si="18"/>
        <v>46</v>
      </c>
      <c r="D147" s="81">
        <f t="shared" si="20"/>
        <v>11</v>
      </c>
      <c r="E147" s="81">
        <f t="shared" si="20"/>
        <v>2</v>
      </c>
      <c r="F147" s="81" t="str">
        <f t="shared" si="19"/>
        <v>11월 2주</v>
      </c>
    </row>
    <row r="148" spans="1:6">
      <c r="A148" s="271">
        <f t="shared" si="16"/>
        <v>41594</v>
      </c>
      <c r="B148" s="81" t="str">
        <f t="shared" si="17"/>
        <v>토</v>
      </c>
      <c r="C148" s="81">
        <f t="shared" si="18"/>
        <v>46</v>
      </c>
      <c r="D148" s="81">
        <f t="shared" si="20"/>
        <v>11</v>
      </c>
      <c r="E148" s="81">
        <f t="shared" si="20"/>
        <v>2</v>
      </c>
      <c r="F148" s="81" t="str">
        <f t="shared" si="19"/>
        <v>11월 2주</v>
      </c>
    </row>
    <row r="149" spans="1:6">
      <c r="A149" s="271">
        <f t="shared" si="16"/>
        <v>41595</v>
      </c>
      <c r="B149" s="81" t="str">
        <f t="shared" si="17"/>
        <v>일</v>
      </c>
      <c r="C149" s="81">
        <f t="shared" si="18"/>
        <v>47</v>
      </c>
      <c r="D149" s="81">
        <f t="shared" si="20"/>
        <v>11</v>
      </c>
      <c r="E149" s="81">
        <f>E142+1</f>
        <v>3</v>
      </c>
      <c r="F149" s="81" t="str">
        <f t="shared" si="19"/>
        <v>11월 3주</v>
      </c>
    </row>
    <row r="150" spans="1:6">
      <c r="A150" s="271">
        <f t="shared" si="16"/>
        <v>41596</v>
      </c>
      <c r="B150" s="81" t="str">
        <f t="shared" si="17"/>
        <v>월</v>
      </c>
      <c r="C150" s="81">
        <f t="shared" si="18"/>
        <v>47</v>
      </c>
      <c r="D150" s="81">
        <f t="shared" si="20"/>
        <v>11</v>
      </c>
      <c r="E150" s="81">
        <f t="shared" si="20"/>
        <v>3</v>
      </c>
      <c r="F150" s="81" t="str">
        <f t="shared" si="19"/>
        <v>11월 3주</v>
      </c>
    </row>
    <row r="151" spans="1:6">
      <c r="A151" s="271">
        <f t="shared" si="16"/>
        <v>41597</v>
      </c>
      <c r="B151" s="81" t="str">
        <f t="shared" si="17"/>
        <v>화</v>
      </c>
      <c r="C151" s="81">
        <f t="shared" si="18"/>
        <v>47</v>
      </c>
      <c r="D151" s="81">
        <f t="shared" si="20"/>
        <v>11</v>
      </c>
      <c r="E151" s="81">
        <f t="shared" si="20"/>
        <v>3</v>
      </c>
      <c r="F151" s="81" t="str">
        <f t="shared" si="19"/>
        <v>11월 3주</v>
      </c>
    </row>
    <row r="152" spans="1:6">
      <c r="A152" s="271">
        <f t="shared" si="16"/>
        <v>41598</v>
      </c>
      <c r="B152" s="81" t="str">
        <f t="shared" si="17"/>
        <v>수</v>
      </c>
      <c r="C152" s="81">
        <f t="shared" si="18"/>
        <v>47</v>
      </c>
      <c r="D152" s="81">
        <f t="shared" si="20"/>
        <v>11</v>
      </c>
      <c r="E152" s="81">
        <f t="shared" si="20"/>
        <v>3</v>
      </c>
      <c r="F152" s="81" t="str">
        <f t="shared" si="19"/>
        <v>11월 3주</v>
      </c>
    </row>
    <row r="153" spans="1:6">
      <c r="A153" s="271">
        <f t="shared" si="16"/>
        <v>41599</v>
      </c>
      <c r="B153" s="81" t="str">
        <f t="shared" si="17"/>
        <v>목</v>
      </c>
      <c r="C153" s="81">
        <f t="shared" si="18"/>
        <v>47</v>
      </c>
      <c r="D153" s="81">
        <f t="shared" si="20"/>
        <v>11</v>
      </c>
      <c r="E153" s="81">
        <f t="shared" si="20"/>
        <v>3</v>
      </c>
      <c r="F153" s="81" t="str">
        <f t="shared" si="19"/>
        <v>11월 3주</v>
      </c>
    </row>
    <row r="154" spans="1:6">
      <c r="A154" s="271">
        <f t="shared" si="16"/>
        <v>41600</v>
      </c>
      <c r="B154" s="81" t="str">
        <f t="shared" si="17"/>
        <v>금</v>
      </c>
      <c r="C154" s="81">
        <f t="shared" si="18"/>
        <v>47</v>
      </c>
      <c r="D154" s="81">
        <f t="shared" si="20"/>
        <v>11</v>
      </c>
      <c r="E154" s="81">
        <f t="shared" si="20"/>
        <v>3</v>
      </c>
      <c r="F154" s="81" t="str">
        <f t="shared" si="19"/>
        <v>11월 3주</v>
      </c>
    </row>
    <row r="155" spans="1:6">
      <c r="A155" s="271">
        <f t="shared" si="16"/>
        <v>41601</v>
      </c>
      <c r="B155" s="81" t="str">
        <f t="shared" si="17"/>
        <v>토</v>
      </c>
      <c r="C155" s="81">
        <f t="shared" si="18"/>
        <v>47</v>
      </c>
      <c r="D155" s="81">
        <f t="shared" si="20"/>
        <v>11</v>
      </c>
      <c r="E155" s="81">
        <f t="shared" si="20"/>
        <v>3</v>
      </c>
      <c r="F155" s="81" t="str">
        <f t="shared" si="19"/>
        <v>11월 3주</v>
      </c>
    </row>
    <row r="156" spans="1:6">
      <c r="A156" s="271">
        <f t="shared" si="16"/>
        <v>41602</v>
      </c>
      <c r="B156" s="81" t="str">
        <f t="shared" si="17"/>
        <v>일</v>
      </c>
      <c r="C156" s="81">
        <f t="shared" si="18"/>
        <v>48</v>
      </c>
      <c r="D156" s="81">
        <f t="shared" si="20"/>
        <v>11</v>
      </c>
      <c r="E156" s="81">
        <f>E149+1</f>
        <v>4</v>
      </c>
      <c r="F156" s="81" t="str">
        <f t="shared" si="19"/>
        <v>11월 4주</v>
      </c>
    </row>
    <row r="157" spans="1:6">
      <c r="A157" s="271">
        <f t="shared" si="16"/>
        <v>41603</v>
      </c>
      <c r="B157" s="81" t="str">
        <f t="shared" si="17"/>
        <v>월</v>
      </c>
      <c r="C157" s="81">
        <f t="shared" si="18"/>
        <v>48</v>
      </c>
      <c r="D157" s="81">
        <f t="shared" si="20"/>
        <v>11</v>
      </c>
      <c r="E157" s="81">
        <f t="shared" si="20"/>
        <v>4</v>
      </c>
      <c r="F157" s="81" t="str">
        <f t="shared" si="19"/>
        <v>11월 4주</v>
      </c>
    </row>
    <row r="158" spans="1:6">
      <c r="A158" s="271">
        <f t="shared" si="16"/>
        <v>41604</v>
      </c>
      <c r="B158" s="81" t="str">
        <f t="shared" si="17"/>
        <v>화</v>
      </c>
      <c r="C158" s="81">
        <f t="shared" si="18"/>
        <v>48</v>
      </c>
      <c r="D158" s="81">
        <f t="shared" si="20"/>
        <v>11</v>
      </c>
      <c r="E158" s="81">
        <f t="shared" si="20"/>
        <v>4</v>
      </c>
      <c r="F158" s="81" t="str">
        <f t="shared" si="19"/>
        <v>11월 4주</v>
      </c>
    </row>
    <row r="159" spans="1:6">
      <c r="A159" s="271">
        <f t="shared" si="16"/>
        <v>41605</v>
      </c>
      <c r="B159" s="81" t="str">
        <f t="shared" si="17"/>
        <v>수</v>
      </c>
      <c r="C159" s="81">
        <f t="shared" si="18"/>
        <v>48</v>
      </c>
      <c r="D159" s="81">
        <f t="shared" si="20"/>
        <v>11</v>
      </c>
      <c r="E159" s="81">
        <f t="shared" si="20"/>
        <v>4</v>
      </c>
      <c r="F159" s="81" t="str">
        <f t="shared" si="19"/>
        <v>11월 4주</v>
      </c>
    </row>
    <row r="160" spans="1:6">
      <c r="A160" s="271">
        <f t="shared" si="16"/>
        <v>41606</v>
      </c>
      <c r="B160" s="81" t="str">
        <f t="shared" si="17"/>
        <v>목</v>
      </c>
      <c r="C160" s="81">
        <f t="shared" si="18"/>
        <v>48</v>
      </c>
      <c r="D160" s="81">
        <f t="shared" si="20"/>
        <v>11</v>
      </c>
      <c r="E160" s="81">
        <f t="shared" si="20"/>
        <v>4</v>
      </c>
      <c r="F160" s="81" t="str">
        <f t="shared" si="19"/>
        <v>11월 4주</v>
      </c>
    </row>
    <row r="161" spans="1:6">
      <c r="A161" s="271">
        <f t="shared" si="16"/>
        <v>41607</v>
      </c>
      <c r="B161" s="81" t="str">
        <f t="shared" si="17"/>
        <v>금</v>
      </c>
      <c r="C161" s="81">
        <f t="shared" si="18"/>
        <v>48</v>
      </c>
      <c r="D161" s="81">
        <f t="shared" si="20"/>
        <v>11</v>
      </c>
      <c r="E161" s="81">
        <f t="shared" si="20"/>
        <v>4</v>
      </c>
      <c r="F161" s="81" t="str">
        <f t="shared" si="19"/>
        <v>11월 4주</v>
      </c>
    </row>
    <row r="162" spans="1:6">
      <c r="A162" s="271">
        <f t="shared" si="16"/>
        <v>41608</v>
      </c>
      <c r="B162" s="81" t="str">
        <f t="shared" si="17"/>
        <v>토</v>
      </c>
      <c r="C162" s="81">
        <f t="shared" si="18"/>
        <v>48</v>
      </c>
      <c r="D162" s="81">
        <f t="shared" si="20"/>
        <v>11</v>
      </c>
      <c r="E162" s="81">
        <f t="shared" si="20"/>
        <v>4</v>
      </c>
      <c r="F162" s="81" t="str">
        <f t="shared" si="19"/>
        <v>11월 4주</v>
      </c>
    </row>
    <row r="163" spans="1:6">
      <c r="A163" s="271">
        <f t="shared" si="16"/>
        <v>41609</v>
      </c>
      <c r="B163" s="81" t="str">
        <f t="shared" si="17"/>
        <v>일</v>
      </c>
      <c r="C163" s="81">
        <f t="shared" si="18"/>
        <v>49</v>
      </c>
      <c r="D163" s="276">
        <v>12</v>
      </c>
      <c r="E163" s="276">
        <v>1</v>
      </c>
      <c r="F163" s="81" t="str">
        <f t="shared" si="19"/>
        <v>12월 1주</v>
      </c>
    </row>
    <row r="164" spans="1:6">
      <c r="A164" s="271">
        <f t="shared" si="16"/>
        <v>41610</v>
      </c>
      <c r="B164" s="81" t="str">
        <f t="shared" si="17"/>
        <v>월</v>
      </c>
      <c r="C164" s="81">
        <f t="shared" si="18"/>
        <v>49</v>
      </c>
      <c r="D164" s="81">
        <f t="shared" si="20"/>
        <v>12</v>
      </c>
      <c r="E164" s="81">
        <f t="shared" si="20"/>
        <v>1</v>
      </c>
      <c r="F164" s="81" t="str">
        <f t="shared" si="19"/>
        <v>12월 1주</v>
      </c>
    </row>
    <row r="165" spans="1:6">
      <c r="A165" s="271">
        <f t="shared" si="16"/>
        <v>41611</v>
      </c>
      <c r="B165" s="81" t="str">
        <f t="shared" si="17"/>
        <v>화</v>
      </c>
      <c r="C165" s="81">
        <f t="shared" si="18"/>
        <v>49</v>
      </c>
      <c r="D165" s="81">
        <f t="shared" si="20"/>
        <v>12</v>
      </c>
      <c r="E165" s="81">
        <f t="shared" si="20"/>
        <v>1</v>
      </c>
      <c r="F165" s="81" t="str">
        <f t="shared" si="19"/>
        <v>12월 1주</v>
      </c>
    </row>
    <row r="166" spans="1:6">
      <c r="A166" s="271">
        <f t="shared" si="16"/>
        <v>41612</v>
      </c>
      <c r="B166" s="81" t="str">
        <f t="shared" si="17"/>
        <v>수</v>
      </c>
      <c r="C166" s="81">
        <f t="shared" si="18"/>
        <v>49</v>
      </c>
      <c r="D166" s="81">
        <f t="shared" si="20"/>
        <v>12</v>
      </c>
      <c r="E166" s="81">
        <f t="shared" si="20"/>
        <v>1</v>
      </c>
      <c r="F166" s="81" t="str">
        <f t="shared" si="19"/>
        <v>12월 1주</v>
      </c>
    </row>
    <row r="167" spans="1:6">
      <c r="A167" s="271">
        <f t="shared" si="16"/>
        <v>41613</v>
      </c>
      <c r="B167" s="81" t="str">
        <f t="shared" si="17"/>
        <v>목</v>
      </c>
      <c r="C167" s="81">
        <f t="shared" si="18"/>
        <v>49</v>
      </c>
      <c r="D167" s="81">
        <f t="shared" si="20"/>
        <v>12</v>
      </c>
      <c r="E167" s="81">
        <f t="shared" si="20"/>
        <v>1</v>
      </c>
      <c r="F167" s="81" t="str">
        <f t="shared" si="19"/>
        <v>12월 1주</v>
      </c>
    </row>
    <row r="168" spans="1:6">
      <c r="A168" s="271">
        <f t="shared" si="16"/>
        <v>41614</v>
      </c>
      <c r="B168" s="81" t="str">
        <f t="shared" si="17"/>
        <v>금</v>
      </c>
      <c r="C168" s="81">
        <f t="shared" si="18"/>
        <v>49</v>
      </c>
      <c r="D168" s="81">
        <f t="shared" si="20"/>
        <v>12</v>
      </c>
      <c r="E168" s="81">
        <f t="shared" si="20"/>
        <v>1</v>
      </c>
      <c r="F168" s="81" t="str">
        <f t="shared" si="19"/>
        <v>12월 1주</v>
      </c>
    </row>
    <row r="169" spans="1:6">
      <c r="A169" s="271">
        <f t="shared" si="16"/>
        <v>41615</v>
      </c>
      <c r="B169" s="81" t="str">
        <f t="shared" si="17"/>
        <v>토</v>
      </c>
      <c r="C169" s="81">
        <f t="shared" si="18"/>
        <v>49</v>
      </c>
      <c r="D169" s="81">
        <f t="shared" si="20"/>
        <v>12</v>
      </c>
      <c r="E169" s="81">
        <f t="shared" si="20"/>
        <v>1</v>
      </c>
      <c r="F169" s="81" t="str">
        <f t="shared" si="19"/>
        <v>12월 1주</v>
      </c>
    </row>
    <row r="170" spans="1:6">
      <c r="A170" s="271">
        <f t="shared" si="16"/>
        <v>41616</v>
      </c>
      <c r="B170" s="81" t="str">
        <f t="shared" si="17"/>
        <v>일</v>
      </c>
      <c r="C170" s="81">
        <f t="shared" si="18"/>
        <v>50</v>
      </c>
      <c r="D170" s="81">
        <f t="shared" si="20"/>
        <v>12</v>
      </c>
      <c r="E170" s="81">
        <f>E163+1</f>
        <v>2</v>
      </c>
      <c r="F170" s="81" t="str">
        <f t="shared" si="19"/>
        <v>12월 2주</v>
      </c>
    </row>
    <row r="171" spans="1:6">
      <c r="A171" s="271">
        <f t="shared" si="16"/>
        <v>41617</v>
      </c>
      <c r="B171" s="81" t="str">
        <f t="shared" si="17"/>
        <v>월</v>
      </c>
      <c r="C171" s="81">
        <f t="shared" si="18"/>
        <v>50</v>
      </c>
      <c r="D171" s="81">
        <f t="shared" si="20"/>
        <v>12</v>
      </c>
      <c r="E171" s="81">
        <f t="shared" si="20"/>
        <v>2</v>
      </c>
      <c r="F171" s="81" t="str">
        <f t="shared" si="19"/>
        <v>12월 2주</v>
      </c>
    </row>
    <row r="172" spans="1:6">
      <c r="A172" s="271">
        <f t="shared" si="16"/>
        <v>41618</v>
      </c>
      <c r="B172" s="81" t="str">
        <f t="shared" si="17"/>
        <v>화</v>
      </c>
      <c r="C172" s="81">
        <f t="shared" si="18"/>
        <v>50</v>
      </c>
      <c r="D172" s="81">
        <f t="shared" si="20"/>
        <v>12</v>
      </c>
      <c r="E172" s="81">
        <f t="shared" si="20"/>
        <v>2</v>
      </c>
      <c r="F172" s="81" t="str">
        <f t="shared" si="19"/>
        <v>12월 2주</v>
      </c>
    </row>
    <row r="173" spans="1:6">
      <c r="A173" s="271">
        <f t="shared" si="16"/>
        <v>41619</v>
      </c>
      <c r="B173" s="81" t="str">
        <f t="shared" si="17"/>
        <v>수</v>
      </c>
      <c r="C173" s="81">
        <f t="shared" si="18"/>
        <v>50</v>
      </c>
      <c r="D173" s="81">
        <f t="shared" si="20"/>
        <v>12</v>
      </c>
      <c r="E173" s="81">
        <f t="shared" si="20"/>
        <v>2</v>
      </c>
      <c r="F173" s="81" t="str">
        <f t="shared" si="19"/>
        <v>12월 2주</v>
      </c>
    </row>
    <row r="174" spans="1:6">
      <c r="A174" s="271">
        <f t="shared" si="16"/>
        <v>41620</v>
      </c>
      <c r="B174" s="81" t="str">
        <f t="shared" si="17"/>
        <v>목</v>
      </c>
      <c r="C174" s="81">
        <f t="shared" si="18"/>
        <v>50</v>
      </c>
      <c r="D174" s="81">
        <f t="shared" si="20"/>
        <v>12</v>
      </c>
      <c r="E174" s="81">
        <f t="shared" si="20"/>
        <v>2</v>
      </c>
      <c r="F174" s="81" t="str">
        <f t="shared" si="19"/>
        <v>12월 2주</v>
      </c>
    </row>
    <row r="175" spans="1:6">
      <c r="A175" s="271">
        <f t="shared" si="16"/>
        <v>41621</v>
      </c>
      <c r="B175" s="81" t="str">
        <f t="shared" si="17"/>
        <v>금</v>
      </c>
      <c r="C175" s="81">
        <f t="shared" si="18"/>
        <v>50</v>
      </c>
      <c r="D175" s="81">
        <f t="shared" si="20"/>
        <v>12</v>
      </c>
      <c r="E175" s="81">
        <f t="shared" si="20"/>
        <v>2</v>
      </c>
      <c r="F175" s="81" t="str">
        <f t="shared" si="19"/>
        <v>12월 2주</v>
      </c>
    </row>
    <row r="176" spans="1:6">
      <c r="A176" s="271">
        <f t="shared" si="16"/>
        <v>41622</v>
      </c>
      <c r="B176" s="81" t="str">
        <f t="shared" si="17"/>
        <v>토</v>
      </c>
      <c r="C176" s="81">
        <f t="shared" si="18"/>
        <v>50</v>
      </c>
      <c r="D176" s="81">
        <f t="shared" si="20"/>
        <v>12</v>
      </c>
      <c r="E176" s="81">
        <f t="shared" si="20"/>
        <v>2</v>
      </c>
      <c r="F176" s="81" t="str">
        <f t="shared" si="19"/>
        <v>12월 2주</v>
      </c>
    </row>
    <row r="177" spans="1:6">
      <c r="A177" s="271">
        <f t="shared" si="16"/>
        <v>41623</v>
      </c>
      <c r="B177" s="81" t="str">
        <f t="shared" si="17"/>
        <v>일</v>
      </c>
      <c r="C177" s="81">
        <f t="shared" si="18"/>
        <v>51</v>
      </c>
      <c r="D177" s="81">
        <f t="shared" si="20"/>
        <v>12</v>
      </c>
      <c r="E177" s="81">
        <f>E170+1</f>
        <v>3</v>
      </c>
      <c r="F177" s="81" t="str">
        <f t="shared" si="19"/>
        <v>12월 3주</v>
      </c>
    </row>
    <row r="178" spans="1:6">
      <c r="A178" s="271">
        <f t="shared" si="16"/>
        <v>41624</v>
      </c>
      <c r="B178" s="81" t="str">
        <f t="shared" si="17"/>
        <v>월</v>
      </c>
      <c r="C178" s="81">
        <f t="shared" si="18"/>
        <v>51</v>
      </c>
      <c r="D178" s="81">
        <f t="shared" si="20"/>
        <v>12</v>
      </c>
      <c r="E178" s="81">
        <f t="shared" si="20"/>
        <v>3</v>
      </c>
      <c r="F178" s="81" t="str">
        <f t="shared" si="19"/>
        <v>12월 3주</v>
      </c>
    </row>
    <row r="179" spans="1:6">
      <c r="A179" s="271">
        <f t="shared" si="16"/>
        <v>41625</v>
      </c>
      <c r="B179" s="81" t="str">
        <f t="shared" si="17"/>
        <v>화</v>
      </c>
      <c r="C179" s="81">
        <f t="shared" si="18"/>
        <v>51</v>
      </c>
      <c r="D179" s="81">
        <f t="shared" si="20"/>
        <v>12</v>
      </c>
      <c r="E179" s="81">
        <f t="shared" si="20"/>
        <v>3</v>
      </c>
      <c r="F179" s="81" t="str">
        <f t="shared" si="19"/>
        <v>12월 3주</v>
      </c>
    </row>
    <row r="180" spans="1:6">
      <c r="A180" s="271">
        <f t="shared" si="16"/>
        <v>41626</v>
      </c>
      <c r="B180" s="81" t="str">
        <f t="shared" si="17"/>
        <v>수</v>
      </c>
      <c r="C180" s="81">
        <f t="shared" si="18"/>
        <v>51</v>
      </c>
      <c r="D180" s="81">
        <f t="shared" si="20"/>
        <v>12</v>
      </c>
      <c r="E180" s="81">
        <f t="shared" si="20"/>
        <v>3</v>
      </c>
      <c r="F180" s="81" t="str">
        <f t="shared" si="19"/>
        <v>12월 3주</v>
      </c>
    </row>
    <row r="181" spans="1:6">
      <c r="A181" s="271">
        <f t="shared" si="16"/>
        <v>41627</v>
      </c>
      <c r="B181" s="81" t="str">
        <f t="shared" si="17"/>
        <v>목</v>
      </c>
      <c r="C181" s="81">
        <f t="shared" si="18"/>
        <v>51</v>
      </c>
      <c r="D181" s="81">
        <f t="shared" si="20"/>
        <v>12</v>
      </c>
      <c r="E181" s="81">
        <f t="shared" si="20"/>
        <v>3</v>
      </c>
      <c r="F181" s="81" t="str">
        <f t="shared" si="19"/>
        <v>12월 3주</v>
      </c>
    </row>
    <row r="182" spans="1:6">
      <c r="A182" s="271">
        <f t="shared" si="16"/>
        <v>41628</v>
      </c>
      <c r="B182" s="81" t="str">
        <f t="shared" si="17"/>
        <v>금</v>
      </c>
      <c r="C182" s="81">
        <f t="shared" si="18"/>
        <v>51</v>
      </c>
      <c r="D182" s="81">
        <f t="shared" si="20"/>
        <v>12</v>
      </c>
      <c r="E182" s="81">
        <f t="shared" si="20"/>
        <v>3</v>
      </c>
      <c r="F182" s="81" t="str">
        <f t="shared" si="19"/>
        <v>12월 3주</v>
      </c>
    </row>
    <row r="183" spans="1:6">
      <c r="A183" s="271">
        <f t="shared" si="16"/>
        <v>41629</v>
      </c>
      <c r="B183" s="81" t="str">
        <f t="shared" si="17"/>
        <v>토</v>
      </c>
      <c r="C183" s="81">
        <f t="shared" si="18"/>
        <v>51</v>
      </c>
      <c r="D183" s="81">
        <f t="shared" si="20"/>
        <v>12</v>
      </c>
      <c r="E183" s="81">
        <f t="shared" si="20"/>
        <v>3</v>
      </c>
      <c r="F183" s="81" t="str">
        <f t="shared" si="19"/>
        <v>12월 3주</v>
      </c>
    </row>
    <row r="184" spans="1:6">
      <c r="A184" s="271">
        <f t="shared" si="16"/>
        <v>41630</v>
      </c>
      <c r="B184" s="81" t="str">
        <f t="shared" si="17"/>
        <v>일</v>
      </c>
      <c r="C184" s="81">
        <f t="shared" si="18"/>
        <v>52</v>
      </c>
      <c r="D184" s="81">
        <f t="shared" si="20"/>
        <v>12</v>
      </c>
      <c r="E184" s="81">
        <f>E177+1</f>
        <v>4</v>
      </c>
      <c r="F184" s="81" t="str">
        <f t="shared" si="19"/>
        <v>12월 4주</v>
      </c>
    </row>
    <row r="185" spans="1:6">
      <c r="A185" s="271">
        <f t="shared" si="16"/>
        <v>41631</v>
      </c>
      <c r="B185" s="81" t="str">
        <f t="shared" si="17"/>
        <v>월</v>
      </c>
      <c r="C185" s="81">
        <f t="shared" si="18"/>
        <v>52</v>
      </c>
      <c r="D185" s="81">
        <f t="shared" si="20"/>
        <v>12</v>
      </c>
      <c r="E185" s="81">
        <f t="shared" si="20"/>
        <v>4</v>
      </c>
      <c r="F185" s="81" t="str">
        <f t="shared" si="19"/>
        <v>12월 4주</v>
      </c>
    </row>
    <row r="186" spans="1:6">
      <c r="A186" s="271">
        <f t="shared" si="16"/>
        <v>41632</v>
      </c>
      <c r="B186" s="81" t="str">
        <f t="shared" si="17"/>
        <v>화</v>
      </c>
      <c r="C186" s="81">
        <f t="shared" si="18"/>
        <v>52</v>
      </c>
      <c r="D186" s="81">
        <f t="shared" si="20"/>
        <v>12</v>
      </c>
      <c r="E186" s="81">
        <f t="shared" si="20"/>
        <v>4</v>
      </c>
      <c r="F186" s="81" t="str">
        <f t="shared" si="19"/>
        <v>12월 4주</v>
      </c>
    </row>
    <row r="187" spans="1:6">
      <c r="A187" s="271">
        <f t="shared" si="16"/>
        <v>41633</v>
      </c>
      <c r="B187" s="81" t="str">
        <f t="shared" si="17"/>
        <v>수</v>
      </c>
      <c r="C187" s="81">
        <f t="shared" si="18"/>
        <v>52</v>
      </c>
      <c r="D187" s="81">
        <f t="shared" si="20"/>
        <v>12</v>
      </c>
      <c r="E187" s="81">
        <f t="shared" si="20"/>
        <v>4</v>
      </c>
      <c r="F187" s="81" t="str">
        <f t="shared" si="19"/>
        <v>12월 4주</v>
      </c>
    </row>
    <row r="188" spans="1:6">
      <c r="A188" s="271">
        <f t="shared" si="16"/>
        <v>41634</v>
      </c>
      <c r="B188" s="81" t="str">
        <f t="shared" si="17"/>
        <v>목</v>
      </c>
      <c r="C188" s="81">
        <f t="shared" si="18"/>
        <v>52</v>
      </c>
      <c r="D188" s="81">
        <f t="shared" si="20"/>
        <v>12</v>
      </c>
      <c r="E188" s="81">
        <f t="shared" si="20"/>
        <v>4</v>
      </c>
      <c r="F188" s="81" t="str">
        <f t="shared" si="19"/>
        <v>12월 4주</v>
      </c>
    </row>
    <row r="189" spans="1:6">
      <c r="A189" s="271">
        <f t="shared" si="16"/>
        <v>41635</v>
      </c>
      <c r="B189" s="81" t="str">
        <f t="shared" si="17"/>
        <v>금</v>
      </c>
      <c r="C189" s="81">
        <f t="shared" si="18"/>
        <v>52</v>
      </c>
      <c r="D189" s="81">
        <f t="shared" si="20"/>
        <v>12</v>
      </c>
      <c r="E189" s="81">
        <f t="shared" si="20"/>
        <v>4</v>
      </c>
      <c r="F189" s="81" t="str">
        <f t="shared" si="19"/>
        <v>12월 4주</v>
      </c>
    </row>
    <row r="190" spans="1:6">
      <c r="A190" s="271">
        <f t="shared" si="16"/>
        <v>41636</v>
      </c>
      <c r="B190" s="81" t="str">
        <f t="shared" si="17"/>
        <v>토</v>
      </c>
      <c r="C190" s="81">
        <f t="shared" si="18"/>
        <v>52</v>
      </c>
      <c r="D190" s="81">
        <f t="shared" si="20"/>
        <v>12</v>
      </c>
      <c r="E190" s="81">
        <f t="shared" si="20"/>
        <v>4</v>
      </c>
      <c r="F190" s="81" t="str">
        <f t="shared" si="19"/>
        <v>12월 4주</v>
      </c>
    </row>
    <row r="191" spans="1:6">
      <c r="A191" s="271">
        <f t="shared" si="16"/>
        <v>41637</v>
      </c>
      <c r="B191" s="81" t="str">
        <f t="shared" si="17"/>
        <v>일</v>
      </c>
      <c r="C191" s="81">
        <f t="shared" si="18"/>
        <v>53</v>
      </c>
      <c r="D191" s="276">
        <v>1</v>
      </c>
      <c r="E191" s="276">
        <v>1</v>
      </c>
      <c r="F191" s="81" t="str">
        <f t="shared" si="19"/>
        <v>1월 1주</v>
      </c>
    </row>
    <row r="192" spans="1:6">
      <c r="A192" s="271">
        <f t="shared" si="16"/>
        <v>41638</v>
      </c>
      <c r="B192" s="81" t="str">
        <f t="shared" si="17"/>
        <v>월</v>
      </c>
      <c r="C192" s="81">
        <f t="shared" si="18"/>
        <v>53</v>
      </c>
      <c r="D192" s="81">
        <f t="shared" si="20"/>
        <v>1</v>
      </c>
      <c r="E192" s="81">
        <f t="shared" si="20"/>
        <v>1</v>
      </c>
      <c r="F192" s="81" t="str">
        <f t="shared" si="19"/>
        <v>1월 1주</v>
      </c>
    </row>
    <row r="193" spans="1:6">
      <c r="A193" s="271">
        <f t="shared" si="16"/>
        <v>41639</v>
      </c>
      <c r="B193" s="81" t="str">
        <f t="shared" si="17"/>
        <v>화</v>
      </c>
      <c r="C193" s="81">
        <f t="shared" si="18"/>
        <v>53</v>
      </c>
      <c r="D193" s="81">
        <f t="shared" si="20"/>
        <v>1</v>
      </c>
      <c r="E193" s="81">
        <f t="shared" si="20"/>
        <v>1</v>
      </c>
      <c r="F193" s="81" t="str">
        <f t="shared" si="19"/>
        <v>1월 1주</v>
      </c>
    </row>
    <row r="194" spans="1:6">
      <c r="A194" s="271">
        <f t="shared" ref="A194:A257" si="21">A193+1</f>
        <v>41640</v>
      </c>
      <c r="B194" s="81" t="str">
        <f t="shared" si="17"/>
        <v>수</v>
      </c>
      <c r="C194" s="81">
        <f t="shared" si="18"/>
        <v>1</v>
      </c>
      <c r="D194" s="81">
        <f t="shared" si="20"/>
        <v>1</v>
      </c>
      <c r="E194" s="81">
        <f t="shared" si="20"/>
        <v>1</v>
      </c>
      <c r="F194" s="81" t="str">
        <f t="shared" si="19"/>
        <v>1월 1주</v>
      </c>
    </row>
    <row r="195" spans="1:6">
      <c r="A195" s="271">
        <f t="shared" si="21"/>
        <v>41641</v>
      </c>
      <c r="B195" s="81" t="str">
        <f t="shared" si="17"/>
        <v>목</v>
      </c>
      <c r="C195" s="81">
        <f t="shared" si="18"/>
        <v>1</v>
      </c>
      <c r="D195" s="81">
        <f t="shared" si="20"/>
        <v>1</v>
      </c>
      <c r="E195" s="81">
        <f t="shared" si="20"/>
        <v>1</v>
      </c>
      <c r="F195" s="81" t="str">
        <f t="shared" si="19"/>
        <v>1월 1주</v>
      </c>
    </row>
    <row r="196" spans="1:6">
      <c r="A196" s="271">
        <f t="shared" si="21"/>
        <v>41642</v>
      </c>
      <c r="B196" s="81" t="str">
        <f t="shared" si="17"/>
        <v>금</v>
      </c>
      <c r="C196" s="81">
        <f t="shared" si="18"/>
        <v>1</v>
      </c>
      <c r="D196" s="81">
        <f t="shared" si="20"/>
        <v>1</v>
      </c>
      <c r="E196" s="81">
        <f t="shared" si="20"/>
        <v>1</v>
      </c>
      <c r="F196" s="81" t="str">
        <f t="shared" si="19"/>
        <v>1월 1주</v>
      </c>
    </row>
    <row r="197" spans="1:6">
      <c r="A197" s="271">
        <f t="shared" si="21"/>
        <v>41643</v>
      </c>
      <c r="B197" s="81" t="str">
        <f t="shared" si="17"/>
        <v>토</v>
      </c>
      <c r="C197" s="81">
        <f t="shared" si="18"/>
        <v>1</v>
      </c>
      <c r="D197" s="81">
        <f t="shared" si="20"/>
        <v>1</v>
      </c>
      <c r="E197" s="81">
        <f t="shared" si="20"/>
        <v>1</v>
      </c>
      <c r="F197" s="81" t="str">
        <f t="shared" si="19"/>
        <v>1월 1주</v>
      </c>
    </row>
    <row r="198" spans="1:6">
      <c r="A198" s="271">
        <f t="shared" si="21"/>
        <v>41644</v>
      </c>
      <c r="B198" s="81" t="str">
        <f t="shared" si="17"/>
        <v>일</v>
      </c>
      <c r="C198" s="81">
        <f t="shared" si="18"/>
        <v>2</v>
      </c>
      <c r="D198" s="81">
        <f>D197</f>
        <v>1</v>
      </c>
      <c r="E198" s="81">
        <v>2</v>
      </c>
      <c r="F198" s="81" t="str">
        <f t="shared" si="19"/>
        <v>1월 2주</v>
      </c>
    </row>
    <row r="199" spans="1:6">
      <c r="A199" s="271">
        <f t="shared" si="21"/>
        <v>41645</v>
      </c>
      <c r="B199" s="81" t="str">
        <f t="shared" si="17"/>
        <v>월</v>
      </c>
      <c r="C199" s="81">
        <f t="shared" si="18"/>
        <v>2</v>
      </c>
      <c r="D199" s="81">
        <f>D198</f>
        <v>1</v>
      </c>
      <c r="E199" s="81">
        <f>E198</f>
        <v>2</v>
      </c>
      <c r="F199" s="81" t="str">
        <f t="shared" si="19"/>
        <v>1월 2주</v>
      </c>
    </row>
    <row r="200" spans="1:6">
      <c r="A200" s="271">
        <f t="shared" si="21"/>
        <v>41646</v>
      </c>
      <c r="B200" s="81" t="str">
        <f t="shared" si="17"/>
        <v>화</v>
      </c>
      <c r="C200" s="81">
        <f t="shared" si="18"/>
        <v>2</v>
      </c>
      <c r="D200" s="81">
        <f t="shared" ref="D200:E202" si="22">D199</f>
        <v>1</v>
      </c>
      <c r="E200" s="81">
        <f>E199</f>
        <v>2</v>
      </c>
      <c r="F200" s="81" t="str">
        <f t="shared" si="19"/>
        <v>1월 2주</v>
      </c>
    </row>
    <row r="201" spans="1:6">
      <c r="A201" s="271">
        <f t="shared" si="21"/>
        <v>41647</v>
      </c>
      <c r="B201" s="81" t="str">
        <f t="shared" si="17"/>
        <v>수</v>
      </c>
      <c r="C201" s="81">
        <f t="shared" si="18"/>
        <v>2</v>
      </c>
      <c r="D201" s="81">
        <f t="shared" si="22"/>
        <v>1</v>
      </c>
      <c r="E201" s="81">
        <f t="shared" si="22"/>
        <v>2</v>
      </c>
      <c r="F201" s="81" t="str">
        <f t="shared" si="19"/>
        <v>1월 2주</v>
      </c>
    </row>
    <row r="202" spans="1:6">
      <c r="A202" s="271">
        <f t="shared" si="21"/>
        <v>41648</v>
      </c>
      <c r="B202" s="81" t="str">
        <f t="shared" ref="B202:B261" si="23">TEXT(A202,"AAA")</f>
        <v>목</v>
      </c>
      <c r="C202" s="81">
        <f t="shared" ref="C202:C261" si="24">WEEKNUM(A202)</f>
        <v>2</v>
      </c>
      <c r="D202" s="81">
        <f t="shared" si="22"/>
        <v>1</v>
      </c>
      <c r="E202" s="81">
        <f t="shared" si="22"/>
        <v>2</v>
      </c>
      <c r="F202" s="81" t="str">
        <f t="shared" ref="F202:F265" si="25">D202&amp;"월 "&amp;E202&amp;"주"</f>
        <v>1월 2주</v>
      </c>
    </row>
    <row r="203" spans="1:6">
      <c r="A203" s="271">
        <f t="shared" si="21"/>
        <v>41649</v>
      </c>
      <c r="B203" s="81" t="str">
        <f t="shared" si="23"/>
        <v>금</v>
      </c>
      <c r="C203" s="81">
        <f t="shared" si="24"/>
        <v>2</v>
      </c>
      <c r="D203" s="81">
        <f>D202</f>
        <v>1</v>
      </c>
      <c r="E203" s="81">
        <f>E202</f>
        <v>2</v>
      </c>
      <c r="F203" s="81" t="str">
        <f t="shared" si="25"/>
        <v>1월 2주</v>
      </c>
    </row>
    <row r="204" spans="1:6">
      <c r="A204" s="271">
        <f t="shared" si="21"/>
        <v>41650</v>
      </c>
      <c r="B204" s="81" t="str">
        <f t="shared" si="23"/>
        <v>토</v>
      </c>
      <c r="C204" s="81">
        <f t="shared" si="24"/>
        <v>2</v>
      </c>
      <c r="D204" s="81">
        <f>D203</f>
        <v>1</v>
      </c>
      <c r="E204" s="81">
        <f>E203</f>
        <v>2</v>
      </c>
      <c r="F204" s="81" t="str">
        <f t="shared" si="25"/>
        <v>1월 2주</v>
      </c>
    </row>
    <row r="205" spans="1:6">
      <c r="A205" s="271">
        <f t="shared" si="21"/>
        <v>41651</v>
      </c>
      <c r="B205" s="81" t="str">
        <f t="shared" si="23"/>
        <v>일</v>
      </c>
      <c r="C205" s="81">
        <f t="shared" si="24"/>
        <v>3</v>
      </c>
      <c r="D205" s="81">
        <f t="shared" ref="D205:D224" si="26">D204</f>
        <v>1</v>
      </c>
      <c r="E205" s="81">
        <v>3</v>
      </c>
      <c r="F205" s="81" t="str">
        <f t="shared" si="25"/>
        <v>1월 3주</v>
      </c>
    </row>
    <row r="206" spans="1:6">
      <c r="A206" s="271">
        <f t="shared" si="21"/>
        <v>41652</v>
      </c>
      <c r="B206" s="81" t="str">
        <f t="shared" si="23"/>
        <v>월</v>
      </c>
      <c r="C206" s="81">
        <f t="shared" si="24"/>
        <v>3</v>
      </c>
      <c r="D206" s="81">
        <f t="shared" si="26"/>
        <v>1</v>
      </c>
      <c r="E206" s="81">
        <v>3</v>
      </c>
      <c r="F206" s="81" t="str">
        <f t="shared" si="25"/>
        <v>1월 3주</v>
      </c>
    </row>
    <row r="207" spans="1:6">
      <c r="A207" s="271">
        <f t="shared" si="21"/>
        <v>41653</v>
      </c>
      <c r="B207" s="81" t="str">
        <f t="shared" si="23"/>
        <v>화</v>
      </c>
      <c r="C207" s="81">
        <f t="shared" si="24"/>
        <v>3</v>
      </c>
      <c r="D207" s="81">
        <f t="shared" si="26"/>
        <v>1</v>
      </c>
      <c r="E207" s="81">
        <v>3</v>
      </c>
      <c r="F207" s="81" t="str">
        <f t="shared" si="25"/>
        <v>1월 3주</v>
      </c>
    </row>
    <row r="208" spans="1:6">
      <c r="A208" s="271">
        <f t="shared" si="21"/>
        <v>41654</v>
      </c>
      <c r="B208" s="81" t="str">
        <f t="shared" si="23"/>
        <v>수</v>
      </c>
      <c r="C208" s="81">
        <f t="shared" si="24"/>
        <v>3</v>
      </c>
      <c r="D208" s="81">
        <f t="shared" si="26"/>
        <v>1</v>
      </c>
      <c r="E208" s="81">
        <v>3</v>
      </c>
      <c r="F208" s="81" t="str">
        <f t="shared" si="25"/>
        <v>1월 3주</v>
      </c>
    </row>
    <row r="209" spans="1:6">
      <c r="A209" s="271">
        <f t="shared" si="21"/>
        <v>41655</v>
      </c>
      <c r="B209" s="81" t="str">
        <f t="shared" si="23"/>
        <v>목</v>
      </c>
      <c r="C209" s="81">
        <f t="shared" si="24"/>
        <v>3</v>
      </c>
      <c r="D209" s="81">
        <f t="shared" si="26"/>
        <v>1</v>
      </c>
      <c r="E209" s="81">
        <v>3</v>
      </c>
      <c r="F209" s="81" t="str">
        <f t="shared" si="25"/>
        <v>1월 3주</v>
      </c>
    </row>
    <row r="210" spans="1:6">
      <c r="A210" s="271">
        <f t="shared" si="21"/>
        <v>41656</v>
      </c>
      <c r="B210" s="81" t="str">
        <f t="shared" si="23"/>
        <v>금</v>
      </c>
      <c r="C210" s="81">
        <f t="shared" si="24"/>
        <v>3</v>
      </c>
      <c r="D210" s="81">
        <f t="shared" si="26"/>
        <v>1</v>
      </c>
      <c r="E210" s="81">
        <v>3</v>
      </c>
      <c r="F210" s="81" t="str">
        <f t="shared" si="25"/>
        <v>1월 3주</v>
      </c>
    </row>
    <row r="211" spans="1:6">
      <c r="A211" s="271">
        <f t="shared" si="21"/>
        <v>41657</v>
      </c>
      <c r="B211" s="81" t="str">
        <f t="shared" si="23"/>
        <v>토</v>
      </c>
      <c r="C211" s="81">
        <f t="shared" si="24"/>
        <v>3</v>
      </c>
      <c r="D211" s="81">
        <f t="shared" si="26"/>
        <v>1</v>
      </c>
      <c r="E211" s="81">
        <v>3</v>
      </c>
      <c r="F211" s="81" t="str">
        <f t="shared" si="25"/>
        <v>1월 3주</v>
      </c>
    </row>
    <row r="212" spans="1:6">
      <c r="A212" s="271">
        <f t="shared" si="21"/>
        <v>41658</v>
      </c>
      <c r="B212" s="81" t="str">
        <f t="shared" si="23"/>
        <v>일</v>
      </c>
      <c r="C212" s="81">
        <f t="shared" si="24"/>
        <v>4</v>
      </c>
      <c r="D212" s="81">
        <f t="shared" si="26"/>
        <v>1</v>
      </c>
      <c r="E212" s="81">
        <v>4</v>
      </c>
      <c r="F212" s="81" t="str">
        <f t="shared" si="25"/>
        <v>1월 4주</v>
      </c>
    </row>
    <row r="213" spans="1:6">
      <c r="A213" s="271">
        <f t="shared" si="21"/>
        <v>41659</v>
      </c>
      <c r="B213" s="81" t="str">
        <f t="shared" si="23"/>
        <v>월</v>
      </c>
      <c r="C213" s="81">
        <f t="shared" si="24"/>
        <v>4</v>
      </c>
      <c r="D213" s="81">
        <f t="shared" si="26"/>
        <v>1</v>
      </c>
      <c r="E213" s="81">
        <v>4</v>
      </c>
      <c r="F213" s="81" t="str">
        <f t="shared" si="25"/>
        <v>1월 4주</v>
      </c>
    </row>
    <row r="214" spans="1:6">
      <c r="A214" s="271">
        <f t="shared" si="21"/>
        <v>41660</v>
      </c>
      <c r="B214" s="81" t="str">
        <f t="shared" si="23"/>
        <v>화</v>
      </c>
      <c r="C214" s="81">
        <f t="shared" si="24"/>
        <v>4</v>
      </c>
      <c r="D214" s="81">
        <f t="shared" si="26"/>
        <v>1</v>
      </c>
      <c r="E214" s="81">
        <v>4</v>
      </c>
      <c r="F214" s="81" t="str">
        <f t="shared" si="25"/>
        <v>1월 4주</v>
      </c>
    </row>
    <row r="215" spans="1:6">
      <c r="A215" s="271">
        <f t="shared" si="21"/>
        <v>41661</v>
      </c>
      <c r="B215" s="81" t="str">
        <f t="shared" si="23"/>
        <v>수</v>
      </c>
      <c r="C215" s="81">
        <f t="shared" si="24"/>
        <v>4</v>
      </c>
      <c r="D215" s="81">
        <f t="shared" si="26"/>
        <v>1</v>
      </c>
      <c r="E215" s="81">
        <v>4</v>
      </c>
      <c r="F215" s="81" t="str">
        <f t="shared" si="25"/>
        <v>1월 4주</v>
      </c>
    </row>
    <row r="216" spans="1:6">
      <c r="A216" s="271">
        <f t="shared" si="21"/>
        <v>41662</v>
      </c>
      <c r="B216" s="81" t="str">
        <f t="shared" si="23"/>
        <v>목</v>
      </c>
      <c r="C216" s="81">
        <f t="shared" si="24"/>
        <v>4</v>
      </c>
      <c r="D216" s="81">
        <f t="shared" si="26"/>
        <v>1</v>
      </c>
      <c r="E216" s="81">
        <v>4</v>
      </c>
      <c r="F216" s="81" t="str">
        <f t="shared" si="25"/>
        <v>1월 4주</v>
      </c>
    </row>
    <row r="217" spans="1:6">
      <c r="A217" s="271">
        <f t="shared" si="21"/>
        <v>41663</v>
      </c>
      <c r="B217" s="81" t="str">
        <f t="shared" si="23"/>
        <v>금</v>
      </c>
      <c r="C217" s="81">
        <f t="shared" si="24"/>
        <v>4</v>
      </c>
      <c r="D217" s="81">
        <f t="shared" si="26"/>
        <v>1</v>
      </c>
      <c r="E217" s="81">
        <v>4</v>
      </c>
      <c r="F217" s="81" t="str">
        <f t="shared" si="25"/>
        <v>1월 4주</v>
      </c>
    </row>
    <row r="218" spans="1:6">
      <c r="A218" s="271">
        <f t="shared" si="21"/>
        <v>41664</v>
      </c>
      <c r="B218" s="81" t="str">
        <f t="shared" si="23"/>
        <v>토</v>
      </c>
      <c r="C218" s="81">
        <f t="shared" si="24"/>
        <v>4</v>
      </c>
      <c r="D218" s="81">
        <f t="shared" si="26"/>
        <v>1</v>
      </c>
      <c r="E218" s="81">
        <v>5</v>
      </c>
      <c r="F218" s="81" t="str">
        <f t="shared" si="25"/>
        <v>1월 5주</v>
      </c>
    </row>
    <row r="219" spans="1:6">
      <c r="A219" s="271">
        <f t="shared" si="21"/>
        <v>41665</v>
      </c>
      <c r="B219" s="81" t="str">
        <f t="shared" si="23"/>
        <v>일</v>
      </c>
      <c r="C219" s="81">
        <f t="shared" si="24"/>
        <v>5</v>
      </c>
      <c r="D219" s="81">
        <f t="shared" si="26"/>
        <v>1</v>
      </c>
      <c r="E219" s="81">
        <v>5</v>
      </c>
      <c r="F219" s="81" t="str">
        <f t="shared" si="25"/>
        <v>1월 5주</v>
      </c>
    </row>
    <row r="220" spans="1:6">
      <c r="A220" s="271">
        <f t="shared" si="21"/>
        <v>41666</v>
      </c>
      <c r="B220" s="81" t="str">
        <f t="shared" si="23"/>
        <v>월</v>
      </c>
      <c r="C220" s="81">
        <f t="shared" si="24"/>
        <v>5</v>
      </c>
      <c r="D220" s="81">
        <f t="shared" si="26"/>
        <v>1</v>
      </c>
      <c r="E220" s="81">
        <v>5</v>
      </c>
      <c r="F220" s="81" t="str">
        <f t="shared" si="25"/>
        <v>1월 5주</v>
      </c>
    </row>
    <row r="221" spans="1:6">
      <c r="A221" s="271">
        <f t="shared" si="21"/>
        <v>41667</v>
      </c>
      <c r="B221" s="81" t="str">
        <f t="shared" si="23"/>
        <v>화</v>
      </c>
      <c r="C221" s="81">
        <f t="shared" si="24"/>
        <v>5</v>
      </c>
      <c r="D221" s="81">
        <f t="shared" si="26"/>
        <v>1</v>
      </c>
      <c r="E221" s="81">
        <v>5</v>
      </c>
      <c r="F221" s="81" t="str">
        <f t="shared" si="25"/>
        <v>1월 5주</v>
      </c>
    </row>
    <row r="222" spans="1:6">
      <c r="A222" s="271">
        <f t="shared" si="21"/>
        <v>41668</v>
      </c>
      <c r="B222" s="81" t="str">
        <f t="shared" si="23"/>
        <v>수</v>
      </c>
      <c r="C222" s="81">
        <f t="shared" si="24"/>
        <v>5</v>
      </c>
      <c r="D222" s="81">
        <f t="shared" si="26"/>
        <v>1</v>
      </c>
      <c r="E222" s="81">
        <v>5</v>
      </c>
      <c r="F222" s="81" t="str">
        <f t="shared" si="25"/>
        <v>1월 5주</v>
      </c>
    </row>
    <row r="223" spans="1:6">
      <c r="A223" s="271">
        <f t="shared" si="21"/>
        <v>41669</v>
      </c>
      <c r="B223" s="81" t="str">
        <f t="shared" si="23"/>
        <v>목</v>
      </c>
      <c r="C223" s="81">
        <f t="shared" si="24"/>
        <v>5</v>
      </c>
      <c r="D223" s="81">
        <f t="shared" si="26"/>
        <v>1</v>
      </c>
      <c r="E223" s="81">
        <v>5</v>
      </c>
      <c r="F223" s="81" t="str">
        <f t="shared" si="25"/>
        <v>1월 5주</v>
      </c>
    </row>
    <row r="224" spans="1:6">
      <c r="A224" s="271">
        <f t="shared" si="21"/>
        <v>41670</v>
      </c>
      <c r="B224" s="81" t="str">
        <f t="shared" si="23"/>
        <v>금</v>
      </c>
      <c r="C224" s="81">
        <f t="shared" si="24"/>
        <v>5</v>
      </c>
      <c r="D224" s="81">
        <f t="shared" si="26"/>
        <v>1</v>
      </c>
      <c r="E224" s="81">
        <v>5</v>
      </c>
      <c r="F224" s="81" t="str">
        <f t="shared" si="25"/>
        <v>1월 5주</v>
      </c>
    </row>
    <row r="225" spans="1:6">
      <c r="A225" s="271">
        <f t="shared" si="21"/>
        <v>41671</v>
      </c>
      <c r="B225" s="81" t="str">
        <f t="shared" si="23"/>
        <v>토</v>
      </c>
      <c r="C225" s="81">
        <f t="shared" si="24"/>
        <v>5</v>
      </c>
      <c r="D225" s="81">
        <v>2</v>
      </c>
      <c r="E225" s="81">
        <v>5</v>
      </c>
      <c r="F225" s="81" t="str">
        <f t="shared" si="25"/>
        <v>2월 5주</v>
      </c>
    </row>
    <row r="226" spans="1:6">
      <c r="A226" s="271">
        <f t="shared" si="21"/>
        <v>41672</v>
      </c>
      <c r="B226" s="81" t="str">
        <f t="shared" si="23"/>
        <v>일</v>
      </c>
      <c r="C226" s="81">
        <f t="shared" si="24"/>
        <v>6</v>
      </c>
      <c r="D226" s="81">
        <v>2</v>
      </c>
      <c r="E226" s="81">
        <v>1</v>
      </c>
      <c r="F226" s="81" t="str">
        <f t="shared" si="25"/>
        <v>2월 1주</v>
      </c>
    </row>
    <row r="227" spans="1:6">
      <c r="A227" s="271">
        <f t="shared" si="21"/>
        <v>41673</v>
      </c>
      <c r="B227" s="81" t="str">
        <f t="shared" si="23"/>
        <v>월</v>
      </c>
      <c r="C227" s="81">
        <f t="shared" si="24"/>
        <v>6</v>
      </c>
      <c r="D227" s="81">
        <v>2</v>
      </c>
      <c r="E227" s="81">
        <v>1</v>
      </c>
      <c r="F227" s="81" t="str">
        <f t="shared" si="25"/>
        <v>2월 1주</v>
      </c>
    </row>
    <row r="228" spans="1:6">
      <c r="A228" s="271">
        <f t="shared" si="21"/>
        <v>41674</v>
      </c>
      <c r="B228" s="81" t="str">
        <f t="shared" si="23"/>
        <v>화</v>
      </c>
      <c r="C228" s="81">
        <f t="shared" si="24"/>
        <v>6</v>
      </c>
      <c r="D228" s="81">
        <v>2</v>
      </c>
      <c r="E228" s="81">
        <v>1</v>
      </c>
      <c r="F228" s="81" t="str">
        <f t="shared" si="25"/>
        <v>2월 1주</v>
      </c>
    </row>
    <row r="229" spans="1:6">
      <c r="A229" s="271">
        <f t="shared" si="21"/>
        <v>41675</v>
      </c>
      <c r="B229" s="81" t="str">
        <f t="shared" si="23"/>
        <v>수</v>
      </c>
      <c r="C229" s="81">
        <f t="shared" si="24"/>
        <v>6</v>
      </c>
      <c r="D229" s="81">
        <v>2</v>
      </c>
      <c r="E229" s="81">
        <v>1</v>
      </c>
      <c r="F229" s="81" t="str">
        <f t="shared" si="25"/>
        <v>2월 1주</v>
      </c>
    </row>
    <row r="230" spans="1:6">
      <c r="A230" s="271">
        <f t="shared" si="21"/>
        <v>41676</v>
      </c>
      <c r="B230" s="81" t="str">
        <f t="shared" si="23"/>
        <v>목</v>
      </c>
      <c r="C230" s="81">
        <f t="shared" si="24"/>
        <v>6</v>
      </c>
      <c r="D230" s="81">
        <v>2</v>
      </c>
      <c r="E230" s="81">
        <v>1</v>
      </c>
      <c r="F230" s="81" t="str">
        <f t="shared" si="25"/>
        <v>2월 1주</v>
      </c>
    </row>
    <row r="231" spans="1:6">
      <c r="A231" s="271">
        <f t="shared" si="21"/>
        <v>41677</v>
      </c>
      <c r="B231" s="81" t="str">
        <f t="shared" si="23"/>
        <v>금</v>
      </c>
      <c r="C231" s="81">
        <f t="shared" si="24"/>
        <v>6</v>
      </c>
      <c r="D231" s="81">
        <v>2</v>
      </c>
      <c r="E231" s="81">
        <v>1</v>
      </c>
      <c r="F231" s="81" t="str">
        <f t="shared" si="25"/>
        <v>2월 1주</v>
      </c>
    </row>
    <row r="232" spans="1:6">
      <c r="A232" s="271">
        <f t="shared" si="21"/>
        <v>41678</v>
      </c>
      <c r="B232" s="81" t="str">
        <f t="shared" si="23"/>
        <v>토</v>
      </c>
      <c r="C232" s="81">
        <f t="shared" si="24"/>
        <v>6</v>
      </c>
      <c r="D232" s="81">
        <v>2</v>
      </c>
      <c r="E232" s="81">
        <v>1</v>
      </c>
      <c r="F232" s="81" t="str">
        <f t="shared" si="25"/>
        <v>2월 1주</v>
      </c>
    </row>
    <row r="233" spans="1:6">
      <c r="A233" s="271">
        <f t="shared" si="21"/>
        <v>41679</v>
      </c>
      <c r="B233" s="81" t="str">
        <f t="shared" si="23"/>
        <v>일</v>
      </c>
      <c r="C233" s="81">
        <f t="shared" si="24"/>
        <v>7</v>
      </c>
      <c r="D233" s="81">
        <v>2</v>
      </c>
      <c r="E233" s="81">
        <v>2</v>
      </c>
      <c r="F233" s="81" t="str">
        <f t="shared" si="25"/>
        <v>2월 2주</v>
      </c>
    </row>
    <row r="234" spans="1:6">
      <c r="A234" s="271">
        <f t="shared" si="21"/>
        <v>41680</v>
      </c>
      <c r="B234" s="81" t="str">
        <f t="shared" si="23"/>
        <v>월</v>
      </c>
      <c r="C234" s="81">
        <f t="shared" si="24"/>
        <v>7</v>
      </c>
      <c r="D234" s="81">
        <v>2</v>
      </c>
      <c r="E234" s="81">
        <v>2</v>
      </c>
      <c r="F234" s="81" t="str">
        <f t="shared" si="25"/>
        <v>2월 2주</v>
      </c>
    </row>
    <row r="235" spans="1:6">
      <c r="A235" s="271">
        <f t="shared" si="21"/>
        <v>41681</v>
      </c>
      <c r="B235" s="81" t="str">
        <f t="shared" si="23"/>
        <v>화</v>
      </c>
      <c r="C235" s="81">
        <f t="shared" si="24"/>
        <v>7</v>
      </c>
      <c r="D235" s="81">
        <v>2</v>
      </c>
      <c r="E235" s="81">
        <v>2</v>
      </c>
      <c r="F235" s="81" t="str">
        <f t="shared" si="25"/>
        <v>2월 2주</v>
      </c>
    </row>
    <row r="236" spans="1:6">
      <c r="A236" s="271">
        <f t="shared" si="21"/>
        <v>41682</v>
      </c>
      <c r="B236" s="81" t="str">
        <f t="shared" si="23"/>
        <v>수</v>
      </c>
      <c r="C236" s="81">
        <f t="shared" si="24"/>
        <v>7</v>
      </c>
      <c r="D236" s="81">
        <v>2</v>
      </c>
      <c r="E236" s="81">
        <v>2</v>
      </c>
      <c r="F236" s="81" t="str">
        <f t="shared" si="25"/>
        <v>2월 2주</v>
      </c>
    </row>
    <row r="237" spans="1:6">
      <c r="A237" s="271">
        <f t="shared" si="21"/>
        <v>41683</v>
      </c>
      <c r="B237" s="81" t="str">
        <f t="shared" si="23"/>
        <v>목</v>
      </c>
      <c r="C237" s="81">
        <f t="shared" si="24"/>
        <v>7</v>
      </c>
      <c r="D237" s="81">
        <v>2</v>
      </c>
      <c r="E237" s="81">
        <v>2</v>
      </c>
      <c r="F237" s="81" t="str">
        <f t="shared" si="25"/>
        <v>2월 2주</v>
      </c>
    </row>
    <row r="238" spans="1:6">
      <c r="A238" s="271">
        <f t="shared" si="21"/>
        <v>41684</v>
      </c>
      <c r="B238" s="81" t="str">
        <f t="shared" si="23"/>
        <v>금</v>
      </c>
      <c r="C238" s="81">
        <f t="shared" si="24"/>
        <v>7</v>
      </c>
      <c r="D238" s="81">
        <v>2</v>
      </c>
      <c r="E238" s="81">
        <v>2</v>
      </c>
      <c r="F238" s="81" t="str">
        <f t="shared" si="25"/>
        <v>2월 2주</v>
      </c>
    </row>
    <row r="239" spans="1:6">
      <c r="A239" s="271">
        <f t="shared" si="21"/>
        <v>41685</v>
      </c>
      <c r="B239" s="81" t="str">
        <f t="shared" si="23"/>
        <v>토</v>
      </c>
      <c r="C239" s="81">
        <f t="shared" si="24"/>
        <v>7</v>
      </c>
      <c r="D239" s="81">
        <v>2</v>
      </c>
      <c r="E239" s="81">
        <v>2</v>
      </c>
      <c r="F239" s="81" t="str">
        <f t="shared" si="25"/>
        <v>2월 2주</v>
      </c>
    </row>
    <row r="240" spans="1:6">
      <c r="A240" s="271">
        <f t="shared" si="21"/>
        <v>41686</v>
      </c>
      <c r="B240" s="81" t="str">
        <f t="shared" si="23"/>
        <v>일</v>
      </c>
      <c r="C240" s="81">
        <f t="shared" si="24"/>
        <v>8</v>
      </c>
      <c r="D240" s="81">
        <v>2</v>
      </c>
      <c r="E240" s="81">
        <v>3</v>
      </c>
      <c r="F240" s="81" t="str">
        <f t="shared" si="25"/>
        <v>2월 3주</v>
      </c>
    </row>
    <row r="241" spans="1:6">
      <c r="A241" s="271">
        <f t="shared" si="21"/>
        <v>41687</v>
      </c>
      <c r="B241" s="81" t="str">
        <f t="shared" si="23"/>
        <v>월</v>
      </c>
      <c r="C241" s="81">
        <f t="shared" si="24"/>
        <v>8</v>
      </c>
      <c r="D241" s="81">
        <v>2</v>
      </c>
      <c r="E241" s="81">
        <v>3</v>
      </c>
      <c r="F241" s="81" t="str">
        <f t="shared" si="25"/>
        <v>2월 3주</v>
      </c>
    </row>
    <row r="242" spans="1:6">
      <c r="A242" s="271">
        <f t="shared" si="21"/>
        <v>41688</v>
      </c>
      <c r="B242" s="81" t="str">
        <f t="shared" si="23"/>
        <v>화</v>
      </c>
      <c r="C242" s="81">
        <f t="shared" si="24"/>
        <v>8</v>
      </c>
      <c r="D242" s="81">
        <v>2</v>
      </c>
      <c r="E242" s="81">
        <v>3</v>
      </c>
      <c r="F242" s="81" t="str">
        <f t="shared" si="25"/>
        <v>2월 3주</v>
      </c>
    </row>
    <row r="243" spans="1:6">
      <c r="A243" s="271">
        <f t="shared" si="21"/>
        <v>41689</v>
      </c>
      <c r="B243" s="81" t="str">
        <f t="shared" si="23"/>
        <v>수</v>
      </c>
      <c r="C243" s="81">
        <f t="shared" si="24"/>
        <v>8</v>
      </c>
      <c r="D243" s="81">
        <v>2</v>
      </c>
      <c r="E243" s="81">
        <v>3</v>
      </c>
      <c r="F243" s="81" t="str">
        <f t="shared" si="25"/>
        <v>2월 3주</v>
      </c>
    </row>
    <row r="244" spans="1:6">
      <c r="A244" s="271">
        <f t="shared" si="21"/>
        <v>41690</v>
      </c>
      <c r="B244" s="81" t="str">
        <f t="shared" si="23"/>
        <v>목</v>
      </c>
      <c r="C244" s="81">
        <f t="shared" si="24"/>
        <v>8</v>
      </c>
      <c r="D244" s="81">
        <v>2</v>
      </c>
      <c r="E244" s="81">
        <v>3</v>
      </c>
      <c r="F244" s="81" t="str">
        <f t="shared" si="25"/>
        <v>2월 3주</v>
      </c>
    </row>
    <row r="245" spans="1:6">
      <c r="A245" s="271">
        <f t="shared" si="21"/>
        <v>41691</v>
      </c>
      <c r="B245" s="81" t="str">
        <f t="shared" si="23"/>
        <v>금</v>
      </c>
      <c r="C245" s="81">
        <f t="shared" si="24"/>
        <v>8</v>
      </c>
      <c r="D245" s="81">
        <v>2</v>
      </c>
      <c r="E245" s="81">
        <v>3</v>
      </c>
      <c r="F245" s="81" t="str">
        <f t="shared" si="25"/>
        <v>2월 3주</v>
      </c>
    </row>
    <row r="246" spans="1:6">
      <c r="A246" s="271">
        <f t="shared" si="21"/>
        <v>41692</v>
      </c>
      <c r="B246" s="81" t="str">
        <f t="shared" si="23"/>
        <v>토</v>
      </c>
      <c r="C246" s="81">
        <f t="shared" si="24"/>
        <v>8</v>
      </c>
      <c r="D246" s="81">
        <v>2</v>
      </c>
      <c r="E246" s="81">
        <v>3</v>
      </c>
      <c r="F246" s="81" t="str">
        <f t="shared" si="25"/>
        <v>2월 3주</v>
      </c>
    </row>
    <row r="247" spans="1:6">
      <c r="A247" s="271">
        <f t="shared" si="21"/>
        <v>41693</v>
      </c>
      <c r="B247" s="81" t="str">
        <f t="shared" si="23"/>
        <v>일</v>
      </c>
      <c r="C247" s="81">
        <f t="shared" si="24"/>
        <v>9</v>
      </c>
      <c r="D247" s="81">
        <v>2</v>
      </c>
      <c r="E247" s="81">
        <v>4</v>
      </c>
      <c r="F247" s="81" t="str">
        <f t="shared" si="25"/>
        <v>2월 4주</v>
      </c>
    </row>
    <row r="248" spans="1:6">
      <c r="A248" s="271">
        <f t="shared" si="21"/>
        <v>41694</v>
      </c>
      <c r="B248" s="81" t="str">
        <f t="shared" si="23"/>
        <v>월</v>
      </c>
      <c r="C248" s="81">
        <f t="shared" si="24"/>
        <v>9</v>
      </c>
      <c r="D248" s="81">
        <v>2</v>
      </c>
      <c r="E248" s="81">
        <v>4</v>
      </c>
      <c r="F248" s="81" t="str">
        <f t="shared" si="25"/>
        <v>2월 4주</v>
      </c>
    </row>
    <row r="249" spans="1:6">
      <c r="A249" s="271">
        <f t="shared" si="21"/>
        <v>41695</v>
      </c>
      <c r="B249" s="81" t="str">
        <f t="shared" si="23"/>
        <v>화</v>
      </c>
      <c r="C249" s="81">
        <f t="shared" si="24"/>
        <v>9</v>
      </c>
      <c r="D249" s="81">
        <v>2</v>
      </c>
      <c r="E249" s="81">
        <v>4</v>
      </c>
      <c r="F249" s="81" t="str">
        <f t="shared" si="25"/>
        <v>2월 4주</v>
      </c>
    </row>
    <row r="250" spans="1:6">
      <c r="A250" s="271">
        <f t="shared" si="21"/>
        <v>41696</v>
      </c>
      <c r="B250" s="81" t="str">
        <f t="shared" si="23"/>
        <v>수</v>
      </c>
      <c r="C250" s="81">
        <f t="shared" si="24"/>
        <v>9</v>
      </c>
      <c r="D250" s="81">
        <v>2</v>
      </c>
      <c r="E250" s="81">
        <v>4</v>
      </c>
      <c r="F250" s="81" t="str">
        <f t="shared" si="25"/>
        <v>2월 4주</v>
      </c>
    </row>
    <row r="251" spans="1:6">
      <c r="A251" s="271">
        <f t="shared" si="21"/>
        <v>41697</v>
      </c>
      <c r="B251" s="81" t="str">
        <f t="shared" si="23"/>
        <v>목</v>
      </c>
      <c r="C251" s="81">
        <f t="shared" si="24"/>
        <v>9</v>
      </c>
      <c r="D251" s="81">
        <v>2</v>
      </c>
      <c r="E251" s="81">
        <v>4</v>
      </c>
      <c r="F251" s="81" t="str">
        <f t="shared" si="25"/>
        <v>2월 4주</v>
      </c>
    </row>
    <row r="252" spans="1:6">
      <c r="A252" s="271">
        <f t="shared" si="21"/>
        <v>41698</v>
      </c>
      <c r="B252" s="81" t="str">
        <f t="shared" si="23"/>
        <v>금</v>
      </c>
      <c r="C252" s="81">
        <f t="shared" si="24"/>
        <v>9</v>
      </c>
      <c r="D252" s="81">
        <v>2</v>
      </c>
      <c r="E252" s="81">
        <v>4</v>
      </c>
      <c r="F252" s="81" t="str">
        <f t="shared" si="25"/>
        <v>2월 4주</v>
      </c>
    </row>
    <row r="253" spans="1:6">
      <c r="A253" s="271">
        <f t="shared" si="21"/>
        <v>41699</v>
      </c>
      <c r="B253" s="81" t="str">
        <f t="shared" si="23"/>
        <v>토</v>
      </c>
      <c r="C253" s="81">
        <f t="shared" si="24"/>
        <v>9</v>
      </c>
      <c r="D253" s="81">
        <v>3</v>
      </c>
      <c r="E253" s="81">
        <v>4</v>
      </c>
      <c r="F253" s="81" t="str">
        <f t="shared" si="25"/>
        <v>3월 4주</v>
      </c>
    </row>
    <row r="254" spans="1:6">
      <c r="A254" s="271">
        <f t="shared" si="21"/>
        <v>41700</v>
      </c>
      <c r="B254" s="81" t="str">
        <f t="shared" si="23"/>
        <v>일</v>
      </c>
      <c r="C254" s="81">
        <f t="shared" si="24"/>
        <v>10</v>
      </c>
      <c r="D254" s="81">
        <v>3</v>
      </c>
      <c r="E254" s="81">
        <v>1</v>
      </c>
      <c r="F254" s="81" t="str">
        <f t="shared" si="25"/>
        <v>3월 1주</v>
      </c>
    </row>
    <row r="255" spans="1:6">
      <c r="A255" s="271">
        <f t="shared" si="21"/>
        <v>41701</v>
      </c>
      <c r="B255" s="81" t="str">
        <f t="shared" si="23"/>
        <v>월</v>
      </c>
      <c r="C255" s="81">
        <f t="shared" si="24"/>
        <v>10</v>
      </c>
      <c r="D255" s="81">
        <v>3</v>
      </c>
      <c r="E255" s="81">
        <v>1</v>
      </c>
      <c r="F255" s="81" t="str">
        <f t="shared" si="25"/>
        <v>3월 1주</v>
      </c>
    </row>
    <row r="256" spans="1:6">
      <c r="A256" s="271">
        <f t="shared" si="21"/>
        <v>41702</v>
      </c>
      <c r="B256" s="81" t="str">
        <f t="shared" si="23"/>
        <v>화</v>
      </c>
      <c r="C256" s="81">
        <f t="shared" si="24"/>
        <v>10</v>
      </c>
      <c r="D256" s="81">
        <v>3</v>
      </c>
      <c r="E256" s="81">
        <v>1</v>
      </c>
      <c r="F256" s="81" t="str">
        <f t="shared" si="25"/>
        <v>3월 1주</v>
      </c>
    </row>
    <row r="257" spans="1:6">
      <c r="A257" s="271">
        <f t="shared" si="21"/>
        <v>41703</v>
      </c>
      <c r="B257" s="81" t="str">
        <f t="shared" si="23"/>
        <v>수</v>
      </c>
      <c r="C257" s="81">
        <f t="shared" si="24"/>
        <v>10</v>
      </c>
      <c r="D257" s="81">
        <v>3</v>
      </c>
      <c r="E257" s="81">
        <v>1</v>
      </c>
      <c r="F257" s="81" t="str">
        <f t="shared" si="25"/>
        <v>3월 1주</v>
      </c>
    </row>
    <row r="258" spans="1:6">
      <c r="A258" s="271">
        <f t="shared" ref="A258:A322" si="27">A257+1</f>
        <v>41704</v>
      </c>
      <c r="B258" s="81" t="str">
        <f t="shared" si="23"/>
        <v>목</v>
      </c>
      <c r="C258" s="81">
        <f t="shared" si="24"/>
        <v>10</v>
      </c>
      <c r="D258" s="81">
        <v>3</v>
      </c>
      <c r="E258" s="81">
        <v>1</v>
      </c>
      <c r="F258" s="81" t="str">
        <f t="shared" si="25"/>
        <v>3월 1주</v>
      </c>
    </row>
    <row r="259" spans="1:6">
      <c r="A259" s="271">
        <f t="shared" si="27"/>
        <v>41705</v>
      </c>
      <c r="B259" s="81" t="str">
        <f t="shared" si="23"/>
        <v>금</v>
      </c>
      <c r="C259" s="81">
        <f t="shared" si="24"/>
        <v>10</v>
      </c>
      <c r="D259" s="81">
        <v>3</v>
      </c>
      <c r="E259" s="81">
        <v>1</v>
      </c>
      <c r="F259" s="81" t="str">
        <f t="shared" si="25"/>
        <v>3월 1주</v>
      </c>
    </row>
    <row r="260" spans="1:6">
      <c r="A260" s="271">
        <f t="shared" si="27"/>
        <v>41706</v>
      </c>
      <c r="B260" s="81" t="str">
        <f t="shared" si="23"/>
        <v>토</v>
      </c>
      <c r="C260" s="81">
        <f t="shared" si="24"/>
        <v>10</v>
      </c>
      <c r="D260" s="81">
        <v>3</v>
      </c>
      <c r="E260" s="81">
        <v>1</v>
      </c>
      <c r="F260" s="81" t="str">
        <f t="shared" si="25"/>
        <v>3월 1주</v>
      </c>
    </row>
    <row r="261" spans="1:6">
      <c r="A261" s="271">
        <f t="shared" si="27"/>
        <v>41707</v>
      </c>
      <c r="B261" s="81" t="str">
        <f t="shared" si="23"/>
        <v>일</v>
      </c>
      <c r="C261" s="81">
        <f t="shared" si="24"/>
        <v>11</v>
      </c>
      <c r="D261" s="81">
        <v>3</v>
      </c>
      <c r="E261" s="81">
        <v>2</v>
      </c>
      <c r="F261" s="81" t="str">
        <f t="shared" si="25"/>
        <v>3월 2주</v>
      </c>
    </row>
    <row r="262" spans="1:6">
      <c r="A262" s="271">
        <f t="shared" si="27"/>
        <v>41708</v>
      </c>
      <c r="B262" s="81" t="str">
        <f t="shared" ref="B262:B284" si="28">TEXT(A262,"AAA")</f>
        <v>월</v>
      </c>
      <c r="C262" s="81">
        <f t="shared" ref="C262:C284" si="29">WEEKNUM(A262)</f>
        <v>11</v>
      </c>
      <c r="D262" s="81">
        <v>3</v>
      </c>
      <c r="E262" s="81">
        <v>2</v>
      </c>
      <c r="F262" s="81" t="str">
        <f t="shared" si="25"/>
        <v>3월 2주</v>
      </c>
    </row>
    <row r="263" spans="1:6">
      <c r="A263" s="271">
        <f t="shared" si="27"/>
        <v>41709</v>
      </c>
      <c r="B263" s="81" t="str">
        <f t="shared" si="28"/>
        <v>화</v>
      </c>
      <c r="C263" s="81">
        <f t="shared" si="29"/>
        <v>11</v>
      </c>
      <c r="D263" s="81">
        <v>3</v>
      </c>
      <c r="E263" s="81">
        <v>2</v>
      </c>
      <c r="F263" s="81" t="str">
        <f t="shared" si="25"/>
        <v>3월 2주</v>
      </c>
    </row>
    <row r="264" spans="1:6">
      <c r="A264" s="271">
        <f t="shared" si="27"/>
        <v>41710</v>
      </c>
      <c r="B264" s="81" t="str">
        <f t="shared" si="28"/>
        <v>수</v>
      </c>
      <c r="C264" s="81">
        <f t="shared" si="29"/>
        <v>11</v>
      </c>
      <c r="D264" s="81">
        <v>3</v>
      </c>
      <c r="E264" s="81">
        <v>2</v>
      </c>
      <c r="F264" s="81" t="str">
        <f t="shared" si="25"/>
        <v>3월 2주</v>
      </c>
    </row>
    <row r="265" spans="1:6">
      <c r="A265" s="271">
        <f t="shared" si="27"/>
        <v>41711</v>
      </c>
      <c r="B265" s="81" t="str">
        <f t="shared" si="28"/>
        <v>목</v>
      </c>
      <c r="C265" s="81">
        <f t="shared" si="29"/>
        <v>11</v>
      </c>
      <c r="D265" s="81">
        <v>3</v>
      </c>
      <c r="E265" s="81">
        <v>2</v>
      </c>
      <c r="F265" s="81" t="str">
        <f t="shared" si="25"/>
        <v>3월 2주</v>
      </c>
    </row>
    <row r="266" spans="1:6">
      <c r="A266" s="271">
        <f t="shared" si="27"/>
        <v>41712</v>
      </c>
      <c r="B266" s="81" t="str">
        <f t="shared" si="28"/>
        <v>금</v>
      </c>
      <c r="C266" s="81">
        <f t="shared" si="29"/>
        <v>11</v>
      </c>
      <c r="D266" s="81">
        <v>3</v>
      </c>
      <c r="E266" s="81">
        <v>2</v>
      </c>
      <c r="F266" s="81" t="str">
        <f t="shared" ref="F266:F284" si="30">D266&amp;"월 "&amp;E266&amp;"주"</f>
        <v>3월 2주</v>
      </c>
    </row>
    <row r="267" spans="1:6">
      <c r="A267" s="271">
        <f t="shared" si="27"/>
        <v>41713</v>
      </c>
      <c r="B267" s="81" t="str">
        <f t="shared" si="28"/>
        <v>토</v>
      </c>
      <c r="C267" s="81">
        <f t="shared" si="29"/>
        <v>11</v>
      </c>
      <c r="D267" s="81">
        <v>3</v>
      </c>
      <c r="E267" s="81">
        <v>2</v>
      </c>
      <c r="F267" s="81" t="str">
        <f t="shared" si="30"/>
        <v>3월 2주</v>
      </c>
    </row>
    <row r="268" spans="1:6">
      <c r="A268" s="271">
        <f t="shared" si="27"/>
        <v>41714</v>
      </c>
      <c r="B268" s="81" t="str">
        <f t="shared" si="28"/>
        <v>일</v>
      </c>
      <c r="C268" s="81">
        <f t="shared" si="29"/>
        <v>12</v>
      </c>
      <c r="D268" s="81">
        <v>3</v>
      </c>
      <c r="E268" s="81">
        <v>3</v>
      </c>
      <c r="F268" s="81" t="str">
        <f t="shared" si="30"/>
        <v>3월 3주</v>
      </c>
    </row>
    <row r="269" spans="1:6">
      <c r="A269" s="271">
        <f t="shared" si="27"/>
        <v>41715</v>
      </c>
      <c r="B269" s="81" t="str">
        <f t="shared" si="28"/>
        <v>월</v>
      </c>
      <c r="C269" s="81">
        <f t="shared" si="29"/>
        <v>12</v>
      </c>
      <c r="D269" s="81">
        <v>3</v>
      </c>
      <c r="E269" s="81">
        <v>3</v>
      </c>
      <c r="F269" s="81" t="str">
        <f t="shared" si="30"/>
        <v>3월 3주</v>
      </c>
    </row>
    <row r="270" spans="1:6">
      <c r="A270" s="271">
        <f t="shared" si="27"/>
        <v>41716</v>
      </c>
      <c r="B270" s="81" t="str">
        <f t="shared" si="28"/>
        <v>화</v>
      </c>
      <c r="C270" s="81">
        <f t="shared" si="29"/>
        <v>12</v>
      </c>
      <c r="D270" s="81">
        <v>3</v>
      </c>
      <c r="E270" s="81">
        <v>3</v>
      </c>
      <c r="F270" s="81" t="str">
        <f t="shared" si="30"/>
        <v>3월 3주</v>
      </c>
    </row>
    <row r="271" spans="1:6">
      <c r="A271" s="271">
        <f t="shared" si="27"/>
        <v>41717</v>
      </c>
      <c r="B271" s="81" t="str">
        <f t="shared" si="28"/>
        <v>수</v>
      </c>
      <c r="C271" s="81">
        <f t="shared" si="29"/>
        <v>12</v>
      </c>
      <c r="D271" s="81">
        <v>3</v>
      </c>
      <c r="E271" s="81">
        <v>3</v>
      </c>
      <c r="F271" s="81" t="str">
        <f t="shared" si="30"/>
        <v>3월 3주</v>
      </c>
    </row>
    <row r="272" spans="1:6">
      <c r="A272" s="271">
        <f t="shared" si="27"/>
        <v>41718</v>
      </c>
      <c r="B272" s="81" t="str">
        <f t="shared" si="28"/>
        <v>목</v>
      </c>
      <c r="C272" s="81">
        <f t="shared" si="29"/>
        <v>12</v>
      </c>
      <c r="D272" s="81">
        <v>3</v>
      </c>
      <c r="E272" s="81">
        <v>3</v>
      </c>
      <c r="F272" s="81" t="str">
        <f t="shared" si="30"/>
        <v>3월 3주</v>
      </c>
    </row>
    <row r="273" spans="1:6">
      <c r="A273" s="271">
        <f t="shared" si="27"/>
        <v>41719</v>
      </c>
      <c r="B273" s="81" t="str">
        <f t="shared" si="28"/>
        <v>금</v>
      </c>
      <c r="C273" s="81">
        <f t="shared" si="29"/>
        <v>12</v>
      </c>
      <c r="D273" s="81">
        <v>3</v>
      </c>
      <c r="E273" s="81">
        <v>3</v>
      </c>
      <c r="F273" s="81" t="str">
        <f t="shared" si="30"/>
        <v>3월 3주</v>
      </c>
    </row>
    <row r="274" spans="1:6">
      <c r="A274" s="271">
        <f t="shared" si="27"/>
        <v>41720</v>
      </c>
      <c r="B274" s="81" t="str">
        <f t="shared" si="28"/>
        <v>토</v>
      </c>
      <c r="C274" s="81">
        <f t="shared" si="29"/>
        <v>12</v>
      </c>
      <c r="D274" s="81">
        <v>3</v>
      </c>
      <c r="E274" s="81">
        <v>3</v>
      </c>
      <c r="F274" s="81" t="str">
        <f t="shared" si="30"/>
        <v>3월 3주</v>
      </c>
    </row>
    <row r="275" spans="1:6">
      <c r="A275" s="271">
        <f t="shared" si="27"/>
        <v>41721</v>
      </c>
      <c r="B275" s="81" t="str">
        <f t="shared" si="28"/>
        <v>일</v>
      </c>
      <c r="C275" s="81">
        <f t="shared" si="29"/>
        <v>13</v>
      </c>
      <c r="D275" s="81">
        <v>3</v>
      </c>
      <c r="E275" s="81">
        <v>4</v>
      </c>
      <c r="F275" s="81" t="str">
        <f t="shared" si="30"/>
        <v>3월 4주</v>
      </c>
    </row>
    <row r="276" spans="1:6">
      <c r="A276" s="271">
        <f t="shared" si="27"/>
        <v>41722</v>
      </c>
      <c r="B276" s="81" t="str">
        <f t="shared" si="28"/>
        <v>월</v>
      </c>
      <c r="C276" s="81">
        <f t="shared" si="29"/>
        <v>13</v>
      </c>
      <c r="D276" s="81">
        <v>3</v>
      </c>
      <c r="E276" s="81">
        <v>4</v>
      </c>
      <c r="F276" s="81" t="str">
        <f t="shared" si="30"/>
        <v>3월 4주</v>
      </c>
    </row>
    <row r="277" spans="1:6">
      <c r="A277" s="271">
        <f t="shared" si="27"/>
        <v>41723</v>
      </c>
      <c r="B277" s="81" t="str">
        <f t="shared" si="28"/>
        <v>화</v>
      </c>
      <c r="C277" s="81">
        <f t="shared" si="29"/>
        <v>13</v>
      </c>
      <c r="D277" s="81">
        <v>3</v>
      </c>
      <c r="E277" s="81">
        <v>4</v>
      </c>
      <c r="F277" s="81" t="str">
        <f t="shared" si="30"/>
        <v>3월 4주</v>
      </c>
    </row>
    <row r="278" spans="1:6">
      <c r="A278" s="271">
        <f t="shared" si="27"/>
        <v>41724</v>
      </c>
      <c r="B278" s="81" t="str">
        <f t="shared" si="28"/>
        <v>수</v>
      </c>
      <c r="C278" s="81">
        <f t="shared" si="29"/>
        <v>13</v>
      </c>
      <c r="D278" s="81">
        <v>3</v>
      </c>
      <c r="E278" s="81">
        <v>4</v>
      </c>
      <c r="F278" s="81" t="str">
        <f t="shared" si="30"/>
        <v>3월 4주</v>
      </c>
    </row>
    <row r="279" spans="1:6">
      <c r="A279" s="271">
        <f t="shared" si="27"/>
        <v>41725</v>
      </c>
      <c r="B279" s="81" t="str">
        <f t="shared" si="28"/>
        <v>목</v>
      </c>
      <c r="C279" s="81">
        <f t="shared" si="29"/>
        <v>13</v>
      </c>
      <c r="D279" s="81">
        <v>3</v>
      </c>
      <c r="E279" s="81">
        <v>4</v>
      </c>
      <c r="F279" s="81" t="str">
        <f t="shared" si="30"/>
        <v>3월 4주</v>
      </c>
    </row>
    <row r="280" spans="1:6">
      <c r="A280" s="271">
        <f t="shared" si="27"/>
        <v>41726</v>
      </c>
      <c r="B280" s="81" t="str">
        <f t="shared" si="28"/>
        <v>금</v>
      </c>
      <c r="C280" s="81">
        <f t="shared" si="29"/>
        <v>13</v>
      </c>
      <c r="D280" s="81">
        <v>3</v>
      </c>
      <c r="E280" s="81">
        <v>4</v>
      </c>
      <c r="F280" s="81" t="str">
        <f t="shared" si="30"/>
        <v>3월 4주</v>
      </c>
    </row>
    <row r="281" spans="1:6">
      <c r="A281" s="271">
        <f t="shared" si="27"/>
        <v>41727</v>
      </c>
      <c r="B281" s="81" t="str">
        <f t="shared" si="28"/>
        <v>토</v>
      </c>
      <c r="C281" s="81">
        <f t="shared" si="29"/>
        <v>13</v>
      </c>
      <c r="D281" s="81">
        <v>3</v>
      </c>
      <c r="E281" s="81">
        <v>4</v>
      </c>
      <c r="F281" s="81" t="str">
        <f t="shared" si="30"/>
        <v>3월 4주</v>
      </c>
    </row>
    <row r="282" spans="1:6">
      <c r="A282" s="271">
        <f t="shared" si="27"/>
        <v>41728</v>
      </c>
      <c r="B282" s="81" t="str">
        <f t="shared" si="28"/>
        <v>일</v>
      </c>
      <c r="C282" s="81">
        <f t="shared" si="29"/>
        <v>14</v>
      </c>
      <c r="D282" s="81">
        <v>3</v>
      </c>
      <c r="E282" s="81">
        <v>5</v>
      </c>
      <c r="F282" s="81" t="str">
        <f t="shared" si="30"/>
        <v>3월 5주</v>
      </c>
    </row>
    <row r="283" spans="1:6">
      <c r="A283" s="271">
        <f t="shared" si="27"/>
        <v>41729</v>
      </c>
      <c r="B283" s="81" t="str">
        <f t="shared" si="28"/>
        <v>월</v>
      </c>
      <c r="C283" s="81">
        <f t="shared" si="29"/>
        <v>14</v>
      </c>
      <c r="D283" s="81">
        <v>3</v>
      </c>
      <c r="E283" s="81">
        <v>5</v>
      </c>
      <c r="F283" s="81" t="str">
        <f t="shared" si="30"/>
        <v>3월 5주</v>
      </c>
    </row>
    <row r="284" spans="1:6">
      <c r="A284" s="271">
        <f t="shared" si="27"/>
        <v>41730</v>
      </c>
      <c r="B284" s="81" t="str">
        <f t="shared" si="28"/>
        <v>화</v>
      </c>
      <c r="C284" s="81">
        <f t="shared" si="29"/>
        <v>14</v>
      </c>
      <c r="D284" s="81">
        <v>4</v>
      </c>
      <c r="E284" s="81">
        <v>1</v>
      </c>
      <c r="F284" s="81" t="str">
        <f t="shared" si="30"/>
        <v>4월 1주</v>
      </c>
    </row>
    <row r="285" spans="1:6">
      <c r="A285" s="271">
        <f t="shared" si="27"/>
        <v>41731</v>
      </c>
      <c r="B285" s="81" t="str">
        <f>TEXT(A285,"AAA")</f>
        <v>수</v>
      </c>
      <c r="C285" s="81">
        <f>WEEKNUM(A285)</f>
        <v>14</v>
      </c>
      <c r="D285" s="81">
        <v>4</v>
      </c>
      <c r="E285" s="81">
        <v>1</v>
      </c>
      <c r="F285" s="81" t="str">
        <f>D285&amp;"월 "&amp;E285&amp;"주"</f>
        <v>4월 1주</v>
      </c>
    </row>
    <row r="286" spans="1:6">
      <c r="A286" s="271">
        <f t="shared" si="27"/>
        <v>41732</v>
      </c>
      <c r="B286" s="81" t="str">
        <f>TEXT(A286,"AAA")</f>
        <v>목</v>
      </c>
      <c r="C286" s="81">
        <f>WEEKNUM(A286)</f>
        <v>14</v>
      </c>
      <c r="D286" s="81">
        <v>4</v>
      </c>
      <c r="E286" s="81">
        <v>1</v>
      </c>
      <c r="F286" s="81" t="str">
        <f>D286&amp;"월 "&amp;E286&amp;"주"</f>
        <v>4월 1주</v>
      </c>
    </row>
    <row r="287" spans="1:6">
      <c r="A287" s="271">
        <f t="shared" si="27"/>
        <v>41733</v>
      </c>
      <c r="B287" s="81" t="str">
        <f>TEXT(A287,"AAA")</f>
        <v>금</v>
      </c>
      <c r="C287" s="81">
        <f>WEEKNUM(A287)</f>
        <v>14</v>
      </c>
      <c r="D287" s="81">
        <v>4</v>
      </c>
      <c r="E287" s="81">
        <v>1</v>
      </c>
      <c r="F287" s="81" t="str">
        <f>D287&amp;"월 "&amp;E287&amp;"주"</f>
        <v>4월 1주</v>
      </c>
    </row>
    <row r="288" spans="1:6">
      <c r="A288" s="271">
        <f t="shared" si="27"/>
        <v>41734</v>
      </c>
      <c r="B288" s="81" t="str">
        <f>TEXT(A288,"AAA")</f>
        <v>토</v>
      </c>
      <c r="C288" s="81">
        <f>WEEKNUM(A288)</f>
        <v>14</v>
      </c>
      <c r="D288" s="81">
        <v>4</v>
      </c>
      <c r="E288" s="81">
        <v>1</v>
      </c>
      <c r="F288" s="81" t="str">
        <f>D288&amp;"월 "&amp;E288&amp;"주"</f>
        <v>4월 1주</v>
      </c>
    </row>
    <row r="289" spans="1:6">
      <c r="A289" s="271">
        <f t="shared" si="27"/>
        <v>41735</v>
      </c>
      <c r="B289" s="81" t="str">
        <f t="shared" ref="B289:B295" si="31">TEXT(A289,"AAA")</f>
        <v>일</v>
      </c>
      <c r="C289" s="81">
        <f t="shared" ref="C289:C295" si="32">WEEKNUM(A289)</f>
        <v>15</v>
      </c>
      <c r="D289" s="81">
        <v>4</v>
      </c>
      <c r="E289" s="81">
        <v>2</v>
      </c>
      <c r="F289" s="81" t="str">
        <f t="shared" ref="F289:F295" si="33">D289&amp;"월 "&amp;E289&amp;"주"</f>
        <v>4월 2주</v>
      </c>
    </row>
    <row r="290" spans="1:6">
      <c r="A290" s="271">
        <f t="shared" si="27"/>
        <v>41736</v>
      </c>
      <c r="B290" s="81" t="str">
        <f t="shared" si="31"/>
        <v>월</v>
      </c>
      <c r="C290" s="81">
        <f t="shared" si="32"/>
        <v>15</v>
      </c>
      <c r="D290" s="81">
        <v>4</v>
      </c>
      <c r="E290" s="81">
        <v>2</v>
      </c>
      <c r="F290" s="81" t="str">
        <f t="shared" si="33"/>
        <v>4월 2주</v>
      </c>
    </row>
    <row r="291" spans="1:6">
      <c r="A291" s="271">
        <f t="shared" si="27"/>
        <v>41737</v>
      </c>
      <c r="B291" s="81" t="str">
        <f t="shared" si="31"/>
        <v>화</v>
      </c>
      <c r="C291" s="81">
        <f t="shared" si="32"/>
        <v>15</v>
      </c>
      <c r="D291" s="81">
        <v>4</v>
      </c>
      <c r="E291" s="81">
        <v>2</v>
      </c>
      <c r="F291" s="81" t="str">
        <f t="shared" si="33"/>
        <v>4월 2주</v>
      </c>
    </row>
    <row r="292" spans="1:6">
      <c r="A292" s="271">
        <f t="shared" si="27"/>
        <v>41738</v>
      </c>
      <c r="B292" s="81" t="str">
        <f t="shared" si="31"/>
        <v>수</v>
      </c>
      <c r="C292" s="81">
        <f t="shared" si="32"/>
        <v>15</v>
      </c>
      <c r="D292" s="81">
        <v>4</v>
      </c>
      <c r="E292" s="81">
        <v>2</v>
      </c>
      <c r="F292" s="81" t="str">
        <f t="shared" si="33"/>
        <v>4월 2주</v>
      </c>
    </row>
    <row r="293" spans="1:6">
      <c r="A293" s="271">
        <f t="shared" si="27"/>
        <v>41739</v>
      </c>
      <c r="B293" s="81" t="str">
        <f t="shared" si="31"/>
        <v>목</v>
      </c>
      <c r="C293" s="81">
        <f t="shared" si="32"/>
        <v>15</v>
      </c>
      <c r="D293" s="81">
        <v>4</v>
      </c>
      <c r="E293" s="81">
        <v>2</v>
      </c>
      <c r="F293" s="81" t="str">
        <f t="shared" si="33"/>
        <v>4월 2주</v>
      </c>
    </row>
    <row r="294" spans="1:6">
      <c r="A294" s="271">
        <f t="shared" si="27"/>
        <v>41740</v>
      </c>
      <c r="B294" s="81" t="str">
        <f t="shared" si="31"/>
        <v>금</v>
      </c>
      <c r="C294" s="81">
        <f t="shared" si="32"/>
        <v>15</v>
      </c>
      <c r="D294" s="81">
        <v>4</v>
      </c>
      <c r="E294" s="81">
        <v>2</v>
      </c>
      <c r="F294" s="81" t="str">
        <f t="shared" si="33"/>
        <v>4월 2주</v>
      </c>
    </row>
    <row r="295" spans="1:6">
      <c r="A295" s="271">
        <f t="shared" si="27"/>
        <v>41741</v>
      </c>
      <c r="B295" s="81" t="str">
        <f t="shared" si="31"/>
        <v>토</v>
      </c>
      <c r="C295" s="81">
        <f t="shared" si="32"/>
        <v>15</v>
      </c>
      <c r="D295" s="81">
        <v>4</v>
      </c>
      <c r="E295" s="81">
        <v>2</v>
      </c>
      <c r="F295" s="81" t="str">
        <f t="shared" si="33"/>
        <v>4월 2주</v>
      </c>
    </row>
    <row r="296" spans="1:6">
      <c r="A296" s="271">
        <f t="shared" si="27"/>
        <v>41742</v>
      </c>
      <c r="B296" s="81" t="str">
        <f t="shared" ref="B296:B301" si="34">TEXT(A296,"AAA")</f>
        <v>일</v>
      </c>
      <c r="C296" s="81">
        <f t="shared" ref="C296:C301" si="35">WEEKNUM(A296)</f>
        <v>16</v>
      </c>
      <c r="D296" s="81">
        <v>4</v>
      </c>
      <c r="E296" s="81">
        <v>3</v>
      </c>
      <c r="F296" s="81" t="str">
        <f t="shared" ref="F296:F301" si="36">D296&amp;"월 "&amp;E296&amp;"주"</f>
        <v>4월 3주</v>
      </c>
    </row>
    <row r="297" spans="1:6">
      <c r="A297" s="271">
        <f t="shared" si="27"/>
        <v>41743</v>
      </c>
      <c r="B297" s="81" t="str">
        <f t="shared" si="34"/>
        <v>월</v>
      </c>
      <c r="C297" s="81">
        <f t="shared" si="35"/>
        <v>16</v>
      </c>
      <c r="D297" s="81">
        <v>4</v>
      </c>
      <c r="E297" s="81">
        <v>3</v>
      </c>
      <c r="F297" s="81" t="str">
        <f t="shared" si="36"/>
        <v>4월 3주</v>
      </c>
    </row>
    <row r="298" spans="1:6">
      <c r="A298" s="271">
        <f t="shared" si="27"/>
        <v>41744</v>
      </c>
      <c r="B298" s="81" t="str">
        <f t="shared" si="34"/>
        <v>화</v>
      </c>
      <c r="C298" s="81">
        <f t="shared" si="35"/>
        <v>16</v>
      </c>
      <c r="D298" s="81">
        <v>4</v>
      </c>
      <c r="E298" s="81">
        <v>3</v>
      </c>
      <c r="F298" s="81" t="str">
        <f t="shared" si="36"/>
        <v>4월 3주</v>
      </c>
    </row>
    <row r="299" spans="1:6">
      <c r="A299" s="271">
        <f t="shared" si="27"/>
        <v>41745</v>
      </c>
      <c r="B299" s="81" t="str">
        <f t="shared" si="34"/>
        <v>수</v>
      </c>
      <c r="C299" s="81">
        <f t="shared" si="35"/>
        <v>16</v>
      </c>
      <c r="D299" s="81">
        <v>4</v>
      </c>
      <c r="E299" s="81">
        <v>3</v>
      </c>
      <c r="F299" s="81" t="str">
        <f t="shared" si="36"/>
        <v>4월 3주</v>
      </c>
    </row>
    <row r="300" spans="1:6">
      <c r="A300" s="271">
        <f t="shared" si="27"/>
        <v>41746</v>
      </c>
      <c r="B300" s="81" t="str">
        <f t="shared" si="34"/>
        <v>목</v>
      </c>
      <c r="C300" s="81">
        <f t="shared" si="35"/>
        <v>16</v>
      </c>
      <c r="D300" s="81">
        <v>4</v>
      </c>
      <c r="E300" s="81">
        <v>3</v>
      </c>
      <c r="F300" s="81" t="str">
        <f t="shared" si="36"/>
        <v>4월 3주</v>
      </c>
    </row>
    <row r="301" spans="1:6">
      <c r="A301" s="271">
        <f t="shared" si="27"/>
        <v>41747</v>
      </c>
      <c r="B301" s="81" t="str">
        <f t="shared" si="34"/>
        <v>금</v>
      </c>
      <c r="C301" s="81">
        <f t="shared" si="35"/>
        <v>16</v>
      </c>
      <c r="D301" s="81">
        <v>4</v>
      </c>
      <c r="E301" s="81">
        <v>3</v>
      </c>
      <c r="F301" s="81" t="str">
        <f t="shared" si="36"/>
        <v>4월 3주</v>
      </c>
    </row>
    <row r="302" spans="1:6">
      <c r="A302" s="271">
        <f t="shared" si="27"/>
        <v>41748</v>
      </c>
      <c r="B302" s="81" t="str">
        <f t="shared" ref="B302:B308" si="37">TEXT(A302,"AAA")</f>
        <v>토</v>
      </c>
      <c r="C302" s="81">
        <f t="shared" ref="C302:C308" si="38">WEEKNUM(A302)</f>
        <v>16</v>
      </c>
      <c r="D302" s="81">
        <v>4</v>
      </c>
      <c r="E302" s="81">
        <v>3</v>
      </c>
      <c r="F302" s="81" t="str">
        <f t="shared" ref="F302:F308" si="39">D302&amp;"월 "&amp;E302&amp;"주"</f>
        <v>4월 3주</v>
      </c>
    </row>
    <row r="303" spans="1:6">
      <c r="A303" s="271">
        <f t="shared" si="27"/>
        <v>41749</v>
      </c>
      <c r="B303" s="81" t="str">
        <f t="shared" si="37"/>
        <v>일</v>
      </c>
      <c r="C303" s="81">
        <f t="shared" si="38"/>
        <v>17</v>
      </c>
      <c r="D303" s="81">
        <v>4</v>
      </c>
      <c r="E303" s="81">
        <v>4</v>
      </c>
      <c r="F303" s="81" t="str">
        <f t="shared" si="39"/>
        <v>4월 4주</v>
      </c>
    </row>
    <row r="304" spans="1:6">
      <c r="A304" s="271">
        <f t="shared" si="27"/>
        <v>41750</v>
      </c>
      <c r="B304" s="81" t="str">
        <f t="shared" si="37"/>
        <v>월</v>
      </c>
      <c r="C304" s="81">
        <f t="shared" si="38"/>
        <v>17</v>
      </c>
      <c r="D304" s="81">
        <v>4</v>
      </c>
      <c r="E304" s="81">
        <v>4</v>
      </c>
      <c r="F304" s="81" t="str">
        <f t="shared" si="39"/>
        <v>4월 4주</v>
      </c>
    </row>
    <row r="305" spans="1:6">
      <c r="A305" s="271">
        <f t="shared" si="27"/>
        <v>41751</v>
      </c>
      <c r="B305" s="81" t="str">
        <f t="shared" si="37"/>
        <v>화</v>
      </c>
      <c r="C305" s="81">
        <f t="shared" si="38"/>
        <v>17</v>
      </c>
      <c r="D305" s="81">
        <v>4</v>
      </c>
      <c r="E305" s="81">
        <v>4</v>
      </c>
      <c r="F305" s="81" t="str">
        <f t="shared" si="39"/>
        <v>4월 4주</v>
      </c>
    </row>
    <row r="306" spans="1:6">
      <c r="A306" s="271">
        <f t="shared" si="27"/>
        <v>41752</v>
      </c>
      <c r="B306" s="81" t="str">
        <f t="shared" si="37"/>
        <v>수</v>
      </c>
      <c r="C306" s="81">
        <f t="shared" si="38"/>
        <v>17</v>
      </c>
      <c r="D306" s="81">
        <v>4</v>
      </c>
      <c r="E306" s="81">
        <v>4</v>
      </c>
      <c r="F306" s="81" t="str">
        <f t="shared" si="39"/>
        <v>4월 4주</v>
      </c>
    </row>
    <row r="307" spans="1:6">
      <c r="A307" s="271">
        <f t="shared" si="27"/>
        <v>41753</v>
      </c>
      <c r="B307" s="81" t="str">
        <f t="shared" si="37"/>
        <v>목</v>
      </c>
      <c r="C307" s="81">
        <f t="shared" si="38"/>
        <v>17</v>
      </c>
      <c r="D307" s="81">
        <v>4</v>
      </c>
      <c r="E307" s="81">
        <v>4</v>
      </c>
      <c r="F307" s="81" t="str">
        <f t="shared" si="39"/>
        <v>4월 4주</v>
      </c>
    </row>
    <row r="308" spans="1:6">
      <c r="A308" s="271">
        <f t="shared" si="27"/>
        <v>41754</v>
      </c>
      <c r="B308" s="81" t="str">
        <f t="shared" si="37"/>
        <v>금</v>
      </c>
      <c r="C308" s="81">
        <f t="shared" si="38"/>
        <v>17</v>
      </c>
      <c r="D308" s="81">
        <v>4</v>
      </c>
      <c r="E308" s="81">
        <v>4</v>
      </c>
      <c r="F308" s="81" t="str">
        <f t="shared" si="39"/>
        <v>4월 4주</v>
      </c>
    </row>
    <row r="309" spans="1:6">
      <c r="A309" s="271">
        <f t="shared" si="27"/>
        <v>41755</v>
      </c>
      <c r="B309" s="81" t="str">
        <f>TEXT(A309,"AAA")</f>
        <v>토</v>
      </c>
      <c r="C309" s="81">
        <f>WEEKNUM(A309)</f>
        <v>17</v>
      </c>
      <c r="D309" s="81">
        <v>4</v>
      </c>
      <c r="E309" s="81">
        <v>5</v>
      </c>
      <c r="F309" s="81" t="str">
        <f>D309&amp;"월 "&amp;E309&amp;"주"</f>
        <v>4월 5주</v>
      </c>
    </row>
    <row r="310" spans="1:6">
      <c r="A310" s="271">
        <f t="shared" si="27"/>
        <v>41756</v>
      </c>
      <c r="B310" s="81" t="str">
        <f>TEXT(A310,"AAA")</f>
        <v>일</v>
      </c>
      <c r="C310" s="81">
        <f>WEEKNUM(A310)</f>
        <v>18</v>
      </c>
      <c r="D310" s="81">
        <v>4</v>
      </c>
      <c r="E310" s="81">
        <v>5</v>
      </c>
      <c r="F310" s="81" t="str">
        <f>D310&amp;"월 "&amp;E310&amp;"주"</f>
        <v>4월 5주</v>
      </c>
    </row>
    <row r="311" spans="1:6">
      <c r="A311" s="271">
        <f t="shared" si="27"/>
        <v>41757</v>
      </c>
      <c r="B311" s="81" t="str">
        <f>TEXT(A311,"AAA")</f>
        <v>월</v>
      </c>
      <c r="C311" s="81">
        <f>WEEKNUM(A311)</f>
        <v>18</v>
      </c>
      <c r="D311" s="81">
        <v>4</v>
      </c>
      <c r="E311" s="81">
        <v>5</v>
      </c>
      <c r="F311" s="81" t="str">
        <f>D311&amp;"월 "&amp;E311&amp;"주"</f>
        <v>4월 5주</v>
      </c>
    </row>
    <row r="312" spans="1:6">
      <c r="A312" s="271">
        <f t="shared" si="27"/>
        <v>41758</v>
      </c>
      <c r="B312" s="81" t="str">
        <f>TEXT(A312,"AAA")</f>
        <v>화</v>
      </c>
      <c r="C312" s="81">
        <f>WEEKNUM(A312)</f>
        <v>18</v>
      </c>
      <c r="D312" s="81">
        <v>4</v>
      </c>
      <c r="E312" s="81">
        <v>5</v>
      </c>
      <c r="F312" s="81" t="str">
        <f>D312&amp;"월 "&amp;E312&amp;"주"</f>
        <v>4월 5주</v>
      </c>
    </row>
    <row r="313" spans="1:6">
      <c r="A313" s="271">
        <f t="shared" si="27"/>
        <v>41759</v>
      </c>
      <c r="B313" s="81" t="str">
        <f>TEXT(A313,"AAA")</f>
        <v>수</v>
      </c>
      <c r="C313" s="81">
        <f>WEEKNUM(A313)</f>
        <v>18</v>
      </c>
      <c r="D313" s="81">
        <v>4</v>
      </c>
      <c r="E313" s="81">
        <v>5</v>
      </c>
      <c r="F313" s="81" t="str">
        <f>D313&amp;"월 "&amp;E313&amp;"주"</f>
        <v>4월 5주</v>
      </c>
    </row>
    <row r="314" spans="1:6">
      <c r="A314" s="271">
        <f t="shared" si="27"/>
        <v>41760</v>
      </c>
      <c r="B314" s="81" t="str">
        <f t="shared" ref="B314:B322" si="40">TEXT(A314,"AAA")</f>
        <v>목</v>
      </c>
      <c r="C314" s="81">
        <f t="shared" ref="C314:C322" si="41">WEEKNUM(A314)</f>
        <v>18</v>
      </c>
      <c r="D314" s="81">
        <v>5</v>
      </c>
      <c r="E314" s="81">
        <v>1</v>
      </c>
      <c r="F314" s="81" t="str">
        <f t="shared" ref="F314:F322" si="42">D314&amp;"월 "&amp;E314&amp;"주"</f>
        <v>5월 1주</v>
      </c>
    </row>
    <row r="315" spans="1:6">
      <c r="A315" s="271">
        <f t="shared" si="27"/>
        <v>41761</v>
      </c>
      <c r="B315" s="81" t="str">
        <f t="shared" si="40"/>
        <v>금</v>
      </c>
      <c r="C315" s="81">
        <f t="shared" si="41"/>
        <v>18</v>
      </c>
      <c r="D315" s="81">
        <v>5</v>
      </c>
      <c r="E315" s="81">
        <v>1</v>
      </c>
      <c r="F315" s="81" t="str">
        <f t="shared" si="42"/>
        <v>5월 1주</v>
      </c>
    </row>
    <row r="316" spans="1:6">
      <c r="A316" s="271">
        <f t="shared" si="27"/>
        <v>41762</v>
      </c>
      <c r="B316" s="81" t="str">
        <f t="shared" si="40"/>
        <v>토</v>
      </c>
      <c r="C316" s="81">
        <f t="shared" si="41"/>
        <v>18</v>
      </c>
      <c r="D316" s="81">
        <v>5</v>
      </c>
      <c r="E316" s="81">
        <v>1</v>
      </c>
      <c r="F316" s="81" t="str">
        <f t="shared" si="42"/>
        <v>5월 1주</v>
      </c>
    </row>
    <row r="317" spans="1:6">
      <c r="A317" s="271">
        <f t="shared" si="27"/>
        <v>41763</v>
      </c>
      <c r="B317" s="81" t="str">
        <f t="shared" si="40"/>
        <v>일</v>
      </c>
      <c r="C317" s="81">
        <f t="shared" si="41"/>
        <v>19</v>
      </c>
      <c r="D317" s="81">
        <v>5</v>
      </c>
      <c r="E317" s="81">
        <v>2</v>
      </c>
      <c r="F317" s="81" t="str">
        <f t="shared" si="42"/>
        <v>5월 2주</v>
      </c>
    </row>
    <row r="318" spans="1:6">
      <c r="A318" s="271">
        <f t="shared" si="27"/>
        <v>41764</v>
      </c>
      <c r="B318" s="81" t="str">
        <f t="shared" si="40"/>
        <v>월</v>
      </c>
      <c r="C318" s="81">
        <f t="shared" si="41"/>
        <v>19</v>
      </c>
      <c r="D318" s="81">
        <v>5</v>
      </c>
      <c r="E318" s="81">
        <v>2</v>
      </c>
      <c r="F318" s="81" t="str">
        <f t="shared" si="42"/>
        <v>5월 2주</v>
      </c>
    </row>
    <row r="319" spans="1:6">
      <c r="A319" s="271">
        <f t="shared" si="27"/>
        <v>41765</v>
      </c>
      <c r="B319" s="81" t="str">
        <f t="shared" si="40"/>
        <v>화</v>
      </c>
      <c r="C319" s="81">
        <f t="shared" si="41"/>
        <v>19</v>
      </c>
      <c r="D319" s="81">
        <v>5</v>
      </c>
      <c r="E319" s="81">
        <v>2</v>
      </c>
      <c r="F319" s="81" t="str">
        <f t="shared" si="42"/>
        <v>5월 2주</v>
      </c>
    </row>
    <row r="320" spans="1:6">
      <c r="A320" s="271">
        <f t="shared" si="27"/>
        <v>41766</v>
      </c>
      <c r="B320" s="81" t="str">
        <f t="shared" si="40"/>
        <v>수</v>
      </c>
      <c r="C320" s="81">
        <f t="shared" si="41"/>
        <v>19</v>
      </c>
      <c r="D320" s="81">
        <v>5</v>
      </c>
      <c r="E320" s="81">
        <v>2</v>
      </c>
      <c r="F320" s="81" t="str">
        <f t="shared" si="42"/>
        <v>5월 2주</v>
      </c>
    </row>
    <row r="321" spans="1:6">
      <c r="A321" s="271">
        <f t="shared" si="27"/>
        <v>41767</v>
      </c>
      <c r="B321" s="81" t="str">
        <f t="shared" si="40"/>
        <v>목</v>
      </c>
      <c r="C321" s="81">
        <f t="shared" si="41"/>
        <v>19</v>
      </c>
      <c r="D321" s="81">
        <v>5</v>
      </c>
      <c r="E321" s="81">
        <v>2</v>
      </c>
      <c r="F321" s="81" t="str">
        <f t="shared" si="42"/>
        <v>5월 2주</v>
      </c>
    </row>
    <row r="322" spans="1:6">
      <c r="A322" s="271">
        <f t="shared" si="27"/>
        <v>41768</v>
      </c>
      <c r="B322" s="81" t="str">
        <f t="shared" si="40"/>
        <v>금</v>
      </c>
      <c r="C322" s="81">
        <f t="shared" si="41"/>
        <v>19</v>
      </c>
      <c r="D322" s="81">
        <v>5</v>
      </c>
      <c r="E322" s="81">
        <v>2</v>
      </c>
      <c r="F322" s="81" t="str">
        <f t="shared" si="42"/>
        <v>5월 2주</v>
      </c>
    </row>
    <row r="323" spans="1:6">
      <c r="A323" s="271">
        <f t="shared" ref="A323:A359" si="43">A322+1</f>
        <v>41769</v>
      </c>
      <c r="B323" s="81" t="str">
        <f t="shared" ref="B323:B328" si="44">TEXT(A323,"AAA")</f>
        <v>토</v>
      </c>
      <c r="C323" s="81">
        <f t="shared" ref="C323:C328" si="45">WEEKNUM(A323)</f>
        <v>19</v>
      </c>
      <c r="D323" s="81">
        <v>5</v>
      </c>
      <c r="E323" s="81">
        <v>2</v>
      </c>
      <c r="F323" s="81" t="str">
        <f t="shared" ref="F323:F328" si="46">D323&amp;"월 "&amp;E323&amp;"주"</f>
        <v>5월 2주</v>
      </c>
    </row>
    <row r="324" spans="1:6">
      <c r="A324" s="271">
        <f t="shared" si="43"/>
        <v>41770</v>
      </c>
      <c r="B324" s="81" t="str">
        <f t="shared" si="44"/>
        <v>일</v>
      </c>
      <c r="C324" s="81">
        <f t="shared" si="45"/>
        <v>20</v>
      </c>
      <c r="D324" s="81">
        <v>5</v>
      </c>
      <c r="E324" s="81">
        <v>3</v>
      </c>
      <c r="F324" s="81" t="str">
        <f t="shared" si="46"/>
        <v>5월 3주</v>
      </c>
    </row>
    <row r="325" spans="1:6">
      <c r="A325" s="271">
        <f t="shared" si="43"/>
        <v>41771</v>
      </c>
      <c r="B325" s="81" t="str">
        <f t="shared" si="44"/>
        <v>월</v>
      </c>
      <c r="C325" s="81">
        <f t="shared" si="45"/>
        <v>20</v>
      </c>
      <c r="D325" s="81">
        <v>5</v>
      </c>
      <c r="E325" s="81">
        <v>3</v>
      </c>
      <c r="F325" s="81" t="str">
        <f t="shared" si="46"/>
        <v>5월 3주</v>
      </c>
    </row>
    <row r="326" spans="1:6">
      <c r="A326" s="271">
        <f t="shared" si="43"/>
        <v>41772</v>
      </c>
      <c r="B326" s="81" t="str">
        <f t="shared" si="44"/>
        <v>화</v>
      </c>
      <c r="C326" s="81">
        <f t="shared" si="45"/>
        <v>20</v>
      </c>
      <c r="D326" s="81">
        <v>5</v>
      </c>
      <c r="E326" s="81">
        <v>3</v>
      </c>
      <c r="F326" s="81" t="str">
        <f t="shared" si="46"/>
        <v>5월 3주</v>
      </c>
    </row>
    <row r="327" spans="1:6">
      <c r="A327" s="271">
        <f t="shared" si="43"/>
        <v>41773</v>
      </c>
      <c r="B327" s="81" t="str">
        <f t="shared" si="44"/>
        <v>수</v>
      </c>
      <c r="C327" s="81">
        <f t="shared" si="45"/>
        <v>20</v>
      </c>
      <c r="D327" s="81">
        <v>5</v>
      </c>
      <c r="E327" s="81">
        <v>3</v>
      </c>
      <c r="F327" s="81" t="str">
        <f t="shared" si="46"/>
        <v>5월 3주</v>
      </c>
    </row>
    <row r="328" spans="1:6">
      <c r="A328" s="271">
        <f t="shared" si="43"/>
        <v>41774</v>
      </c>
      <c r="B328" s="81" t="str">
        <f t="shared" si="44"/>
        <v>목</v>
      </c>
      <c r="C328" s="81">
        <f t="shared" si="45"/>
        <v>20</v>
      </c>
      <c r="D328" s="81">
        <v>5</v>
      </c>
      <c r="E328" s="81">
        <v>3</v>
      </c>
      <c r="F328" s="81" t="str">
        <f t="shared" si="46"/>
        <v>5월 3주</v>
      </c>
    </row>
    <row r="329" spans="1:6">
      <c r="A329" s="271">
        <f t="shared" si="43"/>
        <v>41775</v>
      </c>
      <c r="B329" s="81" t="str">
        <f>TEXT(A329,"AAA")</f>
        <v>금</v>
      </c>
      <c r="C329" s="81">
        <f>WEEKNUM(A329)</f>
        <v>20</v>
      </c>
      <c r="D329" s="81">
        <v>5</v>
      </c>
      <c r="E329" s="81">
        <v>3</v>
      </c>
      <c r="F329" s="81" t="str">
        <f>D329&amp;"월 "&amp;E329&amp;"주"</f>
        <v>5월 3주</v>
      </c>
    </row>
    <row r="330" spans="1:6">
      <c r="A330" s="271">
        <f t="shared" si="43"/>
        <v>41776</v>
      </c>
      <c r="B330" s="81" t="str">
        <f>TEXT(A330,"AAA")</f>
        <v>토</v>
      </c>
      <c r="C330" s="81">
        <f>WEEKNUM(A330)</f>
        <v>20</v>
      </c>
      <c r="D330" s="81">
        <v>5</v>
      </c>
      <c r="E330" s="81">
        <v>3</v>
      </c>
      <c r="F330" s="81" t="str">
        <f>D330&amp;"월 "&amp;E330&amp;"주"</f>
        <v>5월 3주</v>
      </c>
    </row>
    <row r="331" spans="1:6">
      <c r="A331" s="271">
        <f t="shared" si="43"/>
        <v>41777</v>
      </c>
      <c r="B331" s="81" t="str">
        <f>TEXT(A331,"AAA")</f>
        <v>일</v>
      </c>
      <c r="C331" s="81">
        <f>WEEKNUM(A331)</f>
        <v>21</v>
      </c>
      <c r="D331" s="81">
        <v>5</v>
      </c>
      <c r="E331" s="81">
        <v>4</v>
      </c>
      <c r="F331" s="81" t="str">
        <f>D331&amp;"월 "&amp;E331&amp;"주"</f>
        <v>5월 4주</v>
      </c>
    </row>
    <row r="332" spans="1:6">
      <c r="A332" s="271">
        <f t="shared" si="43"/>
        <v>41778</v>
      </c>
      <c r="B332" s="81" t="str">
        <f>TEXT(A332,"AAA")</f>
        <v>월</v>
      </c>
      <c r="C332" s="81">
        <f>WEEKNUM(A332)</f>
        <v>21</v>
      </c>
      <c r="D332" s="81">
        <v>5</v>
      </c>
      <c r="E332" s="81">
        <v>4</v>
      </c>
      <c r="F332" s="81" t="str">
        <f>D332&amp;"월 "&amp;E332&amp;"주"</f>
        <v>5월 4주</v>
      </c>
    </row>
    <row r="333" spans="1:6">
      <c r="A333" s="271">
        <f t="shared" si="43"/>
        <v>41779</v>
      </c>
      <c r="B333" s="81" t="str">
        <f>TEXT(A333,"AAA")</f>
        <v>화</v>
      </c>
      <c r="C333" s="81">
        <f>WEEKNUM(A333)</f>
        <v>21</v>
      </c>
      <c r="D333" s="81">
        <v>5</v>
      </c>
      <c r="E333" s="81">
        <v>4</v>
      </c>
      <c r="F333" s="81" t="str">
        <f>D333&amp;"월 "&amp;E333&amp;"주"</f>
        <v>5월 4주</v>
      </c>
    </row>
    <row r="334" spans="1:6">
      <c r="A334" s="271">
        <f t="shared" si="43"/>
        <v>41780</v>
      </c>
      <c r="B334" s="81" t="str">
        <f t="shared" ref="B334:B353" si="47">TEXT(A334,"AAA")</f>
        <v>수</v>
      </c>
      <c r="C334" s="81">
        <f t="shared" ref="C334:C346" si="48">WEEKNUM(A334)</f>
        <v>21</v>
      </c>
      <c r="D334" s="81">
        <v>5</v>
      </c>
      <c r="E334" s="81">
        <v>4</v>
      </c>
      <c r="F334" s="81" t="str">
        <f t="shared" ref="F334:F346" si="49">D334&amp;"월 "&amp;E334&amp;"주"</f>
        <v>5월 4주</v>
      </c>
    </row>
    <row r="335" spans="1:6">
      <c r="A335" s="271">
        <f t="shared" si="43"/>
        <v>41781</v>
      </c>
      <c r="B335" s="81" t="str">
        <f t="shared" si="47"/>
        <v>목</v>
      </c>
      <c r="C335" s="81">
        <f t="shared" si="48"/>
        <v>21</v>
      </c>
      <c r="D335" s="81">
        <v>5</v>
      </c>
      <c r="E335" s="81">
        <v>4</v>
      </c>
      <c r="F335" s="81" t="str">
        <f t="shared" si="49"/>
        <v>5월 4주</v>
      </c>
    </row>
    <row r="336" spans="1:6">
      <c r="A336" s="271">
        <f t="shared" si="43"/>
        <v>41782</v>
      </c>
      <c r="B336" s="81" t="str">
        <f t="shared" si="47"/>
        <v>금</v>
      </c>
      <c r="C336" s="81">
        <f t="shared" si="48"/>
        <v>21</v>
      </c>
      <c r="D336" s="81">
        <v>5</v>
      </c>
      <c r="E336" s="81">
        <v>4</v>
      </c>
      <c r="F336" s="81" t="str">
        <f t="shared" si="49"/>
        <v>5월 4주</v>
      </c>
    </row>
    <row r="337" spans="1:6">
      <c r="A337" s="271">
        <f t="shared" si="43"/>
        <v>41783</v>
      </c>
      <c r="B337" s="81" t="str">
        <f t="shared" si="47"/>
        <v>토</v>
      </c>
      <c r="C337" s="81">
        <f t="shared" si="48"/>
        <v>21</v>
      </c>
      <c r="D337" s="81">
        <v>5</v>
      </c>
      <c r="E337" s="81">
        <v>4</v>
      </c>
      <c r="F337" s="81" t="str">
        <f t="shared" si="49"/>
        <v>5월 4주</v>
      </c>
    </row>
    <row r="338" spans="1:6">
      <c r="A338" s="271">
        <f t="shared" si="43"/>
        <v>41784</v>
      </c>
      <c r="B338" s="81" t="str">
        <f t="shared" si="47"/>
        <v>일</v>
      </c>
      <c r="C338" s="81">
        <f t="shared" si="48"/>
        <v>22</v>
      </c>
      <c r="D338" s="81">
        <v>5</v>
      </c>
      <c r="E338" s="81">
        <v>4</v>
      </c>
      <c r="F338" s="81" t="str">
        <f t="shared" si="49"/>
        <v>5월 4주</v>
      </c>
    </row>
    <row r="339" spans="1:6">
      <c r="A339" s="271">
        <f t="shared" si="43"/>
        <v>41785</v>
      </c>
      <c r="B339" s="81" t="str">
        <f t="shared" si="47"/>
        <v>월</v>
      </c>
      <c r="C339" s="81">
        <f t="shared" si="48"/>
        <v>22</v>
      </c>
      <c r="D339" s="81">
        <v>5</v>
      </c>
      <c r="E339" s="81">
        <v>4</v>
      </c>
      <c r="F339" s="81" t="str">
        <f t="shared" si="49"/>
        <v>5월 4주</v>
      </c>
    </row>
    <row r="340" spans="1:6">
      <c r="A340" s="271">
        <f t="shared" si="43"/>
        <v>41786</v>
      </c>
      <c r="B340" s="81" t="str">
        <f t="shared" si="47"/>
        <v>화</v>
      </c>
      <c r="C340" s="81">
        <f t="shared" si="48"/>
        <v>22</v>
      </c>
      <c r="D340" s="81">
        <v>5</v>
      </c>
      <c r="E340" s="81">
        <v>4</v>
      </c>
      <c r="F340" s="81" t="str">
        <f t="shared" si="49"/>
        <v>5월 4주</v>
      </c>
    </row>
    <row r="341" spans="1:6">
      <c r="A341" s="271">
        <f t="shared" si="43"/>
        <v>41787</v>
      </c>
      <c r="B341" s="81" t="str">
        <f t="shared" si="47"/>
        <v>수</v>
      </c>
      <c r="C341" s="81">
        <f t="shared" si="48"/>
        <v>22</v>
      </c>
      <c r="D341" s="81">
        <v>5</v>
      </c>
      <c r="E341" s="81">
        <v>4</v>
      </c>
      <c r="F341" s="81" t="str">
        <f t="shared" si="49"/>
        <v>5월 4주</v>
      </c>
    </row>
    <row r="342" spans="1:6">
      <c r="A342" s="271">
        <f t="shared" si="43"/>
        <v>41788</v>
      </c>
      <c r="B342" s="81" t="str">
        <f t="shared" si="47"/>
        <v>목</v>
      </c>
      <c r="C342" s="81">
        <f t="shared" si="48"/>
        <v>22</v>
      </c>
      <c r="D342" s="81">
        <v>5</v>
      </c>
      <c r="E342" s="81">
        <v>4</v>
      </c>
      <c r="F342" s="81" t="str">
        <f t="shared" si="49"/>
        <v>5월 4주</v>
      </c>
    </row>
    <row r="343" spans="1:6">
      <c r="A343" s="271">
        <f t="shared" si="43"/>
        <v>41789</v>
      </c>
      <c r="B343" s="81" t="str">
        <f t="shared" si="47"/>
        <v>금</v>
      </c>
      <c r="C343" s="81">
        <f t="shared" si="48"/>
        <v>22</v>
      </c>
      <c r="D343" s="81">
        <v>5</v>
      </c>
      <c r="E343" s="81">
        <v>4</v>
      </c>
      <c r="F343" s="81" t="str">
        <f t="shared" si="49"/>
        <v>5월 4주</v>
      </c>
    </row>
    <row r="344" spans="1:6">
      <c r="A344" s="271">
        <f t="shared" si="43"/>
        <v>41790</v>
      </c>
      <c r="B344" s="81" t="str">
        <f t="shared" si="47"/>
        <v>토</v>
      </c>
      <c r="C344" s="81">
        <f t="shared" si="48"/>
        <v>22</v>
      </c>
      <c r="D344" s="81">
        <v>5</v>
      </c>
      <c r="E344" s="81">
        <v>4</v>
      </c>
      <c r="F344" s="81" t="str">
        <f t="shared" si="49"/>
        <v>5월 4주</v>
      </c>
    </row>
    <row r="345" spans="1:6">
      <c r="A345" s="271">
        <f t="shared" si="43"/>
        <v>41791</v>
      </c>
      <c r="B345" s="81" t="str">
        <f t="shared" si="47"/>
        <v>일</v>
      </c>
      <c r="C345" s="81">
        <f t="shared" si="48"/>
        <v>23</v>
      </c>
      <c r="D345" s="81">
        <v>6</v>
      </c>
      <c r="E345" s="81">
        <v>1</v>
      </c>
      <c r="F345" s="81" t="str">
        <f t="shared" si="49"/>
        <v>6월 1주</v>
      </c>
    </row>
    <row r="346" spans="1:6">
      <c r="A346" s="271">
        <f t="shared" si="43"/>
        <v>41792</v>
      </c>
      <c r="B346" s="81" t="str">
        <f t="shared" si="47"/>
        <v>월</v>
      </c>
      <c r="C346" s="81">
        <f t="shared" si="48"/>
        <v>23</v>
      </c>
      <c r="D346" s="81">
        <v>6</v>
      </c>
      <c r="E346" s="81">
        <v>1</v>
      </c>
      <c r="F346" s="81" t="str">
        <f t="shared" si="49"/>
        <v>6월 1주</v>
      </c>
    </row>
    <row r="347" spans="1:6">
      <c r="A347" s="271">
        <f t="shared" si="43"/>
        <v>41793</v>
      </c>
      <c r="B347" s="81" t="str">
        <f>TEXT(A347,"AAA")</f>
        <v>화</v>
      </c>
      <c r="C347" s="81">
        <f>WEEKNUM(A347)</f>
        <v>23</v>
      </c>
      <c r="D347" s="81">
        <v>6</v>
      </c>
      <c r="E347" s="81">
        <v>1</v>
      </c>
      <c r="F347" s="81" t="str">
        <f>D347&amp;"월 "&amp;E347&amp;"주"</f>
        <v>6월 1주</v>
      </c>
    </row>
    <row r="348" spans="1:6">
      <c r="A348" s="271">
        <f t="shared" si="43"/>
        <v>41794</v>
      </c>
      <c r="B348" s="81" t="str">
        <f t="shared" si="47"/>
        <v>수</v>
      </c>
      <c r="C348" s="81">
        <f t="shared" ref="C348:C353" si="50">WEEKNUM(A348)</f>
        <v>23</v>
      </c>
      <c r="D348" s="81">
        <v>6</v>
      </c>
      <c r="E348" s="81">
        <v>1</v>
      </c>
      <c r="F348" s="81" t="str">
        <f t="shared" ref="F348:F353" si="51">D348&amp;"월 "&amp;E348&amp;"주"</f>
        <v>6월 1주</v>
      </c>
    </row>
    <row r="349" spans="1:6">
      <c r="A349" s="271">
        <f t="shared" si="43"/>
        <v>41795</v>
      </c>
      <c r="B349" s="81" t="str">
        <f t="shared" si="47"/>
        <v>목</v>
      </c>
      <c r="C349" s="81">
        <f t="shared" si="50"/>
        <v>23</v>
      </c>
      <c r="D349" s="81">
        <v>6</v>
      </c>
      <c r="E349" s="81">
        <v>1</v>
      </c>
      <c r="F349" s="81" t="str">
        <f t="shared" si="51"/>
        <v>6월 1주</v>
      </c>
    </row>
    <row r="350" spans="1:6">
      <c r="A350" s="271">
        <f t="shared" si="43"/>
        <v>41796</v>
      </c>
      <c r="B350" s="81" t="str">
        <f t="shared" si="47"/>
        <v>금</v>
      </c>
      <c r="C350" s="81">
        <f t="shared" si="50"/>
        <v>23</v>
      </c>
      <c r="D350" s="81">
        <v>6</v>
      </c>
      <c r="E350" s="81">
        <v>1</v>
      </c>
      <c r="F350" s="81" t="str">
        <f t="shared" si="51"/>
        <v>6월 1주</v>
      </c>
    </row>
    <row r="351" spans="1:6">
      <c r="A351" s="271">
        <f t="shared" si="43"/>
        <v>41797</v>
      </c>
      <c r="B351" s="81" t="str">
        <f t="shared" si="47"/>
        <v>토</v>
      </c>
      <c r="C351" s="81">
        <f t="shared" si="50"/>
        <v>23</v>
      </c>
      <c r="D351" s="81">
        <v>6</v>
      </c>
      <c r="E351" s="81">
        <v>1</v>
      </c>
      <c r="F351" s="81" t="str">
        <f t="shared" si="51"/>
        <v>6월 1주</v>
      </c>
    </row>
    <row r="352" spans="1:6">
      <c r="A352" s="271">
        <f t="shared" si="43"/>
        <v>41798</v>
      </c>
      <c r="B352" s="81" t="str">
        <f t="shared" si="47"/>
        <v>일</v>
      </c>
      <c r="C352" s="81">
        <f t="shared" si="50"/>
        <v>24</v>
      </c>
      <c r="D352" s="81">
        <v>6</v>
      </c>
      <c r="E352" s="81">
        <v>2</v>
      </c>
      <c r="F352" s="81" t="str">
        <f t="shared" si="51"/>
        <v>6월 2주</v>
      </c>
    </row>
    <row r="353" spans="1:6">
      <c r="A353" s="271">
        <f t="shared" si="43"/>
        <v>41799</v>
      </c>
      <c r="B353" s="81" t="str">
        <f t="shared" si="47"/>
        <v>월</v>
      </c>
      <c r="C353" s="81">
        <f t="shared" si="50"/>
        <v>24</v>
      </c>
      <c r="D353" s="81">
        <v>6</v>
      </c>
      <c r="E353" s="81">
        <v>2</v>
      </c>
      <c r="F353" s="81" t="str">
        <f t="shared" si="51"/>
        <v>6월 2주</v>
      </c>
    </row>
    <row r="354" spans="1:6">
      <c r="A354" s="271">
        <f t="shared" si="43"/>
        <v>41800</v>
      </c>
      <c r="B354" s="81" t="str">
        <f t="shared" ref="B354:B359" si="52">TEXT(A354,"AAA")</f>
        <v>화</v>
      </c>
      <c r="C354" s="81">
        <f t="shared" ref="C354:C359" si="53">WEEKNUM(A354)</f>
        <v>24</v>
      </c>
      <c r="D354" s="81">
        <v>6</v>
      </c>
      <c r="E354" s="81">
        <v>2</v>
      </c>
      <c r="F354" s="81" t="str">
        <f t="shared" ref="F354:F359" si="54">D354&amp;"월 "&amp;E354&amp;"주"</f>
        <v>6월 2주</v>
      </c>
    </row>
    <row r="355" spans="1:6">
      <c r="A355" s="271">
        <f t="shared" si="43"/>
        <v>41801</v>
      </c>
      <c r="B355" s="81" t="str">
        <f t="shared" si="52"/>
        <v>수</v>
      </c>
      <c r="C355" s="81">
        <f t="shared" si="53"/>
        <v>24</v>
      </c>
      <c r="D355" s="81">
        <v>6</v>
      </c>
      <c r="E355" s="81">
        <v>2</v>
      </c>
      <c r="F355" s="81" t="str">
        <f t="shared" si="54"/>
        <v>6월 2주</v>
      </c>
    </row>
    <row r="356" spans="1:6">
      <c r="A356" s="271">
        <f t="shared" si="43"/>
        <v>41802</v>
      </c>
      <c r="B356" s="81" t="str">
        <f t="shared" si="52"/>
        <v>목</v>
      </c>
      <c r="C356" s="81">
        <f t="shared" si="53"/>
        <v>24</v>
      </c>
      <c r="D356" s="81">
        <v>6</v>
      </c>
      <c r="E356" s="81">
        <v>2</v>
      </c>
      <c r="F356" s="81" t="str">
        <f t="shared" si="54"/>
        <v>6월 2주</v>
      </c>
    </row>
    <row r="357" spans="1:6">
      <c r="A357" s="271">
        <f t="shared" si="43"/>
        <v>41803</v>
      </c>
      <c r="B357" s="81" t="str">
        <f t="shared" si="52"/>
        <v>금</v>
      </c>
      <c r="C357" s="81">
        <f t="shared" si="53"/>
        <v>24</v>
      </c>
      <c r="D357" s="81">
        <v>6</v>
      </c>
      <c r="E357" s="81">
        <v>2</v>
      </c>
      <c r="F357" s="81" t="str">
        <f t="shared" si="54"/>
        <v>6월 2주</v>
      </c>
    </row>
    <row r="358" spans="1:6">
      <c r="A358" s="271">
        <f t="shared" si="43"/>
        <v>41804</v>
      </c>
      <c r="B358" s="81" t="str">
        <f t="shared" si="52"/>
        <v>토</v>
      </c>
      <c r="C358" s="81">
        <f t="shared" si="53"/>
        <v>24</v>
      </c>
      <c r="D358" s="81">
        <v>6</v>
      </c>
      <c r="E358" s="81">
        <v>2</v>
      </c>
      <c r="F358" s="81" t="str">
        <f t="shared" si="54"/>
        <v>6월 2주</v>
      </c>
    </row>
    <row r="359" spans="1:6">
      <c r="A359" s="271">
        <f t="shared" si="43"/>
        <v>41805</v>
      </c>
      <c r="B359" s="81" t="str">
        <f t="shared" si="52"/>
        <v>일</v>
      </c>
      <c r="C359" s="81">
        <f t="shared" si="53"/>
        <v>25</v>
      </c>
      <c r="D359" s="81">
        <v>6</v>
      </c>
      <c r="E359" s="81">
        <v>3</v>
      </c>
      <c r="F359" s="81" t="str">
        <f t="shared" si="54"/>
        <v>6월 3주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X30"/>
  <sheetViews>
    <sheetView showZeros="0" workbookViewId="0">
      <selection activeCell="F5" sqref="F5:F29"/>
    </sheetView>
  </sheetViews>
  <sheetFormatPr defaultRowHeight="13.5" outlineLevelCol="1"/>
  <cols>
    <col min="1" max="1" width="10" style="21" bestFit="1" customWidth="1"/>
    <col min="2" max="3" width="6.75" style="21" customWidth="1"/>
    <col min="4" max="5" width="6.75" style="21" hidden="1" customWidth="1" outlineLevel="1"/>
    <col min="6" max="6" width="6.75" style="21" customWidth="1" collapsed="1"/>
    <col min="7" max="7" width="6.75" style="31" customWidth="1"/>
    <col min="8" max="9" width="6.75" style="21" customWidth="1"/>
    <col min="10" max="10" width="6.75" style="31" customWidth="1"/>
    <col min="11" max="11" width="7.25" style="36" customWidth="1"/>
    <col min="12" max="12" width="7.375" style="21" customWidth="1"/>
    <col min="13" max="15" width="5.5" style="21" customWidth="1" outlineLevel="1"/>
    <col min="16" max="16" width="1" style="26" customWidth="1" outlineLevel="1"/>
    <col min="17" max="20" width="5.5" style="26" customWidth="1" outlineLevel="1"/>
    <col min="21" max="21" width="1" style="26" customWidth="1" outlineLevel="1"/>
    <col min="22" max="23" width="5.5" style="26" customWidth="1" outlineLevel="1"/>
    <col min="24" max="24" width="5.5" style="21" customWidth="1" outlineLevel="1"/>
    <col min="25" max="16384" width="9" style="21"/>
  </cols>
  <sheetData>
    <row r="1" spans="1:24">
      <c r="K1" s="31"/>
    </row>
    <row r="2" spans="1:24" ht="27" customHeight="1">
      <c r="A2" s="388" t="s">
        <v>849</v>
      </c>
      <c r="B2" s="387" t="s">
        <v>799</v>
      </c>
      <c r="C2" s="387"/>
      <c r="D2" s="389" t="s">
        <v>826</v>
      </c>
      <c r="E2" s="389"/>
      <c r="F2" s="387" t="s">
        <v>800</v>
      </c>
      <c r="G2" s="387"/>
      <c r="H2" s="387"/>
      <c r="I2" s="387"/>
      <c r="J2" s="387"/>
      <c r="K2" s="386" t="s">
        <v>851</v>
      </c>
    </row>
    <row r="3" spans="1:24" s="22" customFormat="1" ht="13.5" customHeight="1">
      <c r="A3" s="388"/>
      <c r="B3" s="387" t="s">
        <v>801</v>
      </c>
      <c r="C3" s="387" t="s">
        <v>802</v>
      </c>
      <c r="D3" s="389" t="s">
        <v>801</v>
      </c>
      <c r="E3" s="389" t="s">
        <v>802</v>
      </c>
      <c r="F3" s="387" t="s">
        <v>801</v>
      </c>
      <c r="G3" s="390" t="s">
        <v>852</v>
      </c>
      <c r="H3" s="30" t="s">
        <v>847</v>
      </c>
      <c r="I3" s="30" t="s">
        <v>848</v>
      </c>
      <c r="J3" s="390" t="s">
        <v>850</v>
      </c>
      <c r="K3" s="386"/>
      <c r="M3" s="28" t="s">
        <v>844</v>
      </c>
      <c r="P3" s="26"/>
      <c r="Q3" s="27" t="s">
        <v>843</v>
      </c>
      <c r="R3" s="26"/>
      <c r="S3" s="26"/>
      <c r="T3" s="26"/>
      <c r="U3" s="26"/>
      <c r="V3" s="27" t="s">
        <v>845</v>
      </c>
      <c r="W3" s="26"/>
    </row>
    <row r="4" spans="1:24" s="22" customFormat="1">
      <c r="A4" s="388"/>
      <c r="B4" s="387"/>
      <c r="C4" s="387"/>
      <c r="D4" s="389"/>
      <c r="E4" s="389"/>
      <c r="F4" s="387"/>
      <c r="G4" s="390"/>
      <c r="H4" s="23" t="s">
        <v>837</v>
      </c>
      <c r="I4" s="23" t="s">
        <v>846</v>
      </c>
      <c r="J4" s="390"/>
      <c r="K4" s="386"/>
      <c r="M4" s="26" t="s">
        <v>838</v>
      </c>
      <c r="N4" s="26" t="s">
        <v>836</v>
      </c>
      <c r="O4" s="26" t="s">
        <v>837</v>
      </c>
      <c r="P4" s="26"/>
      <c r="Q4" s="26" t="s">
        <v>838</v>
      </c>
      <c r="R4" s="26" t="s">
        <v>839</v>
      </c>
      <c r="S4" s="26" t="s">
        <v>836</v>
      </c>
      <c r="T4" s="26" t="s">
        <v>837</v>
      </c>
      <c r="U4" s="26"/>
      <c r="V4" s="26" t="s">
        <v>838</v>
      </c>
      <c r="W4" s="26" t="s">
        <v>836</v>
      </c>
      <c r="X4" s="26" t="s">
        <v>837</v>
      </c>
    </row>
    <row r="5" spans="1:24">
      <c r="A5" s="24" t="s">
        <v>803</v>
      </c>
      <c r="B5" s="24">
        <f t="shared" ref="B5:B29" si="0">IF(ISERROR(VLOOKUP($A5,$M:$O,2,FALSE))=TRUE,0,VLOOKUP($A5,$M:$O,2,FALSE))</f>
        <v>56.999999999999993</v>
      </c>
      <c r="C5" s="24">
        <f t="shared" ref="C5:C29" si="1">IF(ISERROR(VLOOKUP($A5,$M:$O,3,FALSE))=TRUE,0,VLOOKUP($A5,$M:$O,3,FALSE))</f>
        <v>78</v>
      </c>
      <c r="D5" s="29">
        <v>73.000000000000014</v>
      </c>
      <c r="E5" s="29">
        <v>92.999999999999957</v>
      </c>
      <c r="F5" s="24">
        <f t="shared" ref="F5:F29" si="2">IF(ISERROR(VLOOKUP($A5,$V:$X,2,FALSE))=TRUE,0,VLOOKUP($A5,$V:$X,2,FALSE))</f>
        <v>70</v>
      </c>
      <c r="G5" s="32">
        <f t="shared" ref="G5:G29" si="3">IF(ISERROR(VLOOKUP($A5,$V:$X,3,FALSE))=TRUE,0,VLOOKUP($A5,$V:$X,3,FALSE))</f>
        <v>80</v>
      </c>
      <c r="H5" s="25">
        <f t="shared" ref="H5:H29" si="4">IF(ISERROR(VLOOKUP($A5,$Q:$T,4,FALSE))=TRUE,0,VLOOKUP($A5,$Q:$T,4,FALSE))</f>
        <v>4</v>
      </c>
      <c r="I5" s="25">
        <f>IF(ISERROR(VLOOKUP($A5,$V:$X,3,FALSE))=TRUE,0,VLOOKUP($A5,$V:$X,3,FALSE))</f>
        <v>80</v>
      </c>
      <c r="J5" s="32">
        <f>SUM(H5:I5)</f>
        <v>84</v>
      </c>
      <c r="K5" s="33">
        <f>IF(ISERROR(J5/G5)=TRUE,0,J5/G5)</f>
        <v>1.05</v>
      </c>
      <c r="M5" s="21" t="s">
        <v>782</v>
      </c>
      <c r="N5" s="21">
        <v>56.999999999999993</v>
      </c>
      <c r="O5" s="21">
        <v>78</v>
      </c>
      <c r="Q5" s="26" t="s">
        <v>832</v>
      </c>
      <c r="R5" s="26" t="s">
        <v>521</v>
      </c>
      <c r="S5" s="26">
        <v>5</v>
      </c>
      <c r="T5" s="26">
        <v>5</v>
      </c>
      <c r="V5" s="26" t="s">
        <v>782</v>
      </c>
      <c r="W5" s="26">
        <v>70</v>
      </c>
      <c r="X5" s="21">
        <v>80</v>
      </c>
    </row>
    <row r="6" spans="1:24">
      <c r="A6" s="24" t="s">
        <v>41</v>
      </c>
      <c r="B6" s="24">
        <f t="shared" si="0"/>
        <v>43.999999999999993</v>
      </c>
      <c r="C6" s="24">
        <f t="shared" si="1"/>
        <v>58</v>
      </c>
      <c r="D6" s="29">
        <v>127.9999999999997</v>
      </c>
      <c r="E6" s="29">
        <v>158.99999999999997</v>
      </c>
      <c r="F6" s="24">
        <f t="shared" si="2"/>
        <v>45</v>
      </c>
      <c r="G6" s="32">
        <f t="shared" si="3"/>
        <v>60</v>
      </c>
      <c r="H6" s="25">
        <f t="shared" si="4"/>
        <v>0</v>
      </c>
      <c r="I6" s="25">
        <f>IF(ISERROR(VLOOKUP(A6,브랜드품목별!#REF!,2,FALSE))=TRUE,0,VLOOKUP(A6,브랜드품목별!#REF!,2,FALSE))</f>
        <v>0</v>
      </c>
      <c r="J6" s="32">
        <f t="shared" ref="J6:J29" si="5">SUM(H6:I6)</f>
        <v>0</v>
      </c>
      <c r="K6" s="33">
        <f t="shared" ref="K6:K30" si="6">IF(ISERROR(J6/G6)=TRUE,0,J6/G6)</f>
        <v>0</v>
      </c>
      <c r="M6" s="21" t="s">
        <v>41</v>
      </c>
      <c r="N6" s="21">
        <v>43.999999999999993</v>
      </c>
      <c r="O6" s="21">
        <v>58</v>
      </c>
      <c r="Q6" s="26" t="s">
        <v>827</v>
      </c>
      <c r="R6" s="26" t="s">
        <v>521</v>
      </c>
      <c r="S6" s="26">
        <v>4</v>
      </c>
      <c r="T6" s="26">
        <v>4</v>
      </c>
      <c r="V6" s="26" t="s">
        <v>41</v>
      </c>
      <c r="W6" s="26">
        <v>45</v>
      </c>
      <c r="X6" s="21">
        <v>60</v>
      </c>
    </row>
    <row r="7" spans="1:24">
      <c r="A7" s="24" t="s">
        <v>30</v>
      </c>
      <c r="B7" s="24">
        <f t="shared" si="0"/>
        <v>7</v>
      </c>
      <c r="C7" s="24">
        <f t="shared" si="1"/>
        <v>7</v>
      </c>
      <c r="D7" s="29">
        <v>17.000000000000004</v>
      </c>
      <c r="E7" s="29">
        <v>21</v>
      </c>
      <c r="F7" s="24">
        <f t="shared" si="2"/>
        <v>3</v>
      </c>
      <c r="G7" s="32">
        <f t="shared" si="3"/>
        <v>3</v>
      </c>
      <c r="H7" s="25">
        <f t="shared" si="4"/>
        <v>0</v>
      </c>
      <c r="I7" s="25">
        <f>IF(ISERROR(VLOOKUP(A7,브랜드품목별!#REF!,2,FALSE))=TRUE,0,VLOOKUP(A7,브랜드품목별!#REF!,2,FALSE))</f>
        <v>0</v>
      </c>
      <c r="J7" s="32">
        <f t="shared" si="5"/>
        <v>0</v>
      </c>
      <c r="K7" s="33">
        <f t="shared" si="6"/>
        <v>0</v>
      </c>
      <c r="M7" s="21" t="s">
        <v>30</v>
      </c>
      <c r="N7" s="21">
        <v>7</v>
      </c>
      <c r="O7" s="21">
        <v>7</v>
      </c>
      <c r="Q7" s="26" t="s">
        <v>58</v>
      </c>
      <c r="R7" s="26" t="s">
        <v>521</v>
      </c>
      <c r="S7" s="26">
        <v>2</v>
      </c>
      <c r="T7" s="26">
        <v>2</v>
      </c>
      <c r="V7" s="26" t="s">
        <v>30</v>
      </c>
      <c r="W7" s="26">
        <v>3</v>
      </c>
      <c r="X7" s="21">
        <v>3</v>
      </c>
    </row>
    <row r="8" spans="1:24">
      <c r="A8" s="24" t="s">
        <v>58</v>
      </c>
      <c r="B8" s="24">
        <f t="shared" si="0"/>
        <v>10</v>
      </c>
      <c r="C8" s="24">
        <f t="shared" si="1"/>
        <v>10</v>
      </c>
      <c r="D8" s="29">
        <v>0</v>
      </c>
      <c r="E8" s="29">
        <v>0</v>
      </c>
      <c r="F8" s="24">
        <f t="shared" si="2"/>
        <v>0</v>
      </c>
      <c r="G8" s="32">
        <f t="shared" si="3"/>
        <v>0</v>
      </c>
      <c r="H8" s="25">
        <f t="shared" si="4"/>
        <v>2</v>
      </c>
      <c r="I8" s="25">
        <f>IF(ISERROR(VLOOKUP(A8,브랜드품목별!#REF!,2,FALSE))=TRUE,0,VLOOKUP(A8,브랜드품목별!#REF!,2,FALSE))</f>
        <v>0</v>
      </c>
      <c r="J8" s="32">
        <f t="shared" si="5"/>
        <v>2</v>
      </c>
      <c r="K8" s="33">
        <f t="shared" si="6"/>
        <v>0</v>
      </c>
      <c r="M8" s="21" t="s">
        <v>58</v>
      </c>
      <c r="N8" s="21">
        <v>10</v>
      </c>
      <c r="O8" s="21">
        <v>10</v>
      </c>
      <c r="Q8" s="26" t="s">
        <v>831</v>
      </c>
      <c r="R8" s="26" t="s">
        <v>521</v>
      </c>
      <c r="S8" s="26">
        <v>12</v>
      </c>
      <c r="T8" s="26">
        <v>19</v>
      </c>
      <c r="V8" s="26" t="s">
        <v>58</v>
      </c>
    </row>
    <row r="9" spans="1:24">
      <c r="A9" s="24" t="s">
        <v>804</v>
      </c>
      <c r="B9" s="24">
        <f t="shared" si="0"/>
        <v>56</v>
      </c>
      <c r="C9" s="24">
        <f t="shared" si="1"/>
        <v>57</v>
      </c>
      <c r="D9" s="29">
        <v>89.000000000000156</v>
      </c>
      <c r="E9" s="29">
        <v>127.9999999999996</v>
      </c>
      <c r="F9" s="24">
        <f t="shared" si="2"/>
        <v>20</v>
      </c>
      <c r="G9" s="32">
        <f t="shared" si="3"/>
        <v>30</v>
      </c>
      <c r="H9" s="25">
        <f t="shared" si="4"/>
        <v>5.9999999999999991</v>
      </c>
      <c r="I9" s="25">
        <f>IF(ISERROR(VLOOKUP(A9,브랜드품목별!#REF!,2,FALSE))=TRUE,0,VLOOKUP(A9,브랜드품목별!#REF!,2,FALSE))</f>
        <v>0</v>
      </c>
      <c r="J9" s="32">
        <f t="shared" si="5"/>
        <v>5.9999999999999991</v>
      </c>
      <c r="K9" s="33">
        <f t="shared" si="6"/>
        <v>0.19999999999999998</v>
      </c>
      <c r="M9" s="21" t="s">
        <v>789</v>
      </c>
      <c r="N9" s="21">
        <v>56</v>
      </c>
      <c r="O9" s="21">
        <v>57</v>
      </c>
      <c r="Q9" s="26" t="s">
        <v>787</v>
      </c>
      <c r="R9" s="26" t="s">
        <v>521</v>
      </c>
      <c r="S9" s="26">
        <v>1</v>
      </c>
      <c r="T9" s="26">
        <v>2</v>
      </c>
      <c r="V9" s="26" t="s">
        <v>789</v>
      </c>
      <c r="W9" s="26">
        <v>20</v>
      </c>
      <c r="X9" s="21">
        <v>30</v>
      </c>
    </row>
    <row r="10" spans="1:24">
      <c r="A10" s="24" t="s">
        <v>805</v>
      </c>
      <c r="B10" s="24">
        <f t="shared" si="0"/>
        <v>4</v>
      </c>
      <c r="C10" s="24">
        <f t="shared" si="1"/>
        <v>4</v>
      </c>
      <c r="D10" s="29">
        <v>12.000000000000005</v>
      </c>
      <c r="E10" s="29">
        <v>18.000000000000004</v>
      </c>
      <c r="F10" s="24">
        <f t="shared" si="2"/>
        <v>20</v>
      </c>
      <c r="G10" s="32">
        <f t="shared" si="3"/>
        <v>25</v>
      </c>
      <c r="H10" s="25">
        <f t="shared" si="4"/>
        <v>0</v>
      </c>
      <c r="I10" s="25">
        <f>IF(ISERROR(VLOOKUP(A10,브랜드품목별!#REF!,2,FALSE))=TRUE,0,VLOOKUP(A10,브랜드품목별!#REF!,2,FALSE))</f>
        <v>0</v>
      </c>
      <c r="J10" s="32">
        <f t="shared" si="5"/>
        <v>0</v>
      </c>
      <c r="K10" s="33">
        <f t="shared" si="6"/>
        <v>0</v>
      </c>
      <c r="M10" s="21" t="s">
        <v>829</v>
      </c>
      <c r="N10" s="21">
        <v>4</v>
      </c>
      <c r="O10" s="21">
        <v>4</v>
      </c>
      <c r="Q10" s="26" t="s">
        <v>835</v>
      </c>
      <c r="R10" s="26" t="s">
        <v>521</v>
      </c>
      <c r="S10" s="26">
        <v>4</v>
      </c>
      <c r="T10" s="26">
        <v>4</v>
      </c>
      <c r="V10" s="26" t="s">
        <v>829</v>
      </c>
      <c r="W10" s="26">
        <v>20</v>
      </c>
      <c r="X10" s="21">
        <v>25</v>
      </c>
    </row>
    <row r="11" spans="1:24">
      <c r="A11" s="24" t="s">
        <v>806</v>
      </c>
      <c r="B11" s="24">
        <f t="shared" si="0"/>
        <v>8</v>
      </c>
      <c r="C11" s="24">
        <f t="shared" si="1"/>
        <v>8</v>
      </c>
      <c r="D11" s="29">
        <v>26.999999999999996</v>
      </c>
      <c r="E11" s="29">
        <v>35</v>
      </c>
      <c r="F11" s="24">
        <f t="shared" si="2"/>
        <v>15</v>
      </c>
      <c r="G11" s="32">
        <f t="shared" si="3"/>
        <v>20</v>
      </c>
      <c r="H11" s="25">
        <f t="shared" si="4"/>
        <v>0</v>
      </c>
      <c r="I11" s="25">
        <f>IF(ISERROR(VLOOKUP(A11,브랜드품목별!#REF!,2,FALSE))=TRUE,0,VLOOKUP(A11,브랜드품목별!#REF!,2,FALSE))</f>
        <v>0</v>
      </c>
      <c r="J11" s="32">
        <f t="shared" si="5"/>
        <v>0</v>
      </c>
      <c r="K11" s="37">
        <f t="shared" si="6"/>
        <v>0</v>
      </c>
      <c r="M11" s="21" t="s">
        <v>785</v>
      </c>
      <c r="N11" s="21">
        <v>8</v>
      </c>
      <c r="O11" s="21">
        <v>8</v>
      </c>
      <c r="Q11" s="26" t="s">
        <v>828</v>
      </c>
      <c r="R11" s="26" t="s">
        <v>521</v>
      </c>
      <c r="S11" s="26">
        <v>5.9999999999999991</v>
      </c>
      <c r="T11" s="26">
        <v>5.9999999999999991</v>
      </c>
      <c r="V11" s="26" t="s">
        <v>785</v>
      </c>
      <c r="W11" s="26">
        <v>15</v>
      </c>
      <c r="X11" s="21">
        <v>20</v>
      </c>
    </row>
    <row r="12" spans="1:24">
      <c r="A12" s="24" t="s">
        <v>807</v>
      </c>
      <c r="B12" s="24">
        <f t="shared" si="0"/>
        <v>9</v>
      </c>
      <c r="C12" s="24">
        <f t="shared" si="1"/>
        <v>9</v>
      </c>
      <c r="D12" s="29">
        <v>25.999999999999996</v>
      </c>
      <c r="E12" s="29">
        <v>34</v>
      </c>
      <c r="F12" s="24">
        <f t="shared" si="2"/>
        <v>15</v>
      </c>
      <c r="G12" s="32">
        <f t="shared" si="3"/>
        <v>20</v>
      </c>
      <c r="H12" s="25">
        <f t="shared" si="4"/>
        <v>2</v>
      </c>
      <c r="I12" s="25">
        <f>IF(ISERROR(VLOOKUP(A12,브랜드품목별!#REF!,2,FALSE))=TRUE,0,VLOOKUP(A12,브랜드품목별!#REF!,2,FALSE))</f>
        <v>0</v>
      </c>
      <c r="J12" s="32">
        <f t="shared" si="5"/>
        <v>2</v>
      </c>
      <c r="K12" s="33">
        <f t="shared" si="6"/>
        <v>0.1</v>
      </c>
      <c r="M12" s="21" t="s">
        <v>790</v>
      </c>
      <c r="N12" s="21">
        <v>9</v>
      </c>
      <c r="O12" s="21">
        <v>9</v>
      </c>
      <c r="Q12" s="26" t="s">
        <v>830</v>
      </c>
      <c r="R12" s="26" t="s">
        <v>521</v>
      </c>
      <c r="S12" s="26">
        <v>2</v>
      </c>
      <c r="T12" s="26">
        <v>2</v>
      </c>
      <c r="V12" s="26" t="s">
        <v>790</v>
      </c>
      <c r="W12" s="26">
        <v>15</v>
      </c>
      <c r="X12" s="21">
        <v>20</v>
      </c>
    </row>
    <row r="13" spans="1:24">
      <c r="A13" s="24" t="s">
        <v>808</v>
      </c>
      <c r="B13" s="24">
        <f t="shared" si="0"/>
        <v>10</v>
      </c>
      <c r="C13" s="24">
        <f t="shared" si="1"/>
        <v>10</v>
      </c>
      <c r="D13" s="29">
        <v>22</v>
      </c>
      <c r="E13" s="29">
        <v>22</v>
      </c>
      <c r="F13" s="24">
        <f t="shared" si="2"/>
        <v>10</v>
      </c>
      <c r="G13" s="32">
        <f t="shared" si="3"/>
        <v>10</v>
      </c>
      <c r="H13" s="25">
        <f t="shared" si="4"/>
        <v>0</v>
      </c>
      <c r="I13" s="25">
        <f>IF(ISERROR(VLOOKUP(A13,브랜드품목별!#REF!,2,FALSE))=TRUE,0,VLOOKUP(A13,브랜드품목별!#REF!,2,FALSE))</f>
        <v>0</v>
      </c>
      <c r="J13" s="32">
        <f t="shared" si="5"/>
        <v>0</v>
      </c>
      <c r="K13" s="33">
        <f t="shared" si="6"/>
        <v>0</v>
      </c>
      <c r="M13" s="21" t="s">
        <v>793</v>
      </c>
      <c r="N13" s="21">
        <v>10</v>
      </c>
      <c r="O13" s="21">
        <v>10</v>
      </c>
      <c r="Q13" s="26" t="s">
        <v>833</v>
      </c>
      <c r="R13" s="26" t="s">
        <v>521</v>
      </c>
      <c r="S13" s="26">
        <v>4</v>
      </c>
      <c r="T13" s="26">
        <v>4</v>
      </c>
      <c r="V13" s="26" t="s">
        <v>793</v>
      </c>
      <c r="W13" s="26">
        <v>10</v>
      </c>
      <c r="X13" s="21">
        <v>10</v>
      </c>
    </row>
    <row r="14" spans="1:24">
      <c r="A14" s="24" t="s">
        <v>809</v>
      </c>
      <c r="B14" s="24">
        <f t="shared" si="0"/>
        <v>0</v>
      </c>
      <c r="C14" s="24">
        <f t="shared" si="1"/>
        <v>0</v>
      </c>
      <c r="D14" s="29"/>
      <c r="E14" s="29"/>
      <c r="F14" s="24">
        <f t="shared" si="2"/>
        <v>7</v>
      </c>
      <c r="G14" s="32">
        <f t="shared" si="3"/>
        <v>7</v>
      </c>
      <c r="H14" s="25">
        <f t="shared" si="4"/>
        <v>0</v>
      </c>
      <c r="I14" s="25">
        <f>IF(ISERROR(VLOOKUP(A14,브랜드품목별!#REF!,2,FALSE))=TRUE,0,VLOOKUP(A14,브랜드품목별!#REF!,2,FALSE))</f>
        <v>0</v>
      </c>
      <c r="J14" s="32">
        <f t="shared" si="5"/>
        <v>0</v>
      </c>
      <c r="K14" s="33">
        <f t="shared" si="6"/>
        <v>0</v>
      </c>
      <c r="M14" s="21" t="s">
        <v>786</v>
      </c>
      <c r="V14" s="26" t="s">
        <v>786</v>
      </c>
      <c r="W14" s="26">
        <v>7</v>
      </c>
      <c r="X14" s="21">
        <v>7</v>
      </c>
    </row>
    <row r="15" spans="1:24">
      <c r="A15" s="24" t="s">
        <v>810</v>
      </c>
      <c r="B15" s="24">
        <f t="shared" si="0"/>
        <v>0</v>
      </c>
      <c r="C15" s="24">
        <f t="shared" si="1"/>
        <v>0</v>
      </c>
      <c r="D15" s="29"/>
      <c r="E15" s="29"/>
      <c r="F15" s="24">
        <f t="shared" si="2"/>
        <v>2</v>
      </c>
      <c r="G15" s="32">
        <f t="shared" si="3"/>
        <v>2</v>
      </c>
      <c r="H15" s="25">
        <f t="shared" si="4"/>
        <v>0</v>
      </c>
      <c r="I15" s="25">
        <f>IF(ISERROR(VLOOKUP(A15,브랜드품목별!#REF!,2,FALSE))=TRUE,0,VLOOKUP(A15,브랜드품목별!#REF!,2,FALSE))</f>
        <v>0</v>
      </c>
      <c r="J15" s="32">
        <f t="shared" si="5"/>
        <v>0</v>
      </c>
      <c r="K15" s="33">
        <f t="shared" si="6"/>
        <v>0</v>
      </c>
      <c r="M15" s="21" t="s">
        <v>840</v>
      </c>
      <c r="V15" s="26" t="s">
        <v>840</v>
      </c>
      <c r="W15" s="26">
        <v>2</v>
      </c>
      <c r="X15" s="21">
        <v>2</v>
      </c>
    </row>
    <row r="16" spans="1:24">
      <c r="A16" s="24" t="s">
        <v>811</v>
      </c>
      <c r="B16" s="24">
        <f t="shared" si="0"/>
        <v>72</v>
      </c>
      <c r="C16" s="24">
        <f t="shared" si="1"/>
        <v>174</v>
      </c>
      <c r="D16" s="29">
        <v>54.000000000000021</v>
      </c>
      <c r="E16" s="29">
        <v>80</v>
      </c>
      <c r="F16" s="24">
        <f t="shared" si="2"/>
        <v>70</v>
      </c>
      <c r="G16" s="32">
        <f t="shared" si="3"/>
        <v>100</v>
      </c>
      <c r="H16" s="25">
        <f t="shared" si="4"/>
        <v>19</v>
      </c>
      <c r="I16" s="25">
        <f>IF(ISERROR(VLOOKUP(A16,브랜드품목별!#REF!,2,FALSE))=TRUE,0,VLOOKUP(A16,브랜드품목별!#REF!,2,FALSE))</f>
        <v>0</v>
      </c>
      <c r="J16" s="32">
        <f t="shared" si="5"/>
        <v>19</v>
      </c>
      <c r="K16" s="34">
        <f t="shared" si="6"/>
        <v>0.19</v>
      </c>
      <c r="M16" s="21" t="s">
        <v>788</v>
      </c>
      <c r="N16" s="21">
        <v>72</v>
      </c>
      <c r="O16" s="21">
        <v>174</v>
      </c>
      <c r="V16" s="26" t="s">
        <v>788</v>
      </c>
      <c r="W16" s="26">
        <v>70</v>
      </c>
      <c r="X16" s="21">
        <v>100</v>
      </c>
    </row>
    <row r="17" spans="1:24">
      <c r="A17" s="24" t="s">
        <v>812</v>
      </c>
      <c r="B17" s="24">
        <f t="shared" si="0"/>
        <v>5</v>
      </c>
      <c r="C17" s="24">
        <f t="shared" si="1"/>
        <v>7</v>
      </c>
      <c r="D17" s="29"/>
      <c r="E17" s="29"/>
      <c r="F17" s="24">
        <f t="shared" si="2"/>
        <v>0</v>
      </c>
      <c r="G17" s="32">
        <f t="shared" si="3"/>
        <v>0</v>
      </c>
      <c r="H17" s="25">
        <f t="shared" si="4"/>
        <v>2</v>
      </c>
      <c r="I17" s="25">
        <f>IF(ISERROR(VLOOKUP(A17,브랜드품목별!#REF!,2,FALSE))=TRUE,0,VLOOKUP(A17,브랜드품목별!#REF!,2,FALSE))</f>
        <v>0</v>
      </c>
      <c r="J17" s="32">
        <f t="shared" si="5"/>
        <v>2</v>
      </c>
      <c r="K17" s="33">
        <f t="shared" si="6"/>
        <v>0</v>
      </c>
      <c r="M17" s="21" t="s">
        <v>787</v>
      </c>
      <c r="N17" s="21">
        <v>5</v>
      </c>
      <c r="O17" s="21">
        <v>7</v>
      </c>
      <c r="V17" s="26" t="s">
        <v>787</v>
      </c>
    </row>
    <row r="18" spans="1:24">
      <c r="A18" s="24" t="s">
        <v>813</v>
      </c>
      <c r="B18" s="24">
        <f t="shared" si="0"/>
        <v>21</v>
      </c>
      <c r="C18" s="24">
        <f t="shared" si="1"/>
        <v>35</v>
      </c>
      <c r="D18" s="29">
        <v>16.999999999999993</v>
      </c>
      <c r="E18" s="29">
        <v>31</v>
      </c>
      <c r="F18" s="24">
        <f t="shared" si="2"/>
        <v>12</v>
      </c>
      <c r="G18" s="32">
        <f t="shared" si="3"/>
        <v>15</v>
      </c>
      <c r="H18" s="25">
        <f t="shared" si="4"/>
        <v>0</v>
      </c>
      <c r="I18" s="25">
        <f>IF(ISERROR(VLOOKUP(A18,브랜드품목별!#REF!,2,FALSE))=TRUE,0,VLOOKUP(A18,브랜드품목별!#REF!,2,FALSE))</f>
        <v>0</v>
      </c>
      <c r="J18" s="32">
        <f t="shared" si="5"/>
        <v>0</v>
      </c>
      <c r="K18" s="33">
        <f t="shared" si="6"/>
        <v>0</v>
      </c>
      <c r="M18" s="21" t="s">
        <v>783</v>
      </c>
      <c r="N18" s="21">
        <v>21</v>
      </c>
      <c r="O18" s="21">
        <v>35</v>
      </c>
      <c r="V18" s="26" t="s">
        <v>783</v>
      </c>
      <c r="W18" s="26">
        <v>12</v>
      </c>
      <c r="X18" s="21">
        <v>15</v>
      </c>
    </row>
    <row r="19" spans="1:24">
      <c r="A19" s="24" t="s">
        <v>814</v>
      </c>
      <c r="B19" s="24">
        <f t="shared" si="0"/>
        <v>11</v>
      </c>
      <c r="C19" s="24">
        <f t="shared" si="1"/>
        <v>12</v>
      </c>
      <c r="D19" s="29">
        <v>0</v>
      </c>
      <c r="E19" s="29">
        <v>0</v>
      </c>
      <c r="F19" s="24">
        <f t="shared" si="2"/>
        <v>0</v>
      </c>
      <c r="G19" s="32">
        <f t="shared" si="3"/>
        <v>0</v>
      </c>
      <c r="H19" s="25">
        <f t="shared" si="4"/>
        <v>0</v>
      </c>
      <c r="I19" s="25">
        <f>IF(ISERROR(VLOOKUP(A19,브랜드품목별!#REF!,2,FALSE))=TRUE,0,VLOOKUP(A19,브랜드품목별!#REF!,2,FALSE))</f>
        <v>0</v>
      </c>
      <c r="J19" s="32">
        <f t="shared" si="5"/>
        <v>0</v>
      </c>
      <c r="K19" s="33">
        <f t="shared" si="6"/>
        <v>0</v>
      </c>
      <c r="M19" s="21" t="s">
        <v>814</v>
      </c>
      <c r="N19" s="21">
        <v>11</v>
      </c>
      <c r="O19" s="21">
        <v>12</v>
      </c>
      <c r="V19" s="26" t="s">
        <v>814</v>
      </c>
    </row>
    <row r="20" spans="1:24">
      <c r="A20" s="24" t="s">
        <v>815</v>
      </c>
      <c r="B20" s="24">
        <f t="shared" si="0"/>
        <v>3</v>
      </c>
      <c r="C20" s="24">
        <f t="shared" si="1"/>
        <v>3</v>
      </c>
      <c r="D20" s="29">
        <v>0</v>
      </c>
      <c r="E20" s="29">
        <v>0</v>
      </c>
      <c r="F20" s="24">
        <f t="shared" si="2"/>
        <v>0</v>
      </c>
      <c r="G20" s="32">
        <f t="shared" si="3"/>
        <v>0</v>
      </c>
      <c r="H20" s="25">
        <f t="shared" si="4"/>
        <v>0</v>
      </c>
      <c r="I20" s="25">
        <f>IF(ISERROR(VLOOKUP(A20,브랜드품목별!#REF!,2,FALSE))=TRUE,0,VLOOKUP(A20,브랜드품목별!#REF!,2,FALSE))</f>
        <v>0</v>
      </c>
      <c r="J20" s="32">
        <f t="shared" si="5"/>
        <v>0</v>
      </c>
      <c r="K20" s="33">
        <f t="shared" si="6"/>
        <v>0</v>
      </c>
      <c r="M20" s="21" t="s">
        <v>815</v>
      </c>
      <c r="N20" s="21">
        <v>3</v>
      </c>
      <c r="O20" s="21">
        <v>3</v>
      </c>
      <c r="V20" s="26" t="s">
        <v>815</v>
      </c>
    </row>
    <row r="21" spans="1:24">
      <c r="A21" s="24" t="s">
        <v>816</v>
      </c>
      <c r="B21" s="24">
        <f t="shared" si="0"/>
        <v>0</v>
      </c>
      <c r="C21" s="24">
        <f t="shared" si="1"/>
        <v>0</v>
      </c>
      <c r="D21" s="29">
        <v>10.999999999999998</v>
      </c>
      <c r="E21" s="29">
        <v>26</v>
      </c>
      <c r="F21" s="24">
        <f t="shared" si="2"/>
        <v>15</v>
      </c>
      <c r="G21" s="32">
        <f t="shared" si="3"/>
        <v>20</v>
      </c>
      <c r="H21" s="25">
        <f t="shared" si="4"/>
        <v>5</v>
      </c>
      <c r="I21" s="25">
        <f>IF(ISERROR(VLOOKUP(A21,브랜드품목별!#REF!,2,FALSE))=TRUE,0,VLOOKUP(A21,브랜드품목별!#REF!,2,FALSE))</f>
        <v>0</v>
      </c>
      <c r="J21" s="32">
        <f t="shared" si="5"/>
        <v>5</v>
      </c>
      <c r="K21" s="33">
        <f t="shared" si="6"/>
        <v>0.25</v>
      </c>
      <c r="M21" s="21" t="s">
        <v>781</v>
      </c>
      <c r="V21" s="26" t="s">
        <v>781</v>
      </c>
      <c r="W21" s="26">
        <v>15</v>
      </c>
      <c r="X21" s="21">
        <v>20</v>
      </c>
    </row>
    <row r="22" spans="1:24">
      <c r="A22" s="24" t="s">
        <v>817</v>
      </c>
      <c r="B22" s="24">
        <f t="shared" si="0"/>
        <v>20</v>
      </c>
      <c r="C22" s="24">
        <f t="shared" si="1"/>
        <v>26</v>
      </c>
      <c r="D22" s="29"/>
      <c r="E22" s="29"/>
      <c r="F22" s="24">
        <f t="shared" si="2"/>
        <v>0</v>
      </c>
      <c r="G22" s="32">
        <f t="shared" si="3"/>
        <v>0</v>
      </c>
      <c r="H22" s="25">
        <f t="shared" si="4"/>
        <v>0</v>
      </c>
      <c r="I22" s="25">
        <f>IF(ISERROR(VLOOKUP(A22,브랜드품목별!#REF!,2,FALSE))=TRUE,0,VLOOKUP(A22,브랜드품목별!#REF!,2,FALSE))</f>
        <v>0</v>
      </c>
      <c r="J22" s="32">
        <f t="shared" si="5"/>
        <v>0</v>
      </c>
      <c r="K22" s="33">
        <f t="shared" si="6"/>
        <v>0</v>
      </c>
      <c r="M22" s="21" t="s">
        <v>841</v>
      </c>
      <c r="N22" s="21">
        <v>20</v>
      </c>
      <c r="O22" s="21">
        <v>26</v>
      </c>
      <c r="V22" s="26" t="s">
        <v>841</v>
      </c>
    </row>
    <row r="23" spans="1:24">
      <c r="A23" s="24" t="s">
        <v>818</v>
      </c>
      <c r="B23" s="24">
        <f t="shared" si="0"/>
        <v>9</v>
      </c>
      <c r="C23" s="24">
        <f t="shared" si="1"/>
        <v>9</v>
      </c>
      <c r="D23" s="29">
        <v>6.0000000000000009</v>
      </c>
      <c r="E23" s="29">
        <v>10</v>
      </c>
      <c r="F23" s="24">
        <f t="shared" si="2"/>
        <v>10</v>
      </c>
      <c r="G23" s="32">
        <f t="shared" si="3"/>
        <v>15</v>
      </c>
      <c r="H23" s="25">
        <f t="shared" si="4"/>
        <v>0</v>
      </c>
      <c r="I23" s="25">
        <f>IF(ISERROR(VLOOKUP(A23,브랜드품목별!#REF!,2,FALSE))=TRUE,0,VLOOKUP(A23,브랜드품목별!#REF!,2,FALSE))</f>
        <v>0</v>
      </c>
      <c r="J23" s="32">
        <f t="shared" si="5"/>
        <v>0</v>
      </c>
      <c r="K23" s="33">
        <f t="shared" si="6"/>
        <v>0</v>
      </c>
      <c r="M23" s="21" t="s">
        <v>780</v>
      </c>
      <c r="N23" s="21">
        <v>9</v>
      </c>
      <c r="O23" s="21">
        <v>9</v>
      </c>
      <c r="V23" s="26" t="s">
        <v>780</v>
      </c>
      <c r="W23" s="26">
        <v>10</v>
      </c>
      <c r="X23" s="21">
        <v>15</v>
      </c>
    </row>
    <row r="24" spans="1:24">
      <c r="A24" s="24" t="s">
        <v>819</v>
      </c>
      <c r="B24" s="24">
        <f t="shared" si="0"/>
        <v>14</v>
      </c>
      <c r="C24" s="24">
        <f t="shared" si="1"/>
        <v>14</v>
      </c>
      <c r="D24" s="29">
        <v>16</v>
      </c>
      <c r="E24" s="29">
        <v>20</v>
      </c>
      <c r="F24" s="24">
        <f t="shared" si="2"/>
        <v>15</v>
      </c>
      <c r="G24" s="32">
        <f t="shared" si="3"/>
        <v>20</v>
      </c>
      <c r="H24" s="25">
        <f t="shared" si="4"/>
        <v>4</v>
      </c>
      <c r="I24" s="25">
        <f>IF(ISERROR(VLOOKUP(A24,브랜드품목별!#REF!,2,FALSE))=TRUE,0,VLOOKUP(A24,브랜드품목별!#REF!,2,FALSE))</f>
        <v>0</v>
      </c>
      <c r="J24" s="32">
        <f t="shared" si="5"/>
        <v>4</v>
      </c>
      <c r="K24" s="33">
        <f t="shared" si="6"/>
        <v>0.2</v>
      </c>
      <c r="M24" s="21" t="s">
        <v>791</v>
      </c>
      <c r="N24" s="21">
        <v>14</v>
      </c>
      <c r="O24" s="21">
        <v>14</v>
      </c>
      <c r="V24" s="26" t="s">
        <v>791</v>
      </c>
      <c r="W24" s="26">
        <v>15</v>
      </c>
      <c r="X24" s="21">
        <v>20</v>
      </c>
    </row>
    <row r="25" spans="1:24">
      <c r="A25" s="24" t="s">
        <v>820</v>
      </c>
      <c r="B25" s="24">
        <f t="shared" si="0"/>
        <v>14</v>
      </c>
      <c r="C25" s="24">
        <f t="shared" si="1"/>
        <v>14</v>
      </c>
      <c r="D25" s="29">
        <v>5</v>
      </c>
      <c r="E25" s="29">
        <v>5</v>
      </c>
      <c r="F25" s="24">
        <f t="shared" si="2"/>
        <v>5</v>
      </c>
      <c r="G25" s="32">
        <f t="shared" si="3"/>
        <v>5</v>
      </c>
      <c r="H25" s="25">
        <f t="shared" si="4"/>
        <v>0</v>
      </c>
      <c r="I25" s="25">
        <f>IF(ISERROR(VLOOKUP(A25,브랜드품목별!#REF!,2,FALSE))=TRUE,0,VLOOKUP(A25,브랜드품목별!#REF!,2,FALSE))</f>
        <v>0</v>
      </c>
      <c r="J25" s="32">
        <f t="shared" si="5"/>
        <v>0</v>
      </c>
      <c r="K25" s="33">
        <f t="shared" si="6"/>
        <v>0</v>
      </c>
      <c r="M25" s="21" t="s">
        <v>834</v>
      </c>
      <c r="N25" s="21">
        <v>14</v>
      </c>
      <c r="O25" s="21">
        <v>14</v>
      </c>
      <c r="V25" s="26" t="s">
        <v>834</v>
      </c>
      <c r="W25" s="26">
        <v>5</v>
      </c>
      <c r="X25" s="21">
        <v>5</v>
      </c>
    </row>
    <row r="26" spans="1:24">
      <c r="A26" s="24" t="s">
        <v>821</v>
      </c>
      <c r="B26" s="24">
        <f t="shared" si="0"/>
        <v>24</v>
      </c>
      <c r="C26" s="24">
        <f t="shared" si="1"/>
        <v>25</v>
      </c>
      <c r="D26" s="29">
        <v>5</v>
      </c>
      <c r="E26" s="29">
        <v>7</v>
      </c>
      <c r="F26" s="24">
        <f t="shared" si="2"/>
        <v>25</v>
      </c>
      <c r="G26" s="32">
        <f t="shared" si="3"/>
        <v>25</v>
      </c>
      <c r="H26" s="25">
        <f t="shared" si="4"/>
        <v>4</v>
      </c>
      <c r="I26" s="25">
        <f>IF(ISERROR(VLOOKUP(A26,브랜드품목별!#REF!,2,FALSE))=TRUE,0,VLOOKUP(A26,브랜드품목별!#REF!,2,FALSE))</f>
        <v>0</v>
      </c>
      <c r="J26" s="32">
        <f t="shared" si="5"/>
        <v>4</v>
      </c>
      <c r="K26" s="33">
        <f t="shared" si="6"/>
        <v>0.16</v>
      </c>
      <c r="M26" s="21" t="s">
        <v>784</v>
      </c>
      <c r="N26" s="21">
        <v>24</v>
      </c>
      <c r="O26" s="21">
        <v>25</v>
      </c>
      <c r="V26" s="26" t="s">
        <v>784</v>
      </c>
      <c r="W26" s="26">
        <v>25</v>
      </c>
      <c r="X26" s="21">
        <v>25</v>
      </c>
    </row>
    <row r="27" spans="1:24">
      <c r="A27" s="24" t="s">
        <v>822</v>
      </c>
      <c r="B27" s="24">
        <f t="shared" si="0"/>
        <v>0</v>
      </c>
      <c r="C27" s="24">
        <f t="shared" si="1"/>
        <v>0</v>
      </c>
      <c r="D27" s="29"/>
      <c r="E27" s="29"/>
      <c r="F27" s="24">
        <f t="shared" si="2"/>
        <v>0</v>
      </c>
      <c r="G27" s="32">
        <f t="shared" si="3"/>
        <v>0</v>
      </c>
      <c r="H27" s="25">
        <f t="shared" si="4"/>
        <v>0</v>
      </c>
      <c r="I27" s="25">
        <f>IF(ISERROR(VLOOKUP(A27,브랜드품목별!#REF!,2,FALSE))=TRUE,0,VLOOKUP(A27,브랜드품목별!#REF!,2,FALSE))</f>
        <v>0</v>
      </c>
      <c r="J27" s="32">
        <f t="shared" si="5"/>
        <v>0</v>
      </c>
      <c r="K27" s="33">
        <f t="shared" si="6"/>
        <v>0</v>
      </c>
      <c r="M27" s="21" t="s">
        <v>52</v>
      </c>
      <c r="V27" s="26" t="s">
        <v>52</v>
      </c>
    </row>
    <row r="28" spans="1:24">
      <c r="A28" s="24" t="s">
        <v>823</v>
      </c>
      <c r="B28" s="24">
        <f t="shared" si="0"/>
        <v>0</v>
      </c>
      <c r="C28" s="24">
        <f t="shared" si="1"/>
        <v>0</v>
      </c>
      <c r="D28" s="29"/>
      <c r="E28" s="29"/>
      <c r="F28" s="24">
        <f t="shared" si="2"/>
        <v>20</v>
      </c>
      <c r="G28" s="32">
        <f t="shared" si="3"/>
        <v>30</v>
      </c>
      <c r="H28" s="25">
        <f t="shared" si="4"/>
        <v>0</v>
      </c>
      <c r="I28" s="25">
        <f>IF(ISERROR(VLOOKUP(A28,브랜드품목별!#REF!,2,FALSE))=TRUE,0,VLOOKUP(A28,브랜드품목별!#REF!,2,FALSE))</f>
        <v>0</v>
      </c>
      <c r="J28" s="32">
        <f t="shared" si="5"/>
        <v>0</v>
      </c>
      <c r="K28" s="33">
        <f t="shared" si="6"/>
        <v>0</v>
      </c>
      <c r="M28" s="21" t="s">
        <v>794</v>
      </c>
      <c r="V28" s="26" t="s">
        <v>794</v>
      </c>
      <c r="W28" s="26">
        <v>20</v>
      </c>
      <c r="X28" s="21">
        <v>30</v>
      </c>
    </row>
    <row r="29" spans="1:24">
      <c r="A29" s="24" t="s">
        <v>824</v>
      </c>
      <c r="B29" s="24">
        <f t="shared" si="0"/>
        <v>0</v>
      </c>
      <c r="C29" s="24">
        <f t="shared" si="1"/>
        <v>0</v>
      </c>
      <c r="D29" s="29"/>
      <c r="E29" s="29"/>
      <c r="F29" s="24">
        <f t="shared" si="2"/>
        <v>10</v>
      </c>
      <c r="G29" s="32">
        <f t="shared" si="3"/>
        <v>10</v>
      </c>
      <c r="H29" s="25">
        <f t="shared" si="4"/>
        <v>0</v>
      </c>
      <c r="I29" s="25">
        <f>IF(ISERROR(VLOOKUP(A29,브랜드품목별!#REF!,2,FALSE))=TRUE,0,VLOOKUP(A29,브랜드품목별!#REF!,2,FALSE))</f>
        <v>0</v>
      </c>
      <c r="J29" s="32">
        <f t="shared" si="5"/>
        <v>0</v>
      </c>
      <c r="K29" s="33">
        <f t="shared" si="6"/>
        <v>0</v>
      </c>
      <c r="M29" s="21" t="s">
        <v>842</v>
      </c>
      <c r="V29" s="26" t="s">
        <v>842</v>
      </c>
      <c r="W29" s="26">
        <v>10</v>
      </c>
      <c r="X29" s="21">
        <v>10</v>
      </c>
    </row>
    <row r="30" spans="1:24">
      <c r="A30" s="25" t="s">
        <v>825</v>
      </c>
      <c r="B30" s="25">
        <v>398</v>
      </c>
      <c r="C30" s="25">
        <v>560</v>
      </c>
      <c r="D30" s="29">
        <v>507.99999999999989</v>
      </c>
      <c r="E30" s="29">
        <v>688.99999999999955</v>
      </c>
      <c r="F30" s="25">
        <v>389</v>
      </c>
      <c r="G30" s="32">
        <v>497</v>
      </c>
      <c r="H30" s="25">
        <f>SUM(H5:H29)</f>
        <v>48</v>
      </c>
      <c r="I30" s="25">
        <f>SUM(I5:I29)</f>
        <v>80</v>
      </c>
      <c r="J30" s="32">
        <f>SUM(J5:J29)</f>
        <v>128</v>
      </c>
      <c r="K30" s="35">
        <f t="shared" si="6"/>
        <v>0.25754527162977869</v>
      </c>
    </row>
  </sheetData>
  <mergeCells count="12">
    <mergeCell ref="K2:K4"/>
    <mergeCell ref="F2:J2"/>
    <mergeCell ref="B2:C2"/>
    <mergeCell ref="A2:A4"/>
    <mergeCell ref="C3:C4"/>
    <mergeCell ref="B3:B4"/>
    <mergeCell ref="E3:E4"/>
    <mergeCell ref="D3:D4"/>
    <mergeCell ref="D2:E2"/>
    <mergeCell ref="J3:J4"/>
    <mergeCell ref="G3:G4"/>
    <mergeCell ref="F3:F4"/>
  </mergeCells>
  <phoneticPr fontId="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6"/>
  <sheetViews>
    <sheetView workbookViewId="0">
      <selection activeCell="N12" sqref="N12"/>
    </sheetView>
  </sheetViews>
  <sheetFormatPr defaultRowHeight="13.5"/>
  <cols>
    <col min="1" max="1" width="10.25" style="8" bestFit="1" customWidth="1"/>
    <col min="2" max="3" width="4.75" style="8" bestFit="1" customWidth="1"/>
    <col min="4" max="4" width="9" style="8"/>
    <col min="5" max="5" width="13.5" style="8" bestFit="1" customWidth="1"/>
    <col min="6" max="7" width="4.75" style="8" bestFit="1" customWidth="1"/>
    <col min="8" max="16384" width="9" style="8"/>
  </cols>
  <sheetData>
    <row r="1" spans="1:11" s="255" customFormat="1">
      <c r="A1" s="255" t="s">
        <v>1103</v>
      </c>
      <c r="E1" s="255" t="s">
        <v>1104</v>
      </c>
    </row>
    <row r="2" spans="1:11" s="81" customFormat="1">
      <c r="A2" s="256" t="s">
        <v>1105</v>
      </c>
      <c r="B2" s="256" t="s">
        <v>1106</v>
      </c>
      <c r="C2" s="256" t="s">
        <v>1107</v>
      </c>
      <c r="E2" s="256" t="s">
        <v>1105</v>
      </c>
      <c r="F2" s="256" t="s">
        <v>1106</v>
      </c>
      <c r="G2" s="256" t="s">
        <v>1107</v>
      </c>
    </row>
    <row r="3" spans="1:11">
      <c r="A3" s="257" t="s">
        <v>3</v>
      </c>
      <c r="B3" s="257">
        <v>20</v>
      </c>
      <c r="C3" s="265">
        <v>35</v>
      </c>
      <c r="E3" s="257" t="s">
        <v>3</v>
      </c>
      <c r="F3" s="257">
        <v>20</v>
      </c>
      <c r="G3" s="257">
        <v>55</v>
      </c>
      <c r="J3" s="264" t="s">
        <v>3</v>
      </c>
      <c r="K3" s="264">
        <v>35</v>
      </c>
    </row>
    <row r="4" spans="1:11">
      <c r="A4" s="257" t="s">
        <v>47</v>
      </c>
      <c r="B4" s="257">
        <v>10</v>
      </c>
      <c r="C4" s="265">
        <v>70</v>
      </c>
      <c r="E4" s="257" t="s">
        <v>47</v>
      </c>
      <c r="F4" s="257">
        <v>10</v>
      </c>
      <c r="G4" s="257">
        <v>20</v>
      </c>
      <c r="J4" s="8" t="s">
        <v>41</v>
      </c>
      <c r="K4" s="8">
        <v>50</v>
      </c>
    </row>
    <row r="5" spans="1:11">
      <c r="A5" s="257" t="s">
        <v>779</v>
      </c>
      <c r="B5" s="257"/>
      <c r="C5" s="265">
        <v>10</v>
      </c>
      <c r="E5" s="257" t="s">
        <v>779</v>
      </c>
      <c r="F5" s="257"/>
      <c r="G5" s="257">
        <v>5</v>
      </c>
      <c r="J5" s="8" t="s">
        <v>30</v>
      </c>
      <c r="K5" s="8">
        <v>5</v>
      </c>
    </row>
    <row r="6" spans="1:11">
      <c r="A6" s="257" t="s">
        <v>1096</v>
      </c>
      <c r="B6" s="257"/>
      <c r="C6" s="265">
        <v>15</v>
      </c>
      <c r="E6" s="257" t="s">
        <v>1096</v>
      </c>
      <c r="F6" s="257"/>
      <c r="G6" s="257">
        <v>5</v>
      </c>
      <c r="J6" s="8" t="s">
        <v>58</v>
      </c>
      <c r="K6" s="8">
        <v>7</v>
      </c>
    </row>
    <row r="7" spans="1:11">
      <c r="A7" s="257" t="s">
        <v>61</v>
      </c>
      <c r="B7" s="257">
        <v>3</v>
      </c>
      <c r="C7" s="265">
        <v>10</v>
      </c>
      <c r="E7" s="257" t="s">
        <v>61</v>
      </c>
      <c r="F7" s="257">
        <v>3</v>
      </c>
      <c r="G7" s="257">
        <v>7</v>
      </c>
      <c r="J7" s="264" t="s">
        <v>47</v>
      </c>
      <c r="K7" s="264">
        <v>70</v>
      </c>
    </row>
    <row r="8" spans="1:11">
      <c r="A8" s="257" t="s">
        <v>1101</v>
      </c>
      <c r="B8" s="257">
        <v>5</v>
      </c>
      <c r="C8" s="265">
        <v>25</v>
      </c>
      <c r="E8" s="257" t="s">
        <v>1101</v>
      </c>
      <c r="F8" s="257">
        <v>5</v>
      </c>
      <c r="G8" s="257">
        <v>5</v>
      </c>
      <c r="J8" s="8" t="s">
        <v>1089</v>
      </c>
      <c r="K8" s="8">
        <v>0</v>
      </c>
    </row>
    <row r="9" spans="1:11">
      <c r="A9" s="257" t="s">
        <v>40</v>
      </c>
      <c r="B9" s="257">
        <v>3</v>
      </c>
      <c r="C9" s="265">
        <v>20</v>
      </c>
      <c r="E9" s="257" t="s">
        <v>40</v>
      </c>
      <c r="F9" s="257">
        <v>3</v>
      </c>
      <c r="G9" s="257">
        <v>7</v>
      </c>
      <c r="J9" s="8" t="s">
        <v>1112</v>
      </c>
      <c r="K9" s="8">
        <v>0</v>
      </c>
    </row>
    <row r="10" spans="1:11">
      <c r="A10" s="257" t="s">
        <v>39</v>
      </c>
      <c r="B10" s="257">
        <v>5</v>
      </c>
      <c r="C10" s="265">
        <v>20</v>
      </c>
      <c r="E10" s="257" t="s">
        <v>39</v>
      </c>
      <c r="F10" s="257">
        <v>5</v>
      </c>
      <c r="G10" s="257">
        <v>5</v>
      </c>
      <c r="J10" s="8" t="s">
        <v>1096</v>
      </c>
      <c r="K10" s="264">
        <v>15</v>
      </c>
    </row>
    <row r="11" spans="1:11">
      <c r="A11" s="257" t="s">
        <v>53</v>
      </c>
      <c r="B11" s="257">
        <v>3</v>
      </c>
      <c r="C11" s="265">
        <v>10</v>
      </c>
      <c r="E11" s="257" t="s">
        <v>53</v>
      </c>
      <c r="F11" s="257">
        <v>3</v>
      </c>
      <c r="G11" s="257">
        <v>2</v>
      </c>
      <c r="J11" s="8" t="s">
        <v>40</v>
      </c>
      <c r="K11" s="264">
        <v>20</v>
      </c>
    </row>
    <row r="12" spans="1:11">
      <c r="A12" s="257" t="s">
        <v>32</v>
      </c>
      <c r="B12" s="257">
        <v>10</v>
      </c>
      <c r="C12" s="265">
        <v>30</v>
      </c>
      <c r="E12" s="257" t="s">
        <v>32</v>
      </c>
      <c r="F12" s="257">
        <v>10</v>
      </c>
      <c r="G12" s="257">
        <v>5</v>
      </c>
      <c r="J12" s="8" t="s">
        <v>1101</v>
      </c>
      <c r="K12" s="264">
        <v>25</v>
      </c>
    </row>
    <row r="13" spans="1:11">
      <c r="A13" s="257" t="s">
        <v>57</v>
      </c>
      <c r="B13" s="257">
        <v>5</v>
      </c>
      <c r="C13" s="265">
        <v>10</v>
      </c>
      <c r="E13" s="257" t="s">
        <v>57</v>
      </c>
      <c r="F13" s="257">
        <v>5</v>
      </c>
      <c r="G13" s="257"/>
      <c r="J13" s="8" t="s">
        <v>39</v>
      </c>
      <c r="K13" s="264">
        <v>20</v>
      </c>
    </row>
    <row r="14" spans="1:11">
      <c r="A14" s="257" t="s">
        <v>46</v>
      </c>
      <c r="B14" s="257">
        <v>3</v>
      </c>
      <c r="C14" s="265">
        <v>10</v>
      </c>
      <c r="E14" s="257" t="s">
        <v>46</v>
      </c>
      <c r="F14" s="257">
        <v>3</v>
      </c>
      <c r="G14" s="257">
        <v>2</v>
      </c>
      <c r="J14" s="8" t="s">
        <v>61</v>
      </c>
      <c r="K14" s="264">
        <v>10</v>
      </c>
    </row>
    <row r="15" spans="1:11">
      <c r="A15" s="257" t="s">
        <v>51</v>
      </c>
      <c r="B15" s="257">
        <v>5</v>
      </c>
      <c r="C15" s="265">
        <v>10</v>
      </c>
      <c r="E15" s="257" t="s">
        <v>51</v>
      </c>
      <c r="F15" s="257">
        <v>5</v>
      </c>
      <c r="G15" s="257">
        <v>20</v>
      </c>
      <c r="J15" s="8" t="s">
        <v>786</v>
      </c>
      <c r="K15" s="8">
        <v>10</v>
      </c>
    </row>
    <row r="16" spans="1:11">
      <c r="A16" s="257" t="s">
        <v>1102</v>
      </c>
      <c r="B16" s="257"/>
      <c r="C16" s="257">
        <v>15</v>
      </c>
      <c r="E16" s="257" t="s">
        <v>1102</v>
      </c>
      <c r="F16" s="257"/>
      <c r="G16" s="257"/>
      <c r="J16" s="8" t="s">
        <v>840</v>
      </c>
      <c r="K16" s="8">
        <v>5</v>
      </c>
    </row>
    <row r="17" spans="1:11">
      <c r="A17" s="257" t="s">
        <v>862</v>
      </c>
      <c r="B17" s="257"/>
      <c r="C17" s="257">
        <v>5</v>
      </c>
      <c r="E17" s="257" t="s">
        <v>862</v>
      </c>
      <c r="F17" s="257"/>
      <c r="G17" s="257">
        <v>5</v>
      </c>
      <c r="J17" s="8" t="s">
        <v>32</v>
      </c>
      <c r="K17" s="264">
        <v>30</v>
      </c>
    </row>
    <row r="18" spans="1:11">
      <c r="A18" s="257" t="s">
        <v>1111</v>
      </c>
      <c r="B18" s="257"/>
      <c r="C18" s="257">
        <v>50</v>
      </c>
      <c r="E18" s="257" t="s">
        <v>41</v>
      </c>
      <c r="F18" s="257"/>
      <c r="G18" s="257">
        <v>48</v>
      </c>
      <c r="J18" s="8" t="s">
        <v>787</v>
      </c>
      <c r="K18" s="8">
        <v>0</v>
      </c>
    </row>
    <row r="19" spans="1:11">
      <c r="A19" s="257" t="s">
        <v>1108</v>
      </c>
      <c r="B19" s="257"/>
      <c r="C19" s="257">
        <v>7</v>
      </c>
      <c r="E19" s="257" t="s">
        <v>58</v>
      </c>
      <c r="F19" s="257"/>
      <c r="G19" s="257">
        <v>5</v>
      </c>
      <c r="J19" s="8" t="s">
        <v>57</v>
      </c>
      <c r="K19" s="264">
        <v>10</v>
      </c>
    </row>
    <row r="20" spans="1:11">
      <c r="A20" s="257" t="s">
        <v>786</v>
      </c>
      <c r="B20" s="257"/>
      <c r="C20" s="257">
        <v>10</v>
      </c>
      <c r="E20" s="257" t="s">
        <v>1089</v>
      </c>
      <c r="F20" s="257"/>
      <c r="G20" s="257">
        <v>10</v>
      </c>
      <c r="J20" s="8" t="s">
        <v>779</v>
      </c>
      <c r="K20" s="264">
        <v>10</v>
      </c>
    </row>
    <row r="21" spans="1:11">
      <c r="A21" s="257" t="s">
        <v>30</v>
      </c>
      <c r="B21" s="257">
        <v>3</v>
      </c>
      <c r="C21" s="257">
        <v>5</v>
      </c>
      <c r="E21" s="257" t="s">
        <v>786</v>
      </c>
      <c r="F21" s="257"/>
      <c r="G21" s="257">
        <v>10</v>
      </c>
      <c r="J21" s="8" t="s">
        <v>53</v>
      </c>
      <c r="K21" s="264">
        <v>10</v>
      </c>
    </row>
    <row r="22" spans="1:11">
      <c r="A22" s="257" t="s">
        <v>840</v>
      </c>
      <c r="B22" s="257"/>
      <c r="C22" s="257">
        <v>5</v>
      </c>
      <c r="E22" s="257" t="s">
        <v>30</v>
      </c>
      <c r="F22" s="257">
        <v>3</v>
      </c>
      <c r="G22" s="257">
        <v>5</v>
      </c>
      <c r="J22" s="8" t="s">
        <v>46</v>
      </c>
      <c r="K22" s="264">
        <v>10</v>
      </c>
    </row>
    <row r="23" spans="1:11">
      <c r="B23" s="8">
        <f>SUM(B3:B22)</f>
        <v>75</v>
      </c>
      <c r="C23" s="8">
        <f>SUM(C3:C22)</f>
        <v>372</v>
      </c>
      <c r="E23" s="257" t="s">
        <v>840</v>
      </c>
      <c r="F23" s="257"/>
      <c r="G23" s="257"/>
      <c r="J23" s="8" t="s">
        <v>862</v>
      </c>
      <c r="K23" s="8">
        <v>5</v>
      </c>
    </row>
    <row r="24" spans="1:11">
      <c r="E24" s="257" t="s">
        <v>1095</v>
      </c>
      <c r="F24" s="257"/>
      <c r="G24" s="257">
        <v>5</v>
      </c>
      <c r="J24" s="8" t="s">
        <v>51</v>
      </c>
      <c r="K24" s="264">
        <v>10</v>
      </c>
    </row>
    <row r="25" spans="1:11">
      <c r="F25" s="8">
        <f>SUM(F3:F24)</f>
        <v>75</v>
      </c>
      <c r="G25" s="8">
        <f>SUM(G3:G24)</f>
        <v>226</v>
      </c>
      <c r="J25" s="8" t="s">
        <v>1095</v>
      </c>
      <c r="K25" s="8">
        <v>0</v>
      </c>
    </row>
    <row r="26" spans="1:11">
      <c r="J26" s="8" t="s">
        <v>52</v>
      </c>
      <c r="K26" s="8">
        <v>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이름이 지정된 범위</vt:lpstr>
      </vt:variant>
      <vt:variant>
        <vt:i4>3</vt:i4>
      </vt:variant>
    </vt:vector>
  </HeadingPairs>
  <TitlesOfParts>
    <vt:vector size="12" baseType="lpstr">
      <vt:lpstr>브랜드품목별</vt:lpstr>
      <vt:lpstr>발주입고월</vt:lpstr>
      <vt:lpstr>샘플별업체 아이템별</vt:lpstr>
      <vt:lpstr>샘플현황취합</vt:lpstr>
      <vt:lpstr>CODE</vt:lpstr>
      <vt:lpstr>생산업체</vt:lpstr>
      <vt:lpstr>주</vt:lpstr>
      <vt:lpstr>정리</vt:lpstr>
      <vt:lpstr>계획</vt:lpstr>
      <vt:lpstr>발주입고월!Print_Titles</vt:lpstr>
      <vt:lpstr>브랜드품목별!Print_Titles</vt:lpstr>
      <vt:lpstr>'샘플별업체 아이템별'!Print_Titles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</dc:creator>
  <cp:lastModifiedBy>rxk-130118</cp:lastModifiedBy>
  <cp:lastPrinted>2014-05-21T07:33:44Z</cp:lastPrinted>
  <dcterms:created xsi:type="dcterms:W3CDTF">2013-02-26T07:57:10Z</dcterms:created>
  <dcterms:modified xsi:type="dcterms:W3CDTF">2015-02-26T01:44:00Z</dcterms:modified>
</cp:coreProperties>
</file>