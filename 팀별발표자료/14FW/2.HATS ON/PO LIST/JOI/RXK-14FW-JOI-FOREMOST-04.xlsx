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externalReferences>
    <externalReference r:id="rId2"/>
  </externalReference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E1" i="1"/>
  <c r="D1" i="1"/>
  <c r="AK77" i="1" l="1"/>
  <c r="AJ77" i="1"/>
</calcChain>
</file>

<file path=xl/sharedStrings.xml><?xml version="1.0" encoding="utf-8"?>
<sst xmlns="http://schemas.openxmlformats.org/spreadsheetml/2006/main" count="2434" uniqueCount="58">
  <si>
    <t>PURCHASE ORDER LIST</t>
    <phoneticPr fontId="4" type="noConversion"/>
  </si>
  <si>
    <t>PO#</t>
    <phoneticPr fontId="4" type="noConversion"/>
  </si>
  <si>
    <t>RXK-14FW-JOI-FOREMOST-04</t>
    <phoneticPr fontId="4" type="noConversion"/>
  </si>
  <si>
    <t>JOI-FOREMOST-04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</si>
  <si>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</si>
  <si>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</si>
  <si>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</si>
  <si>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</si>
  <si>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</si>
  <si>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</si>
  <si>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</si>
  <si>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</si>
  <si>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</si>
  <si>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</si>
  <si>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</si>
  <si>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</si>
  <si>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</si>
  <si>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</si>
  <si>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</si>
  <si>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</si>
  <si>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</si>
  <si>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</si>
  <si>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</si>
  <si>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</si>
  <si>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</si>
  <si>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</si>
  <si>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</si>
  <si>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</si>
  <si>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</si>
  <si>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</si>
  <si>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</si>
  <si>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</si>
  <si>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</si>
  <si>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</si>
  <si>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</si>
  <si>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</si>
  <si>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</si>
  <si>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</si>
  <si>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JOIEBF5803BLUE</t>
  </si>
  <si>
    <t>JOIE BETE</t>
  </si>
  <si>
    <t>EARFLAP BEANIE</t>
  </si>
  <si>
    <t>K</t>
  </si>
  <si>
    <t>13FW JOIE BETE_03_BL_KIDS</t>
  </si>
  <si>
    <t>JOIEBF5803</t>
  </si>
  <si>
    <t>BLUE</t>
  </si>
  <si>
    <t/>
  </si>
  <si>
    <t>JOIEBF5804RED</t>
  </si>
  <si>
    <t>13FW JOIE BETE_03_RD_KIDS</t>
  </si>
  <si>
    <t>JOIEBF5804</t>
  </si>
  <si>
    <t>RED</t>
  </si>
  <si>
    <t>JOIVBF5806NAVY</t>
  </si>
  <si>
    <t>VISOR BEANIE</t>
  </si>
  <si>
    <t>13FW JOIE BETE_09_NY_KIDS</t>
  </si>
  <si>
    <t>JOIVBF5806</t>
  </si>
  <si>
    <t>NAVY</t>
  </si>
  <si>
    <t>JOIVBF5806PINK</t>
  </si>
  <si>
    <t>13FW JOIE BETE_09_PK_KIDS</t>
  </si>
  <si>
    <t>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</si>
</sst>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190496</xdr:colOff>
      <xdr:row>7</xdr:row>
      <xdr:rowOff>59530</xdr:rowOff>
    </xdr:from>
    <xdr:to>
      <xdr:col>7</xdr:col>
      <xdr:colOff>563660</xdr:colOff>
      <xdr:row>7</xdr:row>
      <xdr:rowOff>599530</xdr:rowOff>
    </xdr:to>
    <xdr:pic>
      <xdr:nvPicPr>
        <xdr:cNvPr id="2" name="그림 1" descr="03BL-ADULT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00621" y="77059630"/>
          <a:ext cx="373164" cy="540000"/>
        </a:xfrm>
        <a:prstGeom prst="rect">
          <a:avLst/>
        </a:prstGeom>
      </xdr:spPr>
    </xdr:pic>
    <xdr:clientData fLocksWithSheet="0"/>
  </xdr:twoCellAnchor>
  <xdr:twoCellAnchor>
    <xdr:from>
      <xdr:col>7</xdr:col>
      <xdr:colOff>190497</xdr:colOff>
      <xdr:row>8</xdr:row>
      <xdr:rowOff>59530</xdr:rowOff>
    </xdr:from>
    <xdr:to>
      <xdr:col>7</xdr:col>
      <xdr:colOff>566713</xdr:colOff>
      <xdr:row>8</xdr:row>
      <xdr:rowOff>599530</xdr:rowOff>
    </xdr:to>
    <xdr:pic>
      <xdr:nvPicPr>
        <xdr:cNvPr id="3" name="그림 2" descr="03RD-ADULT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00622" y="77726380"/>
          <a:ext cx="376216" cy="540000"/>
        </a:xfrm>
        <a:prstGeom prst="rect">
          <a:avLst/>
        </a:prstGeom>
      </xdr:spPr>
    </xdr:pic>
    <xdr:clientData fLocksWithSheet="0"/>
  </xdr:twoCellAnchor>
  <xdr:twoCellAnchor>
    <xdr:from>
      <xdr:col>7</xdr:col>
      <xdr:colOff>226214</xdr:colOff>
      <xdr:row>10</xdr:row>
      <xdr:rowOff>59530</xdr:rowOff>
    </xdr:from>
    <xdr:to>
      <xdr:col>7</xdr:col>
      <xdr:colOff>572086</xdr:colOff>
      <xdr:row>10</xdr:row>
      <xdr:rowOff>599530</xdr:rowOff>
    </xdr:to>
    <xdr:pic>
      <xdr:nvPicPr>
        <xdr:cNvPr id="4" name="그림 3" descr="09PK-ADULT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036339" y="79059880"/>
          <a:ext cx="345872" cy="540000"/>
        </a:xfrm>
        <a:prstGeom prst="rect">
          <a:avLst/>
        </a:prstGeom>
      </xdr:spPr>
    </xdr:pic>
    <xdr:clientData fLocksWithSheet="0"/>
  </xdr:twoCellAnchor>
  <xdr:twoCellAnchor>
    <xdr:from>
      <xdr:col>7</xdr:col>
      <xdr:colOff>226214</xdr:colOff>
      <xdr:row>9</xdr:row>
      <xdr:rowOff>59530</xdr:rowOff>
    </xdr:from>
    <xdr:to>
      <xdr:col>7</xdr:col>
      <xdr:colOff>549032</xdr:colOff>
      <xdr:row>9</xdr:row>
      <xdr:rowOff>599530</xdr:rowOff>
    </xdr:to>
    <xdr:pic>
      <xdr:nvPicPr>
        <xdr:cNvPr id="5" name="그림 4" descr="09NY-ADULT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036339" y="78393130"/>
          <a:ext cx="322818" cy="540000"/>
        </a:xfrm>
        <a:prstGeom prst="rect">
          <a:avLst/>
        </a:prstGeom>
      </xdr:spPr>
    </xdr:pic>
    <xdr:clientData fLock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3.&#44592;&#54925;&#49373;&#49328;/HATS%20ON%20&#49373;&#49328;/1.&#44592;&#54925;&#54788;&#54889;/14FW/2.HATS%20ON/14FW%20&#44592;&#54925;&#54788;&#54889;%20(HATS%20ON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획현황요약"/>
      <sheetName val="순점검"/>
      <sheetName val="기획현황"/>
      <sheetName val="PO ISSUE"/>
      <sheetName val="가격결정"/>
      <sheetName val="에버그린"/>
      <sheetName val="한림"/>
      <sheetName val="피아"/>
      <sheetName val="입고DB"/>
      <sheetName val="실입고현황"/>
      <sheetName val="입고현황"/>
      <sheetName val="금주"/>
      <sheetName val="차주"/>
      <sheetName val="차차주"/>
      <sheetName val="TARGET MU"/>
      <sheetName val="CODE"/>
      <sheetName val="WKNUM"/>
      <sheetName val="브랜드담당"/>
      <sheetName val="품번순번코드"/>
    </sheetNames>
    <sheetDataSet>
      <sheetData sheetId="0"/>
      <sheetData sheetId="1"/>
      <sheetData sheetId="2">
        <row r="2">
          <cell r="K2">
            <v>2014</v>
          </cell>
          <cell r="L2" t="str">
            <v>FW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X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f>[1]기획현황!$K$2</f>
        <v>2014</v>
      </c>
      <c r="E1" s="4" t="str">
        <f>[1]기획현황!$L$2</f>
        <v>FW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41711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1500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1500</v>
      </c>
      <c r="AK8" s="77">
        <v>0</v>
      </c>
      <c r="AL8" s="78">
        <v>0</v>
      </c>
      <c r="AM8" s="79">
        <v>0</v>
      </c>
      <c r="AN8" s="79">
        <v>41858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48</v>
      </c>
      <c r="K9" s="71" t="s">
        <v>49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1500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1500</v>
      </c>
      <c r="AK9" s="77">
        <v>0</v>
      </c>
      <c r="AL9" s="78">
        <v>0</v>
      </c>
      <c r="AM9" s="79">
        <v>0</v>
      </c>
      <c r="AN9" s="79">
        <v>41858</v>
      </c>
      <c r="AO9" s="74"/>
    </row>
    <row r="10" spans="1:46" ht="52.5" customHeight="1">
      <c r="A10" s="68">
        <v>3</v>
      </c>
      <c r="B10" s="69" t="s">
        <v>50</v>
      </c>
      <c r="D10" s="71">
        <v>3</v>
      </c>
      <c r="E10" s="72" t="s">
        <v>39</v>
      </c>
      <c r="F10" s="72" t="s">
        <v>51</v>
      </c>
      <c r="G10" s="72" t="s">
        <v>41</v>
      </c>
      <c r="H10" s="73"/>
      <c r="I10" s="74" t="s">
        <v>52</v>
      </c>
      <c r="J10" s="71" t="s">
        <v>53</v>
      </c>
      <c r="K10" s="71" t="s">
        <v>54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>
        <v>1500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1500</v>
      </c>
      <c r="AK10" s="77">
        <v>0</v>
      </c>
      <c r="AL10" s="78">
        <v>0</v>
      </c>
      <c r="AM10" s="79">
        <v>0</v>
      </c>
      <c r="AN10" s="79">
        <v>41858</v>
      </c>
      <c r="AO10" s="74"/>
    </row>
    <row r="11" spans="1:46" ht="52.5" customHeight="1">
      <c r="A11" s="68">
        <v>4</v>
      </c>
      <c r="B11" s="69" t="s">
        <v>55</v>
      </c>
      <c r="D11" s="71">
        <v>4</v>
      </c>
      <c r="E11" s="72" t="s">
        <v>39</v>
      </c>
      <c r="F11" s="72" t="s">
        <v>51</v>
      </c>
      <c r="G11" s="72" t="s">
        <v>41</v>
      </c>
      <c r="H11" s="73"/>
      <c r="I11" s="74" t="s">
        <v>56</v>
      </c>
      <c r="J11" s="71" t="s">
        <v>53</v>
      </c>
      <c r="K11" s="71" t="s">
        <v>57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>
        <v>1500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1500</v>
      </c>
      <c r="AK11" s="77">
        <v>0</v>
      </c>
      <c r="AL11" s="78">
        <v>0</v>
      </c>
      <c r="AM11" s="79">
        <v>0</v>
      </c>
      <c r="AN11" s="79">
        <v>41858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6000</v>
      </c>
      <c r="AF77" s="92">
        <f t="shared" ref="AF77" si="6">SUM(AF8:AF76)</f>
        <v>0</v>
      </c>
      <c r="AG77" s="92">
        <f t="shared" si="3"/>
        <v>0</v>
      </c>
      <c r="AH77" s="92">
        <f t="shared" si="3"/>
        <v>0</v>
      </c>
      <c r="AI77" s="92">
        <f t="shared" si="3"/>
        <v>0</v>
      </c>
      <c r="AJ77" s="92">
        <f>SUM(AJ8:AJ76)</f>
        <v>6000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2:H29 H68:H76">
    <cfRule type="expression" dxfId="17" priority="17" stopIfTrue="1">
      <formula>$H12="TTL"</formula>
    </cfRule>
  </conditionalFormatting>
  <conditionalFormatting sqref="H28">
    <cfRule type="expression" dxfId="16" priority="16" stopIfTrue="1">
      <formula>$H28="TTL"</formula>
    </cfRule>
  </conditionalFormatting>
  <conditionalFormatting sqref="H12:H29">
    <cfRule type="expression" dxfId="15" priority="15" stopIfTrue="1">
      <formula>$H12="TTL"</formula>
    </cfRule>
  </conditionalFormatting>
  <conditionalFormatting sqref="H28">
    <cfRule type="expression" dxfId="14" priority="14" stopIfTrue="1">
      <formula>$H28="TTL"</formula>
    </cfRule>
  </conditionalFormatting>
  <conditionalFormatting sqref="H12:H30">
    <cfRule type="expression" dxfId="13" priority="13" stopIfTrue="1">
      <formula>$H12="TTL"</formula>
    </cfRule>
  </conditionalFormatting>
  <conditionalFormatting sqref="H12:H18">
    <cfRule type="expression" dxfId="11" priority="11" stopIfTrue="1">
      <formula>$H12="TTL"</formula>
    </cfRule>
  </conditionalFormatting>
  <conditionalFormatting sqref="H12:H14">
    <cfRule type="expression" dxfId="10" priority="10" stopIfTrue="1">
      <formula>$H12="TTL"</formula>
    </cfRule>
  </conditionalFormatting>
  <conditionalFormatting sqref="H12:H15">
    <cfRule type="expression" dxfId="9" priority="9" stopIfTrue="1">
      <formula>$H12="TTL"</formula>
    </cfRule>
  </conditionalFormatting>
  <conditionalFormatting sqref="H12:H32">
    <cfRule type="expression" dxfId="8" priority="8" stopIfTrue="1">
      <formula>$H12="TTL"</formula>
    </cfRule>
  </conditionalFormatting>
  <conditionalFormatting sqref="H12:H15">
    <cfRule type="expression" dxfId="7" priority="7" stopIfTrue="1">
      <formula>$H12="TTL"</formula>
    </cfRule>
  </conditionalFormatting>
  <conditionalFormatting sqref="H12">
    <cfRule type="expression" dxfId="5" priority="5" stopIfTrue="1">
      <formula>$H12="TTL"</formula>
    </cfRule>
  </conditionalFormatting>
  <conditionalFormatting sqref="H12:H14">
    <cfRule type="expression" dxfId="3" priority="3" stopIfTrue="1">
      <formula>$H12="TTL"</formula>
    </cfRule>
  </conditionalFormatting>
  <conditionalFormatting sqref="H12">
    <cfRule type="expression" dxfId="2" priority="2" stopIfTrue="1">
      <formula>$I12="TTL"</formula>
    </cfRule>
  </conditionalFormatting>
  <conditionalFormatting sqref="H8:H11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2014-03-12T09:34:19Z</dcterms:created>
  <dcterms:modified xsi:type="dcterms:W3CDTF">2014-03-12T09:35:14Z</dcterms:modified>
</cp:coreProperties>
</file>