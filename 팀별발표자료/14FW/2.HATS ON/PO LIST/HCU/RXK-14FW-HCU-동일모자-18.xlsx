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<sst xmlns="http://schemas.openxmlformats.org/spreadsheetml/2006/main" count="2409" uniqueCount="71">
  <si>
    <t>PURCHASE ORDER LIST</t>
    <phoneticPr fontId="4" type="noConversion"/>
  </si>
  <si>
    <t>PO#</t>
    <phoneticPr fontId="4" type="noConversion"/>
  </si>
  <si>
    <t>HCU-동일모자-18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</si>
  <si>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</si>
  <si>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</si>
  <si>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</si>
  <si>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</si>
  <si>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</si>
  <si>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</si>
  <si>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</si>
  <si>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</si>
  <si>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</si>
  <si>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</si>
  <si>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</si>
  <si>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</si>
  <si>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</si>
  <si>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</si>
  <si>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</si>
  <si>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</si>
  <si>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</si>
  <si>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</si>
  <si>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</si>
  <si>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</si>
  <si>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</si>
  <si>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</si>
  <si>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</si>
  <si>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</si>
  <si>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</si>
  <si>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</si>
  <si>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</si>
  <si>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</si>
  <si>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</si>
  <si>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</si>
  <si>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</si>
  <si>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</si>
  <si>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</si>
  <si>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</si>
  <si>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HCUMIF3003BLACK</t>
  </si>
  <si>
    <t>H.COUSTIC</t>
  </si>
  <si>
    <t>MILITARY CAP</t>
  </si>
  <si>
    <t>U</t>
  </si>
  <si>
    <t>14FW H.coustic CAP-08_BK</t>
  </si>
  <si>
    <t>HCUMIF3003</t>
  </si>
  <si>
    <t>BLACK</t>
  </si>
  <si>
    <t/>
  </si>
  <si>
    <t>HCUMIF5004NAVY</t>
  </si>
  <si>
    <t>14FW H.coustic CAP-09_NV</t>
  </si>
  <si>
    <t>HCUMIF5004</t>
  </si>
  <si>
    <t>NAVY</t>
  </si>
  <si>
    <t>HCUMIF3005KHAKI</t>
  </si>
  <si>
    <t>14FW H.coustic CAP-10_KH</t>
  </si>
  <si>
    <t>HCUMIF3005</t>
  </si>
  <si>
    <t>KHAKI</t>
  </si>
  <si>
    <t>HCUMIF3006BLACK</t>
  </si>
  <si>
    <t>14FW H.coustic CAP-11_BK</t>
  </si>
  <si>
    <t>HCUMIF3006</t>
  </si>
  <si>
    <t>HCUMIF3006KHAKI</t>
  </si>
  <si>
    <t>14FW H.coustic CAP-11_KH</t>
  </si>
  <si>
    <t>HCUMIF3006NAVY</t>
  </si>
  <si>
    <t>14FW H.coustic CAP-11_NY</t>
  </si>
  <si>
    <t>HCUMIF3007GREY</t>
  </si>
  <si>
    <t>14FW H.coustic CAP-12_GY</t>
  </si>
  <si>
    <t>HCUMIF3007</t>
  </si>
  <si>
    <t>GREY</t>
  </si>
  <si>
    <t>HCUMIF3007BLACK</t>
  </si>
  <si>
    <t>14FW H.coustic CAP-12_BK</t>
  </si>
  <si>
    <t>HCUMIF3008BLACK</t>
  </si>
  <si>
    <t>14FW H.coustic CAP-13_BK</t>
  </si>
  <si>
    <t>HCUMIF3008</t>
  </si>
  <si>
    <t>FW</t>
  </si>
  <si>
    <t>RXK-14FW-HCU-동일모자-18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</si>
</sst>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9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108857</xdr:rowOff>
    </xdr:from>
    <xdr:to>
      <xdr:col>7</xdr:col>
      <xdr:colOff>648856</xdr:colOff>
      <xdr:row>7</xdr:row>
      <xdr:rowOff>560814</xdr:rowOff>
    </xdr:to>
    <xdr:pic>
      <xdr:nvPicPr>
        <xdr:cNvPr id="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306" y="583172207"/>
          <a:ext cx="540000" cy="451957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108856</xdr:colOff>
      <xdr:row>8</xdr:row>
      <xdr:rowOff>108856</xdr:rowOff>
    </xdr:from>
    <xdr:to>
      <xdr:col>7</xdr:col>
      <xdr:colOff>648856</xdr:colOff>
      <xdr:row>8</xdr:row>
      <xdr:rowOff>571995</xdr:rowOff>
    </xdr:to>
    <xdr:pic>
      <xdr:nvPicPr>
        <xdr:cNvPr id="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306" y="583838956"/>
          <a:ext cx="540000" cy="463139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108856</xdr:colOff>
      <xdr:row>9</xdr:row>
      <xdr:rowOff>108856</xdr:rowOff>
    </xdr:from>
    <xdr:to>
      <xdr:col>7</xdr:col>
      <xdr:colOff>648856</xdr:colOff>
      <xdr:row>9</xdr:row>
      <xdr:rowOff>569216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0306" y="585172456"/>
          <a:ext cx="540000" cy="46036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108856</xdr:colOff>
      <xdr:row>10</xdr:row>
      <xdr:rowOff>108857</xdr:rowOff>
    </xdr:from>
    <xdr:to>
      <xdr:col>7</xdr:col>
      <xdr:colOff>648856</xdr:colOff>
      <xdr:row>10</xdr:row>
      <xdr:rowOff>557562</xdr:rowOff>
    </xdr:to>
    <xdr:pic>
      <xdr:nvPicPr>
        <xdr:cNvPr id="5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80306" y="585839207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108856</xdr:colOff>
      <xdr:row>11</xdr:row>
      <xdr:rowOff>108857</xdr:rowOff>
    </xdr:from>
    <xdr:to>
      <xdr:col>7</xdr:col>
      <xdr:colOff>648856</xdr:colOff>
      <xdr:row>11</xdr:row>
      <xdr:rowOff>557562</xdr:rowOff>
    </xdr:to>
    <xdr:pic>
      <xdr:nvPicPr>
        <xdr:cNvPr id="6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80306" y="586505957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108856</xdr:colOff>
      <xdr:row>12</xdr:row>
      <xdr:rowOff>108857</xdr:rowOff>
    </xdr:from>
    <xdr:to>
      <xdr:col>7</xdr:col>
      <xdr:colOff>648856</xdr:colOff>
      <xdr:row>12</xdr:row>
      <xdr:rowOff>557562</xdr:rowOff>
    </xdr:to>
    <xdr:pic>
      <xdr:nvPicPr>
        <xdr:cNvPr id="7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80306" y="587172707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108856</xdr:colOff>
      <xdr:row>13</xdr:row>
      <xdr:rowOff>108856</xdr:rowOff>
    </xdr:from>
    <xdr:to>
      <xdr:col>7</xdr:col>
      <xdr:colOff>648856</xdr:colOff>
      <xdr:row>13</xdr:row>
      <xdr:rowOff>548786</xdr:rowOff>
    </xdr:to>
    <xdr:pic>
      <xdr:nvPicPr>
        <xdr:cNvPr id="8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80306" y="587839456"/>
          <a:ext cx="540000" cy="43993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108856</xdr:colOff>
      <xdr:row>14</xdr:row>
      <xdr:rowOff>108856</xdr:rowOff>
    </xdr:from>
    <xdr:to>
      <xdr:col>7</xdr:col>
      <xdr:colOff>648856</xdr:colOff>
      <xdr:row>14</xdr:row>
      <xdr:rowOff>548786</xdr:rowOff>
    </xdr:to>
    <xdr:pic>
      <xdr:nvPicPr>
        <xdr:cNvPr id="9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80306" y="588506206"/>
          <a:ext cx="540000" cy="43993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108856</xdr:colOff>
      <xdr:row>15</xdr:row>
      <xdr:rowOff>108856</xdr:rowOff>
    </xdr:from>
    <xdr:to>
      <xdr:col>7</xdr:col>
      <xdr:colOff>648856</xdr:colOff>
      <xdr:row>15</xdr:row>
      <xdr:rowOff>565928</xdr:rowOff>
    </xdr:to>
    <xdr:pic>
      <xdr:nvPicPr>
        <xdr:cNvPr id="10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80306" y="589172956"/>
          <a:ext cx="540000" cy="45707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69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70</v>
      </c>
      <c r="F3" s="97"/>
      <c r="G3" s="97"/>
      <c r="H3" s="9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41752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6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1500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1500</v>
      </c>
      <c r="AK8" s="64">
        <v>0</v>
      </c>
      <c r="AL8" s="65">
        <v>0</v>
      </c>
      <c r="AM8" s="66">
        <v>0</v>
      </c>
      <c r="AN8" s="66">
        <v>41824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40</v>
      </c>
      <c r="H9" s="68"/>
      <c r="I9" s="61" t="s">
        <v>46</v>
      </c>
      <c r="J9" s="58" t="s">
        <v>47</v>
      </c>
      <c r="K9" s="58" t="s">
        <v>48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 t="s">
        <v>44</v>
      </c>
      <c r="AF9" s="62" t="s">
        <v>44</v>
      </c>
      <c r="AG9" s="62">
        <v>600</v>
      </c>
      <c r="AH9" s="62">
        <v>400</v>
      </c>
      <c r="AI9" s="62" t="s">
        <v>44</v>
      </c>
      <c r="AJ9" s="63">
        <f t="shared" si="0"/>
        <v>1000</v>
      </c>
      <c r="AK9" s="64">
        <v>0</v>
      </c>
      <c r="AL9" s="65">
        <v>0</v>
      </c>
      <c r="AM9" s="66">
        <v>0</v>
      </c>
      <c r="AN9" s="66">
        <v>41824</v>
      </c>
      <c r="AO9" s="61"/>
    </row>
    <row r="10" spans="1:46" ht="52.5" customHeight="1">
      <c r="A10" s="55">
        <v>3</v>
      </c>
      <c r="B10" s="56" t="s">
        <v>49</v>
      </c>
      <c r="D10" s="58">
        <v>3</v>
      </c>
      <c r="E10" s="59" t="s">
        <v>38</v>
      </c>
      <c r="F10" s="59" t="s">
        <v>39</v>
      </c>
      <c r="G10" s="59" t="s">
        <v>40</v>
      </c>
      <c r="H10" s="60"/>
      <c r="I10" s="61" t="s">
        <v>50</v>
      </c>
      <c r="J10" s="58" t="s">
        <v>51</v>
      </c>
      <c r="K10" s="58" t="s">
        <v>52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>
        <v>1200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1200</v>
      </c>
      <c r="AK10" s="64">
        <v>0</v>
      </c>
      <c r="AL10" s="65">
        <v>0</v>
      </c>
      <c r="AM10" s="66">
        <v>0</v>
      </c>
      <c r="AN10" s="66">
        <v>41824</v>
      </c>
      <c r="AO10" s="61"/>
    </row>
    <row r="11" spans="1:46" ht="52.5" customHeight="1">
      <c r="A11" s="55">
        <v>4</v>
      </c>
      <c r="B11" s="56" t="s">
        <v>53</v>
      </c>
      <c r="D11" s="58">
        <v>4</v>
      </c>
      <c r="E11" s="59" t="s">
        <v>38</v>
      </c>
      <c r="F11" s="59" t="s">
        <v>39</v>
      </c>
      <c r="G11" s="59" t="s">
        <v>40</v>
      </c>
      <c r="H11" s="60"/>
      <c r="I11" s="61" t="s">
        <v>54</v>
      </c>
      <c r="J11" s="58" t="s">
        <v>55</v>
      </c>
      <c r="K11" s="58" t="s">
        <v>43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>
        <v>2000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2000</v>
      </c>
      <c r="AK11" s="64">
        <v>0</v>
      </c>
      <c r="AL11" s="65">
        <v>0</v>
      </c>
      <c r="AM11" s="66">
        <v>0</v>
      </c>
      <c r="AN11" s="66">
        <v>41824</v>
      </c>
      <c r="AO11" s="61"/>
    </row>
    <row r="12" spans="1:46" ht="52.5" customHeight="1">
      <c r="A12" s="55">
        <v>5</v>
      </c>
      <c r="B12" s="56" t="s">
        <v>56</v>
      </c>
      <c r="D12" s="58">
        <v>5</v>
      </c>
      <c r="E12" s="59" t="s">
        <v>38</v>
      </c>
      <c r="F12" s="59" t="s">
        <v>39</v>
      </c>
      <c r="G12" s="59" t="s">
        <v>40</v>
      </c>
      <c r="H12" s="60"/>
      <c r="I12" s="61" t="s">
        <v>57</v>
      </c>
      <c r="J12" s="58" t="s">
        <v>55</v>
      </c>
      <c r="K12" s="58" t="s">
        <v>52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>
        <v>1200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1200</v>
      </c>
      <c r="AK12" s="64">
        <v>0</v>
      </c>
      <c r="AL12" s="65">
        <v>0</v>
      </c>
      <c r="AM12" s="66">
        <v>0</v>
      </c>
      <c r="AN12" s="66">
        <v>41824</v>
      </c>
      <c r="AO12" s="61"/>
    </row>
    <row r="13" spans="1:46" ht="52.5" customHeight="1">
      <c r="A13" s="55">
        <v>6</v>
      </c>
      <c r="B13" s="56" t="s">
        <v>58</v>
      </c>
      <c r="D13" s="58">
        <v>6</v>
      </c>
      <c r="E13" s="59" t="s">
        <v>38</v>
      </c>
      <c r="F13" s="59" t="s">
        <v>39</v>
      </c>
      <c r="G13" s="59" t="s">
        <v>40</v>
      </c>
      <c r="H13" s="60"/>
      <c r="I13" s="61" t="s">
        <v>59</v>
      </c>
      <c r="J13" s="58" t="s">
        <v>55</v>
      </c>
      <c r="K13" s="58" t="s">
        <v>48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>
        <v>1200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1200</v>
      </c>
      <c r="AK13" s="64">
        <v>0</v>
      </c>
      <c r="AL13" s="65">
        <v>0</v>
      </c>
      <c r="AM13" s="66">
        <v>0</v>
      </c>
      <c r="AN13" s="66">
        <v>41824</v>
      </c>
      <c r="AO13" s="61"/>
    </row>
    <row r="14" spans="1:46" ht="52.5" customHeight="1">
      <c r="A14" s="55">
        <v>7</v>
      </c>
      <c r="B14" s="56" t="s">
        <v>60</v>
      </c>
      <c r="D14" s="58">
        <v>7</v>
      </c>
      <c r="E14" s="59" t="s">
        <v>38</v>
      </c>
      <c r="F14" s="59" t="s">
        <v>39</v>
      </c>
      <c r="G14" s="59" t="s">
        <v>40</v>
      </c>
      <c r="H14" s="60"/>
      <c r="I14" s="61" t="s">
        <v>61</v>
      </c>
      <c r="J14" s="58" t="s">
        <v>62</v>
      </c>
      <c r="K14" s="58" t="s">
        <v>63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>
        <v>1200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1200</v>
      </c>
      <c r="AK14" s="64">
        <v>0</v>
      </c>
      <c r="AL14" s="65">
        <v>0</v>
      </c>
      <c r="AM14" s="66">
        <v>0</v>
      </c>
      <c r="AN14" s="66">
        <v>41824</v>
      </c>
      <c r="AO14" s="61"/>
    </row>
    <row r="15" spans="1:46" ht="52.5" customHeight="1">
      <c r="A15" s="55">
        <v>8</v>
      </c>
      <c r="B15" s="56" t="s">
        <v>64</v>
      </c>
      <c r="D15" s="58">
        <v>8</v>
      </c>
      <c r="E15" s="59" t="s">
        <v>38</v>
      </c>
      <c r="F15" s="59" t="s">
        <v>39</v>
      </c>
      <c r="G15" s="59" t="s">
        <v>40</v>
      </c>
      <c r="H15" s="60"/>
      <c r="I15" s="61" t="s">
        <v>65</v>
      </c>
      <c r="J15" s="58" t="s">
        <v>62</v>
      </c>
      <c r="K15" s="58" t="s">
        <v>43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>
        <v>2000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2000</v>
      </c>
      <c r="AK15" s="64">
        <v>0</v>
      </c>
      <c r="AL15" s="65">
        <v>0</v>
      </c>
      <c r="AM15" s="66">
        <v>0</v>
      </c>
      <c r="AN15" s="66">
        <v>41824</v>
      </c>
      <c r="AO15" s="61"/>
    </row>
    <row r="16" spans="1:46" ht="52.5" customHeight="1">
      <c r="A16" s="55">
        <v>9</v>
      </c>
      <c r="B16" s="56" t="s">
        <v>66</v>
      </c>
      <c r="D16" s="58">
        <v>9</v>
      </c>
      <c r="E16" s="59" t="s">
        <v>38</v>
      </c>
      <c r="F16" s="59" t="s">
        <v>39</v>
      </c>
      <c r="G16" s="59" t="s">
        <v>40</v>
      </c>
      <c r="H16" s="60"/>
      <c r="I16" s="61" t="s">
        <v>67</v>
      </c>
      <c r="J16" s="58" t="s">
        <v>68</v>
      </c>
      <c r="K16" s="58" t="s">
        <v>43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>
        <v>1200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1200</v>
      </c>
      <c r="AK16" s="64">
        <v>0</v>
      </c>
      <c r="AL16" s="65">
        <v>0</v>
      </c>
      <c r="AM16" s="66">
        <v>0</v>
      </c>
      <c r="AN16" s="66">
        <v>41824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9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9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71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71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 t="shared" ref="AJ72:AJ76" si="2"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44</v>
      </c>
      <c r="C75" s="70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5" t="s">
        <v>44</v>
      </c>
      <c r="Q75" s="75" t="s">
        <v>44</v>
      </c>
      <c r="R75" s="75" t="s">
        <v>44</v>
      </c>
      <c r="S75" s="75" t="s">
        <v>44</v>
      </c>
      <c r="T75" s="75" t="s">
        <v>44</v>
      </c>
      <c r="U75" s="75" t="s">
        <v>44</v>
      </c>
      <c r="V75" s="75" t="s">
        <v>44</v>
      </c>
      <c r="W75" s="75" t="s">
        <v>44</v>
      </c>
      <c r="X75" s="75" t="s">
        <v>44</v>
      </c>
      <c r="Y75" s="75" t="s">
        <v>44</v>
      </c>
      <c r="Z75" s="75" t="s">
        <v>44</v>
      </c>
      <c r="AA75" s="75" t="s">
        <v>44</v>
      </c>
      <c r="AB75" s="75" t="s">
        <v>44</v>
      </c>
      <c r="AC75" s="75" t="s">
        <v>44</v>
      </c>
      <c r="AD75" s="75" t="s">
        <v>44</v>
      </c>
      <c r="AE75" s="75" t="s">
        <v>44</v>
      </c>
      <c r="AF75" s="75" t="s">
        <v>44</v>
      </c>
      <c r="AG75" s="75" t="s">
        <v>44</v>
      </c>
      <c r="AH75" s="75" t="s">
        <v>44</v>
      </c>
      <c r="AI75" s="75" t="s">
        <v>44</v>
      </c>
      <c r="AJ75" s="76">
        <f t="shared" si="2"/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44</v>
      </c>
      <c r="C76" s="70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5" t="s">
        <v>44</v>
      </c>
      <c r="Q76" s="75" t="s">
        <v>44</v>
      </c>
      <c r="R76" s="75" t="s">
        <v>44</v>
      </c>
      <c r="S76" s="75" t="s">
        <v>44</v>
      </c>
      <c r="T76" s="75" t="s">
        <v>44</v>
      </c>
      <c r="U76" s="75" t="s">
        <v>44</v>
      </c>
      <c r="V76" s="75" t="s">
        <v>44</v>
      </c>
      <c r="W76" s="75" t="s">
        <v>44</v>
      </c>
      <c r="X76" s="75" t="s">
        <v>44</v>
      </c>
      <c r="Y76" s="75" t="s">
        <v>44</v>
      </c>
      <c r="Z76" s="75" t="s">
        <v>44</v>
      </c>
      <c r="AA76" s="75" t="s">
        <v>44</v>
      </c>
      <c r="AB76" s="75" t="s">
        <v>44</v>
      </c>
      <c r="AC76" s="75" t="s">
        <v>44</v>
      </c>
      <c r="AD76" s="75" t="s">
        <v>44</v>
      </c>
      <c r="AE76" s="75" t="s">
        <v>44</v>
      </c>
      <c r="AF76" s="75" t="s">
        <v>44</v>
      </c>
      <c r="AG76" s="75" t="s">
        <v>44</v>
      </c>
      <c r="AH76" s="75" t="s">
        <v>44</v>
      </c>
      <c r="AI76" s="75" t="s">
        <v>44</v>
      </c>
      <c r="AJ76" s="76">
        <f t="shared" si="2"/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32</v>
      </c>
      <c r="E77" s="87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11500</v>
      </c>
      <c r="AF77" s="78">
        <f t="shared" ref="AF77" si="6">SUM(AF8:AF76)</f>
        <v>0</v>
      </c>
      <c r="AG77" s="78">
        <f t="shared" si="3"/>
        <v>600</v>
      </c>
      <c r="AH77" s="78">
        <f t="shared" si="3"/>
        <v>400</v>
      </c>
      <c r="AI77" s="78">
        <f t="shared" si="3"/>
        <v>0</v>
      </c>
      <c r="AJ77" s="78">
        <f>SUM(AJ8:AJ76)</f>
        <v>12500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7:H29 H68:H76">
    <cfRule type="expression" dxfId="8" priority="18" stopIfTrue="1">
      <formula>$H17="TTL"</formula>
    </cfRule>
  </conditionalFormatting>
  <conditionalFormatting sqref="H28">
    <cfRule type="expression" dxfId="7" priority="17" stopIfTrue="1">
      <formula>$H28="TTL"</formula>
    </cfRule>
  </conditionalFormatting>
  <conditionalFormatting sqref="H17:H29">
    <cfRule type="expression" dxfId="6" priority="16" stopIfTrue="1">
      <formula>$H17="TTL"</formula>
    </cfRule>
  </conditionalFormatting>
  <conditionalFormatting sqref="H28">
    <cfRule type="expression" dxfId="5" priority="15" stopIfTrue="1">
      <formula>$H28="TTL"</formula>
    </cfRule>
  </conditionalFormatting>
  <conditionalFormatting sqref="H17:H30">
    <cfRule type="expression" dxfId="4" priority="14" stopIfTrue="1">
      <formula>$H17="TTL"</formula>
    </cfRule>
  </conditionalFormatting>
  <conditionalFormatting sqref="H17:H18">
    <cfRule type="expression" dxfId="3" priority="12" stopIfTrue="1">
      <formula>$H17="TTL"</formula>
    </cfRule>
  </conditionalFormatting>
  <conditionalFormatting sqref="H17:H32">
    <cfRule type="expression" dxfId="2" priority="9" stopIfTrue="1">
      <formula>$H17="TTL"</formula>
    </cfRule>
  </conditionalFormatting>
  <conditionalFormatting sqref="H12:H14 H16 H8:H10">
    <cfRule type="expression" dxfId="1" priority="2" stopIfTrue="1">
      <formula>$I8="TTL"</formula>
    </cfRule>
  </conditionalFormatting>
  <conditionalFormatting sqref="H8:H16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2014-04-22T09:00:32Z</dcterms:created>
  <dcterms:modified xsi:type="dcterms:W3CDTF">2014-04-23T02:06:21Z</dcterms:modified>
</cp:coreProperties>
</file>