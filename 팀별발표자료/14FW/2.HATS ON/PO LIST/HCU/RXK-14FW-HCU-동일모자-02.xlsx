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<sst xmlns="http://schemas.openxmlformats.org/spreadsheetml/2006/main" count="2439" uniqueCount="54">
  <si>
    <t>PURCHASE ORDER LIST</t>
    <phoneticPr fontId="4" type="noConversion"/>
  </si>
  <si>
    <t>PO#</t>
    <phoneticPr fontId="4" type="noConversion"/>
  </si>
  <si>
    <t>RXK-14FW-HCU-동일모자-02</t>
    <phoneticPr fontId="4" type="noConversion"/>
  </si>
  <si>
    <t>HCU-동일모자-02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</si>
  <si>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</si>
  <si>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</si>
  <si>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</si>
  <si>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</si>
  <si>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</si>
  <si>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</si>
  <si>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</si>
  <si>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</si>
  <si>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</si>
  <si>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</si>
  <si>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</si>
  <si>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</si>
  <si>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</si>
  <si>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</si>
  <si>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</si>
  <si>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</si>
  <si>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</si>
  <si>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</si>
  <si>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</si>
  <si>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</si>
  <si>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</si>
  <si>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</si>
  <si>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</si>
  <si>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</si>
  <si>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</si>
  <si>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</si>
  <si>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</si>
  <si>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</si>
  <si>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</si>
  <si>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</si>
  <si>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</si>
  <si>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</si>
  <si>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</si>
  <si>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</si>
  <si>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HCUMIF3306BLACK</t>
  </si>
  <si>
    <t>H.COUSTIC</t>
  </si>
  <si>
    <t>MILITARY CAP</t>
  </si>
  <si>
    <t>U</t>
  </si>
  <si>
    <t>13FW-H.COUSTIC_10_BK</t>
  </si>
  <si>
    <t>HCUMIF3306</t>
  </si>
  <si>
    <t>BLACK</t>
  </si>
  <si>
    <t/>
  </si>
  <si>
    <t>HCUMIF3306KHAKI</t>
  </si>
  <si>
    <t>13FW-H.COUSTIC_10_KH</t>
  </si>
  <si>
    <t>KHAKI</t>
  </si>
  <si>
    <t>HCUMIF3307GREY</t>
  </si>
  <si>
    <t>13FW-H.COUSTIC_11_GY</t>
  </si>
  <si>
    <t>HCUMIF3307</t>
  </si>
  <si>
    <t>GREY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</si>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</sst>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2" borderId="2" xfId="0" applyFont="1" applyFill="1" applyBorder="1">
      <alignment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108856</xdr:rowOff>
    </xdr:from>
    <xdr:to>
      <xdr:col>7</xdr:col>
      <xdr:colOff>686286</xdr:colOff>
      <xdr:row>7</xdr:row>
      <xdr:rowOff>552444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18981" y="67107706"/>
          <a:ext cx="577430" cy="4435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95249</xdr:colOff>
      <xdr:row>8</xdr:row>
      <xdr:rowOff>95249</xdr:rowOff>
    </xdr:from>
    <xdr:to>
      <xdr:col>7</xdr:col>
      <xdr:colOff>671249</xdr:colOff>
      <xdr:row>8</xdr:row>
      <xdr:rowOff>544334</xdr:rowOff>
    </xdr:to>
    <xdr:pic>
      <xdr:nvPicPr>
        <xdr:cNvPr id="3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2" cstate="email"/>
        <a:srcRect/>
        <a:stretch>
          <a:fillRect/>
        </a:stretch>
      </xdr:blipFill>
      <xdr:spPr bwMode="auto">
        <a:xfrm>
          <a:off x="4905374" y="67760849"/>
          <a:ext cx="576000" cy="449085"/>
        </a:xfrm>
        <a:prstGeom prst="rect">
          <a:avLst/>
        </a:prstGeom>
        <a:noFill/>
      </xdr:spPr>
    </xdr:pic>
    <xdr:clientData/>
  </xdr:twoCellAnchor>
  <xdr:twoCellAnchor>
    <xdr:from>
      <xdr:col>7</xdr:col>
      <xdr:colOff>95249</xdr:colOff>
      <xdr:row>9</xdr:row>
      <xdr:rowOff>95249</xdr:rowOff>
    </xdr:from>
    <xdr:to>
      <xdr:col>7</xdr:col>
      <xdr:colOff>671249</xdr:colOff>
      <xdr:row>9</xdr:row>
      <xdr:rowOff>559074</xdr:rowOff>
    </xdr:to>
    <xdr:pic>
      <xdr:nvPicPr>
        <xdr:cNvPr id="4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3" cstate="email"/>
        <a:srcRect/>
        <a:stretch>
          <a:fillRect/>
        </a:stretch>
      </xdr:blipFill>
      <xdr:spPr bwMode="auto">
        <a:xfrm>
          <a:off x="4905374" y="68427599"/>
          <a:ext cx="576000" cy="4638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V9" activePane="bottomRight" state="frozen"/>
      <selection activeCell="AD15" sqref="AD15"/>
      <selection pane="topRight" activeCell="AD15" sqref="AD15"/>
      <selection pane="bottomLeft" activeCell="AD15" sqref="AD15"/>
      <selection pane="bottomRight" activeCell="AX78" sqref="AX78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53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41711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1500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1500</v>
      </c>
      <c r="AK8" s="77">
        <v>0</v>
      </c>
      <c r="AL8" s="78">
        <v>0</v>
      </c>
      <c r="AM8" s="79">
        <v>0</v>
      </c>
      <c r="AN8" s="79">
        <v>41802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99"/>
      <c r="I9" s="74" t="s">
        <v>47</v>
      </c>
      <c r="J9" s="71" t="s">
        <v>43</v>
      </c>
      <c r="K9" s="71" t="s">
        <v>48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1500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1500</v>
      </c>
      <c r="AK9" s="77">
        <v>0</v>
      </c>
      <c r="AL9" s="78">
        <v>0</v>
      </c>
      <c r="AM9" s="79">
        <v>0</v>
      </c>
      <c r="AN9" s="79">
        <v>41802</v>
      </c>
      <c r="AO9" s="74"/>
    </row>
    <row r="10" spans="1:46" ht="52.5" customHeight="1">
      <c r="A10" s="68">
        <v>3</v>
      </c>
      <c r="B10" s="69" t="s">
        <v>49</v>
      </c>
      <c r="D10" s="71">
        <v>3</v>
      </c>
      <c r="E10" s="72" t="s">
        <v>39</v>
      </c>
      <c r="F10" s="72" t="s">
        <v>40</v>
      </c>
      <c r="G10" s="72" t="s">
        <v>41</v>
      </c>
      <c r="H10" s="99"/>
      <c r="I10" s="74" t="s">
        <v>50</v>
      </c>
      <c r="J10" s="71" t="s">
        <v>51</v>
      </c>
      <c r="K10" s="71" t="s">
        <v>52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>
        <v>700</v>
      </c>
      <c r="AH10" s="75">
        <v>800</v>
      </c>
      <c r="AI10" s="75" t="s">
        <v>45</v>
      </c>
      <c r="AJ10" s="76">
        <f t="shared" si="0"/>
        <v>1500</v>
      </c>
      <c r="AK10" s="77">
        <v>0</v>
      </c>
      <c r="AL10" s="78">
        <v>0</v>
      </c>
      <c r="AM10" s="79">
        <v>0</v>
      </c>
      <c r="AN10" s="79">
        <v>41802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3000</v>
      </c>
      <c r="AF77" s="92">
        <f t="shared" ref="AF77" si="6">SUM(AF8:AF76)</f>
        <v>0</v>
      </c>
      <c r="AG77" s="92">
        <f t="shared" si="3"/>
        <v>700</v>
      </c>
      <c r="AH77" s="92">
        <f t="shared" si="3"/>
        <v>800</v>
      </c>
      <c r="AI77" s="92">
        <f t="shared" si="3"/>
        <v>0</v>
      </c>
      <c r="AJ77" s="92">
        <f>SUM(AJ8:AJ76)</f>
        <v>4500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1:H29 H68:H76">
    <cfRule type="expression" dxfId="17" priority="17" stopIfTrue="1">
      <formula>$H11="TTL"</formula>
    </cfRule>
  </conditionalFormatting>
  <conditionalFormatting sqref="H28">
    <cfRule type="expression" dxfId="16" priority="16" stopIfTrue="1">
      <formula>$H28="TTL"</formula>
    </cfRule>
  </conditionalFormatting>
  <conditionalFormatting sqref="H11:H29">
    <cfRule type="expression" dxfId="15" priority="15" stopIfTrue="1">
      <formula>$H11="TTL"</formula>
    </cfRule>
  </conditionalFormatting>
  <conditionalFormatting sqref="H28">
    <cfRule type="expression" dxfId="14" priority="14" stopIfTrue="1">
      <formula>$H28="TTL"</formula>
    </cfRule>
  </conditionalFormatting>
  <conditionalFormatting sqref="H11:H30">
    <cfRule type="expression" dxfId="13" priority="13" stopIfTrue="1">
      <formula>$H11="TTL"</formula>
    </cfRule>
  </conditionalFormatting>
  <conditionalFormatting sqref="H11:H18">
    <cfRule type="expression" dxfId="11" priority="11" stopIfTrue="1">
      <formula>$H11="TTL"</formula>
    </cfRule>
  </conditionalFormatting>
  <conditionalFormatting sqref="H11:H14">
    <cfRule type="expression" dxfId="10" priority="10" stopIfTrue="1">
      <formula>$H11="TTL"</formula>
    </cfRule>
  </conditionalFormatting>
  <conditionalFormatting sqref="H11:H15">
    <cfRule type="expression" dxfId="9" priority="9" stopIfTrue="1">
      <formula>$H11="TTL"</formula>
    </cfRule>
  </conditionalFormatting>
  <conditionalFormatting sqref="H11:H32">
    <cfRule type="expression" dxfId="8" priority="8" stopIfTrue="1">
      <formula>$H11="TTL"</formula>
    </cfRule>
  </conditionalFormatting>
  <conditionalFormatting sqref="H11:H15">
    <cfRule type="expression" dxfId="7" priority="7" stopIfTrue="1">
      <formula>$H11="TTL"</formula>
    </cfRule>
  </conditionalFormatting>
  <conditionalFormatting sqref="H11">
    <cfRule type="expression" dxfId="6" priority="6" stopIfTrue="1">
      <formula>$H11="TTL"</formula>
    </cfRule>
  </conditionalFormatting>
  <conditionalFormatting sqref="H11:H12">
    <cfRule type="expression" dxfId="5" priority="5" stopIfTrue="1">
      <formula>$H11="TTL"</formula>
    </cfRule>
  </conditionalFormatting>
  <conditionalFormatting sqref="H11:H14">
    <cfRule type="expression" dxfId="3" priority="3" stopIfTrue="1">
      <formula>$H11="TTL"</formula>
    </cfRule>
  </conditionalFormatting>
  <conditionalFormatting sqref="H11:H12">
    <cfRule type="expression" dxfId="2" priority="2" stopIfTrue="1">
      <formula>$I11="TTL"</formula>
    </cfRule>
  </conditionalFormatting>
  <conditionalFormatting sqref="H8:H10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2014-03-12T08:14:23Z</dcterms:created>
  <dcterms:modified xsi:type="dcterms:W3CDTF">2014-03-12T08:21:18Z</dcterms:modified>
</cp:coreProperties>
</file>