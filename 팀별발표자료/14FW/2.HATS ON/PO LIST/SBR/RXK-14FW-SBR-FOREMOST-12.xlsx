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<sst xmlns="http://schemas.openxmlformats.org/spreadsheetml/2006/main" count="2354" uniqueCount="100">
  <si>
    <t>PURCHASE ORDER LIST</t>
    <phoneticPr fontId="4" type="noConversion"/>
  </si>
  <si>
    <t>PO#</t>
    <phoneticPr fontId="4" type="noConversion"/>
  </si>
  <si>
    <t>RXK-14FW-SBR-FOREMOST-12</t>
    <phoneticPr fontId="4" type="noConversion"/>
  </si>
  <si>
    <t>SBR-FOREMOST-12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</si>
  <si>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</si>
  <si>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</si>
  <si>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</si>
  <si>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</si>
  <si>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</si>
  <si>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</si>
  <si>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</si>
  <si>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</si>
  <si>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</si>
  <si>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</si>
  <si>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</si>
  <si>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</si>
  <si>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</si>
  <si>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</si>
  <si>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</si>
  <si>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</si>
  <si>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</si>
  <si>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</si>
  <si>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</si>
  <si>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</si>
  <si>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</si>
  <si>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</si>
  <si>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</si>
  <si>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</si>
  <si>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</si>
  <si>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</si>
  <si>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</si>
  <si>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</si>
  <si>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</si>
  <si>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</si>
  <si>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</si>
  <si>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</si>
  <si>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</si>
  <si>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</si>
  <si>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SBRBAF5008BEIGE</t>
  </si>
  <si>
    <t>SMITH BRIDGE</t>
  </si>
  <si>
    <t>BASIC CAP</t>
  </si>
  <si>
    <t>U</t>
  </si>
  <si>
    <t>11-FW-SP06 (JILBAE5022BG)</t>
  </si>
  <si>
    <t>SBRBAF5008</t>
  </si>
  <si>
    <t>BEIGE</t>
  </si>
  <si>
    <t/>
  </si>
  <si>
    <t>SBRMIF5009KHAKI</t>
  </si>
  <si>
    <t>MILITARY CAP</t>
  </si>
  <si>
    <t>13FW-JILLBY-31_KH (JILMIE5318KH)</t>
  </si>
  <si>
    <t>SBRMIF5009</t>
  </si>
  <si>
    <t>KHAKI</t>
  </si>
  <si>
    <t>SBRBAF5010BEIGE</t>
  </si>
  <si>
    <t>14FW-JILL-BY_03_BG</t>
  </si>
  <si>
    <t>SBRBAF5010</t>
  </si>
  <si>
    <t>SBRBAF5010BLACK</t>
  </si>
  <si>
    <t>14FW-JILL-BY_03_BK</t>
  </si>
  <si>
    <t>BLACK</t>
  </si>
  <si>
    <t>SBRBAF5011GREY</t>
  </si>
  <si>
    <t>14FW-JILL-BY_11_GY</t>
  </si>
  <si>
    <t>SBRBAF5011</t>
  </si>
  <si>
    <t>GREY</t>
  </si>
  <si>
    <t>SBRBAF5511GREY</t>
  </si>
  <si>
    <t>K</t>
  </si>
  <si>
    <t>14FW-JILL-BY_11_GY_KIDS</t>
  </si>
  <si>
    <t>SBRBAF5511</t>
  </si>
  <si>
    <t>SBRBAF5012BEIGE</t>
  </si>
  <si>
    <t>14FW-JILL-BY_04_BG</t>
  </si>
  <si>
    <t>SBRBAF5012</t>
  </si>
  <si>
    <t>SBRBAF5512BEIGE</t>
  </si>
  <si>
    <t>14FW-JILL-BY_04_BG_KIDS</t>
  </si>
  <si>
    <t>SBRBAF5512</t>
  </si>
  <si>
    <t>SBRBAF5012GREY</t>
  </si>
  <si>
    <t>14FW-JILL-BY_04_GY</t>
  </si>
  <si>
    <t>SBRBAF5013KHAKI</t>
  </si>
  <si>
    <t>14FW-JILL-BY_34_KH</t>
  </si>
  <si>
    <t>SBRBAF5013</t>
  </si>
  <si>
    <t>SBRBAF5013GREY</t>
  </si>
  <si>
    <t>14FW-JILL-BY_34_GY</t>
  </si>
  <si>
    <t>SBRMIF5014BLACK</t>
  </si>
  <si>
    <t>14FW-JILL-BY_31_BK</t>
  </si>
  <si>
    <t>SBRMIF5014</t>
  </si>
  <si>
    <t>SBRMIF5014RED</t>
  </si>
  <si>
    <t>14FW-JILL-BY_31_RE</t>
  </si>
  <si>
    <t>RED</t>
  </si>
  <si>
    <t>SBRMIF5015NAVY</t>
  </si>
  <si>
    <t>14FW-JILL-BY_19_NV</t>
  </si>
  <si>
    <t>SBRMIF5015</t>
  </si>
  <si>
    <t>NAVY</t>
  </si>
  <si>
    <t>SBRMIF5015BLACK</t>
  </si>
  <si>
    <t>14FW-JILL-BY_18_BK</t>
  </si>
  <si>
    <t>SBRMIF5016GREY</t>
  </si>
  <si>
    <t>14FW-JILL-BY_08_GY</t>
  </si>
  <si>
    <t>SBRMIF5016</t>
  </si>
  <si>
    <t>SBRBAF5017BROWN</t>
  </si>
  <si>
    <t>14FW-SP-54_BR</t>
  </si>
  <si>
    <t>SBRBAF5017</t>
  </si>
  <si>
    <t>BROWN</t>
  </si>
  <si>
    <t>SBRBAF5017BLACK</t>
  </si>
  <si>
    <t>14FW-SP-54_BK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</si>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</sst>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3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122465</xdr:colOff>
      <xdr:row>7</xdr:row>
      <xdr:rowOff>108857</xdr:rowOff>
    </xdr:from>
    <xdr:to>
      <xdr:col>7</xdr:col>
      <xdr:colOff>662465</xdr:colOff>
      <xdr:row>7</xdr:row>
      <xdr:rowOff>554357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915" y="314471957"/>
          <a:ext cx="540000" cy="4455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95250</xdr:rowOff>
    </xdr:from>
    <xdr:to>
      <xdr:col>7</xdr:col>
      <xdr:colOff>648856</xdr:colOff>
      <xdr:row>8</xdr:row>
      <xdr:rowOff>521602</xdr:rowOff>
    </xdr:to>
    <xdr:pic>
      <xdr:nvPicPr>
        <xdr:cNvPr id="3" name="그림 2" descr="K-16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0306" y="315125100"/>
          <a:ext cx="540000" cy="426352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9</xdr:row>
      <xdr:rowOff>122463</xdr:rowOff>
    </xdr:from>
    <xdr:to>
      <xdr:col>7</xdr:col>
      <xdr:colOff>671249</xdr:colOff>
      <xdr:row>9</xdr:row>
      <xdr:rowOff>523646</xdr:rowOff>
    </xdr:to>
    <xdr:pic>
      <xdr:nvPicPr>
        <xdr:cNvPr id="4" name="그림 3" descr="K-14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66699" y="315819063"/>
          <a:ext cx="576000" cy="401183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10</xdr:row>
      <xdr:rowOff>122463</xdr:rowOff>
    </xdr:from>
    <xdr:to>
      <xdr:col>7</xdr:col>
      <xdr:colOff>671249</xdr:colOff>
      <xdr:row>10</xdr:row>
      <xdr:rowOff>523646</xdr:rowOff>
    </xdr:to>
    <xdr:pic>
      <xdr:nvPicPr>
        <xdr:cNvPr id="5" name="그림 4" descr="K-142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699" y="316485813"/>
          <a:ext cx="576000" cy="40118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11</xdr:row>
      <xdr:rowOff>54429</xdr:rowOff>
    </xdr:from>
    <xdr:to>
      <xdr:col>7</xdr:col>
      <xdr:colOff>648856</xdr:colOff>
      <xdr:row>11</xdr:row>
      <xdr:rowOff>618644</xdr:rowOff>
    </xdr:to>
    <xdr:pic>
      <xdr:nvPicPr>
        <xdr:cNvPr id="6" name="그림 5" descr="K-14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0306" y="317084529"/>
          <a:ext cx="540000" cy="564215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12</xdr:row>
      <xdr:rowOff>54429</xdr:rowOff>
    </xdr:from>
    <xdr:to>
      <xdr:col>7</xdr:col>
      <xdr:colOff>648856</xdr:colOff>
      <xdr:row>12</xdr:row>
      <xdr:rowOff>618644</xdr:rowOff>
    </xdr:to>
    <xdr:pic>
      <xdr:nvPicPr>
        <xdr:cNvPr id="7" name="그림 6" descr="K-14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0306" y="317751279"/>
          <a:ext cx="540000" cy="564215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13</xdr:row>
      <xdr:rowOff>81643</xdr:rowOff>
    </xdr:from>
    <xdr:to>
      <xdr:col>7</xdr:col>
      <xdr:colOff>626463</xdr:colOff>
      <xdr:row>13</xdr:row>
      <xdr:rowOff>608244</xdr:rowOff>
    </xdr:to>
    <xdr:pic>
      <xdr:nvPicPr>
        <xdr:cNvPr id="8" name="그림 7" descr="K-146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3913" y="319778743"/>
          <a:ext cx="504000" cy="526601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14</xdr:row>
      <xdr:rowOff>81643</xdr:rowOff>
    </xdr:from>
    <xdr:to>
      <xdr:col>7</xdr:col>
      <xdr:colOff>626463</xdr:colOff>
      <xdr:row>14</xdr:row>
      <xdr:rowOff>608244</xdr:rowOff>
    </xdr:to>
    <xdr:pic>
      <xdr:nvPicPr>
        <xdr:cNvPr id="9" name="그림 8" descr="K-146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3913" y="320445493"/>
          <a:ext cx="504000" cy="526601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15</xdr:row>
      <xdr:rowOff>68036</xdr:rowOff>
    </xdr:from>
    <xdr:to>
      <xdr:col>7</xdr:col>
      <xdr:colOff>640070</xdr:colOff>
      <xdr:row>15</xdr:row>
      <xdr:rowOff>605937</xdr:rowOff>
    </xdr:to>
    <xdr:pic>
      <xdr:nvPicPr>
        <xdr:cNvPr id="10" name="그림 9" descr="K-147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07520" y="321098636"/>
          <a:ext cx="504000" cy="537901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16</xdr:row>
      <xdr:rowOff>108856</xdr:rowOff>
    </xdr:from>
    <xdr:to>
      <xdr:col>7</xdr:col>
      <xdr:colOff>648856</xdr:colOff>
      <xdr:row>16</xdr:row>
      <xdr:rowOff>503387</xdr:rowOff>
    </xdr:to>
    <xdr:pic>
      <xdr:nvPicPr>
        <xdr:cNvPr id="11" name="그림 10" descr="K-148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80306" y="321806206"/>
          <a:ext cx="540000" cy="394531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17</xdr:row>
      <xdr:rowOff>108856</xdr:rowOff>
    </xdr:from>
    <xdr:to>
      <xdr:col>7</xdr:col>
      <xdr:colOff>648856</xdr:colOff>
      <xdr:row>17</xdr:row>
      <xdr:rowOff>503159</xdr:rowOff>
    </xdr:to>
    <xdr:pic>
      <xdr:nvPicPr>
        <xdr:cNvPr id="12" name="그림 11" descr="K-149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80306" y="323806456"/>
          <a:ext cx="540000" cy="39430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18</xdr:row>
      <xdr:rowOff>108857</xdr:rowOff>
    </xdr:from>
    <xdr:to>
      <xdr:col>7</xdr:col>
      <xdr:colOff>648856</xdr:colOff>
      <xdr:row>18</xdr:row>
      <xdr:rowOff>529308</xdr:rowOff>
    </xdr:to>
    <xdr:pic>
      <xdr:nvPicPr>
        <xdr:cNvPr id="13" name="그림 12" descr="K-163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80306" y="324473207"/>
          <a:ext cx="540000" cy="420451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19</xdr:row>
      <xdr:rowOff>108856</xdr:rowOff>
    </xdr:from>
    <xdr:to>
      <xdr:col>7</xdr:col>
      <xdr:colOff>648856</xdr:colOff>
      <xdr:row>19</xdr:row>
      <xdr:rowOff>537916</xdr:rowOff>
    </xdr:to>
    <xdr:pic>
      <xdr:nvPicPr>
        <xdr:cNvPr id="14" name="그림 13" descr="K-164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80306" y="326473456"/>
          <a:ext cx="540000" cy="42906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20</xdr:row>
      <xdr:rowOff>108856</xdr:rowOff>
    </xdr:from>
    <xdr:to>
      <xdr:col>7</xdr:col>
      <xdr:colOff>648856</xdr:colOff>
      <xdr:row>20</xdr:row>
      <xdr:rowOff>539896</xdr:rowOff>
    </xdr:to>
    <xdr:pic>
      <xdr:nvPicPr>
        <xdr:cNvPr id="15" name="그림 14" descr="K-166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0306" y="327140206"/>
          <a:ext cx="540000" cy="43104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21</xdr:row>
      <xdr:rowOff>108856</xdr:rowOff>
    </xdr:from>
    <xdr:to>
      <xdr:col>7</xdr:col>
      <xdr:colOff>648856</xdr:colOff>
      <xdr:row>21</xdr:row>
      <xdr:rowOff>539896</xdr:rowOff>
    </xdr:to>
    <xdr:pic>
      <xdr:nvPicPr>
        <xdr:cNvPr id="16" name="그림 15" descr="K-16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80306" y="329140456"/>
          <a:ext cx="540000" cy="43104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22</xdr:row>
      <xdr:rowOff>108856</xdr:rowOff>
    </xdr:from>
    <xdr:to>
      <xdr:col>7</xdr:col>
      <xdr:colOff>648856</xdr:colOff>
      <xdr:row>22</xdr:row>
      <xdr:rowOff>510242</xdr:rowOff>
    </xdr:to>
    <xdr:pic>
      <xdr:nvPicPr>
        <xdr:cNvPr id="17" name="그림 16" descr="K-169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80306" y="329807206"/>
          <a:ext cx="540000" cy="401386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23</xdr:row>
      <xdr:rowOff>95249</xdr:rowOff>
    </xdr:from>
    <xdr:to>
      <xdr:col>7</xdr:col>
      <xdr:colOff>648856</xdr:colOff>
      <xdr:row>23</xdr:row>
      <xdr:rowOff>565764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0306" y="331127099"/>
          <a:ext cx="540000" cy="470515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24</xdr:row>
      <xdr:rowOff>95250</xdr:rowOff>
    </xdr:from>
    <xdr:to>
      <xdr:col>7</xdr:col>
      <xdr:colOff>648856</xdr:colOff>
      <xdr:row>24</xdr:row>
      <xdr:rowOff>564147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0306" y="331793850"/>
          <a:ext cx="540000" cy="468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15" activePane="bottomRight" state="frozen"/>
      <selection activeCell="AD15" sqref="AD15"/>
      <selection pane="topRight" activeCell="AD15" sqref="AD15"/>
      <selection pane="bottomLeft" activeCell="AD15" sqref="AD15"/>
      <selection pane="bottomRight" activeCell="AO18" sqref="AO18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99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41739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2000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2000</v>
      </c>
      <c r="AK8" s="64">
        <v>0</v>
      </c>
      <c r="AL8" s="65">
        <v>0</v>
      </c>
      <c r="AM8" s="66">
        <v>0</v>
      </c>
      <c r="AN8" s="66">
        <v>41864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47</v>
      </c>
      <c r="G9" s="59" t="s">
        <v>41</v>
      </c>
      <c r="H9" s="60"/>
      <c r="I9" s="61" t="s">
        <v>48</v>
      </c>
      <c r="J9" s="58" t="s">
        <v>49</v>
      </c>
      <c r="K9" s="58" t="s">
        <v>50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>
        <v>1000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41864</v>
      </c>
      <c r="AO9" s="61"/>
    </row>
    <row r="10" spans="1:46" ht="52.5" customHeight="1">
      <c r="A10" s="55">
        <v>3</v>
      </c>
      <c r="B10" s="56" t="s">
        <v>51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52</v>
      </c>
      <c r="J10" s="58" t="s">
        <v>53</v>
      </c>
      <c r="K10" s="58" t="s">
        <v>44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>
        <v>1000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41864</v>
      </c>
      <c r="AO10" s="61"/>
    </row>
    <row r="11" spans="1:46" ht="52.5" customHeight="1">
      <c r="A11" s="55">
        <v>4</v>
      </c>
      <c r="B11" s="56" t="s">
        <v>54</v>
      </c>
      <c r="D11" s="58">
        <v>4</v>
      </c>
      <c r="E11" s="59" t="s">
        <v>39</v>
      </c>
      <c r="F11" s="59" t="s">
        <v>40</v>
      </c>
      <c r="G11" s="59" t="s">
        <v>41</v>
      </c>
      <c r="H11" s="60"/>
      <c r="I11" s="61" t="s">
        <v>55</v>
      </c>
      <c r="J11" s="58" t="s">
        <v>53</v>
      </c>
      <c r="K11" s="58" t="s">
        <v>56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>
        <v>1000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41864</v>
      </c>
      <c r="AO11" s="61"/>
    </row>
    <row r="12" spans="1:46" ht="52.5" customHeight="1">
      <c r="A12" s="55">
        <v>5</v>
      </c>
      <c r="B12" s="56" t="s">
        <v>57</v>
      </c>
      <c r="D12" s="58">
        <v>5</v>
      </c>
      <c r="E12" s="59" t="s">
        <v>39</v>
      </c>
      <c r="F12" s="59" t="s">
        <v>40</v>
      </c>
      <c r="G12" s="59" t="s">
        <v>41</v>
      </c>
      <c r="H12" s="60"/>
      <c r="I12" s="61" t="s">
        <v>58</v>
      </c>
      <c r="J12" s="58" t="s">
        <v>59</v>
      </c>
      <c r="K12" s="58" t="s">
        <v>60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>
        <v>1000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1000</v>
      </c>
      <c r="AK12" s="64">
        <v>0</v>
      </c>
      <c r="AL12" s="65">
        <v>0</v>
      </c>
      <c r="AM12" s="66">
        <v>0</v>
      </c>
      <c r="AN12" s="66">
        <v>41864</v>
      </c>
      <c r="AO12" s="61"/>
    </row>
    <row r="13" spans="1:46" ht="52.5" customHeight="1">
      <c r="A13" s="55">
        <v>6</v>
      </c>
      <c r="B13" s="56" t="s">
        <v>61</v>
      </c>
      <c r="D13" s="58">
        <v>6</v>
      </c>
      <c r="E13" s="59" t="s">
        <v>39</v>
      </c>
      <c r="F13" s="59" t="s">
        <v>40</v>
      </c>
      <c r="G13" s="59" t="s">
        <v>62</v>
      </c>
      <c r="H13" s="60"/>
      <c r="I13" s="61" t="s">
        <v>63</v>
      </c>
      <c r="J13" s="58" t="s">
        <v>64</v>
      </c>
      <c r="K13" s="58" t="s">
        <v>60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>
        <v>600</v>
      </c>
      <c r="AH13" s="62">
        <v>200</v>
      </c>
      <c r="AI13" s="62" t="s">
        <v>45</v>
      </c>
      <c r="AJ13" s="63">
        <f t="shared" si="0"/>
        <v>800</v>
      </c>
      <c r="AK13" s="64">
        <v>0</v>
      </c>
      <c r="AL13" s="65">
        <v>0</v>
      </c>
      <c r="AM13" s="66">
        <v>0</v>
      </c>
      <c r="AN13" s="66">
        <v>41864</v>
      </c>
      <c r="AO13" s="61"/>
    </row>
    <row r="14" spans="1:46" ht="52.5" customHeight="1">
      <c r="A14" s="55">
        <v>7</v>
      </c>
      <c r="B14" s="56" t="s">
        <v>65</v>
      </c>
      <c r="D14" s="58">
        <v>7</v>
      </c>
      <c r="E14" s="59" t="s">
        <v>39</v>
      </c>
      <c r="F14" s="59" t="s">
        <v>40</v>
      </c>
      <c r="G14" s="59" t="s">
        <v>41</v>
      </c>
      <c r="H14" s="84"/>
      <c r="I14" s="61" t="s">
        <v>66</v>
      </c>
      <c r="J14" s="58" t="s">
        <v>67</v>
      </c>
      <c r="K14" s="58" t="s">
        <v>44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>
        <v>2000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2000</v>
      </c>
      <c r="AK14" s="64">
        <v>0</v>
      </c>
      <c r="AL14" s="65">
        <v>0</v>
      </c>
      <c r="AM14" s="66">
        <v>0</v>
      </c>
      <c r="AN14" s="66">
        <v>41864</v>
      </c>
      <c r="AO14" s="61"/>
    </row>
    <row r="15" spans="1:46" ht="52.5" customHeight="1">
      <c r="A15" s="55">
        <v>8</v>
      </c>
      <c r="B15" s="56" t="s">
        <v>68</v>
      </c>
      <c r="D15" s="58">
        <v>8</v>
      </c>
      <c r="E15" s="59" t="s">
        <v>39</v>
      </c>
      <c r="F15" s="59" t="s">
        <v>40</v>
      </c>
      <c r="G15" s="59" t="s">
        <v>62</v>
      </c>
      <c r="H15" s="60"/>
      <c r="I15" s="61" t="s">
        <v>69</v>
      </c>
      <c r="J15" s="58" t="s">
        <v>70</v>
      </c>
      <c r="K15" s="58" t="s">
        <v>44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>
        <v>800</v>
      </c>
      <c r="AH15" s="62">
        <v>400</v>
      </c>
      <c r="AI15" s="62" t="s">
        <v>45</v>
      </c>
      <c r="AJ15" s="63">
        <f t="shared" si="0"/>
        <v>1200</v>
      </c>
      <c r="AK15" s="64">
        <v>0</v>
      </c>
      <c r="AL15" s="65">
        <v>0</v>
      </c>
      <c r="AM15" s="66">
        <v>0</v>
      </c>
      <c r="AN15" s="66">
        <v>41864</v>
      </c>
      <c r="AO15" s="61"/>
    </row>
    <row r="16" spans="1:46" ht="52.5" customHeight="1">
      <c r="A16" s="55">
        <v>9</v>
      </c>
      <c r="B16" s="56" t="s">
        <v>71</v>
      </c>
      <c r="D16" s="58">
        <v>9</v>
      </c>
      <c r="E16" s="59" t="s">
        <v>39</v>
      </c>
      <c r="F16" s="59" t="s">
        <v>40</v>
      </c>
      <c r="G16" s="59" t="s">
        <v>41</v>
      </c>
      <c r="H16" s="60"/>
      <c r="I16" s="61" t="s">
        <v>72</v>
      </c>
      <c r="J16" s="58" t="s">
        <v>67</v>
      </c>
      <c r="K16" s="58" t="s">
        <v>60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>
        <v>2000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2000</v>
      </c>
      <c r="AK16" s="64">
        <v>0</v>
      </c>
      <c r="AL16" s="65">
        <v>0</v>
      </c>
      <c r="AM16" s="66">
        <v>0</v>
      </c>
      <c r="AN16" s="66">
        <v>41864</v>
      </c>
      <c r="AO16" s="61"/>
    </row>
    <row r="17" spans="1:41" ht="52.5" customHeight="1">
      <c r="A17" s="55">
        <v>10</v>
      </c>
      <c r="B17" s="56" t="s">
        <v>73</v>
      </c>
      <c r="D17" s="58">
        <v>10</v>
      </c>
      <c r="E17" s="59" t="s">
        <v>39</v>
      </c>
      <c r="F17" s="59" t="s">
        <v>40</v>
      </c>
      <c r="G17" s="59" t="s">
        <v>41</v>
      </c>
      <c r="H17" s="60"/>
      <c r="I17" s="61" t="s">
        <v>74</v>
      </c>
      <c r="J17" s="58" t="s">
        <v>75</v>
      </c>
      <c r="K17" s="58" t="s">
        <v>50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99">
        <v>800</v>
      </c>
      <c r="AF17" s="62" t="s">
        <v>45</v>
      </c>
      <c r="AG17" s="62"/>
      <c r="AH17" s="62"/>
      <c r="AI17" s="62" t="s">
        <v>45</v>
      </c>
      <c r="AJ17" s="63">
        <f t="shared" si="0"/>
        <v>800</v>
      </c>
      <c r="AK17" s="64">
        <v>0</v>
      </c>
      <c r="AL17" s="65">
        <v>0</v>
      </c>
      <c r="AM17" s="66">
        <v>0</v>
      </c>
      <c r="AN17" s="66">
        <v>41864</v>
      </c>
      <c r="AO17" s="61"/>
    </row>
    <row r="18" spans="1:41" ht="52.5" customHeight="1">
      <c r="A18" s="55">
        <v>11</v>
      </c>
      <c r="B18" s="56" t="s">
        <v>76</v>
      </c>
      <c r="D18" s="58">
        <v>11</v>
      </c>
      <c r="E18" s="59" t="s">
        <v>39</v>
      </c>
      <c r="F18" s="59" t="s">
        <v>40</v>
      </c>
      <c r="G18" s="59" t="s">
        <v>41</v>
      </c>
      <c r="H18" s="60"/>
      <c r="I18" s="61" t="s">
        <v>77</v>
      </c>
      <c r="J18" s="58" t="s">
        <v>75</v>
      </c>
      <c r="K18" s="58" t="s">
        <v>60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99">
        <v>800</v>
      </c>
      <c r="AF18" s="62" t="s">
        <v>45</v>
      </c>
      <c r="AG18" s="62"/>
      <c r="AH18" s="62"/>
      <c r="AI18" s="62" t="s">
        <v>45</v>
      </c>
      <c r="AJ18" s="63">
        <f t="shared" si="0"/>
        <v>800</v>
      </c>
      <c r="AK18" s="64">
        <v>0</v>
      </c>
      <c r="AL18" s="65">
        <v>0</v>
      </c>
      <c r="AM18" s="66">
        <v>0</v>
      </c>
      <c r="AN18" s="66">
        <v>41864</v>
      </c>
      <c r="AO18" s="61"/>
    </row>
    <row r="19" spans="1:41" ht="52.5" customHeight="1">
      <c r="A19" s="55">
        <v>12</v>
      </c>
      <c r="B19" s="56" t="s">
        <v>78</v>
      </c>
      <c r="D19" s="58">
        <v>12</v>
      </c>
      <c r="E19" s="59" t="s">
        <v>39</v>
      </c>
      <c r="F19" s="59" t="s">
        <v>47</v>
      </c>
      <c r="G19" s="59" t="s">
        <v>41</v>
      </c>
      <c r="H19" s="60"/>
      <c r="I19" s="61" t="s">
        <v>79</v>
      </c>
      <c r="J19" s="58" t="s">
        <v>80</v>
      </c>
      <c r="K19" s="58" t="s">
        <v>56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>
        <v>500</v>
      </c>
      <c r="AH19" s="62">
        <v>300</v>
      </c>
      <c r="AI19" s="62" t="s">
        <v>45</v>
      </c>
      <c r="AJ19" s="63">
        <f t="shared" si="0"/>
        <v>800</v>
      </c>
      <c r="AK19" s="64">
        <v>0</v>
      </c>
      <c r="AL19" s="65">
        <v>0</v>
      </c>
      <c r="AM19" s="66">
        <v>0</v>
      </c>
      <c r="AN19" s="66">
        <v>41864</v>
      </c>
      <c r="AO19" s="61"/>
    </row>
    <row r="20" spans="1:41" ht="52.5" customHeight="1">
      <c r="A20" s="55">
        <v>13</v>
      </c>
      <c r="B20" s="56" t="s">
        <v>81</v>
      </c>
      <c r="D20" s="58">
        <v>13</v>
      </c>
      <c r="E20" s="59" t="s">
        <v>39</v>
      </c>
      <c r="F20" s="59" t="s">
        <v>47</v>
      </c>
      <c r="G20" s="59" t="s">
        <v>41</v>
      </c>
      <c r="H20" s="84"/>
      <c r="I20" s="61" t="s">
        <v>82</v>
      </c>
      <c r="J20" s="58" t="s">
        <v>80</v>
      </c>
      <c r="K20" s="58" t="s">
        <v>83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>
        <v>600</v>
      </c>
      <c r="AH20" s="62">
        <v>200</v>
      </c>
      <c r="AI20" s="62" t="s">
        <v>45</v>
      </c>
      <c r="AJ20" s="63">
        <f t="shared" si="0"/>
        <v>800</v>
      </c>
      <c r="AK20" s="64">
        <v>0</v>
      </c>
      <c r="AL20" s="65">
        <v>0</v>
      </c>
      <c r="AM20" s="66">
        <v>0</v>
      </c>
      <c r="AN20" s="66">
        <v>41864</v>
      </c>
      <c r="AO20" s="61"/>
    </row>
    <row r="21" spans="1:41" ht="52.5" customHeight="1">
      <c r="A21" s="55">
        <v>14</v>
      </c>
      <c r="B21" s="56" t="s">
        <v>84</v>
      </c>
      <c r="D21" s="58">
        <v>14</v>
      </c>
      <c r="E21" s="59" t="s">
        <v>39</v>
      </c>
      <c r="F21" s="59" t="s">
        <v>47</v>
      </c>
      <c r="G21" s="59" t="s">
        <v>41</v>
      </c>
      <c r="H21" s="60"/>
      <c r="I21" s="61" t="s">
        <v>85</v>
      </c>
      <c r="J21" s="58" t="s">
        <v>86</v>
      </c>
      <c r="K21" s="58" t="s">
        <v>87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>
        <v>500</v>
      </c>
      <c r="AH21" s="62">
        <v>300</v>
      </c>
      <c r="AI21" s="62" t="s">
        <v>45</v>
      </c>
      <c r="AJ21" s="63">
        <f t="shared" si="0"/>
        <v>800</v>
      </c>
      <c r="AK21" s="64">
        <v>0</v>
      </c>
      <c r="AL21" s="65">
        <v>0</v>
      </c>
      <c r="AM21" s="66">
        <v>0</v>
      </c>
      <c r="AN21" s="66">
        <v>41864</v>
      </c>
      <c r="AO21" s="61"/>
    </row>
    <row r="22" spans="1:41" ht="52.5" customHeight="1">
      <c r="A22" s="55">
        <v>15</v>
      </c>
      <c r="B22" s="56" t="s">
        <v>88</v>
      </c>
      <c r="D22" s="58">
        <v>15</v>
      </c>
      <c r="E22" s="59" t="s">
        <v>39</v>
      </c>
      <c r="F22" s="59" t="s">
        <v>47</v>
      </c>
      <c r="G22" s="59" t="s">
        <v>41</v>
      </c>
      <c r="H22" s="60"/>
      <c r="I22" s="61" t="s">
        <v>89</v>
      </c>
      <c r="J22" s="58" t="s">
        <v>86</v>
      </c>
      <c r="K22" s="58" t="s">
        <v>56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>
        <v>500</v>
      </c>
      <c r="AH22" s="62">
        <v>300</v>
      </c>
      <c r="AI22" s="62" t="s">
        <v>45</v>
      </c>
      <c r="AJ22" s="63">
        <f t="shared" si="0"/>
        <v>800</v>
      </c>
      <c r="AK22" s="64">
        <v>0</v>
      </c>
      <c r="AL22" s="65">
        <v>0</v>
      </c>
      <c r="AM22" s="66">
        <v>0</v>
      </c>
      <c r="AN22" s="66">
        <v>41864</v>
      </c>
      <c r="AO22" s="61"/>
    </row>
    <row r="23" spans="1:41" ht="52.5" customHeight="1">
      <c r="A23" s="55">
        <v>16</v>
      </c>
      <c r="B23" s="56" t="s">
        <v>90</v>
      </c>
      <c r="D23" s="58">
        <v>16</v>
      </c>
      <c r="E23" s="59" t="s">
        <v>39</v>
      </c>
      <c r="F23" s="59" t="s">
        <v>47</v>
      </c>
      <c r="G23" s="59" t="s">
        <v>41</v>
      </c>
      <c r="H23" s="60"/>
      <c r="I23" s="61" t="s">
        <v>91</v>
      </c>
      <c r="J23" s="58" t="s">
        <v>92</v>
      </c>
      <c r="K23" s="58" t="s">
        <v>60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>
        <v>600</v>
      </c>
      <c r="AH23" s="62">
        <v>400</v>
      </c>
      <c r="AI23" s="62" t="s">
        <v>45</v>
      </c>
      <c r="AJ23" s="63">
        <f t="shared" si="0"/>
        <v>1000</v>
      </c>
      <c r="AK23" s="64">
        <v>0</v>
      </c>
      <c r="AL23" s="65">
        <v>0</v>
      </c>
      <c r="AM23" s="66">
        <v>0</v>
      </c>
      <c r="AN23" s="66">
        <v>41864</v>
      </c>
      <c r="AO23" s="61"/>
    </row>
    <row r="24" spans="1:41" ht="52.5" customHeight="1">
      <c r="A24" s="55">
        <v>17</v>
      </c>
      <c r="B24" s="56" t="s">
        <v>93</v>
      </c>
      <c r="D24" s="58">
        <v>17</v>
      </c>
      <c r="E24" s="59" t="s">
        <v>39</v>
      </c>
      <c r="F24" s="59" t="s">
        <v>40</v>
      </c>
      <c r="G24" s="59" t="s">
        <v>41</v>
      </c>
      <c r="H24" s="60"/>
      <c r="I24" s="61" t="s">
        <v>94</v>
      </c>
      <c r="J24" s="58" t="s">
        <v>95</v>
      </c>
      <c r="K24" s="58" t="s">
        <v>96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>
        <v>1200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1200</v>
      </c>
      <c r="AK24" s="64">
        <v>0</v>
      </c>
      <c r="AL24" s="65">
        <v>0</v>
      </c>
      <c r="AM24" s="66">
        <v>0</v>
      </c>
      <c r="AN24" s="66">
        <v>41864</v>
      </c>
      <c r="AO24" s="61"/>
    </row>
    <row r="25" spans="1:41" ht="52.5" customHeight="1">
      <c r="A25" s="55">
        <v>18</v>
      </c>
      <c r="B25" s="56" t="s">
        <v>97</v>
      </c>
      <c r="D25" s="58">
        <v>18</v>
      </c>
      <c r="E25" s="59" t="s">
        <v>39</v>
      </c>
      <c r="F25" s="59" t="s">
        <v>40</v>
      </c>
      <c r="G25" s="59" t="s">
        <v>41</v>
      </c>
      <c r="H25" s="60"/>
      <c r="I25" s="61" t="s">
        <v>98</v>
      </c>
      <c r="J25" s="58" t="s">
        <v>95</v>
      </c>
      <c r="K25" s="58" t="s">
        <v>56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>
        <v>1200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1200</v>
      </c>
      <c r="AK25" s="64">
        <v>0</v>
      </c>
      <c r="AL25" s="65">
        <v>0</v>
      </c>
      <c r="AM25" s="66">
        <v>0</v>
      </c>
      <c r="AN25" s="66">
        <v>41864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8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8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8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8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8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8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8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8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8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8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8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8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8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8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8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8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8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8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8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8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69"/>
      <c r="D53" s="58">
        <v>0</v>
      </c>
      <c r="E53" s="59" t="s">
        <v>45</v>
      </c>
      <c r="F53" s="59" t="s">
        <v>45</v>
      </c>
      <c r="G53" s="59" t="s">
        <v>45</v>
      </c>
      <c r="H53" s="70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45</v>
      </c>
      <c r="C54" s="69"/>
      <c r="D54" s="58">
        <v>0</v>
      </c>
      <c r="E54" s="59" t="s">
        <v>45</v>
      </c>
      <c r="F54" s="59" t="s">
        <v>45</v>
      </c>
      <c r="G54" s="59" t="s">
        <v>45</v>
      </c>
      <c r="H54" s="70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45</v>
      </c>
      <c r="C55" s="69"/>
      <c r="D55" s="58">
        <v>0</v>
      </c>
      <c r="E55" s="59" t="s">
        <v>45</v>
      </c>
      <c r="F55" s="59" t="s">
        <v>45</v>
      </c>
      <c r="G55" s="59" t="s">
        <v>45</v>
      </c>
      <c r="H55" s="70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45</v>
      </c>
      <c r="C56" s="69"/>
      <c r="D56" s="58">
        <v>0</v>
      </c>
      <c r="E56" s="59" t="s">
        <v>45</v>
      </c>
      <c r="F56" s="59" t="s">
        <v>45</v>
      </c>
      <c r="G56" s="59" t="s">
        <v>45</v>
      </c>
      <c r="H56" s="70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45</v>
      </c>
      <c r="C57" s="69"/>
      <c r="D57" s="58">
        <v>0</v>
      </c>
      <c r="E57" s="59" t="s">
        <v>45</v>
      </c>
      <c r="F57" s="59" t="s">
        <v>45</v>
      </c>
      <c r="G57" s="59" t="s">
        <v>45</v>
      </c>
      <c r="H57" s="70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45</v>
      </c>
      <c r="C58" s="69"/>
      <c r="D58" s="58">
        <v>0</v>
      </c>
      <c r="E58" s="59" t="s">
        <v>45</v>
      </c>
      <c r="F58" s="59" t="s">
        <v>45</v>
      </c>
      <c r="G58" s="59" t="s">
        <v>45</v>
      </c>
      <c r="H58" s="70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45</v>
      </c>
      <c r="C59" s="69"/>
      <c r="D59" s="58">
        <v>0</v>
      </c>
      <c r="E59" s="59" t="s">
        <v>45</v>
      </c>
      <c r="F59" s="59" t="s">
        <v>45</v>
      </c>
      <c r="G59" s="59" t="s">
        <v>45</v>
      </c>
      <c r="H59" s="70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45</v>
      </c>
      <c r="C60" s="69"/>
      <c r="D60" s="58">
        <v>0</v>
      </c>
      <c r="E60" s="59" t="s">
        <v>45</v>
      </c>
      <c r="F60" s="59" t="s">
        <v>45</v>
      </c>
      <c r="G60" s="59" t="s">
        <v>45</v>
      </c>
      <c r="H60" s="70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45</v>
      </c>
      <c r="C61" s="69"/>
      <c r="D61" s="58">
        <v>0</v>
      </c>
      <c r="E61" s="59" t="s">
        <v>45</v>
      </c>
      <c r="F61" s="59" t="s">
        <v>45</v>
      </c>
      <c r="G61" s="59" t="s">
        <v>45</v>
      </c>
      <c r="H61" s="70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45</v>
      </c>
      <c r="C62" s="69"/>
      <c r="D62" s="58">
        <v>0</v>
      </c>
      <c r="E62" s="59" t="s">
        <v>45</v>
      </c>
      <c r="F62" s="59" t="s">
        <v>45</v>
      </c>
      <c r="G62" s="59" t="s">
        <v>45</v>
      </c>
      <c r="H62" s="70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45</v>
      </c>
      <c r="C63" s="69"/>
      <c r="D63" s="58">
        <v>0</v>
      </c>
      <c r="E63" s="59" t="s">
        <v>45</v>
      </c>
      <c r="F63" s="59" t="s">
        <v>45</v>
      </c>
      <c r="G63" s="59" t="s">
        <v>45</v>
      </c>
      <c r="H63" s="70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45</v>
      </c>
      <c r="C64" s="69"/>
      <c r="D64" s="58">
        <v>0</v>
      </c>
      <c r="E64" s="59" t="s">
        <v>45</v>
      </c>
      <c r="F64" s="59" t="s">
        <v>45</v>
      </c>
      <c r="G64" s="59" t="s">
        <v>45</v>
      </c>
      <c r="H64" s="70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45</v>
      </c>
      <c r="C65" s="69"/>
      <c r="D65" s="58">
        <v>0</v>
      </c>
      <c r="E65" s="59" t="s">
        <v>45</v>
      </c>
      <c r="F65" s="59" t="s">
        <v>45</v>
      </c>
      <c r="G65" s="59" t="s">
        <v>45</v>
      </c>
      <c r="H65" s="70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45</v>
      </c>
      <c r="C66" s="69"/>
      <c r="D66" s="58">
        <v>0</v>
      </c>
      <c r="E66" s="59" t="s">
        <v>45</v>
      </c>
      <c r="F66" s="59" t="s">
        <v>45</v>
      </c>
      <c r="G66" s="59" t="s">
        <v>45</v>
      </c>
      <c r="H66" s="70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45</v>
      </c>
      <c r="C67" s="69"/>
      <c r="D67" s="58">
        <v>0</v>
      </c>
      <c r="E67" s="59" t="s">
        <v>45</v>
      </c>
      <c r="F67" s="59" t="s">
        <v>45</v>
      </c>
      <c r="G67" s="59" t="s">
        <v>45</v>
      </c>
      <c r="H67" s="70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45</v>
      </c>
      <c r="C68" s="69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45</v>
      </c>
      <c r="C69" s="69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4" t="s">
        <v>45</v>
      </c>
      <c r="Q69" s="74" t="s">
        <v>45</v>
      </c>
      <c r="R69" s="74" t="s">
        <v>45</v>
      </c>
      <c r="S69" s="74" t="s">
        <v>45</v>
      </c>
      <c r="T69" s="74" t="s">
        <v>45</v>
      </c>
      <c r="U69" s="74" t="s">
        <v>45</v>
      </c>
      <c r="V69" s="74" t="s">
        <v>45</v>
      </c>
      <c r="W69" s="74" t="s">
        <v>45</v>
      </c>
      <c r="X69" s="74" t="s">
        <v>45</v>
      </c>
      <c r="Y69" s="74" t="s">
        <v>45</v>
      </c>
      <c r="Z69" s="74" t="s">
        <v>45</v>
      </c>
      <c r="AA69" s="74" t="s">
        <v>45</v>
      </c>
      <c r="AB69" s="74" t="s">
        <v>45</v>
      </c>
      <c r="AC69" s="74" t="s">
        <v>45</v>
      </c>
      <c r="AD69" s="74" t="s">
        <v>45</v>
      </c>
      <c r="AE69" s="74" t="s">
        <v>45</v>
      </c>
      <c r="AF69" s="74" t="s">
        <v>45</v>
      </c>
      <c r="AG69" s="74" t="s">
        <v>45</v>
      </c>
      <c r="AH69" s="74" t="s">
        <v>45</v>
      </c>
      <c r="AI69" s="74" t="s">
        <v>45</v>
      </c>
      <c r="AJ69" s="75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45</v>
      </c>
      <c r="C70" s="69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4" t="s">
        <v>45</v>
      </c>
      <c r="Q70" s="74" t="s">
        <v>45</v>
      </c>
      <c r="R70" s="74" t="s">
        <v>45</v>
      </c>
      <c r="S70" s="74" t="s">
        <v>45</v>
      </c>
      <c r="T70" s="74" t="s">
        <v>45</v>
      </c>
      <c r="U70" s="74" t="s">
        <v>45</v>
      </c>
      <c r="V70" s="74" t="s">
        <v>45</v>
      </c>
      <c r="W70" s="74" t="s">
        <v>45</v>
      </c>
      <c r="X70" s="74" t="s">
        <v>45</v>
      </c>
      <c r="Y70" s="74" t="s">
        <v>45</v>
      </c>
      <c r="Z70" s="74" t="s">
        <v>45</v>
      </c>
      <c r="AA70" s="74" t="s">
        <v>45</v>
      </c>
      <c r="AB70" s="74" t="s">
        <v>45</v>
      </c>
      <c r="AC70" s="74" t="s">
        <v>45</v>
      </c>
      <c r="AD70" s="74" t="s">
        <v>45</v>
      </c>
      <c r="AE70" s="74" t="s">
        <v>45</v>
      </c>
      <c r="AF70" s="74" t="s">
        <v>45</v>
      </c>
      <c r="AG70" s="74" t="s">
        <v>45</v>
      </c>
      <c r="AH70" s="74" t="s">
        <v>45</v>
      </c>
      <c r="AI70" s="74" t="s">
        <v>45</v>
      </c>
      <c r="AJ70" s="75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45</v>
      </c>
      <c r="C71" s="69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4" t="s">
        <v>45</v>
      </c>
      <c r="Q71" s="74" t="s">
        <v>45</v>
      </c>
      <c r="R71" s="74" t="s">
        <v>45</v>
      </c>
      <c r="S71" s="74" t="s">
        <v>45</v>
      </c>
      <c r="T71" s="74" t="s">
        <v>45</v>
      </c>
      <c r="U71" s="74" t="s">
        <v>45</v>
      </c>
      <c r="V71" s="74" t="s">
        <v>45</v>
      </c>
      <c r="W71" s="74" t="s">
        <v>45</v>
      </c>
      <c r="X71" s="74" t="s">
        <v>45</v>
      </c>
      <c r="Y71" s="74" t="s">
        <v>45</v>
      </c>
      <c r="Z71" s="74" t="s">
        <v>45</v>
      </c>
      <c r="AA71" s="74" t="s">
        <v>45</v>
      </c>
      <c r="AB71" s="74" t="s">
        <v>45</v>
      </c>
      <c r="AC71" s="74" t="s">
        <v>45</v>
      </c>
      <c r="AD71" s="74" t="s">
        <v>45</v>
      </c>
      <c r="AE71" s="74" t="s">
        <v>45</v>
      </c>
      <c r="AF71" s="74" t="s">
        <v>45</v>
      </c>
      <c r="AG71" s="74" t="s">
        <v>45</v>
      </c>
      <c r="AH71" s="74" t="s">
        <v>45</v>
      </c>
      <c r="AI71" s="74" t="s">
        <v>45</v>
      </c>
      <c r="AJ71" s="75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45</v>
      </c>
      <c r="C72" s="69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4" t="s">
        <v>45</v>
      </c>
      <c r="Q72" s="74" t="s">
        <v>45</v>
      </c>
      <c r="R72" s="74" t="s">
        <v>45</v>
      </c>
      <c r="S72" s="74" t="s">
        <v>45</v>
      </c>
      <c r="T72" s="74" t="s">
        <v>45</v>
      </c>
      <c r="U72" s="74" t="s">
        <v>45</v>
      </c>
      <c r="V72" s="74" t="s">
        <v>45</v>
      </c>
      <c r="W72" s="74" t="s">
        <v>45</v>
      </c>
      <c r="X72" s="74" t="s">
        <v>45</v>
      </c>
      <c r="Y72" s="74" t="s">
        <v>45</v>
      </c>
      <c r="Z72" s="74" t="s">
        <v>45</v>
      </c>
      <c r="AA72" s="74" t="s">
        <v>45</v>
      </c>
      <c r="AB72" s="74" t="s">
        <v>45</v>
      </c>
      <c r="AC72" s="74" t="s">
        <v>45</v>
      </c>
      <c r="AD72" s="74" t="s">
        <v>45</v>
      </c>
      <c r="AE72" s="74" t="s">
        <v>45</v>
      </c>
      <c r="AF72" s="74" t="s">
        <v>45</v>
      </c>
      <c r="AG72" s="74" t="s">
        <v>45</v>
      </c>
      <c r="AH72" s="74" t="s">
        <v>45</v>
      </c>
      <c r="AI72" s="74" t="s">
        <v>45</v>
      </c>
      <c r="AJ72" s="75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45</v>
      </c>
      <c r="C73" s="69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4" t="s">
        <v>45</v>
      </c>
      <c r="Q73" s="74" t="s">
        <v>45</v>
      </c>
      <c r="R73" s="74" t="s">
        <v>45</v>
      </c>
      <c r="S73" s="74" t="s">
        <v>45</v>
      </c>
      <c r="T73" s="74" t="s">
        <v>45</v>
      </c>
      <c r="U73" s="74" t="s">
        <v>45</v>
      </c>
      <c r="V73" s="74" t="s">
        <v>45</v>
      </c>
      <c r="W73" s="74" t="s">
        <v>45</v>
      </c>
      <c r="X73" s="74" t="s">
        <v>45</v>
      </c>
      <c r="Y73" s="74" t="s">
        <v>45</v>
      </c>
      <c r="Z73" s="74" t="s">
        <v>45</v>
      </c>
      <c r="AA73" s="74" t="s">
        <v>45</v>
      </c>
      <c r="AB73" s="74" t="s">
        <v>45</v>
      </c>
      <c r="AC73" s="74" t="s">
        <v>45</v>
      </c>
      <c r="AD73" s="74" t="s">
        <v>45</v>
      </c>
      <c r="AE73" s="74" t="s">
        <v>45</v>
      </c>
      <c r="AF73" s="74" t="s">
        <v>45</v>
      </c>
      <c r="AG73" s="74" t="s">
        <v>45</v>
      </c>
      <c r="AH73" s="74" t="s">
        <v>45</v>
      </c>
      <c r="AI73" s="74" t="s">
        <v>45</v>
      </c>
      <c r="AJ73" s="75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45</v>
      </c>
      <c r="C74" s="69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4" t="s">
        <v>45</v>
      </c>
      <c r="Q74" s="74" t="s">
        <v>45</v>
      </c>
      <c r="R74" s="74" t="s">
        <v>45</v>
      </c>
      <c r="S74" s="74" t="s">
        <v>45</v>
      </c>
      <c r="T74" s="74" t="s">
        <v>45</v>
      </c>
      <c r="U74" s="74" t="s">
        <v>45</v>
      </c>
      <c r="V74" s="74" t="s">
        <v>45</v>
      </c>
      <c r="W74" s="74" t="s">
        <v>45</v>
      </c>
      <c r="X74" s="74" t="s">
        <v>45</v>
      </c>
      <c r="Y74" s="74" t="s">
        <v>45</v>
      </c>
      <c r="Z74" s="74" t="s">
        <v>45</v>
      </c>
      <c r="AA74" s="74" t="s">
        <v>45</v>
      </c>
      <c r="AB74" s="74" t="s">
        <v>45</v>
      </c>
      <c r="AC74" s="74" t="s">
        <v>45</v>
      </c>
      <c r="AD74" s="74" t="s">
        <v>45</v>
      </c>
      <c r="AE74" s="74" t="s">
        <v>45</v>
      </c>
      <c r="AF74" s="74" t="s">
        <v>45</v>
      </c>
      <c r="AG74" s="74" t="s">
        <v>45</v>
      </c>
      <c r="AH74" s="74" t="s">
        <v>45</v>
      </c>
      <c r="AI74" s="74" t="s">
        <v>45</v>
      </c>
      <c r="AJ74" s="75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45</v>
      </c>
      <c r="C75" s="69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4" t="s">
        <v>45</v>
      </c>
      <c r="Q75" s="74" t="s">
        <v>45</v>
      </c>
      <c r="R75" s="74" t="s">
        <v>45</v>
      </c>
      <c r="S75" s="74" t="s">
        <v>45</v>
      </c>
      <c r="T75" s="74" t="s">
        <v>45</v>
      </c>
      <c r="U75" s="74" t="s">
        <v>45</v>
      </c>
      <c r="V75" s="74" t="s">
        <v>45</v>
      </c>
      <c r="W75" s="74" t="s">
        <v>45</v>
      </c>
      <c r="X75" s="74" t="s">
        <v>45</v>
      </c>
      <c r="Y75" s="74" t="s">
        <v>45</v>
      </c>
      <c r="Z75" s="74" t="s">
        <v>45</v>
      </c>
      <c r="AA75" s="74" t="s">
        <v>45</v>
      </c>
      <c r="AB75" s="74" t="s">
        <v>45</v>
      </c>
      <c r="AC75" s="74" t="s">
        <v>45</v>
      </c>
      <c r="AD75" s="74" t="s">
        <v>45</v>
      </c>
      <c r="AE75" s="74" t="s">
        <v>45</v>
      </c>
      <c r="AF75" s="74" t="s">
        <v>45</v>
      </c>
      <c r="AG75" s="74" t="s">
        <v>45</v>
      </c>
      <c r="AH75" s="74" t="s">
        <v>45</v>
      </c>
      <c r="AI75" s="74" t="s">
        <v>45</v>
      </c>
      <c r="AJ75" s="75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45</v>
      </c>
      <c r="C76" s="69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4" t="s">
        <v>45</v>
      </c>
      <c r="Q76" s="74" t="s">
        <v>45</v>
      </c>
      <c r="R76" s="74" t="s">
        <v>45</v>
      </c>
      <c r="S76" s="74" t="s">
        <v>45</v>
      </c>
      <c r="T76" s="74" t="s">
        <v>45</v>
      </c>
      <c r="U76" s="74" t="s">
        <v>45</v>
      </c>
      <c r="V76" s="74" t="s">
        <v>45</v>
      </c>
      <c r="W76" s="74" t="s">
        <v>45</v>
      </c>
      <c r="X76" s="74" t="s">
        <v>45</v>
      </c>
      <c r="Y76" s="74" t="s">
        <v>45</v>
      </c>
      <c r="Z76" s="74" t="s">
        <v>45</v>
      </c>
      <c r="AA76" s="74" t="s">
        <v>45</v>
      </c>
      <c r="AB76" s="74" t="s">
        <v>45</v>
      </c>
      <c r="AC76" s="74" t="s">
        <v>45</v>
      </c>
      <c r="AD76" s="74" t="s">
        <v>45</v>
      </c>
      <c r="AE76" s="74" t="s">
        <v>45</v>
      </c>
      <c r="AF76" s="74" t="s">
        <v>45</v>
      </c>
      <c r="AG76" s="74" t="s">
        <v>45</v>
      </c>
      <c r="AH76" s="74" t="s">
        <v>45</v>
      </c>
      <c r="AI76" s="74" t="s">
        <v>45</v>
      </c>
      <c r="AJ76" s="75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87" t="s">
        <v>33</v>
      </c>
      <c r="E77" s="87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14000</v>
      </c>
      <c r="AF77" s="77">
        <f t="shared" ref="AF77" si="6">SUM(AF8:AF76)</f>
        <v>0</v>
      </c>
      <c r="AG77" s="77">
        <f t="shared" si="3"/>
        <v>4100</v>
      </c>
      <c r="AH77" s="77">
        <f t="shared" si="3"/>
        <v>2100</v>
      </c>
      <c r="AI77" s="77">
        <f t="shared" si="3"/>
        <v>0</v>
      </c>
      <c r="AJ77" s="77">
        <f>SUM(AJ8:AJ76)</f>
        <v>20200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26:H29 H68:H76">
    <cfRule type="expression" dxfId="9" priority="20" stopIfTrue="1">
      <formula>$H26="TTL"</formula>
    </cfRule>
  </conditionalFormatting>
  <conditionalFormatting sqref="H28">
    <cfRule type="expression" dxfId="8" priority="19" stopIfTrue="1">
      <formula>$H28="TTL"</formula>
    </cfRule>
  </conditionalFormatting>
  <conditionalFormatting sqref="H26:H29">
    <cfRule type="expression" dxfId="7" priority="18" stopIfTrue="1">
      <formula>$H26="TTL"</formula>
    </cfRule>
  </conditionalFormatting>
  <conditionalFormatting sqref="H28">
    <cfRule type="expression" dxfId="6" priority="17" stopIfTrue="1">
      <formula>$H28="TTL"</formula>
    </cfRule>
  </conditionalFormatting>
  <conditionalFormatting sqref="H26:H30">
    <cfRule type="expression" dxfId="5" priority="16" stopIfTrue="1">
      <formula>$H26="TTL"</formula>
    </cfRule>
  </conditionalFormatting>
  <conditionalFormatting sqref="H26:H32">
    <cfRule type="expression" dxfId="4" priority="11" stopIfTrue="1">
      <formula>$H26="TTL"</formula>
    </cfRule>
  </conditionalFormatting>
  <conditionalFormatting sqref="H8:H13">
    <cfRule type="expression" dxfId="3" priority="4">
      <formula>$I8="TTL"</formula>
    </cfRule>
  </conditionalFormatting>
  <conditionalFormatting sqref="H14:H17">
    <cfRule type="expression" dxfId="2" priority="3">
      <formula>$I14="TTL"</formula>
    </cfRule>
  </conditionalFormatting>
  <conditionalFormatting sqref="H18:H21">
    <cfRule type="expression" dxfId="1" priority="2">
      <formula>$I18="TTL"</formula>
    </cfRule>
  </conditionalFormatting>
  <conditionalFormatting sqref="H22:H25">
    <cfRule type="expression" dxfId="0" priority="1">
      <formula>$I22="TTL"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2014-04-10T02:51:39Z</cp:lastPrinted>
  <dcterms:created xsi:type="dcterms:W3CDTF">2014-04-10T02:31:32Z</dcterms:created>
  <dcterms:modified xsi:type="dcterms:W3CDTF">2014-07-10T00:09:33Z</dcterms:modified>
</cp:coreProperties>
</file>