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6" i="1" l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E1" i="1"/>
  <c r="D1" i="1"/>
  <c r="AL76" i="1" l="1"/>
  <c r="AK76" i="1"/>
  <c r="AJ76" i="1"/>
</calcChain>
</file>

<file path=xl/sharedStrings.xml><?xml version="1.0" encoding="utf-8"?>
<sst xmlns="http://schemas.openxmlformats.org/spreadsheetml/2006/main" count="2394" uniqueCount="59">
  <si>
    <t>PURCHASE ORDER LIST</t>
    <phoneticPr fontId="4" type="noConversion"/>
  </si>
  <si>
    <t>PO#</t>
    <phoneticPr fontId="4" type="noConversion"/>
  </si>
  <si>
    <t>SBR-홈런-01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</si>
  <si>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</si>
  <si>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</si>
  <si>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</si>
  <si>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</si>
  <si>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</si>
  <si>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</si>
  <si>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</si>
  <si>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</si>
  <si>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</si>
  <si>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</si>
  <si>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</si>
  <si>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</si>
  <si>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</si>
  <si>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</si>
  <si>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</si>
  <si>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</si>
  <si>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</si>
  <si>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</si>
  <si>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</si>
  <si>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</si>
  <si>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</si>
  <si>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</si>
  <si>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</si>
  <si>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</si>
  <si>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</si>
  <si>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</si>
  <si>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</si>
  <si>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</si>
  <si>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</si>
  <si>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</si>
  <si>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</si>
  <si>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</si>
  <si>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</si>
  <si>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</si>
  <si>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SBRFAF3071WHITE</t>
  </si>
  <si>
    <t>SMITH BRIDGE</t>
  </si>
  <si>
    <t>FASHION HAT</t>
  </si>
  <si>
    <t>U</t>
  </si>
  <si>
    <t>SBRFAF3071</t>
  </si>
  <si>
    <t>WHITE</t>
  </si>
  <si>
    <t/>
  </si>
  <si>
    <t>SBRFAF3071BLACK</t>
  </si>
  <si>
    <t>BLACK</t>
  </si>
  <si>
    <t>SBRFAF3072BLUE</t>
  </si>
  <si>
    <t>SBRFAF3072</t>
  </si>
  <si>
    <t>BLUE</t>
  </si>
  <si>
    <t>SBRFAF3073BLUE</t>
  </si>
  <si>
    <t>SBRFAF3073</t>
  </si>
  <si>
    <t>SBRFAF3074WHITE</t>
  </si>
  <si>
    <t>SBRFAF3074</t>
  </si>
  <si>
    <t>RXK-14FW-SBR-홈런-01</t>
    <phoneticPr fontId="4" type="noConversion"/>
  </si>
  <si>
    <t>화이트+레터링</t>
  </si>
  <si>
    <t>블랙+레터링</t>
  </si>
  <si>
    <t>청지 화이트(별포인트)</t>
  </si>
  <si>
    <t>청지 별전체</t>
  </si>
  <si>
    <t>화이트 트리나무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</si>
</sst>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149678</xdr:colOff>
      <xdr:row>7</xdr:row>
      <xdr:rowOff>54428</xdr:rowOff>
    </xdr:from>
    <xdr:to>
      <xdr:col>7</xdr:col>
      <xdr:colOff>633851</xdr:colOff>
      <xdr:row>7</xdr:row>
      <xdr:rowOff>594428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59803" y="859819028"/>
          <a:ext cx="484173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9</xdr:row>
      <xdr:rowOff>68035</xdr:rowOff>
    </xdr:from>
    <xdr:to>
      <xdr:col>7</xdr:col>
      <xdr:colOff>640059</xdr:colOff>
      <xdr:row>9</xdr:row>
      <xdr:rowOff>608035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73409" y="861166135"/>
          <a:ext cx="476775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10</xdr:row>
      <xdr:rowOff>68035</xdr:rowOff>
    </xdr:from>
    <xdr:to>
      <xdr:col>7</xdr:col>
      <xdr:colOff>645940</xdr:colOff>
      <xdr:row>10</xdr:row>
      <xdr:rowOff>608035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73410" y="861832885"/>
          <a:ext cx="482655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11</xdr:row>
      <xdr:rowOff>68035</xdr:rowOff>
    </xdr:from>
    <xdr:to>
      <xdr:col>7</xdr:col>
      <xdr:colOff>678294</xdr:colOff>
      <xdr:row>11</xdr:row>
      <xdr:rowOff>608035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73409" y="862499635"/>
          <a:ext cx="515010" cy="540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8</xdr:row>
      <xdr:rowOff>54428</xdr:rowOff>
    </xdr:from>
    <xdr:to>
      <xdr:col>7</xdr:col>
      <xdr:colOff>633851</xdr:colOff>
      <xdr:row>8</xdr:row>
      <xdr:rowOff>594428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59803" y="860485778"/>
          <a:ext cx="484173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0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T76" sqref="AT76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53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41830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54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20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8" si="0">SUM(L8:AI8)</f>
        <v>20</v>
      </c>
      <c r="AK8" s="64">
        <v>0</v>
      </c>
      <c r="AL8" s="65">
        <v>0</v>
      </c>
      <c r="AM8" s="66">
        <v>0</v>
      </c>
      <c r="AN8" s="66">
        <v>41834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55</v>
      </c>
      <c r="J9" s="58" t="s">
        <v>41</v>
      </c>
      <c r="K9" s="58" t="s">
        <v>45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20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20</v>
      </c>
      <c r="AK9" s="64">
        <v>0</v>
      </c>
      <c r="AL9" s="65">
        <v>0</v>
      </c>
      <c r="AM9" s="66">
        <v>0</v>
      </c>
      <c r="AN9" s="66">
        <v>41834</v>
      </c>
      <c r="AO9" s="61"/>
    </row>
    <row r="10" spans="1:46" ht="52.5" customHeight="1">
      <c r="A10" s="55">
        <v>3</v>
      </c>
      <c r="B10" s="56" t="s">
        <v>46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56</v>
      </c>
      <c r="J10" s="58" t="s">
        <v>47</v>
      </c>
      <c r="K10" s="58" t="s">
        <v>48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>
        <v>15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15</v>
      </c>
      <c r="AK10" s="64">
        <v>0</v>
      </c>
      <c r="AL10" s="65">
        <v>0</v>
      </c>
      <c r="AM10" s="66">
        <v>0</v>
      </c>
      <c r="AN10" s="66">
        <v>41834</v>
      </c>
      <c r="AO10" s="61"/>
    </row>
    <row r="11" spans="1:46" ht="52.5" customHeight="1">
      <c r="A11" s="55">
        <v>4</v>
      </c>
      <c r="B11" s="56" t="s">
        <v>49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57</v>
      </c>
      <c r="J11" s="58" t="s">
        <v>50</v>
      </c>
      <c r="K11" s="58" t="s">
        <v>48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>
        <v>20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20</v>
      </c>
      <c r="AK11" s="64">
        <v>0</v>
      </c>
      <c r="AL11" s="65">
        <v>0</v>
      </c>
      <c r="AM11" s="66">
        <v>0</v>
      </c>
      <c r="AN11" s="66">
        <v>41834</v>
      </c>
      <c r="AO11" s="61"/>
    </row>
    <row r="12" spans="1:46" ht="52.5" customHeight="1">
      <c r="A12" s="55">
        <v>5</v>
      </c>
      <c r="B12" s="56" t="s">
        <v>51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58</v>
      </c>
      <c r="J12" s="58" t="s">
        <v>52</v>
      </c>
      <c r="K12" s="58" t="s">
        <v>42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>
        <v>15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15</v>
      </c>
      <c r="AK12" s="64">
        <v>0</v>
      </c>
      <c r="AL12" s="65">
        <v>0</v>
      </c>
      <c r="AM12" s="66">
        <v>0</v>
      </c>
      <c r="AN12" s="66">
        <v>41834</v>
      </c>
      <c r="AO12" s="61"/>
    </row>
    <row r="13" spans="1:46" ht="52.5" hidden="1" customHeight="1">
      <c r="A13" s="55">
        <v>7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8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0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9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10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11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12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13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14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15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16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17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18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19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20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21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22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23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24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25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26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9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27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28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29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30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31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32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33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ref="AJ39:AJ70" si="1">SUM(L39:AI39)</f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34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si="1"/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35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36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37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38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39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40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41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42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43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44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45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46</v>
      </c>
      <c r="B52" s="56" t="s">
        <v>43</v>
      </c>
      <c r="C52" s="70"/>
      <c r="D52" s="58">
        <v>0</v>
      </c>
      <c r="E52" s="59" t="s">
        <v>43</v>
      </c>
      <c r="F52" s="59" t="s">
        <v>43</v>
      </c>
      <c r="G52" s="59" t="s">
        <v>43</v>
      </c>
      <c r="H52" s="71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72"/>
      <c r="AP52" s="73"/>
      <c r="AQ52" s="74"/>
      <c r="AR52" s="74"/>
      <c r="AS52" s="74"/>
      <c r="AT52" s="74"/>
      <c r="AU52" s="74"/>
    </row>
    <row r="53" spans="1:47" ht="52.5" hidden="1" customHeight="1">
      <c r="A53" s="55">
        <v>47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48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49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50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51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52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53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54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55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56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57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58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59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60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61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60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62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75" t="s">
        <v>43</v>
      </c>
      <c r="Q68" s="75" t="s">
        <v>43</v>
      </c>
      <c r="R68" s="75" t="s">
        <v>43</v>
      </c>
      <c r="S68" s="75" t="s">
        <v>43</v>
      </c>
      <c r="T68" s="75" t="s">
        <v>43</v>
      </c>
      <c r="U68" s="75" t="s">
        <v>43</v>
      </c>
      <c r="V68" s="75" t="s">
        <v>43</v>
      </c>
      <c r="W68" s="75" t="s">
        <v>43</v>
      </c>
      <c r="X68" s="75" t="s">
        <v>43</v>
      </c>
      <c r="Y68" s="75" t="s">
        <v>43</v>
      </c>
      <c r="Z68" s="75" t="s">
        <v>43</v>
      </c>
      <c r="AA68" s="75" t="s">
        <v>43</v>
      </c>
      <c r="AB68" s="75" t="s">
        <v>43</v>
      </c>
      <c r="AC68" s="75" t="s">
        <v>43</v>
      </c>
      <c r="AD68" s="75" t="s">
        <v>43</v>
      </c>
      <c r="AE68" s="75" t="s">
        <v>43</v>
      </c>
      <c r="AF68" s="75" t="s">
        <v>43</v>
      </c>
      <c r="AG68" s="75" t="s">
        <v>43</v>
      </c>
      <c r="AH68" s="75" t="s">
        <v>43</v>
      </c>
      <c r="AI68" s="75" t="s">
        <v>43</v>
      </c>
      <c r="AJ68" s="76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63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64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65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>SUM(L71:AI71)</f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66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67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68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69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21.75" customHeight="1">
      <c r="A76" s="55"/>
      <c r="B76" s="56"/>
      <c r="D76" s="91" t="s">
        <v>32</v>
      </c>
      <c r="E76" s="91"/>
      <c r="F76" s="77"/>
      <c r="G76" s="77"/>
      <c r="H76" s="77"/>
      <c r="I76" s="77"/>
      <c r="J76" s="77"/>
      <c r="K76" s="77"/>
      <c r="L76" s="78">
        <f t="shared" ref="L76:AJ76" si="2">SUM(L8:L75)</f>
        <v>0</v>
      </c>
      <c r="M76" s="78">
        <f t="shared" si="2"/>
        <v>0</v>
      </c>
      <c r="N76" s="78">
        <f t="shared" si="2"/>
        <v>0</v>
      </c>
      <c r="O76" s="78">
        <f t="shared" si="2"/>
        <v>0</v>
      </c>
      <c r="P76" s="78">
        <f t="shared" si="2"/>
        <v>0</v>
      </c>
      <c r="Q76" s="78">
        <f t="shared" si="2"/>
        <v>0</v>
      </c>
      <c r="R76" s="78">
        <f t="shared" si="2"/>
        <v>0</v>
      </c>
      <c r="S76" s="78">
        <f t="shared" si="2"/>
        <v>0</v>
      </c>
      <c r="T76" s="78">
        <f t="shared" si="2"/>
        <v>0</v>
      </c>
      <c r="U76" s="78">
        <f t="shared" si="2"/>
        <v>0</v>
      </c>
      <c r="V76" s="78">
        <f t="shared" si="2"/>
        <v>0</v>
      </c>
      <c r="W76" s="78">
        <f t="shared" si="2"/>
        <v>0</v>
      </c>
      <c r="X76" s="78">
        <f t="shared" si="2"/>
        <v>0</v>
      </c>
      <c r="Y76" s="78">
        <f t="shared" si="2"/>
        <v>0</v>
      </c>
      <c r="Z76" s="78">
        <f t="shared" si="2"/>
        <v>0</v>
      </c>
      <c r="AA76" s="78">
        <f t="shared" si="2"/>
        <v>0</v>
      </c>
      <c r="AB76" s="78">
        <f t="shared" si="2"/>
        <v>0</v>
      </c>
      <c r="AC76" s="78">
        <f t="shared" si="2"/>
        <v>0</v>
      </c>
      <c r="AD76" s="78">
        <f t="shared" si="2"/>
        <v>0</v>
      </c>
      <c r="AE76" s="78">
        <f t="shared" si="2"/>
        <v>90</v>
      </c>
      <c r="AF76" s="78">
        <f t="shared" si="2"/>
        <v>0</v>
      </c>
      <c r="AG76" s="78">
        <f t="shared" si="2"/>
        <v>0</v>
      </c>
      <c r="AH76" s="78">
        <f t="shared" si="2"/>
        <v>0</v>
      </c>
      <c r="AI76" s="78">
        <f t="shared" si="2"/>
        <v>0</v>
      </c>
      <c r="AJ76" s="78">
        <f t="shared" si="2"/>
        <v>90</v>
      </c>
      <c r="AK76" s="79">
        <f>SUMPRODUCT($AJ8:$AJ67,$AK8:$AK67)</f>
        <v>0</v>
      </c>
      <c r="AL76" s="80">
        <f>SUMPRODUCT($AJ8:$AJ67,AL8:AL67)</f>
        <v>0</v>
      </c>
      <c r="AM76" s="81"/>
      <c r="AN76" s="81"/>
      <c r="AO76" s="82"/>
    </row>
    <row r="77" spans="1:47" ht="14.25">
      <c r="A77" s="55"/>
      <c r="B77" s="56"/>
      <c r="D77" s="41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</sheetData>
  <autoFilter ref="L7:AJ76">
    <filterColumn colId="24">
      <customFilters>
        <customFilter operator="notEqual" val=" "/>
      </customFilters>
    </filterColumn>
  </autoFilter>
  <mergeCells count="15">
    <mergeCell ref="AO6:AO7"/>
    <mergeCell ref="D76:E76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8 H67:H75">
    <cfRule type="expression" dxfId="11" priority="17" stopIfTrue="1">
      <formula>$H13="TTL"</formula>
    </cfRule>
  </conditionalFormatting>
  <conditionalFormatting sqref="H27">
    <cfRule type="expression" dxfId="10" priority="16" stopIfTrue="1">
      <formula>$H27="TTL"</formula>
    </cfRule>
  </conditionalFormatting>
  <conditionalFormatting sqref="H13:H28">
    <cfRule type="expression" dxfId="9" priority="15" stopIfTrue="1">
      <formula>$H13="TTL"</formula>
    </cfRule>
  </conditionalFormatting>
  <conditionalFormatting sqref="H27">
    <cfRule type="expression" dxfId="8" priority="14" stopIfTrue="1">
      <formula>$H27="TTL"</formula>
    </cfRule>
  </conditionalFormatting>
  <conditionalFormatting sqref="H13:H29">
    <cfRule type="expression" dxfId="7" priority="13" stopIfTrue="1">
      <formula>$H13="TTL"</formula>
    </cfRule>
  </conditionalFormatting>
  <conditionalFormatting sqref="H13:H17">
    <cfRule type="expression" dxfId="6" priority="11" stopIfTrue="1">
      <formula>$H13="TTL"</formula>
    </cfRule>
  </conditionalFormatting>
  <conditionalFormatting sqref="H13">
    <cfRule type="expression" dxfId="5" priority="10" stopIfTrue="1">
      <formula>$H13="TTL"</formula>
    </cfRule>
  </conditionalFormatting>
  <conditionalFormatting sqref="H13:H14">
    <cfRule type="expression" dxfId="4" priority="9" stopIfTrue="1">
      <formula>$H13="TTL"</formula>
    </cfRule>
  </conditionalFormatting>
  <conditionalFormatting sqref="H13:H31">
    <cfRule type="expression" dxfId="3" priority="8" stopIfTrue="1">
      <formula>$H13="TTL"</formula>
    </cfRule>
  </conditionalFormatting>
  <conditionalFormatting sqref="H13:H14">
    <cfRule type="expression" dxfId="2" priority="7" stopIfTrue="1">
      <formula>$H13="TTL"</formula>
    </cfRule>
  </conditionalFormatting>
  <conditionalFormatting sqref="H13">
    <cfRule type="expression" dxfId="1" priority="3" stopIfTrue="1">
      <formula>$H13="TTL"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2014-07-09T10:00:54Z</dcterms:created>
  <dcterms:modified xsi:type="dcterms:W3CDTF">2014-07-17T09:24:38Z</dcterms:modified>
</cp:coreProperties>
</file>