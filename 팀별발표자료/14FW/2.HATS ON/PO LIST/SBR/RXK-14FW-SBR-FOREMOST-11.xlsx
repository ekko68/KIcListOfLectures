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<sst xmlns="http://schemas.openxmlformats.org/spreadsheetml/2006/main" count="2422" uniqueCount="63">
  <si>
    <t>PURCHASE ORDER LIST</t>
    <phoneticPr fontId="4" type="noConversion"/>
  </si>
  <si>
    <t>PO#</t>
    <phoneticPr fontId="4" type="noConversion"/>
  </si>
  <si>
    <t>RXK-14FW-SBR-FOREMOST-11</t>
    <phoneticPr fontId="4" type="noConversion"/>
  </si>
  <si>
    <t>SBR-FOREMOST-11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</si>
  <si>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</si>
  <si>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</si>
  <si>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</si>
  <si>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</si>
  <si>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</si>
  <si>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</si>
  <si>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</si>
  <si>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</si>
  <si>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</si>
  <si>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</si>
  <si>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</si>
  <si>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</si>
  <si>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</si>
  <si>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</si>
  <si>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</si>
  <si>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</si>
  <si>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</si>
  <si>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</si>
  <si>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</si>
  <si>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</si>
  <si>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</si>
  <si>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</si>
  <si>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</si>
  <si>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</si>
  <si>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</si>
  <si>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</si>
  <si>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</si>
  <si>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</si>
  <si>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</si>
  <si>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</si>
  <si>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</si>
  <si>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</si>
  <si>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</si>
  <si>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</si>
  <si>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SBRMIF3001KHAKI</t>
  </si>
  <si>
    <t>SMITH BRIDGE</t>
  </si>
  <si>
    <t>MILITARY CAP</t>
  </si>
  <si>
    <t>U</t>
  </si>
  <si>
    <t>12-FW-SP115_KHAKI
(JILMIE3152KH)</t>
  </si>
  <si>
    <t>SBRMIF3001</t>
  </si>
  <si>
    <t>KHAKI</t>
  </si>
  <si>
    <t/>
  </si>
  <si>
    <t>SBRMIF3002BLACK</t>
  </si>
  <si>
    <t>13FW-JILL BY-SP14_BK (JILMIE3311BK)</t>
  </si>
  <si>
    <t>SBRMIF3002</t>
  </si>
  <si>
    <t>BLACK</t>
  </si>
  <si>
    <t>SBRMIF3003BLACK</t>
  </si>
  <si>
    <t>13SS-JILL BY-SP65_BK (JILMIE3314BK)</t>
  </si>
  <si>
    <t>SBRMIF3003</t>
  </si>
  <si>
    <t>SBRMIF5004BLACK</t>
  </si>
  <si>
    <t>14FW-JILL-BY_02_BK</t>
  </si>
  <si>
    <t>SBRMIF5004</t>
  </si>
  <si>
    <t>SBRMIF5004GREY</t>
  </si>
  <si>
    <t>14FW-JILL-BY_02_GY</t>
  </si>
  <si>
    <t>GREY</t>
  </si>
  <si>
    <t>SBRMIF5005BLACK</t>
  </si>
  <si>
    <t>14-FW-SP-48</t>
  </si>
  <si>
    <t>SBRMIF5005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</si>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</sst>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2" borderId="2" xfId="0" applyFont="1" applyFill="1" applyBorder="1">
      <alignment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68035</xdr:colOff>
      <xdr:row>7</xdr:row>
      <xdr:rowOff>122463</xdr:rowOff>
    </xdr:from>
    <xdr:to>
      <xdr:col>7</xdr:col>
      <xdr:colOff>680035</xdr:colOff>
      <xdr:row>7</xdr:row>
      <xdr:rowOff>533727</xdr:rowOff>
    </xdr:to>
    <xdr:pic>
      <xdr:nvPicPr>
        <xdr:cNvPr id="2" name="Picture 35"/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/>
        <a:srcRect/>
        <a:stretch>
          <a:fillRect/>
        </a:stretch>
      </xdr:blipFill>
      <xdr:spPr bwMode="auto">
        <a:xfrm>
          <a:off x="239485" y="301817313"/>
          <a:ext cx="612000" cy="4112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8</xdr:row>
      <xdr:rowOff>149678</xdr:rowOff>
    </xdr:from>
    <xdr:to>
      <xdr:col>7</xdr:col>
      <xdr:colOff>648856</xdr:colOff>
      <xdr:row>8</xdr:row>
      <xdr:rowOff>522017</xdr:rowOff>
    </xdr:to>
    <xdr:pic>
      <xdr:nvPicPr>
        <xdr:cNvPr id="3" name="그림 2" descr="20130311_140530.png"/>
        <xdr:cNvPicPr>
          <a:picLocks noChangeAspect="1"/>
        </xdr:cNvPicPr>
      </xdr:nvPicPr>
      <xdr:blipFill>
        <a:blip xmlns:r="http://schemas.openxmlformats.org/officeDocument/2006/relationships" r:embed="rId2" cstate="email"/>
        <a:stretch>
          <a:fillRect/>
        </a:stretch>
      </xdr:blipFill>
      <xdr:spPr>
        <a:xfrm>
          <a:off x="280306" y="302511278"/>
          <a:ext cx="540000" cy="372339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9</xdr:row>
      <xdr:rowOff>136070</xdr:rowOff>
    </xdr:from>
    <xdr:to>
      <xdr:col>7</xdr:col>
      <xdr:colOff>648856</xdr:colOff>
      <xdr:row>9</xdr:row>
      <xdr:rowOff>563803</xdr:rowOff>
    </xdr:to>
    <xdr:pic>
      <xdr:nvPicPr>
        <xdr:cNvPr id="4" name="Picture 965302"/>
        <xdr:cNvPicPr>
          <a:picLocks noChangeAspect="1" noChangeArrowheads="1"/>
        </xdr:cNvPicPr>
      </xdr:nvPicPr>
      <xdr:blipFill>
        <a:blip xmlns:r="http://schemas.openxmlformats.org/officeDocument/2006/relationships" r:embed="rId3" cstate="email"/>
        <a:srcRect/>
        <a:stretch>
          <a:fillRect/>
        </a:stretch>
      </xdr:blipFill>
      <xdr:spPr bwMode="auto">
        <a:xfrm>
          <a:off x="280306" y="303164420"/>
          <a:ext cx="540000" cy="42773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10</xdr:row>
      <xdr:rowOff>122464</xdr:rowOff>
    </xdr:from>
    <xdr:to>
      <xdr:col>7</xdr:col>
      <xdr:colOff>648856</xdr:colOff>
      <xdr:row>10</xdr:row>
      <xdr:rowOff>532149</xdr:rowOff>
    </xdr:to>
    <xdr:pic>
      <xdr:nvPicPr>
        <xdr:cNvPr id="5" name="그림 4" descr="K-154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0306" y="303817564"/>
          <a:ext cx="540000" cy="409685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11</xdr:row>
      <xdr:rowOff>122464</xdr:rowOff>
    </xdr:from>
    <xdr:to>
      <xdr:col>7</xdr:col>
      <xdr:colOff>648856</xdr:colOff>
      <xdr:row>11</xdr:row>
      <xdr:rowOff>515189</xdr:rowOff>
    </xdr:to>
    <xdr:pic>
      <xdr:nvPicPr>
        <xdr:cNvPr id="6" name="그림 5" descr="K-155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0306" y="305817814"/>
          <a:ext cx="540000" cy="392725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12</xdr:row>
      <xdr:rowOff>122463</xdr:rowOff>
    </xdr:from>
    <xdr:to>
      <xdr:col>7</xdr:col>
      <xdr:colOff>648856</xdr:colOff>
      <xdr:row>12</xdr:row>
      <xdr:rowOff>558707</xdr:rowOff>
    </xdr:to>
    <xdr:pic>
      <xdr:nvPicPr>
        <xdr:cNvPr id="7" name="그림 6" descr="K-156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80306" y="306484563"/>
          <a:ext cx="540000" cy="4362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  <pageSetUpPr fitToPage="1"/>
  </sheetPr>
  <dimension ref="A1:AU211"/>
  <sheetViews>
    <sheetView showGridLines="0" showZeros="0" tabSelected="1" zoomScale="75" zoomScaleNormal="75" workbookViewId="0">
      <pane xSplit="11" ySplit="8" topLeftCell="Q9" activePane="bottomRight" state="frozen"/>
      <selection activeCell="AD15" sqref="AD15"/>
      <selection pane="topRight" activeCell="AD15" sqref="AD15"/>
      <selection pane="bottomLeft" activeCell="AD15" sqref="AD15"/>
      <selection pane="bottomRight" activeCell="AO77" sqref="AO77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62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41739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2000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2000</v>
      </c>
      <c r="AK8" s="77">
        <v>0</v>
      </c>
      <c r="AL8" s="78">
        <v>0</v>
      </c>
      <c r="AM8" s="79">
        <v>0</v>
      </c>
      <c r="AN8" s="79">
        <v>41848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41</v>
      </c>
      <c r="H9" s="73"/>
      <c r="I9" s="74" t="s">
        <v>47</v>
      </c>
      <c r="J9" s="71" t="s">
        <v>48</v>
      </c>
      <c r="K9" s="71" t="s">
        <v>49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>
        <v>2000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2000</v>
      </c>
      <c r="AK9" s="77">
        <v>0</v>
      </c>
      <c r="AL9" s="78">
        <v>0</v>
      </c>
      <c r="AM9" s="79">
        <v>0</v>
      </c>
      <c r="AN9" s="79">
        <v>41848</v>
      </c>
      <c r="AO9" s="74"/>
    </row>
    <row r="10" spans="1:46" ht="52.5" customHeight="1">
      <c r="A10" s="68">
        <v>3</v>
      </c>
      <c r="B10" s="69" t="s">
        <v>50</v>
      </c>
      <c r="D10" s="71">
        <v>3</v>
      </c>
      <c r="E10" s="72" t="s">
        <v>39</v>
      </c>
      <c r="F10" s="72" t="s">
        <v>40</v>
      </c>
      <c r="G10" s="72" t="s">
        <v>41</v>
      </c>
      <c r="H10" s="99"/>
      <c r="I10" s="74" t="s">
        <v>51</v>
      </c>
      <c r="J10" s="71" t="s">
        <v>52</v>
      </c>
      <c r="K10" s="71" t="s">
        <v>49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>
        <v>2000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2000</v>
      </c>
      <c r="AK10" s="77">
        <v>0</v>
      </c>
      <c r="AL10" s="78">
        <v>0</v>
      </c>
      <c r="AM10" s="79">
        <v>0</v>
      </c>
      <c r="AN10" s="79">
        <v>41848</v>
      </c>
      <c r="AO10" s="74"/>
    </row>
    <row r="11" spans="1:46" ht="52.5" customHeight="1">
      <c r="A11" s="68">
        <v>4</v>
      </c>
      <c r="B11" s="69" t="s">
        <v>53</v>
      </c>
      <c r="D11" s="71">
        <v>4</v>
      </c>
      <c r="E11" s="72" t="s">
        <v>39</v>
      </c>
      <c r="F11" s="72" t="s">
        <v>40</v>
      </c>
      <c r="G11" s="72" t="s">
        <v>41</v>
      </c>
      <c r="H11" s="73"/>
      <c r="I11" s="74" t="s">
        <v>54</v>
      </c>
      <c r="J11" s="71" t="s">
        <v>55</v>
      </c>
      <c r="K11" s="71" t="s">
        <v>49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>
        <v>500</v>
      </c>
      <c r="AH11" s="75">
        <v>300</v>
      </c>
      <c r="AI11" s="75" t="s">
        <v>45</v>
      </c>
      <c r="AJ11" s="76">
        <f t="shared" si="0"/>
        <v>800</v>
      </c>
      <c r="AK11" s="77">
        <v>0</v>
      </c>
      <c r="AL11" s="78">
        <v>0</v>
      </c>
      <c r="AM11" s="79">
        <v>0</v>
      </c>
      <c r="AN11" s="79">
        <v>41848</v>
      </c>
      <c r="AO11" s="74"/>
    </row>
    <row r="12" spans="1:46" ht="52.5" customHeight="1">
      <c r="A12" s="68">
        <v>5</v>
      </c>
      <c r="B12" s="69" t="s">
        <v>56</v>
      </c>
      <c r="D12" s="71">
        <v>5</v>
      </c>
      <c r="E12" s="72" t="s">
        <v>39</v>
      </c>
      <c r="F12" s="72" t="s">
        <v>40</v>
      </c>
      <c r="G12" s="72" t="s">
        <v>41</v>
      </c>
      <c r="H12" s="73"/>
      <c r="I12" s="74" t="s">
        <v>57</v>
      </c>
      <c r="J12" s="71" t="s">
        <v>55</v>
      </c>
      <c r="K12" s="71" t="s">
        <v>58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>
        <v>500</v>
      </c>
      <c r="AH12" s="75">
        <v>300</v>
      </c>
      <c r="AI12" s="75" t="s">
        <v>45</v>
      </c>
      <c r="AJ12" s="76">
        <f t="shared" si="0"/>
        <v>800</v>
      </c>
      <c r="AK12" s="77">
        <v>0</v>
      </c>
      <c r="AL12" s="78">
        <v>0</v>
      </c>
      <c r="AM12" s="79">
        <v>0</v>
      </c>
      <c r="AN12" s="79">
        <v>41848</v>
      </c>
      <c r="AO12" s="74"/>
    </row>
    <row r="13" spans="1:46" ht="52.5" customHeight="1">
      <c r="A13" s="68">
        <v>6</v>
      </c>
      <c r="B13" s="69" t="s">
        <v>59</v>
      </c>
      <c r="D13" s="71">
        <v>6</v>
      </c>
      <c r="E13" s="72" t="s">
        <v>39</v>
      </c>
      <c r="F13" s="72" t="s">
        <v>40</v>
      </c>
      <c r="G13" s="72" t="s">
        <v>41</v>
      </c>
      <c r="H13" s="73"/>
      <c r="I13" s="74" t="s">
        <v>60</v>
      </c>
      <c r="J13" s="71" t="s">
        <v>61</v>
      </c>
      <c r="K13" s="71" t="s">
        <v>49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>
        <v>600</v>
      </c>
      <c r="AH13" s="75">
        <v>400</v>
      </c>
      <c r="AI13" s="75" t="s">
        <v>45</v>
      </c>
      <c r="AJ13" s="76">
        <f t="shared" si="0"/>
        <v>1000</v>
      </c>
      <c r="AK13" s="77">
        <v>0</v>
      </c>
      <c r="AL13" s="78">
        <v>0</v>
      </c>
      <c r="AM13" s="79">
        <v>0</v>
      </c>
      <c r="AN13" s="79">
        <v>41848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 t="shared" ref="AJ72:AJ76" si="2"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 t="shared" si="2"/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 t="shared" si="2"/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 t="shared" si="2"/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 t="shared" si="2"/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0</v>
      </c>
      <c r="AE77" s="92">
        <f>SUM(AE8:AE76)</f>
        <v>6000</v>
      </c>
      <c r="AF77" s="92">
        <f t="shared" ref="AF77" si="6">SUM(AF8:AF76)</f>
        <v>0</v>
      </c>
      <c r="AG77" s="92">
        <f t="shared" si="3"/>
        <v>1600</v>
      </c>
      <c r="AH77" s="92">
        <f t="shared" si="3"/>
        <v>1000</v>
      </c>
      <c r="AI77" s="92">
        <f t="shared" si="3"/>
        <v>0</v>
      </c>
      <c r="AJ77" s="92">
        <f>SUM(AJ8:AJ76)</f>
        <v>8600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>
      <c r="A126" s="68"/>
      <c r="B126" s="69"/>
    </row>
    <row r="127" spans="1:2">
      <c r="A127" s="68"/>
      <c r="B127" s="69"/>
    </row>
    <row r="128" spans="1:2">
      <c r="A128" s="68"/>
      <c r="B128" s="69"/>
    </row>
    <row r="129" spans="1:2">
      <c r="A129" s="68"/>
      <c r="B129" s="69"/>
    </row>
    <row r="130" spans="1:2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4:H29 H68:H76">
    <cfRule type="expression" dxfId="17" priority="17" stopIfTrue="1">
      <formula>$H14="TTL"</formula>
    </cfRule>
  </conditionalFormatting>
  <conditionalFormatting sqref="H28">
    <cfRule type="expression" dxfId="16" priority="16" stopIfTrue="1">
      <formula>$H28="TTL"</formula>
    </cfRule>
  </conditionalFormatting>
  <conditionalFormatting sqref="H14:H29">
    <cfRule type="expression" dxfId="15" priority="15" stopIfTrue="1">
      <formula>$H14="TTL"</formula>
    </cfRule>
  </conditionalFormatting>
  <conditionalFormatting sqref="H28">
    <cfRule type="expression" dxfId="14" priority="14" stopIfTrue="1">
      <formula>$H28="TTL"</formula>
    </cfRule>
  </conditionalFormatting>
  <conditionalFormatting sqref="H14:H30">
    <cfRule type="expression" dxfId="13" priority="13" stopIfTrue="1">
      <formula>$H14="TTL"</formula>
    </cfRule>
  </conditionalFormatting>
  <conditionalFormatting sqref="H14:H18">
    <cfRule type="expression" dxfId="11" priority="11" stopIfTrue="1">
      <formula>$H14="TTL"</formula>
    </cfRule>
  </conditionalFormatting>
  <conditionalFormatting sqref="H14">
    <cfRule type="expression" dxfId="10" priority="10" stopIfTrue="1">
      <formula>$H14="TTL"</formula>
    </cfRule>
  </conditionalFormatting>
  <conditionalFormatting sqref="H14:H15">
    <cfRule type="expression" dxfId="9" priority="9" stopIfTrue="1">
      <formula>$H14="TTL"</formula>
    </cfRule>
  </conditionalFormatting>
  <conditionalFormatting sqref="H14:H32">
    <cfRule type="expression" dxfId="8" priority="8" stopIfTrue="1">
      <formula>$H14="TTL"</formula>
    </cfRule>
  </conditionalFormatting>
  <conditionalFormatting sqref="H14:H15">
    <cfRule type="expression" dxfId="7" priority="7" stopIfTrue="1">
      <formula>$H14="TTL"</formula>
    </cfRule>
  </conditionalFormatting>
  <conditionalFormatting sqref="H14">
    <cfRule type="expression" dxfId="3" priority="3" stopIfTrue="1">
      <formula>$H14="TTL"</formula>
    </cfRule>
  </conditionalFormatting>
  <conditionalFormatting sqref="H8:H13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8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2014-04-10T02:35:54Z</cp:lastPrinted>
  <dcterms:created xsi:type="dcterms:W3CDTF">2014-04-10T02:28:20Z</dcterms:created>
  <dcterms:modified xsi:type="dcterms:W3CDTF">2014-04-10T02:50:19Z</dcterms:modified>
</cp:coreProperties>
</file>