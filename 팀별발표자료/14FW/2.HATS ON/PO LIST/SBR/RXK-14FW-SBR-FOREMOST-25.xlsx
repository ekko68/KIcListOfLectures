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ISSUE'!$L$7:$AJ$69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ISSUE'!$AE$7:$AE$69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ISSUE'!$AE$7:$AE$69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J24" i="1" l="1"/>
  <c r="AJ21" i="1"/>
  <c r="AI69" i="1" l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3" i="1"/>
  <c r="AJ22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K69" i="1" l="1"/>
  <c r="AL69" i="1"/>
  <c r="AJ69" i="1"/>
</calcChain>
</file>

<file path=xl/sharedStrings.xml><?xml version="1.0" encoding="utf-8"?>
<sst xmlns="http://schemas.openxmlformats.org/spreadsheetml/2006/main" count="2091" uniqueCount="97">
  <si>
    <t>PURCHASE ORDER LIST</t>
    <phoneticPr fontId="4" type="noConversion"/>
  </si>
  <si>
    <t>PO#</t>
    <phoneticPr fontId="4" type="noConversion"/>
  </si>
  <si>
    <t>SBR-FOREMOST-25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</si>
  <si>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</si>
  <si>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</si>
  <si>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</si>
  <si>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</si>
  <si>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</si>
  <si>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</si>
  <si>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</si>
  <si>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</si>
  <si>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</si>
  <si>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</si>
  <si>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</si>
  <si>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</si>
  <si>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</si>
  <si>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</si>
  <si>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</si>
  <si>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</si>
  <si>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</si>
  <si>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</si>
  <si>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</si>
  <si>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</si>
  <si>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</si>
  <si>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</si>
  <si>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</si>
  <si>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</si>
  <si>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</si>
  <si>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</si>
  <si>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</si>
  <si>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</si>
  <si>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</si>
  <si>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</si>
  <si>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</si>
  <si>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</si>
  <si>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</si>
  <si>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</si>
  <si>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SBRBEF5041GREY</t>
  </si>
  <si>
    <t>SMITH BRIDGE</t>
  </si>
  <si>
    <t>BEANIE</t>
  </si>
  <si>
    <t>U</t>
  </si>
  <si>
    <t>14FW-JILLBY-KNIT-62-GY</t>
  </si>
  <si>
    <t>SBRBEF5041</t>
  </si>
  <si>
    <t>GREY</t>
  </si>
  <si>
    <t/>
  </si>
  <si>
    <t>SBRBEF5041IVORY</t>
  </si>
  <si>
    <t>14FW-JILLBY-KNIT-62-IV</t>
  </si>
  <si>
    <t>IVORY</t>
  </si>
  <si>
    <t>SBRBEF5041BEIGE</t>
  </si>
  <si>
    <t>14FW-JILLBY-KNIT-62-BG</t>
  </si>
  <si>
    <t>BEIGE</t>
  </si>
  <si>
    <t>SBRBEF5042BLACK</t>
  </si>
  <si>
    <t>14FW-JILLBY-KNIT-38-BK</t>
  </si>
  <si>
    <t>SBRBEF5042</t>
  </si>
  <si>
    <t>BLACK</t>
  </si>
  <si>
    <t>SBRBEF5043NAVY</t>
  </si>
  <si>
    <t>14FW-JILLBY-KNIT-45-NV</t>
  </si>
  <si>
    <t>SBRBEF5043</t>
  </si>
  <si>
    <t>NAVY</t>
  </si>
  <si>
    <t>SBRBEF5043PURPLE</t>
  </si>
  <si>
    <t>14FW-JILLBY-KNIT-45-PP</t>
  </si>
  <si>
    <t>PURPLE</t>
  </si>
  <si>
    <t>SBRBEF5043RED</t>
  </si>
  <si>
    <t>14FW-JILLBY-KNIT-45-RD</t>
  </si>
  <si>
    <t>RED</t>
  </si>
  <si>
    <t>SBRBEF5044IVORY</t>
  </si>
  <si>
    <t>14FW-JILLBY-KNIT-39-IV</t>
  </si>
  <si>
    <t>SBRBEF5044</t>
  </si>
  <si>
    <t>SBRBEF5044KHAKI</t>
  </si>
  <si>
    <t>14FW-JILLBY-KNIT-39-KH</t>
  </si>
  <si>
    <t>KHAKI</t>
  </si>
  <si>
    <t>EARFLAP BEANIE</t>
  </si>
  <si>
    <t>SBREBF5046GREY</t>
  </si>
  <si>
    <t>14FW-JILLBY-KNIT-54-GY</t>
  </si>
  <si>
    <t>SBREBF5046</t>
  </si>
  <si>
    <t>SBREBF5047BEIGE</t>
  </si>
  <si>
    <t>14FW-JILLBY-KNIT-23-BG</t>
  </si>
  <si>
    <t>SBREBF5047</t>
  </si>
  <si>
    <t>SBREBF5047GREY</t>
  </si>
  <si>
    <t>14FW-JILLBY-KNIT-23-GY</t>
  </si>
  <si>
    <t>SBREBF5049BEIGE</t>
  </si>
  <si>
    <t>14FW-JILLBY-KNIT-56-BG</t>
  </si>
  <si>
    <t>SBREBF5049</t>
  </si>
  <si>
    <t>SBREBF5049GREY</t>
  </si>
  <si>
    <t>14FW-JILLBY-KNIT-56-GY</t>
  </si>
  <si>
    <t>SBREBF5049RED</t>
  </si>
  <si>
    <t>14FW-JILLBY-KNIT-56-RD</t>
  </si>
  <si>
    <t>SBREBF5049BLACK</t>
  </si>
  <si>
    <t>14FW-JILLBY-KNIT-56-BK</t>
  </si>
  <si>
    <t>FW</t>
  </si>
  <si>
    <t>SBREBF5549BEIGE</t>
  </si>
  <si>
    <t>K</t>
  </si>
  <si>
    <t>14FW-JILLBY-KNIT-56-BG_KIDS</t>
  </si>
  <si>
    <t>SBREBF5549</t>
  </si>
  <si>
    <t>SBREBF5549RED</t>
  </si>
  <si>
    <t>14FW-JILLBY-KNIT-56-RD_KIDS</t>
  </si>
  <si>
    <t>RXK-14FW-SBR-FOREMOST-25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</si>
</sst>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0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204105</xdr:colOff>
      <xdr:row>7</xdr:row>
      <xdr:rowOff>68035</xdr:rowOff>
    </xdr:from>
    <xdr:to>
      <xdr:col>7</xdr:col>
      <xdr:colOff>593898</xdr:colOff>
      <xdr:row>7</xdr:row>
      <xdr:rowOff>608035</xdr:rowOff>
    </xdr:to>
    <xdr:pic>
      <xdr:nvPicPr>
        <xdr:cNvPr id="2" name="그림 1" descr="Capture_35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65941"/>
        <a:stretch/>
      </xdr:blipFill>
      <xdr:spPr>
        <a:xfrm>
          <a:off x="5014230" y="611801635"/>
          <a:ext cx="389793" cy="540000"/>
        </a:xfrm>
        <a:prstGeom prst="rect">
          <a:avLst/>
        </a:prstGeom>
      </xdr:spPr>
    </xdr:pic>
    <xdr:clientData/>
  </xdr:twoCellAnchor>
  <xdr:twoCellAnchor>
    <xdr:from>
      <xdr:col>7</xdr:col>
      <xdr:colOff>204106</xdr:colOff>
      <xdr:row>9</xdr:row>
      <xdr:rowOff>68035</xdr:rowOff>
    </xdr:from>
    <xdr:to>
      <xdr:col>7</xdr:col>
      <xdr:colOff>558169</xdr:colOff>
      <xdr:row>9</xdr:row>
      <xdr:rowOff>608035</xdr:rowOff>
    </xdr:to>
    <xdr:pic>
      <xdr:nvPicPr>
        <xdr:cNvPr id="3" name="그림 2" descr="Capture_35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9063"/>
        <a:stretch/>
      </xdr:blipFill>
      <xdr:spPr>
        <a:xfrm>
          <a:off x="5014231" y="613135135"/>
          <a:ext cx="354063" cy="540000"/>
        </a:xfrm>
        <a:prstGeom prst="rect">
          <a:avLst/>
        </a:prstGeom>
      </xdr:spPr>
    </xdr:pic>
    <xdr:clientData/>
  </xdr:twoCellAnchor>
  <xdr:twoCellAnchor>
    <xdr:from>
      <xdr:col>7</xdr:col>
      <xdr:colOff>204105</xdr:colOff>
      <xdr:row>8</xdr:row>
      <xdr:rowOff>68035</xdr:rowOff>
    </xdr:from>
    <xdr:to>
      <xdr:col>7</xdr:col>
      <xdr:colOff>583071</xdr:colOff>
      <xdr:row>8</xdr:row>
      <xdr:rowOff>608035</xdr:rowOff>
    </xdr:to>
    <xdr:pic>
      <xdr:nvPicPr>
        <xdr:cNvPr id="4" name="그림 3" descr="Capture_35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5005" r="31883"/>
        <a:stretch/>
      </xdr:blipFill>
      <xdr:spPr>
        <a:xfrm>
          <a:off x="5014230" y="612468385"/>
          <a:ext cx="378966" cy="540000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10</xdr:row>
      <xdr:rowOff>68035</xdr:rowOff>
    </xdr:from>
    <xdr:to>
      <xdr:col>7</xdr:col>
      <xdr:colOff>660986</xdr:colOff>
      <xdr:row>10</xdr:row>
      <xdr:rowOff>608035</xdr:rowOff>
    </xdr:to>
    <xdr:pic>
      <xdr:nvPicPr>
        <xdr:cNvPr id="5" name="그림 4" descr="Capture_358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46195" y="613801885"/>
          <a:ext cx="524916" cy="540000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11</xdr:row>
      <xdr:rowOff>68035</xdr:rowOff>
    </xdr:from>
    <xdr:to>
      <xdr:col>7</xdr:col>
      <xdr:colOff>533473</xdr:colOff>
      <xdr:row>11</xdr:row>
      <xdr:rowOff>608035</xdr:rowOff>
    </xdr:to>
    <xdr:pic>
      <xdr:nvPicPr>
        <xdr:cNvPr id="6" name="그림 5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r="64188"/>
        <a:stretch/>
      </xdr:blipFill>
      <xdr:spPr>
        <a:xfrm>
          <a:off x="4946195" y="614468635"/>
          <a:ext cx="397403" cy="540000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13</xdr:row>
      <xdr:rowOff>68035</xdr:rowOff>
    </xdr:from>
    <xdr:to>
      <xdr:col>7</xdr:col>
      <xdr:colOff>521095</xdr:colOff>
      <xdr:row>13</xdr:row>
      <xdr:rowOff>608035</xdr:rowOff>
    </xdr:to>
    <xdr:pic>
      <xdr:nvPicPr>
        <xdr:cNvPr id="7" name="그림 6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65304"/>
        <a:stretch/>
      </xdr:blipFill>
      <xdr:spPr>
        <a:xfrm>
          <a:off x="4946195" y="615802135"/>
          <a:ext cx="385025" cy="540000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12</xdr:row>
      <xdr:rowOff>68035</xdr:rowOff>
    </xdr:from>
    <xdr:to>
      <xdr:col>7</xdr:col>
      <xdr:colOff>521785</xdr:colOff>
      <xdr:row>12</xdr:row>
      <xdr:rowOff>608035</xdr:rowOff>
    </xdr:to>
    <xdr:pic>
      <xdr:nvPicPr>
        <xdr:cNvPr id="8" name="그림 7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32652" r="32589"/>
        <a:stretch/>
      </xdr:blipFill>
      <xdr:spPr>
        <a:xfrm>
          <a:off x="4946195" y="615135385"/>
          <a:ext cx="385715" cy="540000"/>
        </a:xfrm>
        <a:prstGeom prst="rect">
          <a:avLst/>
        </a:prstGeom>
      </xdr:spPr>
    </xdr:pic>
    <xdr:clientData/>
  </xdr:twoCellAnchor>
  <xdr:twoCellAnchor>
    <xdr:from>
      <xdr:col>7</xdr:col>
      <xdr:colOff>136071</xdr:colOff>
      <xdr:row>14</xdr:row>
      <xdr:rowOff>68035</xdr:rowOff>
    </xdr:from>
    <xdr:to>
      <xdr:col>7</xdr:col>
      <xdr:colOff>634954</xdr:colOff>
      <xdr:row>14</xdr:row>
      <xdr:rowOff>608035</xdr:rowOff>
    </xdr:to>
    <xdr:pic>
      <xdr:nvPicPr>
        <xdr:cNvPr id="9" name="그림 8" descr="Capture_359.png"/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r="48154"/>
        <a:stretch/>
      </xdr:blipFill>
      <xdr:spPr>
        <a:xfrm>
          <a:off x="4946196" y="616468885"/>
          <a:ext cx="498883" cy="540000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15</xdr:row>
      <xdr:rowOff>68035</xdr:rowOff>
    </xdr:from>
    <xdr:to>
      <xdr:col>7</xdr:col>
      <xdr:colOff>620652</xdr:colOff>
      <xdr:row>15</xdr:row>
      <xdr:rowOff>608035</xdr:rowOff>
    </xdr:to>
    <xdr:pic>
      <xdr:nvPicPr>
        <xdr:cNvPr id="10" name="그림 9" descr="Capture_359.png"/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49640"/>
        <a:stretch/>
      </xdr:blipFill>
      <xdr:spPr>
        <a:xfrm>
          <a:off x="4946195" y="617135635"/>
          <a:ext cx="484582" cy="540000"/>
        </a:xfrm>
        <a:prstGeom prst="rect">
          <a:avLst/>
        </a:prstGeom>
      </xdr:spPr>
    </xdr:pic>
    <xdr:clientData/>
  </xdr:twoCellAnchor>
  <xdr:twoCellAnchor>
    <xdr:from>
      <xdr:col>7</xdr:col>
      <xdr:colOff>204105</xdr:colOff>
      <xdr:row>16</xdr:row>
      <xdr:rowOff>68035</xdr:rowOff>
    </xdr:from>
    <xdr:to>
      <xdr:col>7</xdr:col>
      <xdr:colOff>537496</xdr:colOff>
      <xdr:row>16</xdr:row>
      <xdr:rowOff>608035</xdr:rowOff>
    </xdr:to>
    <xdr:pic>
      <xdr:nvPicPr>
        <xdr:cNvPr id="14" name="그림 13" descr="Capture_352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014230" y="619802635"/>
          <a:ext cx="333391" cy="540000"/>
        </a:xfrm>
        <a:prstGeom prst="rect">
          <a:avLst/>
        </a:prstGeom>
      </xdr:spPr>
    </xdr:pic>
    <xdr:clientData/>
  </xdr:twoCellAnchor>
  <xdr:twoCellAnchor>
    <xdr:from>
      <xdr:col>7</xdr:col>
      <xdr:colOff>176893</xdr:colOff>
      <xdr:row>17</xdr:row>
      <xdr:rowOff>68035</xdr:rowOff>
    </xdr:from>
    <xdr:to>
      <xdr:col>7</xdr:col>
      <xdr:colOff>566546</xdr:colOff>
      <xdr:row>17</xdr:row>
      <xdr:rowOff>608035</xdr:rowOff>
    </xdr:to>
    <xdr:pic>
      <xdr:nvPicPr>
        <xdr:cNvPr id="15" name="그림 14" descr="Capture_364.png"/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r="48821"/>
        <a:stretch/>
      </xdr:blipFill>
      <xdr:spPr>
        <a:xfrm>
          <a:off x="4987018" y="620469385"/>
          <a:ext cx="389653" cy="540000"/>
        </a:xfrm>
        <a:prstGeom prst="rect">
          <a:avLst/>
        </a:prstGeom>
      </xdr:spPr>
    </xdr:pic>
    <xdr:clientData/>
  </xdr:twoCellAnchor>
  <xdr:twoCellAnchor>
    <xdr:from>
      <xdr:col>7</xdr:col>
      <xdr:colOff>176891</xdr:colOff>
      <xdr:row>18</xdr:row>
      <xdr:rowOff>68035</xdr:rowOff>
    </xdr:from>
    <xdr:to>
      <xdr:col>7</xdr:col>
      <xdr:colOff>548589</xdr:colOff>
      <xdr:row>18</xdr:row>
      <xdr:rowOff>608035</xdr:rowOff>
    </xdr:to>
    <xdr:pic>
      <xdr:nvPicPr>
        <xdr:cNvPr id="16" name="그림 15" descr="Capture_364.png"/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51179"/>
        <a:stretch/>
      </xdr:blipFill>
      <xdr:spPr>
        <a:xfrm>
          <a:off x="4987016" y="621136135"/>
          <a:ext cx="371698" cy="540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19</xdr:row>
      <xdr:rowOff>68035</xdr:rowOff>
    </xdr:from>
    <xdr:to>
      <xdr:col>7</xdr:col>
      <xdr:colOff>612320</xdr:colOff>
      <xdr:row>19</xdr:row>
      <xdr:rowOff>598713</xdr:rowOff>
    </xdr:to>
    <xdr:pic>
      <xdr:nvPicPr>
        <xdr:cNvPr id="20" name="그림 19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r="74097" b="-5121"/>
        <a:stretch/>
      </xdr:blipFill>
      <xdr:spPr>
        <a:xfrm>
          <a:off x="4932588" y="623803135"/>
          <a:ext cx="489857" cy="530678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21</xdr:row>
      <xdr:rowOff>68035</xdr:rowOff>
    </xdr:from>
    <xdr:to>
      <xdr:col>7</xdr:col>
      <xdr:colOff>625927</xdr:colOff>
      <xdr:row>21</xdr:row>
      <xdr:rowOff>557891</xdr:rowOff>
    </xdr:to>
    <xdr:pic>
      <xdr:nvPicPr>
        <xdr:cNvPr id="21" name="그림 20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23745" r="49633" b="2965"/>
        <a:stretch/>
      </xdr:blipFill>
      <xdr:spPr>
        <a:xfrm>
          <a:off x="4932588" y="624469885"/>
          <a:ext cx="503464" cy="489856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22</xdr:row>
      <xdr:rowOff>68035</xdr:rowOff>
    </xdr:from>
    <xdr:to>
      <xdr:col>7</xdr:col>
      <xdr:colOff>612321</xdr:colOff>
      <xdr:row>22</xdr:row>
      <xdr:rowOff>598713</xdr:rowOff>
    </xdr:to>
    <xdr:pic>
      <xdr:nvPicPr>
        <xdr:cNvPr id="22" name="그림 21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47489" r="26607" b="-5121"/>
        <a:stretch/>
      </xdr:blipFill>
      <xdr:spPr>
        <a:xfrm>
          <a:off x="4932588" y="625136635"/>
          <a:ext cx="489858" cy="530678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24</xdr:row>
      <xdr:rowOff>68035</xdr:rowOff>
    </xdr:from>
    <xdr:to>
      <xdr:col>7</xdr:col>
      <xdr:colOff>652839</xdr:colOff>
      <xdr:row>24</xdr:row>
      <xdr:rowOff>612320</xdr:rowOff>
    </xdr:to>
    <xdr:pic>
      <xdr:nvPicPr>
        <xdr:cNvPr id="23" name="그림 22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71954" b="-7817"/>
        <a:stretch/>
      </xdr:blipFill>
      <xdr:spPr>
        <a:xfrm>
          <a:off x="4932588" y="625803385"/>
          <a:ext cx="530376" cy="544285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20</xdr:row>
      <xdr:rowOff>68035</xdr:rowOff>
    </xdr:from>
    <xdr:to>
      <xdr:col>7</xdr:col>
      <xdr:colOff>612320</xdr:colOff>
      <xdr:row>20</xdr:row>
      <xdr:rowOff>598713</xdr:rowOff>
    </xdr:to>
    <xdr:pic>
      <xdr:nvPicPr>
        <xdr:cNvPr id="28" name="그림 27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r="74097" b="-5121"/>
        <a:stretch/>
      </xdr:blipFill>
      <xdr:spPr>
        <a:xfrm>
          <a:off x="4186463" y="13872935"/>
          <a:ext cx="489857" cy="530678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23</xdr:row>
      <xdr:rowOff>68035</xdr:rowOff>
    </xdr:from>
    <xdr:to>
      <xdr:col>7</xdr:col>
      <xdr:colOff>612321</xdr:colOff>
      <xdr:row>23</xdr:row>
      <xdr:rowOff>598713</xdr:rowOff>
    </xdr:to>
    <xdr:pic>
      <xdr:nvPicPr>
        <xdr:cNvPr id="29" name="그림 28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47489" r="26607" b="-5121"/>
        <a:stretch/>
      </xdr:blipFill>
      <xdr:spPr>
        <a:xfrm>
          <a:off x="4186463" y="15892235"/>
          <a:ext cx="489858" cy="530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03"/>
  <sheetViews>
    <sheetView showGridLines="0" showZeros="0" tabSelected="1" zoomScale="75" zoomScaleNormal="75" workbookViewId="0">
      <pane xSplit="11" ySplit="8" topLeftCell="L16" activePane="bottomRight" state="frozen"/>
      <selection activeCell="AD15" sqref="AD15"/>
      <selection pane="topRight" activeCell="AD15" sqref="AD15"/>
      <selection pane="bottomLeft" activeCell="AD15" sqref="AD15"/>
      <selection pane="bottomRight" activeCell="D69" sqref="D69:E69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89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4"/>
      <c r="B3" s="23"/>
      <c r="D3" s="25" t="s">
        <v>1</v>
      </c>
      <c r="E3" s="85" t="s">
        <v>96</v>
      </c>
      <c r="F3" s="86"/>
      <c r="G3" s="86"/>
      <c r="H3" s="87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41758</v>
      </c>
      <c r="AT3" s="34"/>
    </row>
    <row r="4" spans="1:46" s="36" customFormat="1">
      <c r="A4" s="8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4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4"/>
      <c r="B6" s="23"/>
      <c r="C6" s="44"/>
      <c r="D6" s="88" t="s">
        <v>5</v>
      </c>
      <c r="E6" s="88" t="s">
        <v>6</v>
      </c>
      <c r="F6" s="88" t="s">
        <v>7</v>
      </c>
      <c r="G6" s="88" t="s">
        <v>8</v>
      </c>
      <c r="H6" s="88" t="s">
        <v>9</v>
      </c>
      <c r="I6" s="88" t="s">
        <v>10</v>
      </c>
      <c r="J6" s="91" t="s">
        <v>11</v>
      </c>
      <c r="K6" s="91" t="s">
        <v>12</v>
      </c>
      <c r="L6" s="93" t="s">
        <v>13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5"/>
      <c r="AK6" s="96" t="s">
        <v>14</v>
      </c>
      <c r="AL6" s="96"/>
      <c r="AM6" s="97" t="s">
        <v>15</v>
      </c>
      <c r="AN6" s="97"/>
      <c r="AO6" s="88" t="s">
        <v>16</v>
      </c>
      <c r="AP6" s="43"/>
    </row>
    <row r="7" spans="1:46" s="54" customFormat="1" ht="23.25" customHeight="1">
      <c r="A7" s="46"/>
      <c r="B7" s="23"/>
      <c r="C7" s="44"/>
      <c r="D7" s="89"/>
      <c r="E7" s="89"/>
      <c r="F7" s="89"/>
      <c r="G7" s="89"/>
      <c r="H7" s="89"/>
      <c r="I7" s="89"/>
      <c r="J7" s="92"/>
      <c r="K7" s="92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9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1000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1" si="0">SUM(L8:AI8)</f>
        <v>1000</v>
      </c>
      <c r="AK8" s="64">
        <v>0</v>
      </c>
      <c r="AL8" s="65">
        <v>0</v>
      </c>
      <c r="AM8" s="66">
        <v>0</v>
      </c>
      <c r="AN8" s="66">
        <v>41907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46</v>
      </c>
      <c r="J9" s="58" t="s">
        <v>42</v>
      </c>
      <c r="K9" s="58" t="s">
        <v>47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>
        <v>800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800</v>
      </c>
      <c r="AK9" s="64">
        <v>0</v>
      </c>
      <c r="AL9" s="65">
        <v>0</v>
      </c>
      <c r="AM9" s="66">
        <v>0</v>
      </c>
      <c r="AN9" s="66">
        <v>41907</v>
      </c>
      <c r="AO9" s="61"/>
    </row>
    <row r="10" spans="1:46" ht="52.5" customHeight="1">
      <c r="A10" s="55">
        <v>3</v>
      </c>
      <c r="B10" s="56" t="s">
        <v>48</v>
      </c>
      <c r="D10" s="58">
        <v>3</v>
      </c>
      <c r="E10" s="59" t="s">
        <v>38</v>
      </c>
      <c r="F10" s="59" t="s">
        <v>39</v>
      </c>
      <c r="G10" s="59" t="s">
        <v>40</v>
      </c>
      <c r="H10" s="60"/>
      <c r="I10" s="61" t="s">
        <v>49</v>
      </c>
      <c r="J10" s="58" t="s">
        <v>42</v>
      </c>
      <c r="K10" s="58" t="s">
        <v>50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>
        <v>800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800</v>
      </c>
      <c r="AK10" s="64">
        <v>0</v>
      </c>
      <c r="AL10" s="65">
        <v>0</v>
      </c>
      <c r="AM10" s="66">
        <v>0</v>
      </c>
      <c r="AN10" s="66">
        <v>41907</v>
      </c>
      <c r="AO10" s="61"/>
    </row>
    <row r="11" spans="1:46" ht="52.5" customHeight="1">
      <c r="A11" s="55">
        <v>4</v>
      </c>
      <c r="B11" s="56" t="s">
        <v>51</v>
      </c>
      <c r="D11" s="58">
        <v>4</v>
      </c>
      <c r="E11" s="59" t="s">
        <v>38</v>
      </c>
      <c r="F11" s="59" t="s">
        <v>39</v>
      </c>
      <c r="G11" s="59" t="s">
        <v>40</v>
      </c>
      <c r="H11" s="60"/>
      <c r="I11" s="61" t="s">
        <v>52</v>
      </c>
      <c r="J11" s="58" t="s">
        <v>53</v>
      </c>
      <c r="K11" s="58" t="s">
        <v>54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>
        <v>800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800</v>
      </c>
      <c r="AK11" s="64">
        <v>0</v>
      </c>
      <c r="AL11" s="65">
        <v>0</v>
      </c>
      <c r="AM11" s="66">
        <v>0</v>
      </c>
      <c r="AN11" s="66">
        <v>41907</v>
      </c>
      <c r="AO11" s="61"/>
    </row>
    <row r="12" spans="1:46" ht="52.5" customHeight="1">
      <c r="A12" s="55">
        <v>5</v>
      </c>
      <c r="B12" s="56" t="s">
        <v>55</v>
      </c>
      <c r="D12" s="58">
        <v>5</v>
      </c>
      <c r="E12" s="59" t="s">
        <v>38</v>
      </c>
      <c r="F12" s="59" t="s">
        <v>39</v>
      </c>
      <c r="G12" s="59" t="s">
        <v>40</v>
      </c>
      <c r="H12" s="60"/>
      <c r="I12" s="61" t="s">
        <v>56</v>
      </c>
      <c r="J12" s="58" t="s">
        <v>57</v>
      </c>
      <c r="K12" s="58" t="s">
        <v>58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>
        <v>800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800</v>
      </c>
      <c r="AK12" s="64">
        <v>0</v>
      </c>
      <c r="AL12" s="65">
        <v>0</v>
      </c>
      <c r="AM12" s="66">
        <v>0</v>
      </c>
      <c r="AN12" s="66">
        <v>41907</v>
      </c>
      <c r="AO12" s="61"/>
    </row>
    <row r="13" spans="1:46" ht="52.5" customHeight="1">
      <c r="A13" s="55">
        <v>6</v>
      </c>
      <c r="B13" s="56" t="s">
        <v>59</v>
      </c>
      <c r="D13" s="58">
        <v>6</v>
      </c>
      <c r="E13" s="59" t="s">
        <v>38</v>
      </c>
      <c r="F13" s="59" t="s">
        <v>39</v>
      </c>
      <c r="G13" s="59" t="s">
        <v>40</v>
      </c>
      <c r="H13" s="60"/>
      <c r="I13" s="61" t="s">
        <v>60</v>
      </c>
      <c r="J13" s="58" t="s">
        <v>57</v>
      </c>
      <c r="K13" s="58" t="s">
        <v>61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>
        <v>800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800</v>
      </c>
      <c r="AK13" s="64">
        <v>0</v>
      </c>
      <c r="AL13" s="65">
        <v>0</v>
      </c>
      <c r="AM13" s="66">
        <v>0</v>
      </c>
      <c r="AN13" s="66">
        <v>41907</v>
      </c>
      <c r="AO13" s="61"/>
    </row>
    <row r="14" spans="1:46" ht="52.5" customHeight="1">
      <c r="A14" s="55">
        <v>7</v>
      </c>
      <c r="B14" s="56" t="s">
        <v>62</v>
      </c>
      <c r="D14" s="58">
        <v>7</v>
      </c>
      <c r="E14" s="59" t="s">
        <v>38</v>
      </c>
      <c r="F14" s="59" t="s">
        <v>39</v>
      </c>
      <c r="G14" s="59" t="s">
        <v>40</v>
      </c>
      <c r="H14" s="60"/>
      <c r="I14" s="61" t="s">
        <v>63</v>
      </c>
      <c r="J14" s="58" t="s">
        <v>57</v>
      </c>
      <c r="K14" s="58" t="s">
        <v>64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>
        <v>800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800</v>
      </c>
      <c r="AK14" s="64">
        <v>0</v>
      </c>
      <c r="AL14" s="65">
        <v>0</v>
      </c>
      <c r="AM14" s="66">
        <v>0</v>
      </c>
      <c r="AN14" s="66">
        <v>41907</v>
      </c>
      <c r="AO14" s="61"/>
    </row>
    <row r="15" spans="1:46" ht="52.5" customHeight="1">
      <c r="A15" s="55">
        <v>8</v>
      </c>
      <c r="B15" s="56" t="s">
        <v>65</v>
      </c>
      <c r="D15" s="58">
        <v>8</v>
      </c>
      <c r="E15" s="59" t="s">
        <v>38</v>
      </c>
      <c r="F15" s="59" t="s">
        <v>39</v>
      </c>
      <c r="G15" s="59" t="s">
        <v>40</v>
      </c>
      <c r="H15" s="60"/>
      <c r="I15" s="61" t="s">
        <v>66</v>
      </c>
      <c r="J15" s="58" t="s">
        <v>67</v>
      </c>
      <c r="K15" s="58" t="s">
        <v>47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>
        <v>600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600</v>
      </c>
      <c r="AK15" s="64">
        <v>0</v>
      </c>
      <c r="AL15" s="65">
        <v>0</v>
      </c>
      <c r="AM15" s="66">
        <v>0</v>
      </c>
      <c r="AN15" s="66">
        <v>41907</v>
      </c>
      <c r="AO15" s="61"/>
    </row>
    <row r="16" spans="1:46" ht="52.5" customHeight="1">
      <c r="A16" s="55">
        <v>9</v>
      </c>
      <c r="B16" s="56" t="s">
        <v>68</v>
      </c>
      <c r="D16" s="58">
        <v>9</v>
      </c>
      <c r="E16" s="59" t="s">
        <v>38</v>
      </c>
      <c r="F16" s="59" t="s">
        <v>39</v>
      </c>
      <c r="G16" s="59" t="s">
        <v>40</v>
      </c>
      <c r="H16" s="60"/>
      <c r="I16" s="61" t="s">
        <v>69</v>
      </c>
      <c r="J16" s="58" t="s">
        <v>67</v>
      </c>
      <c r="K16" s="58" t="s">
        <v>70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>
        <v>600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600</v>
      </c>
      <c r="AK16" s="64">
        <v>0</v>
      </c>
      <c r="AL16" s="65">
        <v>0</v>
      </c>
      <c r="AM16" s="66">
        <v>0</v>
      </c>
      <c r="AN16" s="66">
        <v>41907</v>
      </c>
      <c r="AO16" s="61"/>
    </row>
    <row r="17" spans="1:41" ht="52.5" customHeight="1">
      <c r="A17" s="55">
        <v>13</v>
      </c>
      <c r="B17" s="56" t="s">
        <v>72</v>
      </c>
      <c r="D17" s="58">
        <v>10</v>
      </c>
      <c r="E17" s="59" t="s">
        <v>38</v>
      </c>
      <c r="F17" s="59" t="s">
        <v>71</v>
      </c>
      <c r="G17" s="59" t="s">
        <v>40</v>
      </c>
      <c r="H17" s="60"/>
      <c r="I17" s="61" t="s">
        <v>73</v>
      </c>
      <c r="J17" s="58" t="s">
        <v>74</v>
      </c>
      <c r="K17" s="58" t="s">
        <v>43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>
        <v>800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800</v>
      </c>
      <c r="AK17" s="64">
        <v>0</v>
      </c>
      <c r="AL17" s="65">
        <v>0</v>
      </c>
      <c r="AM17" s="66">
        <v>0</v>
      </c>
      <c r="AN17" s="66">
        <v>41907</v>
      </c>
      <c r="AO17" s="61"/>
    </row>
    <row r="18" spans="1:41" ht="52.5" customHeight="1">
      <c r="A18" s="55">
        <v>14</v>
      </c>
      <c r="B18" s="56" t="s">
        <v>75</v>
      </c>
      <c r="D18" s="58">
        <v>11</v>
      </c>
      <c r="E18" s="59" t="s">
        <v>38</v>
      </c>
      <c r="F18" s="59" t="s">
        <v>71</v>
      </c>
      <c r="G18" s="59" t="s">
        <v>40</v>
      </c>
      <c r="H18" s="60"/>
      <c r="I18" s="61" t="s">
        <v>76</v>
      </c>
      <c r="J18" s="58" t="s">
        <v>77</v>
      </c>
      <c r="K18" s="58" t="s">
        <v>50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>
        <v>600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600</v>
      </c>
      <c r="AK18" s="64">
        <v>0</v>
      </c>
      <c r="AL18" s="65">
        <v>0</v>
      </c>
      <c r="AM18" s="66">
        <v>0</v>
      </c>
      <c r="AN18" s="66">
        <v>41907</v>
      </c>
      <c r="AO18" s="61"/>
    </row>
    <row r="19" spans="1:41" ht="52.5" customHeight="1">
      <c r="A19" s="55">
        <v>15</v>
      </c>
      <c r="B19" s="56" t="s">
        <v>78</v>
      </c>
      <c r="D19" s="58">
        <v>12</v>
      </c>
      <c r="E19" s="59" t="s">
        <v>38</v>
      </c>
      <c r="F19" s="59" t="s">
        <v>71</v>
      </c>
      <c r="G19" s="59" t="s">
        <v>40</v>
      </c>
      <c r="H19" s="60"/>
      <c r="I19" s="61" t="s">
        <v>79</v>
      </c>
      <c r="J19" s="58" t="s">
        <v>77</v>
      </c>
      <c r="K19" s="58" t="s">
        <v>43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>
        <v>600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600</v>
      </c>
      <c r="AK19" s="64">
        <v>0</v>
      </c>
      <c r="AL19" s="65">
        <v>0</v>
      </c>
      <c r="AM19" s="66">
        <v>0</v>
      </c>
      <c r="AN19" s="66">
        <v>41907</v>
      </c>
      <c r="AO19" s="61"/>
    </row>
    <row r="20" spans="1:41" ht="52.5" customHeight="1">
      <c r="A20" s="55">
        <v>19</v>
      </c>
      <c r="B20" s="56" t="s">
        <v>80</v>
      </c>
      <c r="D20" s="58">
        <v>13</v>
      </c>
      <c r="E20" s="59" t="s">
        <v>38</v>
      </c>
      <c r="F20" s="59" t="s">
        <v>71</v>
      </c>
      <c r="G20" s="59" t="s">
        <v>40</v>
      </c>
      <c r="H20" s="60"/>
      <c r="I20" s="61" t="s">
        <v>81</v>
      </c>
      <c r="J20" s="58" t="s">
        <v>82</v>
      </c>
      <c r="K20" s="58" t="s">
        <v>50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>
        <v>800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800</v>
      </c>
      <c r="AK20" s="64">
        <v>0</v>
      </c>
      <c r="AL20" s="65">
        <v>0</v>
      </c>
      <c r="AM20" s="66">
        <v>0</v>
      </c>
      <c r="AN20" s="66">
        <v>41907</v>
      </c>
      <c r="AO20" s="61"/>
    </row>
    <row r="21" spans="1:41" ht="52.5" customHeight="1">
      <c r="A21" s="55">
        <v>20</v>
      </c>
      <c r="B21" s="56" t="s">
        <v>90</v>
      </c>
      <c r="D21" s="58">
        <v>14</v>
      </c>
      <c r="E21" s="59" t="s">
        <v>38</v>
      </c>
      <c r="F21" s="59" t="s">
        <v>71</v>
      </c>
      <c r="G21" s="59" t="s">
        <v>91</v>
      </c>
      <c r="H21" s="60"/>
      <c r="I21" s="61" t="s">
        <v>92</v>
      </c>
      <c r="J21" s="58" t="s">
        <v>93</v>
      </c>
      <c r="K21" s="58" t="s">
        <v>50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>
        <v>800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ref="AJ21" si="1">SUM(L21:AI21)</f>
        <v>800</v>
      </c>
      <c r="AK21" s="64" t="s">
        <v>44</v>
      </c>
      <c r="AL21" s="65" t="s">
        <v>44</v>
      </c>
      <c r="AM21" s="66" t="s">
        <v>44</v>
      </c>
      <c r="AN21" s="66">
        <v>41907</v>
      </c>
      <c r="AO21" s="61"/>
    </row>
    <row r="22" spans="1:41" ht="52.5" customHeight="1">
      <c r="A22" s="55">
        <v>21</v>
      </c>
      <c r="B22" s="56" t="s">
        <v>83</v>
      </c>
      <c r="D22" s="58">
        <v>15</v>
      </c>
      <c r="E22" s="59" t="s">
        <v>38</v>
      </c>
      <c r="F22" s="59" t="s">
        <v>71</v>
      </c>
      <c r="G22" s="59" t="s">
        <v>40</v>
      </c>
      <c r="H22" s="60"/>
      <c r="I22" s="61" t="s">
        <v>84</v>
      </c>
      <c r="J22" s="58" t="s">
        <v>82</v>
      </c>
      <c r="K22" s="58" t="s">
        <v>43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>
        <v>800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800</v>
      </c>
      <c r="AK22" s="64">
        <v>0</v>
      </c>
      <c r="AL22" s="65">
        <v>0</v>
      </c>
      <c r="AM22" s="66">
        <v>0</v>
      </c>
      <c r="AN22" s="66">
        <v>41907</v>
      </c>
      <c r="AO22" s="61"/>
    </row>
    <row r="23" spans="1:41" ht="52.5" customHeight="1">
      <c r="A23" s="55">
        <v>22</v>
      </c>
      <c r="B23" s="56" t="s">
        <v>85</v>
      </c>
      <c r="D23" s="58">
        <v>16</v>
      </c>
      <c r="E23" s="59" t="s">
        <v>38</v>
      </c>
      <c r="F23" s="59" t="s">
        <v>71</v>
      </c>
      <c r="G23" s="59" t="s">
        <v>40</v>
      </c>
      <c r="H23" s="60"/>
      <c r="I23" s="61" t="s">
        <v>86</v>
      </c>
      <c r="J23" s="58" t="s">
        <v>82</v>
      </c>
      <c r="K23" s="58" t="s">
        <v>64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>
        <v>800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800</v>
      </c>
      <c r="AK23" s="64">
        <v>0</v>
      </c>
      <c r="AL23" s="65">
        <v>0</v>
      </c>
      <c r="AM23" s="66">
        <v>0</v>
      </c>
      <c r="AN23" s="66">
        <v>41907</v>
      </c>
      <c r="AO23" s="61"/>
    </row>
    <row r="24" spans="1:41" ht="52.5" customHeight="1">
      <c r="A24" s="55">
        <v>23</v>
      </c>
      <c r="B24" s="56" t="s">
        <v>94</v>
      </c>
      <c r="D24" s="58">
        <v>17</v>
      </c>
      <c r="E24" s="59" t="s">
        <v>38</v>
      </c>
      <c r="F24" s="59" t="s">
        <v>71</v>
      </c>
      <c r="G24" s="59" t="s">
        <v>91</v>
      </c>
      <c r="H24" s="60"/>
      <c r="I24" s="61" t="s">
        <v>95</v>
      </c>
      <c r="J24" s="58" t="s">
        <v>93</v>
      </c>
      <c r="K24" s="58" t="s">
        <v>64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>
        <v>800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800</v>
      </c>
      <c r="AK24" s="64" t="s">
        <v>44</v>
      </c>
      <c r="AL24" s="65" t="s">
        <v>44</v>
      </c>
      <c r="AM24" s="66" t="s">
        <v>44</v>
      </c>
      <c r="AN24" s="66">
        <v>41907</v>
      </c>
      <c r="AO24" s="61"/>
    </row>
    <row r="25" spans="1:41" ht="52.5" customHeight="1">
      <c r="A25" s="55">
        <v>24</v>
      </c>
      <c r="B25" s="56" t="s">
        <v>87</v>
      </c>
      <c r="D25" s="58">
        <v>18</v>
      </c>
      <c r="E25" s="59" t="s">
        <v>38</v>
      </c>
      <c r="F25" s="59" t="s">
        <v>71</v>
      </c>
      <c r="G25" s="59" t="s">
        <v>40</v>
      </c>
      <c r="H25" s="60"/>
      <c r="I25" s="61" t="s">
        <v>88</v>
      </c>
      <c r="J25" s="58" t="s">
        <v>82</v>
      </c>
      <c r="K25" s="58" t="s">
        <v>54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>
        <v>800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800</v>
      </c>
      <c r="AK25" s="64">
        <v>0</v>
      </c>
      <c r="AL25" s="65">
        <v>0</v>
      </c>
      <c r="AM25" s="66">
        <v>0</v>
      </c>
      <c r="AN25" s="66">
        <v>41907</v>
      </c>
      <c r="AO25" s="61"/>
    </row>
    <row r="26" spans="1:41" ht="52.5" hidden="1" customHeight="1">
      <c r="A26" s="55">
        <v>27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8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28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8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29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8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30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8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31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8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32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8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33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8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ref="AJ32:AJ63" si="2">SUM(L32:AI32)</f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7" ht="52.5" hidden="1" customHeight="1">
      <c r="A33" s="55">
        <v>34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8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2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7" ht="52.5" hidden="1" customHeight="1">
      <c r="A34" s="55">
        <v>35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8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2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7" ht="52.5" hidden="1" customHeight="1">
      <c r="A35" s="55">
        <v>36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8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2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7" ht="52.5" hidden="1" customHeight="1">
      <c r="A36" s="55">
        <v>37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8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2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7" ht="52.5" hidden="1" customHeight="1">
      <c r="A37" s="55">
        <v>38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8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2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7" ht="52.5" hidden="1" customHeight="1">
      <c r="A38" s="55">
        <v>39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8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2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7" ht="52.5" hidden="1" customHeight="1">
      <c r="A39" s="55">
        <v>40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8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2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7" ht="52.5" hidden="1" customHeight="1">
      <c r="A40" s="55">
        <v>41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8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si="2"/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7" ht="52.5" hidden="1" customHeight="1">
      <c r="A41" s="55">
        <v>42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8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2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7" ht="52.5" hidden="1" customHeight="1">
      <c r="A42" s="55">
        <v>43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8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2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7" ht="52.5" hidden="1" customHeight="1">
      <c r="A43" s="55">
        <v>44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8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2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7" ht="52.5" hidden="1" customHeight="1">
      <c r="A44" s="55">
        <v>45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8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2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7" ht="52.5" hidden="1" customHeight="1">
      <c r="A45" s="55">
        <v>46</v>
      </c>
      <c r="B45" s="56" t="s">
        <v>44</v>
      </c>
      <c r="C45" s="69"/>
      <c r="D45" s="58">
        <v>0</v>
      </c>
      <c r="E45" s="59" t="s">
        <v>44</v>
      </c>
      <c r="F45" s="59" t="s">
        <v>44</v>
      </c>
      <c r="G45" s="59" t="s">
        <v>44</v>
      </c>
      <c r="H45" s="70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2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71"/>
      <c r="AP45" s="72"/>
      <c r="AQ45" s="73"/>
      <c r="AR45" s="73"/>
      <c r="AS45" s="73"/>
      <c r="AT45" s="73"/>
      <c r="AU45" s="73"/>
    </row>
    <row r="46" spans="1:47" ht="52.5" hidden="1" customHeight="1">
      <c r="A46" s="55">
        <v>47</v>
      </c>
      <c r="B46" s="56" t="s">
        <v>44</v>
      </c>
      <c r="C46" s="69"/>
      <c r="D46" s="58">
        <v>0</v>
      </c>
      <c r="E46" s="59" t="s">
        <v>44</v>
      </c>
      <c r="F46" s="59" t="s">
        <v>44</v>
      </c>
      <c r="G46" s="59" t="s">
        <v>44</v>
      </c>
      <c r="H46" s="70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2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71"/>
      <c r="AP46" s="72"/>
      <c r="AQ46" s="73"/>
      <c r="AR46" s="73"/>
      <c r="AS46" s="73"/>
      <c r="AT46" s="73"/>
      <c r="AU46" s="73"/>
    </row>
    <row r="47" spans="1:47" ht="52.5" hidden="1" customHeight="1">
      <c r="A47" s="55">
        <v>48</v>
      </c>
      <c r="B47" s="56" t="s">
        <v>44</v>
      </c>
      <c r="C47" s="69"/>
      <c r="D47" s="58">
        <v>0</v>
      </c>
      <c r="E47" s="59" t="s">
        <v>44</v>
      </c>
      <c r="F47" s="59" t="s">
        <v>44</v>
      </c>
      <c r="G47" s="59" t="s">
        <v>44</v>
      </c>
      <c r="H47" s="70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2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71"/>
      <c r="AP47" s="72"/>
      <c r="AQ47" s="73"/>
      <c r="AR47" s="73"/>
      <c r="AS47" s="73"/>
      <c r="AT47" s="73"/>
      <c r="AU47" s="73"/>
    </row>
    <row r="48" spans="1:47" ht="52.5" hidden="1" customHeight="1">
      <c r="A48" s="55">
        <v>49</v>
      </c>
      <c r="B48" s="56" t="s">
        <v>44</v>
      </c>
      <c r="C48" s="69"/>
      <c r="D48" s="58">
        <v>0</v>
      </c>
      <c r="E48" s="59" t="s">
        <v>44</v>
      </c>
      <c r="F48" s="59" t="s">
        <v>44</v>
      </c>
      <c r="G48" s="59" t="s">
        <v>44</v>
      </c>
      <c r="H48" s="70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2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71"/>
      <c r="AP48" s="72"/>
      <c r="AQ48" s="73"/>
      <c r="AR48" s="73"/>
      <c r="AS48" s="73"/>
      <c r="AT48" s="73"/>
      <c r="AU48" s="73"/>
    </row>
    <row r="49" spans="1:47" ht="52.5" hidden="1" customHeight="1">
      <c r="A49" s="55">
        <v>50</v>
      </c>
      <c r="B49" s="56" t="s">
        <v>44</v>
      </c>
      <c r="C49" s="69"/>
      <c r="D49" s="58">
        <v>0</v>
      </c>
      <c r="E49" s="59" t="s">
        <v>44</v>
      </c>
      <c r="F49" s="59" t="s">
        <v>44</v>
      </c>
      <c r="G49" s="59" t="s">
        <v>44</v>
      </c>
      <c r="H49" s="70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2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71"/>
      <c r="AP49" s="72"/>
      <c r="AQ49" s="73"/>
      <c r="AR49" s="73"/>
      <c r="AS49" s="73"/>
      <c r="AT49" s="73"/>
      <c r="AU49" s="73"/>
    </row>
    <row r="50" spans="1:47" ht="52.5" hidden="1" customHeight="1">
      <c r="A50" s="55">
        <v>51</v>
      </c>
      <c r="B50" s="56" t="s">
        <v>44</v>
      </c>
      <c r="C50" s="69"/>
      <c r="D50" s="58">
        <v>0</v>
      </c>
      <c r="E50" s="59" t="s">
        <v>44</v>
      </c>
      <c r="F50" s="59" t="s">
        <v>44</v>
      </c>
      <c r="G50" s="59" t="s">
        <v>44</v>
      </c>
      <c r="H50" s="70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2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71"/>
      <c r="AP50" s="72"/>
      <c r="AQ50" s="73"/>
      <c r="AR50" s="73"/>
      <c r="AS50" s="73"/>
      <c r="AT50" s="73"/>
      <c r="AU50" s="73"/>
    </row>
    <row r="51" spans="1:47" ht="52.5" hidden="1" customHeight="1">
      <c r="A51" s="55">
        <v>52</v>
      </c>
      <c r="B51" s="56" t="s">
        <v>44</v>
      </c>
      <c r="C51" s="69"/>
      <c r="D51" s="58">
        <v>0</v>
      </c>
      <c r="E51" s="59" t="s">
        <v>44</v>
      </c>
      <c r="F51" s="59" t="s">
        <v>44</v>
      </c>
      <c r="G51" s="59" t="s">
        <v>44</v>
      </c>
      <c r="H51" s="70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2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71"/>
      <c r="AP51" s="72"/>
      <c r="AQ51" s="73"/>
      <c r="AR51" s="73"/>
      <c r="AS51" s="73"/>
      <c r="AT51" s="73"/>
      <c r="AU51" s="73"/>
    </row>
    <row r="52" spans="1:47" ht="52.5" hidden="1" customHeight="1">
      <c r="A52" s="55">
        <v>53</v>
      </c>
      <c r="B52" s="56" t="s">
        <v>44</v>
      </c>
      <c r="C52" s="69"/>
      <c r="D52" s="58">
        <v>0</v>
      </c>
      <c r="E52" s="59" t="s">
        <v>44</v>
      </c>
      <c r="F52" s="59" t="s">
        <v>44</v>
      </c>
      <c r="G52" s="59" t="s">
        <v>44</v>
      </c>
      <c r="H52" s="70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2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71"/>
      <c r="AP52" s="72"/>
      <c r="AQ52" s="73"/>
      <c r="AR52" s="73"/>
      <c r="AS52" s="73"/>
      <c r="AT52" s="73"/>
      <c r="AU52" s="73"/>
    </row>
    <row r="53" spans="1:47" ht="52.5" hidden="1" customHeight="1">
      <c r="A53" s="55">
        <v>54</v>
      </c>
      <c r="B53" s="56" t="s">
        <v>44</v>
      </c>
      <c r="C53" s="69"/>
      <c r="D53" s="58">
        <v>0</v>
      </c>
      <c r="E53" s="59" t="s">
        <v>44</v>
      </c>
      <c r="F53" s="59" t="s">
        <v>44</v>
      </c>
      <c r="G53" s="59" t="s">
        <v>44</v>
      </c>
      <c r="H53" s="70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2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55</v>
      </c>
      <c r="B54" s="56" t="s">
        <v>44</v>
      </c>
      <c r="C54" s="69"/>
      <c r="D54" s="58">
        <v>0</v>
      </c>
      <c r="E54" s="59" t="s">
        <v>44</v>
      </c>
      <c r="F54" s="59" t="s">
        <v>44</v>
      </c>
      <c r="G54" s="59" t="s">
        <v>44</v>
      </c>
      <c r="H54" s="70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2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56</v>
      </c>
      <c r="B55" s="56" t="s">
        <v>44</v>
      </c>
      <c r="C55" s="69"/>
      <c r="D55" s="58">
        <v>0</v>
      </c>
      <c r="E55" s="59" t="s">
        <v>44</v>
      </c>
      <c r="F55" s="59" t="s">
        <v>44</v>
      </c>
      <c r="G55" s="59" t="s">
        <v>44</v>
      </c>
      <c r="H55" s="70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2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57</v>
      </c>
      <c r="B56" s="56" t="s">
        <v>44</v>
      </c>
      <c r="C56" s="69"/>
      <c r="D56" s="58">
        <v>0</v>
      </c>
      <c r="E56" s="59" t="s">
        <v>44</v>
      </c>
      <c r="F56" s="59" t="s">
        <v>44</v>
      </c>
      <c r="G56" s="59" t="s">
        <v>44</v>
      </c>
      <c r="H56" s="70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2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58</v>
      </c>
      <c r="B57" s="56" t="s">
        <v>44</v>
      </c>
      <c r="C57" s="69"/>
      <c r="D57" s="58">
        <v>0</v>
      </c>
      <c r="E57" s="59" t="s">
        <v>44</v>
      </c>
      <c r="F57" s="59" t="s">
        <v>44</v>
      </c>
      <c r="G57" s="59" t="s">
        <v>44</v>
      </c>
      <c r="H57" s="70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2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59</v>
      </c>
      <c r="B58" s="56" t="s">
        <v>44</v>
      </c>
      <c r="C58" s="69"/>
      <c r="D58" s="58">
        <v>0</v>
      </c>
      <c r="E58" s="59" t="s">
        <v>44</v>
      </c>
      <c r="F58" s="59" t="s">
        <v>44</v>
      </c>
      <c r="G58" s="59" t="s">
        <v>44</v>
      </c>
      <c r="H58" s="70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2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60</v>
      </c>
      <c r="B59" s="56" t="s">
        <v>44</v>
      </c>
      <c r="C59" s="69"/>
      <c r="D59" s="58">
        <v>0</v>
      </c>
      <c r="E59" s="59" t="s">
        <v>44</v>
      </c>
      <c r="F59" s="59" t="s">
        <v>44</v>
      </c>
      <c r="G59" s="59" t="s">
        <v>44</v>
      </c>
      <c r="H59" s="70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2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61</v>
      </c>
      <c r="B60" s="56" t="s">
        <v>44</v>
      </c>
      <c r="C60" s="69"/>
      <c r="D60" s="58">
        <v>0</v>
      </c>
      <c r="E60" s="59" t="s">
        <v>44</v>
      </c>
      <c r="F60" s="59" t="s">
        <v>44</v>
      </c>
      <c r="G60" s="59" t="s">
        <v>44</v>
      </c>
      <c r="H60" s="60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2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62</v>
      </c>
      <c r="B61" s="56" t="s">
        <v>44</v>
      </c>
      <c r="C61" s="69"/>
      <c r="D61" s="58">
        <v>0</v>
      </c>
      <c r="E61" s="59" t="s">
        <v>44</v>
      </c>
      <c r="F61" s="59" t="s">
        <v>44</v>
      </c>
      <c r="G61" s="59" t="s">
        <v>44</v>
      </c>
      <c r="H61" s="60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74" t="s">
        <v>44</v>
      </c>
      <c r="Q61" s="74" t="s">
        <v>44</v>
      </c>
      <c r="R61" s="74" t="s">
        <v>44</v>
      </c>
      <c r="S61" s="74" t="s">
        <v>44</v>
      </c>
      <c r="T61" s="74" t="s">
        <v>44</v>
      </c>
      <c r="U61" s="74" t="s">
        <v>44</v>
      </c>
      <c r="V61" s="74" t="s">
        <v>44</v>
      </c>
      <c r="W61" s="74" t="s">
        <v>44</v>
      </c>
      <c r="X61" s="74" t="s">
        <v>44</v>
      </c>
      <c r="Y61" s="74" t="s">
        <v>44</v>
      </c>
      <c r="Z61" s="74" t="s">
        <v>44</v>
      </c>
      <c r="AA61" s="74" t="s">
        <v>44</v>
      </c>
      <c r="AB61" s="74" t="s">
        <v>44</v>
      </c>
      <c r="AC61" s="74" t="s">
        <v>44</v>
      </c>
      <c r="AD61" s="74" t="s">
        <v>44</v>
      </c>
      <c r="AE61" s="74" t="s">
        <v>44</v>
      </c>
      <c r="AF61" s="74" t="s">
        <v>44</v>
      </c>
      <c r="AG61" s="74" t="s">
        <v>44</v>
      </c>
      <c r="AH61" s="74" t="s">
        <v>44</v>
      </c>
      <c r="AI61" s="74" t="s">
        <v>44</v>
      </c>
      <c r="AJ61" s="75">
        <f t="shared" si="2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63</v>
      </c>
      <c r="B62" s="56" t="s">
        <v>44</v>
      </c>
      <c r="C62" s="69"/>
      <c r="D62" s="58">
        <v>0</v>
      </c>
      <c r="E62" s="59" t="s">
        <v>44</v>
      </c>
      <c r="F62" s="59" t="s">
        <v>44</v>
      </c>
      <c r="G62" s="59" t="s">
        <v>44</v>
      </c>
      <c r="H62" s="60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74" t="s">
        <v>44</v>
      </c>
      <c r="Q62" s="74" t="s">
        <v>44</v>
      </c>
      <c r="R62" s="74" t="s">
        <v>44</v>
      </c>
      <c r="S62" s="74" t="s">
        <v>44</v>
      </c>
      <c r="T62" s="74" t="s">
        <v>44</v>
      </c>
      <c r="U62" s="74" t="s">
        <v>44</v>
      </c>
      <c r="V62" s="74" t="s">
        <v>44</v>
      </c>
      <c r="W62" s="74" t="s">
        <v>44</v>
      </c>
      <c r="X62" s="74" t="s">
        <v>44</v>
      </c>
      <c r="Y62" s="74" t="s">
        <v>44</v>
      </c>
      <c r="Z62" s="74" t="s">
        <v>44</v>
      </c>
      <c r="AA62" s="74" t="s">
        <v>44</v>
      </c>
      <c r="AB62" s="74" t="s">
        <v>44</v>
      </c>
      <c r="AC62" s="74" t="s">
        <v>44</v>
      </c>
      <c r="AD62" s="74" t="s">
        <v>44</v>
      </c>
      <c r="AE62" s="74" t="s">
        <v>44</v>
      </c>
      <c r="AF62" s="74" t="s">
        <v>44</v>
      </c>
      <c r="AG62" s="74" t="s">
        <v>44</v>
      </c>
      <c r="AH62" s="74" t="s">
        <v>44</v>
      </c>
      <c r="AI62" s="74" t="s">
        <v>44</v>
      </c>
      <c r="AJ62" s="75">
        <f t="shared" si="2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64</v>
      </c>
      <c r="B63" s="56" t="s">
        <v>44</v>
      </c>
      <c r="C63" s="69"/>
      <c r="D63" s="58">
        <v>0</v>
      </c>
      <c r="E63" s="59" t="s">
        <v>44</v>
      </c>
      <c r="F63" s="59" t="s">
        <v>44</v>
      </c>
      <c r="G63" s="59" t="s">
        <v>44</v>
      </c>
      <c r="H63" s="60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74" t="s">
        <v>44</v>
      </c>
      <c r="Q63" s="74" t="s">
        <v>44</v>
      </c>
      <c r="R63" s="74" t="s">
        <v>44</v>
      </c>
      <c r="S63" s="74" t="s">
        <v>44</v>
      </c>
      <c r="T63" s="74" t="s">
        <v>44</v>
      </c>
      <c r="U63" s="74" t="s">
        <v>44</v>
      </c>
      <c r="V63" s="74" t="s">
        <v>44</v>
      </c>
      <c r="W63" s="74" t="s">
        <v>44</v>
      </c>
      <c r="X63" s="74" t="s">
        <v>44</v>
      </c>
      <c r="Y63" s="74" t="s">
        <v>44</v>
      </c>
      <c r="Z63" s="74" t="s">
        <v>44</v>
      </c>
      <c r="AA63" s="74" t="s">
        <v>44</v>
      </c>
      <c r="AB63" s="74" t="s">
        <v>44</v>
      </c>
      <c r="AC63" s="74" t="s">
        <v>44</v>
      </c>
      <c r="AD63" s="74" t="s">
        <v>44</v>
      </c>
      <c r="AE63" s="74" t="s">
        <v>44</v>
      </c>
      <c r="AF63" s="74" t="s">
        <v>44</v>
      </c>
      <c r="AG63" s="74" t="s">
        <v>44</v>
      </c>
      <c r="AH63" s="74" t="s">
        <v>44</v>
      </c>
      <c r="AI63" s="74" t="s">
        <v>44</v>
      </c>
      <c r="AJ63" s="75">
        <f t="shared" si="2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65</v>
      </c>
      <c r="B64" s="56" t="s">
        <v>44</v>
      </c>
      <c r="C64" s="69"/>
      <c r="D64" s="58">
        <v>0</v>
      </c>
      <c r="E64" s="59" t="s">
        <v>44</v>
      </c>
      <c r="F64" s="59" t="s">
        <v>44</v>
      </c>
      <c r="G64" s="59" t="s">
        <v>44</v>
      </c>
      <c r="H64" s="60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74" t="s">
        <v>44</v>
      </c>
      <c r="Q64" s="74" t="s">
        <v>44</v>
      </c>
      <c r="R64" s="74" t="s">
        <v>44</v>
      </c>
      <c r="S64" s="74" t="s">
        <v>44</v>
      </c>
      <c r="T64" s="74" t="s">
        <v>44</v>
      </c>
      <c r="U64" s="74" t="s">
        <v>44</v>
      </c>
      <c r="V64" s="74" t="s">
        <v>44</v>
      </c>
      <c r="W64" s="74" t="s">
        <v>44</v>
      </c>
      <c r="X64" s="74" t="s">
        <v>44</v>
      </c>
      <c r="Y64" s="74" t="s">
        <v>44</v>
      </c>
      <c r="Z64" s="74" t="s">
        <v>44</v>
      </c>
      <c r="AA64" s="74" t="s">
        <v>44</v>
      </c>
      <c r="AB64" s="74" t="s">
        <v>44</v>
      </c>
      <c r="AC64" s="74" t="s">
        <v>44</v>
      </c>
      <c r="AD64" s="74" t="s">
        <v>44</v>
      </c>
      <c r="AE64" s="74" t="s">
        <v>44</v>
      </c>
      <c r="AF64" s="74" t="s">
        <v>44</v>
      </c>
      <c r="AG64" s="74" t="s">
        <v>44</v>
      </c>
      <c r="AH64" s="74" t="s">
        <v>44</v>
      </c>
      <c r="AI64" s="74" t="s">
        <v>44</v>
      </c>
      <c r="AJ64" s="75">
        <f t="shared" ref="AJ64:AJ68" si="3">SUM(L64:AI64)</f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66</v>
      </c>
      <c r="B65" s="56" t="s">
        <v>44</v>
      </c>
      <c r="C65" s="69"/>
      <c r="D65" s="58">
        <v>0</v>
      </c>
      <c r="E65" s="59" t="s">
        <v>44</v>
      </c>
      <c r="F65" s="59" t="s">
        <v>44</v>
      </c>
      <c r="G65" s="59" t="s">
        <v>44</v>
      </c>
      <c r="H65" s="60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74" t="s">
        <v>44</v>
      </c>
      <c r="Q65" s="74" t="s">
        <v>44</v>
      </c>
      <c r="R65" s="74" t="s">
        <v>44</v>
      </c>
      <c r="S65" s="74" t="s">
        <v>44</v>
      </c>
      <c r="T65" s="74" t="s">
        <v>44</v>
      </c>
      <c r="U65" s="74" t="s">
        <v>44</v>
      </c>
      <c r="V65" s="74" t="s">
        <v>44</v>
      </c>
      <c r="W65" s="74" t="s">
        <v>44</v>
      </c>
      <c r="X65" s="74" t="s">
        <v>44</v>
      </c>
      <c r="Y65" s="74" t="s">
        <v>44</v>
      </c>
      <c r="Z65" s="74" t="s">
        <v>44</v>
      </c>
      <c r="AA65" s="74" t="s">
        <v>44</v>
      </c>
      <c r="AB65" s="74" t="s">
        <v>44</v>
      </c>
      <c r="AC65" s="74" t="s">
        <v>44</v>
      </c>
      <c r="AD65" s="74" t="s">
        <v>44</v>
      </c>
      <c r="AE65" s="74" t="s">
        <v>44</v>
      </c>
      <c r="AF65" s="74" t="s">
        <v>44</v>
      </c>
      <c r="AG65" s="74" t="s">
        <v>44</v>
      </c>
      <c r="AH65" s="74" t="s">
        <v>44</v>
      </c>
      <c r="AI65" s="74" t="s">
        <v>44</v>
      </c>
      <c r="AJ65" s="75">
        <f t="shared" si="3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67</v>
      </c>
      <c r="B66" s="56" t="s">
        <v>44</v>
      </c>
      <c r="C66" s="69"/>
      <c r="D66" s="58">
        <v>0</v>
      </c>
      <c r="E66" s="59" t="s">
        <v>44</v>
      </c>
      <c r="F66" s="59" t="s">
        <v>44</v>
      </c>
      <c r="G66" s="59" t="s">
        <v>44</v>
      </c>
      <c r="H66" s="60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74" t="s">
        <v>44</v>
      </c>
      <c r="Q66" s="74" t="s">
        <v>44</v>
      </c>
      <c r="R66" s="74" t="s">
        <v>44</v>
      </c>
      <c r="S66" s="74" t="s">
        <v>44</v>
      </c>
      <c r="T66" s="74" t="s">
        <v>44</v>
      </c>
      <c r="U66" s="74" t="s">
        <v>44</v>
      </c>
      <c r="V66" s="74" t="s">
        <v>44</v>
      </c>
      <c r="W66" s="74" t="s">
        <v>44</v>
      </c>
      <c r="X66" s="74" t="s">
        <v>44</v>
      </c>
      <c r="Y66" s="74" t="s">
        <v>44</v>
      </c>
      <c r="Z66" s="74" t="s">
        <v>44</v>
      </c>
      <c r="AA66" s="74" t="s">
        <v>44</v>
      </c>
      <c r="AB66" s="74" t="s">
        <v>44</v>
      </c>
      <c r="AC66" s="74" t="s">
        <v>44</v>
      </c>
      <c r="AD66" s="74" t="s">
        <v>44</v>
      </c>
      <c r="AE66" s="74" t="s">
        <v>44</v>
      </c>
      <c r="AF66" s="74" t="s">
        <v>44</v>
      </c>
      <c r="AG66" s="74" t="s">
        <v>44</v>
      </c>
      <c r="AH66" s="74" t="s">
        <v>44</v>
      </c>
      <c r="AI66" s="74" t="s">
        <v>44</v>
      </c>
      <c r="AJ66" s="75">
        <f t="shared" si="3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68</v>
      </c>
      <c r="B67" s="56" t="s">
        <v>44</v>
      </c>
      <c r="C67" s="69"/>
      <c r="D67" s="58">
        <v>0</v>
      </c>
      <c r="E67" s="59" t="s">
        <v>44</v>
      </c>
      <c r="F67" s="59" t="s">
        <v>44</v>
      </c>
      <c r="G67" s="59" t="s">
        <v>44</v>
      </c>
      <c r="H67" s="60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74" t="s">
        <v>44</v>
      </c>
      <c r="Q67" s="74" t="s">
        <v>44</v>
      </c>
      <c r="R67" s="74" t="s">
        <v>44</v>
      </c>
      <c r="S67" s="74" t="s">
        <v>44</v>
      </c>
      <c r="T67" s="74" t="s">
        <v>44</v>
      </c>
      <c r="U67" s="74" t="s">
        <v>44</v>
      </c>
      <c r="V67" s="74" t="s">
        <v>44</v>
      </c>
      <c r="W67" s="74" t="s">
        <v>44</v>
      </c>
      <c r="X67" s="74" t="s">
        <v>44</v>
      </c>
      <c r="Y67" s="74" t="s">
        <v>44</v>
      </c>
      <c r="Z67" s="74" t="s">
        <v>44</v>
      </c>
      <c r="AA67" s="74" t="s">
        <v>44</v>
      </c>
      <c r="AB67" s="74" t="s">
        <v>44</v>
      </c>
      <c r="AC67" s="74" t="s">
        <v>44</v>
      </c>
      <c r="AD67" s="74" t="s">
        <v>44</v>
      </c>
      <c r="AE67" s="74" t="s">
        <v>44</v>
      </c>
      <c r="AF67" s="74" t="s">
        <v>44</v>
      </c>
      <c r="AG67" s="74" t="s">
        <v>44</v>
      </c>
      <c r="AH67" s="74" t="s">
        <v>44</v>
      </c>
      <c r="AI67" s="74" t="s">
        <v>44</v>
      </c>
      <c r="AJ67" s="75">
        <f t="shared" si="3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69</v>
      </c>
      <c r="B68" s="56" t="s">
        <v>44</v>
      </c>
      <c r="C68" s="69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74" t="s">
        <v>44</v>
      </c>
      <c r="Q68" s="74" t="s">
        <v>44</v>
      </c>
      <c r="R68" s="74" t="s">
        <v>44</v>
      </c>
      <c r="S68" s="74" t="s">
        <v>44</v>
      </c>
      <c r="T68" s="74" t="s">
        <v>44</v>
      </c>
      <c r="U68" s="74" t="s">
        <v>44</v>
      </c>
      <c r="V68" s="74" t="s">
        <v>44</v>
      </c>
      <c r="W68" s="74" t="s">
        <v>44</v>
      </c>
      <c r="X68" s="74" t="s">
        <v>44</v>
      </c>
      <c r="Y68" s="74" t="s">
        <v>44</v>
      </c>
      <c r="Z68" s="74" t="s">
        <v>44</v>
      </c>
      <c r="AA68" s="74" t="s">
        <v>44</v>
      </c>
      <c r="AB68" s="74" t="s">
        <v>44</v>
      </c>
      <c r="AC68" s="74" t="s">
        <v>44</v>
      </c>
      <c r="AD68" s="74" t="s">
        <v>44</v>
      </c>
      <c r="AE68" s="74" t="s">
        <v>44</v>
      </c>
      <c r="AF68" s="74" t="s">
        <v>44</v>
      </c>
      <c r="AG68" s="74" t="s">
        <v>44</v>
      </c>
      <c r="AH68" s="74" t="s">
        <v>44</v>
      </c>
      <c r="AI68" s="74" t="s">
        <v>44</v>
      </c>
      <c r="AJ68" s="75">
        <f t="shared" si="3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1"/>
      <c r="AP68" s="72"/>
      <c r="AQ68" s="73"/>
      <c r="AR68" s="73"/>
      <c r="AS68" s="73"/>
      <c r="AT68" s="73"/>
      <c r="AU68" s="73"/>
    </row>
    <row r="69" spans="1:47" ht="21.75" customHeight="1">
      <c r="A69" s="55"/>
      <c r="B69" s="56"/>
      <c r="D69" s="90" t="s">
        <v>32</v>
      </c>
      <c r="E69" s="90"/>
      <c r="F69" s="76"/>
      <c r="G69" s="76"/>
      <c r="H69" s="76"/>
      <c r="I69" s="76"/>
      <c r="J69" s="76"/>
      <c r="K69" s="76"/>
      <c r="L69" s="77">
        <f>SUM(L8:L68)</f>
        <v>0</v>
      </c>
      <c r="M69" s="77">
        <f>SUM(M8:M68)</f>
        <v>0</v>
      </c>
      <c r="N69" s="77">
        <f>SUM(N8:N68)</f>
        <v>0</v>
      </c>
      <c r="O69" s="77">
        <f>SUM(O8:O68)</f>
        <v>0</v>
      </c>
      <c r="P69" s="77">
        <f>SUM(P8:P68)</f>
        <v>0</v>
      </c>
      <c r="Q69" s="77">
        <f>SUM(Q8:Q68)</f>
        <v>0</v>
      </c>
      <c r="R69" s="77">
        <f>SUM(R8:R68)</f>
        <v>0</v>
      </c>
      <c r="S69" s="77">
        <f>SUM(S8:S68)</f>
        <v>0</v>
      </c>
      <c r="T69" s="77">
        <f>SUM(T8:T68)</f>
        <v>0</v>
      </c>
      <c r="U69" s="77">
        <f>SUM(U8:U68)</f>
        <v>0</v>
      </c>
      <c r="V69" s="77">
        <f>SUM(V8:V68)</f>
        <v>0</v>
      </c>
      <c r="W69" s="77">
        <f>SUM(W8:W68)</f>
        <v>0</v>
      </c>
      <c r="X69" s="77">
        <f>SUM(X8:X68)</f>
        <v>0</v>
      </c>
      <c r="Y69" s="77">
        <f>SUM(Y8:Y68)</f>
        <v>0</v>
      </c>
      <c r="Z69" s="77">
        <f>SUM(Z8:Z68)</f>
        <v>0</v>
      </c>
      <c r="AA69" s="77">
        <f>SUM(AA8:AA68)</f>
        <v>0</v>
      </c>
      <c r="AB69" s="77">
        <f>SUM(AB8:AB68)</f>
        <v>0</v>
      </c>
      <c r="AC69" s="77">
        <f>SUM(AC8:AC68)</f>
        <v>0</v>
      </c>
      <c r="AD69" s="77">
        <f>SUM(AD8:AD68)</f>
        <v>0</v>
      </c>
      <c r="AE69" s="77">
        <f>SUM(AE8:AE68)</f>
        <v>13800</v>
      </c>
      <c r="AF69" s="77">
        <f t="shared" ref="AF69" si="4">SUM(AF8:AF68)</f>
        <v>0</v>
      </c>
      <c r="AG69" s="77">
        <f>SUM(AG8:AG68)</f>
        <v>0</v>
      </c>
      <c r="AH69" s="77">
        <f>SUM(AH8:AH68)</f>
        <v>0</v>
      </c>
      <c r="AI69" s="77">
        <f>SUM(AI8:AI68)</f>
        <v>0</v>
      </c>
      <c r="AJ69" s="77">
        <f>SUM(AJ8:AJ68)</f>
        <v>13800</v>
      </c>
      <c r="AK69" s="78">
        <f>SUMPRODUCT($AJ8:$AJ60,$AK8:$AK60)</f>
        <v>0</v>
      </c>
      <c r="AL69" s="79">
        <f>SUMPRODUCT($AJ8:$AJ60,AL8:AL60)</f>
        <v>0</v>
      </c>
      <c r="AM69" s="80"/>
      <c r="AN69" s="80"/>
      <c r="AO69" s="81"/>
    </row>
    <row r="70" spans="1:47" ht="14.25">
      <c r="A70" s="55"/>
      <c r="B70" s="56"/>
      <c r="D70" s="41"/>
    </row>
    <row r="71" spans="1:47">
      <c r="A71" s="55"/>
      <c r="B71" s="56"/>
    </row>
    <row r="72" spans="1:47">
      <c r="A72" s="55"/>
      <c r="B72" s="56"/>
    </row>
    <row r="73" spans="1:47">
      <c r="A73" s="55"/>
      <c r="B73" s="56"/>
    </row>
    <row r="74" spans="1:47">
      <c r="A74" s="55"/>
      <c r="B74" s="56"/>
    </row>
    <row r="75" spans="1:47">
      <c r="A75" s="55"/>
      <c r="B75" s="56"/>
    </row>
    <row r="76" spans="1:47">
      <c r="A76" s="55"/>
      <c r="B76" s="56"/>
    </row>
    <row r="77" spans="1:47">
      <c r="A77" s="55"/>
      <c r="B77" s="56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</sheetData>
  <autoFilter ref="L7:AJ69">
    <filterColumn colId="24">
      <customFilters>
        <customFilter operator="notEqual" val=" "/>
      </customFilters>
    </filterColumn>
  </autoFilter>
  <mergeCells count="15">
    <mergeCell ref="AO6:AO7"/>
    <mergeCell ref="D69:E69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60:H68">
    <cfRule type="expression" dxfId="9" priority="31" stopIfTrue="1">
      <formula>$H60="TTL"</formula>
    </cfRule>
  </conditionalFormatting>
  <conditionalFormatting sqref="H22:H23 H8:H20 H25">
    <cfRule type="expression" dxfId="8" priority="15" stopIfTrue="1">
      <formula>$I8="TTL"</formula>
    </cfRule>
  </conditionalFormatting>
  <conditionalFormatting sqref="H22:H23 H8:H20 H25">
    <cfRule type="expression" dxfId="7" priority="14">
      <formula>$I8="TTL"</formula>
    </cfRule>
  </conditionalFormatting>
  <conditionalFormatting sqref="H22:H23 H8:H20 H25">
    <cfRule type="expression" dxfId="6" priority="13" stopIfTrue="1">
      <formula>$M8="TTL"</formula>
    </cfRule>
  </conditionalFormatting>
  <conditionalFormatting sqref="H21">
    <cfRule type="expression" dxfId="5" priority="6" stopIfTrue="1">
      <formula>$I21="TTL"</formula>
    </cfRule>
  </conditionalFormatting>
  <conditionalFormatting sqref="H21">
    <cfRule type="expression" dxfId="4" priority="5">
      <formula>$I21="TTL"</formula>
    </cfRule>
  </conditionalFormatting>
  <conditionalFormatting sqref="H21">
    <cfRule type="expression" dxfId="3" priority="4" stopIfTrue="1">
      <formula>$M21="TTL"</formula>
    </cfRule>
  </conditionalFormatting>
  <conditionalFormatting sqref="H24">
    <cfRule type="expression" dxfId="2" priority="3" stopIfTrue="1">
      <formula>$I24="TTL"</formula>
    </cfRule>
  </conditionalFormatting>
  <conditionalFormatting sqref="H24">
    <cfRule type="expression" dxfId="1" priority="2">
      <formula>$I24="TTL"</formula>
    </cfRule>
  </conditionalFormatting>
  <conditionalFormatting sqref="H24">
    <cfRule type="expression" dxfId="0" priority="1" stopIfTrue="1">
      <formula>$M24="TTL"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0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2014-04-28T08:26:07Z</cp:lastPrinted>
  <dcterms:created xsi:type="dcterms:W3CDTF">2014-04-28T08:23:23Z</dcterms:created>
  <dcterms:modified xsi:type="dcterms:W3CDTF">2014-07-01T01:48:03Z</dcterms:modified>
</cp:coreProperties>
</file>