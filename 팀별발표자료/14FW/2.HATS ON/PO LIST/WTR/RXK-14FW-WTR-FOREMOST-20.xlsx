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7795" windowHeight="12045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<sst xmlns="http://schemas.openxmlformats.org/spreadsheetml/2006/main" count="2445" uniqueCount="51">
  <si>
    <t>PURCHASE ORDER LIST</t>
    <phoneticPr fontId="4" type="noConversion"/>
  </si>
  <si>
    <t>PO#</t>
    <phoneticPr fontId="4" type="noConversion"/>
  </si>
  <si>
    <t>RXK-14FW-WTR-FOREMOST-20</t>
    <phoneticPr fontId="4" type="noConversion"/>
  </si>
  <si>
    <t>WTR-FOREMOST-20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</si>
  <si>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</si>
  <si>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</si>
  <si>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</si>
  <si>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</si>
  <si>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</si>
  <si>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</si>
  <si>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</si>
  <si>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</si>
  <si>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</si>
  <si>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</si>
  <si>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</si>
  <si>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</si>
  <si>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</si>
  <si>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</si>
  <si>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</si>
  <si>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</si>
  <si>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</si>
  <si>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</si>
  <si>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</si>
  <si>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</si>
  <si>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</si>
  <si>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</si>
  <si>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</si>
  <si>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</si>
  <si>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</si>
  <si>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</si>
  <si>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</si>
  <si>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</si>
  <si>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</si>
  <si>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</si>
  <si>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</si>
  <si>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</si>
  <si>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</si>
  <si>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</si>
  <si>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WTRERF5008BLACK</t>
  </si>
  <si>
    <t>WITAILOR</t>
  </si>
  <si>
    <t>EARCAP</t>
  </si>
  <si>
    <t>U</t>
  </si>
  <si>
    <t>14FW WITAILOR CAP-09-BK</t>
  </si>
  <si>
    <t>WTRERF5008</t>
  </si>
  <si>
    <t>BLACK</t>
  </si>
  <si>
    <t/>
  </si>
  <si>
    <t>WTRERF5009KHAKI</t>
  </si>
  <si>
    <t>14FW WITAILOR CAP-10-KH</t>
  </si>
  <si>
    <t>WTRERF5009</t>
  </si>
  <si>
    <t>KHAKI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</si>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</sst>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7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95249</xdr:colOff>
      <xdr:row>7</xdr:row>
      <xdr:rowOff>108856</xdr:rowOff>
    </xdr:from>
    <xdr:to>
      <xdr:col>7</xdr:col>
      <xdr:colOff>671249</xdr:colOff>
      <xdr:row>7</xdr:row>
      <xdr:rowOff>607318</xdr:rowOff>
    </xdr:to>
    <xdr:pic>
      <xdr:nvPicPr>
        <xdr:cNvPr id="2" name="그림 1" descr="K-6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05374" y="559169206"/>
          <a:ext cx="576000" cy="498462"/>
        </a:xfrm>
        <a:prstGeom prst="rect">
          <a:avLst/>
        </a:prstGeom>
      </xdr:spPr>
    </xdr:pic>
    <xdr:clientData/>
  </xdr:twoCellAnchor>
  <xdr:twoCellAnchor>
    <xdr:from>
      <xdr:col>7</xdr:col>
      <xdr:colOff>95249</xdr:colOff>
      <xdr:row>8</xdr:row>
      <xdr:rowOff>108857</xdr:rowOff>
    </xdr:from>
    <xdr:to>
      <xdr:col>7</xdr:col>
      <xdr:colOff>671249</xdr:colOff>
      <xdr:row>8</xdr:row>
      <xdr:rowOff>546326</xdr:rowOff>
    </xdr:to>
    <xdr:pic>
      <xdr:nvPicPr>
        <xdr:cNvPr id="3" name="그림 2" descr="K-7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905374" y="559835957"/>
          <a:ext cx="576000" cy="4374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T9" activePane="bottomRight" state="frozen"/>
      <selection activeCell="AD15" sqref="AD15"/>
      <selection pane="topRight" activeCell="AD15" sqref="AD15"/>
      <selection pane="bottomLeft" activeCell="AD15" sqref="AD15"/>
      <selection pane="bottomRight" activeCell="AJ92" sqref="AJ92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50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41747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800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800</v>
      </c>
      <c r="AK8" s="77">
        <v>0</v>
      </c>
      <c r="AL8" s="78">
        <v>0</v>
      </c>
      <c r="AM8" s="79">
        <v>0</v>
      </c>
      <c r="AN8" s="79">
        <v>41879</v>
      </c>
      <c r="AO8" s="74"/>
      <c r="AP8" s="38"/>
    </row>
    <row r="9" spans="1:46" ht="52.5" customHeight="1">
      <c r="A9" s="68">
        <v>2</v>
      </c>
      <c r="B9" s="69" t="s">
        <v>46</v>
      </c>
      <c r="D9" s="71">
        <v>2</v>
      </c>
      <c r="E9" s="72" t="s">
        <v>39</v>
      </c>
      <c r="F9" s="72" t="s">
        <v>40</v>
      </c>
      <c r="G9" s="72" t="s">
        <v>41</v>
      </c>
      <c r="H9" s="73"/>
      <c r="I9" s="74" t="s">
        <v>47</v>
      </c>
      <c r="J9" s="71" t="s">
        <v>48</v>
      </c>
      <c r="K9" s="71" t="s">
        <v>49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>
        <v>800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800</v>
      </c>
      <c r="AK9" s="77">
        <v>0</v>
      </c>
      <c r="AL9" s="78">
        <v>0</v>
      </c>
      <c r="AM9" s="79">
        <v>0</v>
      </c>
      <c r="AN9" s="79">
        <v>41879</v>
      </c>
      <c r="AO9" s="74"/>
    </row>
    <row r="10" spans="1:46" ht="52.5" hidden="1" customHeight="1">
      <c r="A10" s="68">
        <v>3</v>
      </c>
      <c r="B10" s="69" t="s">
        <v>45</v>
      </c>
      <c r="D10" s="71">
        <v>0</v>
      </c>
      <c r="E10" s="72" t="s">
        <v>45</v>
      </c>
      <c r="F10" s="72" t="s">
        <v>45</v>
      </c>
      <c r="G10" s="72" t="s">
        <v>45</v>
      </c>
      <c r="H10" s="73"/>
      <c r="I10" s="74" t="s">
        <v>45</v>
      </c>
      <c r="J10" s="71" t="s">
        <v>45</v>
      </c>
      <c r="K10" s="71" t="s">
        <v>45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 t="s">
        <v>45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0</v>
      </c>
      <c r="AK10" s="77" t="s">
        <v>45</v>
      </c>
      <c r="AL10" s="78" t="s">
        <v>45</v>
      </c>
      <c r="AM10" s="79" t="s">
        <v>45</v>
      </c>
      <c r="AN10" s="79" t="s">
        <v>45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 t="shared" ref="AJ72:AJ76" si="2"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 t="shared" si="2"/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 t="shared" si="2"/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 t="shared" si="2"/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 t="shared" si="2"/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I77" si="3">SUM(L8:L76)</f>
        <v>0</v>
      </c>
      <c r="M77" s="92">
        <f t="shared" si="3"/>
        <v>0</v>
      </c>
      <c r="N77" s="92">
        <f t="shared" si="3"/>
        <v>0</v>
      </c>
      <c r="O77" s="92">
        <f t="shared" si="3"/>
        <v>0</v>
      </c>
      <c r="P77" s="92">
        <f>SUM(P8:P76)</f>
        <v>0</v>
      </c>
      <c r="Q77" s="92">
        <f>SUM(Q8:Q76)</f>
        <v>0</v>
      </c>
      <c r="R77" s="92">
        <f t="shared" si="3"/>
        <v>0</v>
      </c>
      <c r="S77" s="92">
        <f>SUM(S8:S76)</f>
        <v>0</v>
      </c>
      <c r="T77" s="92">
        <f t="shared" si="3"/>
        <v>0</v>
      </c>
      <c r="U77" s="92">
        <f t="shared" si="3"/>
        <v>0</v>
      </c>
      <c r="V77" s="92">
        <f t="shared" si="3"/>
        <v>0</v>
      </c>
      <c r="W77" s="92">
        <f>SUM(W8:W76)</f>
        <v>0</v>
      </c>
      <c r="X77" s="92">
        <f>SUM(X8:X76)</f>
        <v>0</v>
      </c>
      <c r="Y77" s="92">
        <f t="shared" ref="Y77" si="4">SUM(Y8:Y76)</f>
        <v>0</v>
      </c>
      <c r="Z77" s="92">
        <f>SUM(Z8:Z76)</f>
        <v>0</v>
      </c>
      <c r="AA77" s="92">
        <f t="shared" ref="AA77:AC77" si="5">SUM(AA8:AA76)</f>
        <v>0</v>
      </c>
      <c r="AB77" s="92">
        <f t="shared" si="5"/>
        <v>0</v>
      </c>
      <c r="AC77" s="92">
        <f t="shared" si="5"/>
        <v>0</v>
      </c>
      <c r="AD77" s="92">
        <f>SUM(AD8:AD76)</f>
        <v>0</v>
      </c>
      <c r="AE77" s="92">
        <f>SUM(AE8:AE76)</f>
        <v>1600</v>
      </c>
      <c r="AF77" s="92">
        <f t="shared" ref="AF77" si="6">SUM(AF8:AF76)</f>
        <v>0</v>
      </c>
      <c r="AG77" s="92">
        <f t="shared" si="3"/>
        <v>0</v>
      </c>
      <c r="AH77" s="92">
        <f t="shared" si="3"/>
        <v>0</v>
      </c>
      <c r="AI77" s="92">
        <f t="shared" si="3"/>
        <v>0</v>
      </c>
      <c r="AJ77" s="92">
        <f>SUM(AJ8:AJ76)</f>
        <v>1600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 ht="13.5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0:H29 H68:H76">
    <cfRule type="expression" dxfId="16" priority="17" stopIfTrue="1">
      <formula>$H10="TTL"</formula>
    </cfRule>
  </conditionalFormatting>
  <conditionalFormatting sqref="H28">
    <cfRule type="expression" dxfId="15" priority="16" stopIfTrue="1">
      <formula>$H28="TTL"</formula>
    </cfRule>
  </conditionalFormatting>
  <conditionalFormatting sqref="H10:H29">
    <cfRule type="expression" dxfId="14" priority="15" stopIfTrue="1">
      <formula>$H10="TTL"</formula>
    </cfRule>
  </conditionalFormatting>
  <conditionalFormatting sqref="H28">
    <cfRule type="expression" dxfId="13" priority="14" stopIfTrue="1">
      <formula>$H28="TTL"</formula>
    </cfRule>
  </conditionalFormatting>
  <conditionalFormatting sqref="H10:H30">
    <cfRule type="expression" dxfId="12" priority="13" stopIfTrue="1">
      <formula>$H10="TTL"</formula>
    </cfRule>
  </conditionalFormatting>
  <conditionalFormatting sqref="H10">
    <cfRule type="expression" dxfId="11" priority="12" stopIfTrue="1">
      <formula>$H10="TTL"</formula>
    </cfRule>
  </conditionalFormatting>
  <conditionalFormatting sqref="H10:H18">
    <cfRule type="expression" dxfId="10" priority="11" stopIfTrue="1">
      <formula>$H10="TTL"</formula>
    </cfRule>
  </conditionalFormatting>
  <conditionalFormatting sqref="H10:H14">
    <cfRule type="expression" dxfId="9" priority="10" stopIfTrue="1">
      <formula>$H10="TTL"</formula>
    </cfRule>
  </conditionalFormatting>
  <conditionalFormatting sqref="H10:H15">
    <cfRule type="expression" dxfId="8" priority="9" stopIfTrue="1">
      <formula>$H10="TTL"</formula>
    </cfRule>
  </conditionalFormatting>
  <conditionalFormatting sqref="H10:H32">
    <cfRule type="expression" dxfId="7" priority="8" stopIfTrue="1">
      <formula>$H10="TTL"</formula>
    </cfRule>
  </conditionalFormatting>
  <conditionalFormatting sqref="H10:H15">
    <cfRule type="expression" dxfId="6" priority="7" stopIfTrue="1">
      <formula>$H10="TTL"</formula>
    </cfRule>
  </conditionalFormatting>
  <conditionalFormatting sqref="H10:H11">
    <cfRule type="expression" dxfId="5" priority="6" stopIfTrue="1">
      <formula>$H10="TTL"</formula>
    </cfRule>
  </conditionalFormatting>
  <conditionalFormatting sqref="H10:H12">
    <cfRule type="expression" dxfId="4" priority="5" stopIfTrue="1">
      <formula>$H10="TTL"</formula>
    </cfRule>
  </conditionalFormatting>
  <conditionalFormatting sqref="H10:H14">
    <cfRule type="expression" dxfId="2" priority="3" stopIfTrue="1">
      <formula>$H10="TTL"</formula>
    </cfRule>
  </conditionalFormatting>
  <conditionalFormatting sqref="H10:H12">
    <cfRule type="expression" dxfId="1" priority="2" stopIfTrue="1">
      <formula>$I10="TTL"</formula>
    </cfRule>
  </conditionalFormatting>
  <conditionalFormatting sqref="H8:H9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2014-04-18T06:18:12Z</cp:lastPrinted>
  <dcterms:created xsi:type="dcterms:W3CDTF">2014-04-18T06:06:51Z</dcterms:created>
  <dcterms:modified xsi:type="dcterms:W3CDTF">2014-04-18T06:54:28Z</dcterms:modified>
</cp:coreProperties>
</file>