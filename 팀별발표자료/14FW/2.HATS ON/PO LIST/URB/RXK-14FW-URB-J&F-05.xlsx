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ISSUE'!$L$7:$AJ$79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ISSUE'!$AE$7:$AE$79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ISSUE'!$AE$7:$AE$79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9" i="1" l="1"/>
  <c r="AH79" i="1"/>
  <c r="AG79" i="1"/>
  <c r="AF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AE79" i="1"/>
  <c r="AJ79" i="1"/>
  <c r="AJ9" i="1"/>
  <c r="AJ8" i="1"/>
  <c r="AJ78" i="1" l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L79" i="1" s="1"/>
  <c r="AK79" i="1" l="1"/>
</calcChain>
</file>

<file path=xl/sharedStrings.xml><?xml version="1.0" encoding="utf-8"?>
<sst xmlns="http://schemas.openxmlformats.org/spreadsheetml/2006/main" count="2490" uniqueCount="66">
  <si>
    <t>PURCHASE ORDER LIST</t>
    <phoneticPr fontId="4" type="noConversion"/>
  </si>
  <si>
    <t>PO#</t>
    <phoneticPr fontId="4" type="noConversion"/>
  </si>
  <si>
    <t>RXK-14FW-URB-J&amp;F-05</t>
    <phoneticPr fontId="4" type="noConversion"/>
  </si>
  <si>
    <t>URB-J&amp;F-05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</si>
  <si>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</si>
  <si>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</si>
  <si>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</si>
  <si>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</si>
  <si>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</si>
  <si>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</si>
  <si>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</si>
  <si>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</si>
  <si>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</si>
  <si>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</si>
  <si>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</si>
  <si>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</si>
  <si>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</si>
  <si>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</si>
  <si>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</si>
  <si>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</si>
  <si>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</si>
  <si>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</si>
  <si>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</si>
  <si>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</si>
  <si>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</si>
  <si>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</si>
  <si>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</si>
  <si>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</si>
  <si>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</si>
  <si>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</si>
  <si>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</si>
  <si>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</si>
  <si>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</si>
  <si>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</si>
  <si>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</si>
  <si>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</si>
  <si>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</si>
  <si>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</si>
  <si>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URBSNF3033BLACK</t>
  </si>
  <si>
    <t>URBAN SWAGGER</t>
  </si>
  <si>
    <t>SNAPBACK</t>
  </si>
  <si>
    <t>U</t>
  </si>
  <si>
    <t>14FW_URBAN SWAGGER_43_FLAP_BK</t>
  </si>
  <si>
    <t>URBSNF3033</t>
  </si>
  <si>
    <t>BLACK</t>
  </si>
  <si>
    <t/>
  </si>
  <si>
    <t>URBSNF3034BLACK</t>
  </si>
  <si>
    <t>14FW_URBAN SWAGGER_44_FLAP_BK</t>
  </si>
  <si>
    <t>URBSNF3034</t>
  </si>
  <si>
    <t>URBSNF3035BLACK</t>
  </si>
  <si>
    <t>14FW_URBAN SWAGGER_45_FLAP_BK</t>
  </si>
  <si>
    <t>URBSNF3035</t>
  </si>
  <si>
    <t>URBSNF3036BLACK</t>
  </si>
  <si>
    <t>14FW_URBAN SWAGGER_46_FLAP_BK</t>
  </si>
  <si>
    <t>URBSNF3036</t>
  </si>
  <si>
    <t>URBSNF3037BLACK</t>
  </si>
  <si>
    <t>14FW_URBAN SWAGGER_47_FLAP_BK</t>
  </si>
  <si>
    <t>URBSNF3037</t>
  </si>
  <si>
    <t>FW</t>
  </si>
  <si>
    <t>URBSNF3031GREEN</t>
  </si>
  <si>
    <t>14FW_URBAN SWAGGER_25_FLAT_GN</t>
  </si>
  <si>
    <t>URBSNF3031</t>
  </si>
  <si>
    <t>GREEN</t>
  </si>
  <si>
    <t>URBSNF3032BLACK</t>
  </si>
  <si>
    <t>14FW_URBAN SWAGGER_28_FLAT_BK</t>
  </si>
  <si>
    <t>URBSNF3032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</si>
</sst>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9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9</xdr:row>
      <xdr:rowOff>108856</xdr:rowOff>
    </xdr:from>
    <xdr:to>
      <xdr:col>7</xdr:col>
      <xdr:colOff>648856</xdr:colOff>
      <xdr:row>9</xdr:row>
      <xdr:rowOff>587356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4596" t="20547" r="39700" b="29034"/>
        <a:stretch>
          <a:fillRect/>
        </a:stretch>
      </xdr:blipFill>
      <xdr:spPr bwMode="auto">
        <a:xfrm>
          <a:off x="4918981" y="835870456"/>
          <a:ext cx="540000" cy="478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10</xdr:row>
      <xdr:rowOff>108856</xdr:rowOff>
    </xdr:from>
    <xdr:to>
      <xdr:col>7</xdr:col>
      <xdr:colOff>648856</xdr:colOff>
      <xdr:row>10</xdr:row>
      <xdr:rowOff>574433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4974" t="29366" r="49127" b="21303"/>
        <a:stretch>
          <a:fillRect/>
        </a:stretch>
      </xdr:blipFill>
      <xdr:spPr bwMode="auto">
        <a:xfrm>
          <a:off x="4918981" y="836537206"/>
          <a:ext cx="540000" cy="4655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68035</xdr:colOff>
      <xdr:row>11</xdr:row>
      <xdr:rowOff>149677</xdr:rowOff>
    </xdr:from>
    <xdr:to>
      <xdr:col>7</xdr:col>
      <xdr:colOff>716035</xdr:colOff>
      <xdr:row>11</xdr:row>
      <xdr:rowOff>530230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10214" t="21969" r="35244" b="26980"/>
        <a:stretch>
          <a:fillRect/>
        </a:stretch>
      </xdr:blipFill>
      <xdr:spPr bwMode="auto">
        <a:xfrm>
          <a:off x="4878160" y="837244777"/>
          <a:ext cx="648000" cy="3805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12</xdr:row>
      <xdr:rowOff>108856</xdr:rowOff>
    </xdr:from>
    <xdr:to>
      <xdr:col>7</xdr:col>
      <xdr:colOff>648856</xdr:colOff>
      <xdr:row>12</xdr:row>
      <xdr:rowOff>582098</xdr:rowOff>
    </xdr:to>
    <xdr:pic>
      <xdr:nvPicPr>
        <xdr:cNvPr id="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18041" t="24182" r="45876" b="25399"/>
        <a:stretch>
          <a:fillRect/>
        </a:stretch>
      </xdr:blipFill>
      <xdr:spPr bwMode="auto">
        <a:xfrm>
          <a:off x="4918981" y="837870706"/>
          <a:ext cx="540000" cy="4732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68035</xdr:colOff>
      <xdr:row>13</xdr:row>
      <xdr:rowOff>149677</xdr:rowOff>
    </xdr:from>
    <xdr:to>
      <xdr:col>7</xdr:col>
      <xdr:colOff>716035</xdr:colOff>
      <xdr:row>13</xdr:row>
      <xdr:rowOff>530436</xdr:rowOff>
    </xdr:to>
    <xdr:pic>
      <xdr:nvPicPr>
        <xdr:cNvPr id="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9913" t="26237" r="35765" b="22870"/>
        <a:stretch>
          <a:fillRect/>
        </a:stretch>
      </xdr:blipFill>
      <xdr:spPr bwMode="auto">
        <a:xfrm>
          <a:off x="4878160" y="838578277"/>
          <a:ext cx="648000" cy="3807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7</xdr:row>
      <xdr:rowOff>108856</xdr:rowOff>
    </xdr:from>
    <xdr:to>
      <xdr:col>7</xdr:col>
      <xdr:colOff>662463</xdr:colOff>
      <xdr:row>7</xdr:row>
      <xdr:rowOff>553688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11531" t="14857" r="38270" b="19393"/>
        <a:stretch>
          <a:fillRect/>
        </a:stretch>
      </xdr:blipFill>
      <xdr:spPr bwMode="auto">
        <a:xfrm>
          <a:off x="4189638" y="1804306"/>
          <a:ext cx="540000" cy="4448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8</xdr:row>
      <xdr:rowOff>108856</xdr:rowOff>
    </xdr:from>
    <xdr:to>
      <xdr:col>7</xdr:col>
      <xdr:colOff>662463</xdr:colOff>
      <xdr:row>8</xdr:row>
      <xdr:rowOff>553050</xdr:rowOff>
    </xdr:to>
    <xdr:pic>
      <xdr:nvPicPr>
        <xdr:cNvPr id="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12593" t="22760" r="38225" b="12755"/>
        <a:stretch>
          <a:fillRect/>
        </a:stretch>
      </xdr:blipFill>
      <xdr:spPr bwMode="auto">
        <a:xfrm>
          <a:off x="4189638" y="2471056"/>
          <a:ext cx="540000" cy="4441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3"/>
  <sheetViews>
    <sheetView showGridLines="0" showZeros="0" tabSelected="1" zoomScale="75" zoomScaleNormal="75" workbookViewId="0">
      <pane xSplit="11" ySplit="10" topLeftCell="L11" activePane="bottomRight" state="frozen"/>
      <selection activeCell="AD15" sqref="AD15"/>
      <selection pane="topRight" activeCell="AD15" sqref="AD15"/>
      <selection pane="bottomLeft" activeCell="AD15" sqref="AD15"/>
      <selection pane="bottomRight" activeCell="AG85" sqref="AG85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41821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59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60</v>
      </c>
      <c r="J8" s="71" t="s">
        <v>61</v>
      </c>
      <c r="K8" s="71" t="s">
        <v>62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9" si="0">SUM(L8:AI8)</f>
        <v>500</v>
      </c>
      <c r="AK8" s="77">
        <v>0</v>
      </c>
      <c r="AL8" s="78">
        <v>0</v>
      </c>
      <c r="AM8" s="79">
        <v>0</v>
      </c>
      <c r="AN8" s="79">
        <v>41900</v>
      </c>
      <c r="AO8" s="74"/>
      <c r="AP8" s="38"/>
    </row>
    <row r="9" spans="1:46" ht="52.5" customHeight="1">
      <c r="A9" s="68">
        <v>2</v>
      </c>
      <c r="B9" s="69" t="s">
        <v>63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64</v>
      </c>
      <c r="J9" s="71" t="s">
        <v>65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500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500</v>
      </c>
      <c r="AK9" s="77">
        <v>0</v>
      </c>
      <c r="AL9" s="78">
        <v>0</v>
      </c>
      <c r="AM9" s="79">
        <v>0</v>
      </c>
      <c r="AN9" s="79">
        <v>41900</v>
      </c>
      <c r="AO9" s="74"/>
    </row>
    <row r="10" spans="1:46" s="80" customFormat="1" ht="52.5" customHeight="1">
      <c r="A10" s="68">
        <v>1</v>
      </c>
      <c r="B10" s="69" t="s">
        <v>38</v>
      </c>
      <c r="C10" s="70"/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42</v>
      </c>
      <c r="J10" s="71" t="s">
        <v>43</v>
      </c>
      <c r="K10" s="71" t="s">
        <v>44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1000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ref="AJ10:AJ41" si="1">SUM(L10:AI10)</f>
        <v>1000</v>
      </c>
      <c r="AK10" s="77">
        <v>0</v>
      </c>
      <c r="AL10" s="78">
        <v>0</v>
      </c>
      <c r="AM10" s="79">
        <v>0</v>
      </c>
      <c r="AN10" s="79">
        <v>41900</v>
      </c>
      <c r="AO10" s="74"/>
      <c r="AP10" s="38"/>
    </row>
    <row r="11" spans="1:46" ht="52.5" customHeight="1">
      <c r="A11" s="68">
        <v>2</v>
      </c>
      <c r="B11" s="69" t="s">
        <v>46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47</v>
      </c>
      <c r="J11" s="71" t="s">
        <v>48</v>
      </c>
      <c r="K11" s="71" t="s">
        <v>44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1200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1"/>
        <v>1200</v>
      </c>
      <c r="AK11" s="77">
        <v>0</v>
      </c>
      <c r="AL11" s="78">
        <v>0</v>
      </c>
      <c r="AM11" s="79">
        <v>0</v>
      </c>
      <c r="AN11" s="79">
        <v>41900</v>
      </c>
      <c r="AO11" s="74"/>
    </row>
    <row r="12" spans="1:46" ht="52.5" customHeight="1">
      <c r="A12" s="68">
        <v>3</v>
      </c>
      <c r="B12" s="69" t="s">
        <v>49</v>
      </c>
      <c r="D12" s="71">
        <v>5</v>
      </c>
      <c r="E12" s="72" t="s">
        <v>39</v>
      </c>
      <c r="F12" s="72" t="s">
        <v>40</v>
      </c>
      <c r="G12" s="72" t="s">
        <v>41</v>
      </c>
      <c r="H12" s="73"/>
      <c r="I12" s="74" t="s">
        <v>50</v>
      </c>
      <c r="J12" s="71" t="s">
        <v>51</v>
      </c>
      <c r="K12" s="71" t="s">
        <v>44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>
        <v>1200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1"/>
        <v>1200</v>
      </c>
      <c r="AK12" s="77">
        <v>0</v>
      </c>
      <c r="AL12" s="78">
        <v>0</v>
      </c>
      <c r="AM12" s="79">
        <v>0</v>
      </c>
      <c r="AN12" s="79">
        <v>41900</v>
      </c>
      <c r="AO12" s="74"/>
    </row>
    <row r="13" spans="1:46" ht="52.5" customHeight="1">
      <c r="A13" s="68">
        <v>4</v>
      </c>
      <c r="B13" s="69" t="s">
        <v>52</v>
      </c>
      <c r="D13" s="71">
        <v>6</v>
      </c>
      <c r="E13" s="72" t="s">
        <v>39</v>
      </c>
      <c r="F13" s="72" t="s">
        <v>40</v>
      </c>
      <c r="G13" s="72" t="s">
        <v>41</v>
      </c>
      <c r="H13" s="73"/>
      <c r="I13" s="74" t="s">
        <v>53</v>
      </c>
      <c r="J13" s="71" t="s">
        <v>54</v>
      </c>
      <c r="K13" s="71" t="s">
        <v>44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>
        <v>1000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1"/>
        <v>1000</v>
      </c>
      <c r="AK13" s="77">
        <v>0</v>
      </c>
      <c r="AL13" s="78">
        <v>0</v>
      </c>
      <c r="AM13" s="79">
        <v>0</v>
      </c>
      <c r="AN13" s="79">
        <v>41900</v>
      </c>
      <c r="AO13" s="74"/>
    </row>
    <row r="14" spans="1:46" ht="52.5" customHeight="1">
      <c r="A14" s="68">
        <v>5</v>
      </c>
      <c r="B14" s="69" t="s">
        <v>55</v>
      </c>
      <c r="D14" s="71">
        <v>7</v>
      </c>
      <c r="E14" s="72" t="s">
        <v>39</v>
      </c>
      <c r="F14" s="72" t="s">
        <v>40</v>
      </c>
      <c r="G14" s="72" t="s">
        <v>41</v>
      </c>
      <c r="H14" s="73"/>
      <c r="I14" s="74" t="s">
        <v>56</v>
      </c>
      <c r="J14" s="71" t="s">
        <v>57</v>
      </c>
      <c r="K14" s="71" t="s">
        <v>44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>
        <v>1000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1"/>
        <v>1000</v>
      </c>
      <c r="AK14" s="77">
        <v>0</v>
      </c>
      <c r="AL14" s="78">
        <v>0</v>
      </c>
      <c r="AM14" s="79">
        <v>0</v>
      </c>
      <c r="AN14" s="79">
        <v>41900</v>
      </c>
      <c r="AO14" s="74"/>
    </row>
    <row r="15" spans="1:46" ht="52.5" hidden="1" customHeight="1">
      <c r="A15" s="68">
        <v>6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81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1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7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81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1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7" ht="52.5" hidden="1" customHeight="1">
      <c r="A17" s="68">
        <v>8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1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7" ht="52.5" hidden="1" customHeight="1">
      <c r="A18" s="68">
        <v>9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1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7" s="38" customFormat="1" ht="52.5" hidden="1" customHeight="1">
      <c r="A19" s="68">
        <v>10</v>
      </c>
      <c r="B19" s="69" t="s">
        <v>45</v>
      </c>
      <c r="C19" s="25"/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1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  <c r="AQ19" s="34"/>
      <c r="AR19" s="34"/>
      <c r="AS19" s="34"/>
      <c r="AT19" s="34"/>
      <c r="AU19" s="34"/>
    </row>
    <row r="20" spans="1:47" s="38" customFormat="1" ht="52.5" hidden="1" customHeight="1">
      <c r="A20" s="68">
        <v>11</v>
      </c>
      <c r="B20" s="69" t="s">
        <v>45</v>
      </c>
      <c r="C20" s="25"/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1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  <c r="AQ20" s="34"/>
      <c r="AR20" s="34"/>
      <c r="AS20" s="34"/>
      <c r="AT20" s="34"/>
      <c r="AU20" s="34"/>
    </row>
    <row r="21" spans="1:47" s="38" customFormat="1" ht="52.5" hidden="1" customHeight="1">
      <c r="A21" s="68">
        <v>12</v>
      </c>
      <c r="B21" s="69" t="s">
        <v>45</v>
      </c>
      <c r="C21" s="25"/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1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  <c r="AQ21" s="34"/>
      <c r="AR21" s="34"/>
      <c r="AS21" s="34"/>
      <c r="AT21" s="34"/>
      <c r="AU21" s="34"/>
    </row>
    <row r="22" spans="1:47" s="38" customFormat="1" ht="52.5" hidden="1" customHeight="1">
      <c r="A22" s="68">
        <v>13</v>
      </c>
      <c r="B22" s="69" t="s">
        <v>45</v>
      </c>
      <c r="C22" s="25"/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1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  <c r="AQ22" s="34"/>
      <c r="AR22" s="34"/>
      <c r="AS22" s="34"/>
      <c r="AT22" s="34"/>
      <c r="AU22" s="34"/>
    </row>
    <row r="23" spans="1:47" s="38" customFormat="1" ht="52.5" hidden="1" customHeight="1">
      <c r="A23" s="68">
        <v>14</v>
      </c>
      <c r="B23" s="69" t="s">
        <v>45</v>
      </c>
      <c r="C23" s="25"/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1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  <c r="AQ23" s="34"/>
      <c r="AR23" s="34"/>
      <c r="AS23" s="34"/>
      <c r="AT23" s="34"/>
      <c r="AU23" s="34"/>
    </row>
    <row r="24" spans="1:47" s="38" customFormat="1" ht="52.5" hidden="1" customHeight="1">
      <c r="A24" s="68">
        <v>15</v>
      </c>
      <c r="B24" s="69" t="s">
        <v>45</v>
      </c>
      <c r="C24" s="25"/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1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  <c r="AQ24" s="34"/>
      <c r="AR24" s="34"/>
      <c r="AS24" s="34"/>
      <c r="AT24" s="34"/>
      <c r="AU24" s="34"/>
    </row>
    <row r="25" spans="1:47" s="38" customFormat="1" ht="52.5" hidden="1" customHeight="1">
      <c r="A25" s="68">
        <v>16</v>
      </c>
      <c r="B25" s="69" t="s">
        <v>45</v>
      </c>
      <c r="C25" s="25"/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1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  <c r="AQ25" s="34"/>
      <c r="AR25" s="34"/>
      <c r="AS25" s="34"/>
      <c r="AT25" s="34"/>
      <c r="AU25" s="34"/>
    </row>
    <row r="26" spans="1:47" s="38" customFormat="1" ht="52.5" hidden="1" customHeight="1">
      <c r="A26" s="68">
        <v>17</v>
      </c>
      <c r="B26" s="69" t="s">
        <v>45</v>
      </c>
      <c r="C26" s="25"/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1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  <c r="AQ26" s="34"/>
      <c r="AR26" s="34"/>
      <c r="AS26" s="34"/>
      <c r="AT26" s="34"/>
      <c r="AU26" s="34"/>
    </row>
    <row r="27" spans="1:47" s="38" customFormat="1" ht="52.5" hidden="1" customHeight="1">
      <c r="A27" s="68">
        <v>18</v>
      </c>
      <c r="B27" s="69" t="s">
        <v>45</v>
      </c>
      <c r="C27" s="25"/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1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  <c r="AQ27" s="34"/>
      <c r="AR27" s="34"/>
      <c r="AS27" s="34"/>
      <c r="AT27" s="34"/>
      <c r="AU27" s="34"/>
    </row>
    <row r="28" spans="1:47" s="38" customFormat="1" ht="52.5" hidden="1" customHeight="1">
      <c r="A28" s="68">
        <v>19</v>
      </c>
      <c r="B28" s="69" t="s">
        <v>45</v>
      </c>
      <c r="C28" s="25"/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1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  <c r="AQ28" s="34"/>
      <c r="AR28" s="34"/>
      <c r="AS28" s="34"/>
      <c r="AT28" s="34"/>
      <c r="AU28" s="34"/>
    </row>
    <row r="29" spans="1:47" s="38" customFormat="1" ht="52.5" hidden="1" customHeight="1">
      <c r="A29" s="68">
        <v>20</v>
      </c>
      <c r="B29" s="69" t="s">
        <v>45</v>
      </c>
      <c r="C29" s="25"/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1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  <c r="AQ29" s="34"/>
      <c r="AR29" s="34"/>
      <c r="AS29" s="34"/>
      <c r="AT29" s="34"/>
      <c r="AU29" s="34"/>
    </row>
    <row r="30" spans="1:47" s="38" customFormat="1" ht="52.5" hidden="1" customHeight="1">
      <c r="A30" s="68">
        <v>21</v>
      </c>
      <c r="B30" s="69" t="s">
        <v>45</v>
      </c>
      <c r="C30" s="25"/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1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  <c r="AQ30" s="34"/>
      <c r="AR30" s="34"/>
      <c r="AS30" s="34"/>
      <c r="AT30" s="34"/>
      <c r="AU30" s="34"/>
    </row>
    <row r="31" spans="1:47" s="38" customFormat="1" ht="52.5" hidden="1" customHeight="1">
      <c r="A31" s="68">
        <v>22</v>
      </c>
      <c r="B31" s="69" t="s">
        <v>45</v>
      </c>
      <c r="C31" s="25"/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1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  <c r="AQ31" s="34"/>
      <c r="AR31" s="34"/>
      <c r="AS31" s="34"/>
      <c r="AT31" s="34"/>
      <c r="AU31" s="34"/>
    </row>
    <row r="32" spans="1:47" s="38" customFormat="1" ht="52.5" hidden="1" customHeight="1">
      <c r="A32" s="68">
        <v>23</v>
      </c>
      <c r="B32" s="69" t="s">
        <v>45</v>
      </c>
      <c r="C32" s="25"/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1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  <c r="AQ32" s="34"/>
      <c r="AR32" s="34"/>
      <c r="AS32" s="34"/>
      <c r="AT32" s="34"/>
      <c r="AU32" s="34"/>
    </row>
    <row r="33" spans="1:47" s="38" customFormat="1" ht="52.5" hidden="1" customHeight="1">
      <c r="A33" s="68">
        <v>24</v>
      </c>
      <c r="B33" s="69" t="s">
        <v>45</v>
      </c>
      <c r="C33" s="25"/>
      <c r="D33" s="71">
        <v>0</v>
      </c>
      <c r="E33" s="72" t="s">
        <v>45</v>
      </c>
      <c r="F33" s="72" t="s">
        <v>45</v>
      </c>
      <c r="G33" s="72" t="s">
        <v>45</v>
      </c>
      <c r="H33" s="73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1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  <c r="AQ33" s="34"/>
      <c r="AR33" s="34"/>
      <c r="AS33" s="34"/>
      <c r="AT33" s="34"/>
      <c r="AU33" s="34"/>
    </row>
    <row r="34" spans="1:47" s="38" customFormat="1" ht="52.5" hidden="1" customHeight="1">
      <c r="A34" s="68">
        <v>25</v>
      </c>
      <c r="B34" s="69" t="s">
        <v>45</v>
      </c>
      <c r="C34" s="25"/>
      <c r="D34" s="71">
        <v>0</v>
      </c>
      <c r="E34" s="72" t="s">
        <v>45</v>
      </c>
      <c r="F34" s="72" t="s">
        <v>45</v>
      </c>
      <c r="G34" s="72" t="s">
        <v>45</v>
      </c>
      <c r="H34" s="73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1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  <c r="AQ34" s="34"/>
      <c r="AR34" s="34"/>
      <c r="AS34" s="34"/>
      <c r="AT34" s="34"/>
      <c r="AU34" s="34"/>
    </row>
    <row r="35" spans="1:47" s="38" customFormat="1" ht="52.5" hidden="1" customHeight="1">
      <c r="A35" s="68">
        <v>26</v>
      </c>
      <c r="B35" s="69" t="s">
        <v>45</v>
      </c>
      <c r="C35" s="25"/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1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  <c r="AQ35" s="34"/>
      <c r="AR35" s="34"/>
      <c r="AS35" s="34"/>
      <c r="AT35" s="34"/>
      <c r="AU35" s="34"/>
    </row>
    <row r="36" spans="1:47" s="38" customFormat="1" ht="52.5" hidden="1" customHeight="1">
      <c r="A36" s="68">
        <v>27</v>
      </c>
      <c r="B36" s="69" t="s">
        <v>45</v>
      </c>
      <c r="C36" s="25"/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1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  <c r="AQ36" s="34"/>
      <c r="AR36" s="34"/>
      <c r="AS36" s="34"/>
      <c r="AT36" s="34"/>
      <c r="AU36" s="34"/>
    </row>
    <row r="37" spans="1:47" s="38" customFormat="1" ht="52.5" hidden="1" customHeight="1">
      <c r="A37" s="68">
        <v>28</v>
      </c>
      <c r="B37" s="69" t="s">
        <v>45</v>
      </c>
      <c r="C37" s="25"/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1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  <c r="AQ37" s="34"/>
      <c r="AR37" s="34"/>
      <c r="AS37" s="34"/>
      <c r="AT37" s="34"/>
      <c r="AU37" s="34"/>
    </row>
    <row r="38" spans="1:47" s="38" customFormat="1" ht="52.5" hidden="1" customHeight="1">
      <c r="A38" s="68">
        <v>29</v>
      </c>
      <c r="B38" s="69" t="s">
        <v>45</v>
      </c>
      <c r="C38" s="25"/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1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  <c r="AQ38" s="34"/>
      <c r="AR38" s="34"/>
      <c r="AS38" s="34"/>
      <c r="AT38" s="34"/>
      <c r="AU38" s="34"/>
    </row>
    <row r="39" spans="1:47" s="38" customFormat="1" ht="52.5" hidden="1" customHeight="1">
      <c r="A39" s="68">
        <v>30</v>
      </c>
      <c r="B39" s="69" t="s">
        <v>45</v>
      </c>
      <c r="C39" s="25"/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1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  <c r="AQ39" s="34"/>
      <c r="AR39" s="34"/>
      <c r="AS39" s="34"/>
      <c r="AT39" s="34"/>
      <c r="AU39" s="34"/>
    </row>
    <row r="40" spans="1:47" s="38" customFormat="1" ht="52.5" hidden="1" customHeight="1">
      <c r="A40" s="68">
        <v>31</v>
      </c>
      <c r="B40" s="69" t="s">
        <v>45</v>
      </c>
      <c r="C40" s="25"/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si="1"/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  <c r="AQ40" s="34"/>
      <c r="AR40" s="34"/>
      <c r="AS40" s="34"/>
      <c r="AT40" s="34"/>
      <c r="AU40" s="34"/>
    </row>
    <row r="41" spans="1:47" s="38" customFormat="1" ht="52.5" hidden="1" customHeight="1">
      <c r="A41" s="68">
        <v>32</v>
      </c>
      <c r="B41" s="69" t="s">
        <v>45</v>
      </c>
      <c r="C41" s="25"/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  <c r="AQ41" s="34"/>
      <c r="AR41" s="34"/>
      <c r="AS41" s="34"/>
      <c r="AT41" s="34"/>
      <c r="AU41" s="34"/>
    </row>
    <row r="42" spans="1:47" s="38" customFormat="1" ht="52.5" hidden="1" customHeight="1">
      <c r="A42" s="68">
        <v>33</v>
      </c>
      <c r="B42" s="69" t="s">
        <v>45</v>
      </c>
      <c r="C42" s="25"/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ref="AJ42:AJ73" si="2">SUM(L42:AI42)</f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  <c r="AQ42" s="34"/>
      <c r="AR42" s="34"/>
      <c r="AS42" s="34"/>
      <c r="AT42" s="34"/>
      <c r="AU42" s="34"/>
    </row>
    <row r="43" spans="1:47" s="38" customFormat="1" ht="52.5" hidden="1" customHeight="1">
      <c r="A43" s="68">
        <v>34</v>
      </c>
      <c r="B43" s="69" t="s">
        <v>45</v>
      </c>
      <c r="C43" s="25"/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2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  <c r="AQ43" s="34"/>
      <c r="AR43" s="34"/>
      <c r="AS43" s="34"/>
      <c r="AT43" s="34"/>
      <c r="AU43" s="34"/>
    </row>
    <row r="44" spans="1:47" s="38" customFormat="1" ht="52.5" hidden="1" customHeight="1">
      <c r="A44" s="68">
        <v>35</v>
      </c>
      <c r="B44" s="69" t="s">
        <v>45</v>
      </c>
      <c r="C44" s="25"/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2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  <c r="AQ44" s="34"/>
      <c r="AR44" s="34"/>
      <c r="AS44" s="34"/>
      <c r="AT44" s="34"/>
      <c r="AU44" s="34"/>
    </row>
    <row r="45" spans="1:47" s="38" customFormat="1" ht="52.5" hidden="1" customHeight="1">
      <c r="A45" s="68">
        <v>36</v>
      </c>
      <c r="B45" s="69" t="s">
        <v>45</v>
      </c>
      <c r="C45" s="25"/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2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  <c r="AQ45" s="34"/>
      <c r="AR45" s="34"/>
      <c r="AS45" s="34"/>
      <c r="AT45" s="34"/>
      <c r="AU45" s="34"/>
    </row>
    <row r="46" spans="1:47" s="38" customFormat="1" ht="52.5" hidden="1" customHeight="1">
      <c r="A46" s="68">
        <v>37</v>
      </c>
      <c r="B46" s="69" t="s">
        <v>45</v>
      </c>
      <c r="C46" s="25"/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2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  <c r="AQ46" s="34"/>
      <c r="AR46" s="34"/>
      <c r="AS46" s="34"/>
      <c r="AT46" s="34"/>
      <c r="AU46" s="34"/>
    </row>
    <row r="47" spans="1:47" s="38" customFormat="1" ht="52.5" hidden="1" customHeight="1">
      <c r="A47" s="68">
        <v>38</v>
      </c>
      <c r="B47" s="69" t="s">
        <v>45</v>
      </c>
      <c r="C47" s="25"/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2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  <c r="AQ47" s="34"/>
      <c r="AR47" s="34"/>
      <c r="AS47" s="34"/>
      <c r="AT47" s="34"/>
      <c r="AU47" s="34"/>
    </row>
    <row r="48" spans="1:47" s="38" customFormat="1" ht="52.5" hidden="1" customHeight="1">
      <c r="A48" s="68">
        <v>39</v>
      </c>
      <c r="B48" s="69" t="s">
        <v>45</v>
      </c>
      <c r="C48" s="25"/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2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  <c r="AQ48" s="34"/>
      <c r="AR48" s="34"/>
      <c r="AS48" s="34"/>
      <c r="AT48" s="34"/>
      <c r="AU48" s="34"/>
    </row>
    <row r="49" spans="1:47" s="38" customFormat="1" ht="52.5" hidden="1" customHeight="1">
      <c r="A49" s="68">
        <v>40</v>
      </c>
      <c r="B49" s="69" t="s">
        <v>45</v>
      </c>
      <c r="C49" s="25"/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2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  <c r="AQ49" s="34"/>
      <c r="AR49" s="34"/>
      <c r="AS49" s="34"/>
      <c r="AT49" s="34"/>
      <c r="AU49" s="34"/>
    </row>
    <row r="50" spans="1:47" s="38" customFormat="1" ht="52.5" hidden="1" customHeight="1">
      <c r="A50" s="68">
        <v>41</v>
      </c>
      <c r="B50" s="69" t="s">
        <v>45</v>
      </c>
      <c r="C50" s="25"/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2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  <c r="AQ50" s="34"/>
      <c r="AR50" s="34"/>
      <c r="AS50" s="34"/>
      <c r="AT50" s="34"/>
      <c r="AU50" s="34"/>
    </row>
    <row r="51" spans="1:47" ht="52.5" hidden="1" customHeight="1">
      <c r="A51" s="68">
        <v>42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2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43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2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44</v>
      </c>
      <c r="B53" s="69" t="s">
        <v>45</v>
      </c>
      <c r="D53" s="71">
        <v>0</v>
      </c>
      <c r="E53" s="72" t="s">
        <v>45</v>
      </c>
      <c r="F53" s="72" t="s">
        <v>45</v>
      </c>
      <c r="G53" s="72" t="s">
        <v>45</v>
      </c>
      <c r="H53" s="82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2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74"/>
    </row>
    <row r="54" spans="1:47" ht="52.5" hidden="1" customHeight="1">
      <c r="A54" s="68">
        <v>45</v>
      </c>
      <c r="B54" s="69" t="s">
        <v>45</v>
      </c>
      <c r="D54" s="71">
        <v>0</v>
      </c>
      <c r="E54" s="72" t="s">
        <v>45</v>
      </c>
      <c r="F54" s="72" t="s">
        <v>45</v>
      </c>
      <c r="G54" s="72" t="s">
        <v>45</v>
      </c>
      <c r="H54" s="82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2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74"/>
    </row>
    <row r="55" spans="1:47" ht="52.5" hidden="1" customHeight="1">
      <c r="A55" s="68">
        <v>46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2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47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2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48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2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49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2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50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2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51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2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52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2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53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2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54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2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55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2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56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2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57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2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58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2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59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84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2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60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84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2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61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si="2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62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2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63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si="2"/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64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65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66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67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52.5" hidden="1" customHeight="1">
      <c r="A77" s="68">
        <v>68</v>
      </c>
      <c r="B77" s="69" t="s">
        <v>45</v>
      </c>
      <c r="C77" s="83"/>
      <c r="D77" s="71">
        <v>0</v>
      </c>
      <c r="E77" s="72" t="s">
        <v>45</v>
      </c>
      <c r="F77" s="72" t="s">
        <v>45</v>
      </c>
      <c r="G77" s="72" t="s">
        <v>45</v>
      </c>
      <c r="H77" s="73"/>
      <c r="I77" s="74" t="s">
        <v>45</v>
      </c>
      <c r="J77" s="71" t="s">
        <v>45</v>
      </c>
      <c r="K77" s="71" t="s">
        <v>45</v>
      </c>
      <c r="L77" s="75" t="s">
        <v>45</v>
      </c>
      <c r="M77" s="75" t="s">
        <v>45</v>
      </c>
      <c r="N77" s="75" t="s">
        <v>45</v>
      </c>
      <c r="O77" s="75" t="s">
        <v>45</v>
      </c>
      <c r="P77" s="88" t="s">
        <v>45</v>
      </c>
      <c r="Q77" s="88" t="s">
        <v>45</v>
      </c>
      <c r="R77" s="88" t="s">
        <v>45</v>
      </c>
      <c r="S77" s="88" t="s">
        <v>45</v>
      </c>
      <c r="T77" s="88" t="s">
        <v>45</v>
      </c>
      <c r="U77" s="88" t="s">
        <v>45</v>
      </c>
      <c r="V77" s="88" t="s">
        <v>45</v>
      </c>
      <c r="W77" s="88" t="s">
        <v>45</v>
      </c>
      <c r="X77" s="88" t="s">
        <v>45</v>
      </c>
      <c r="Y77" s="88" t="s">
        <v>45</v>
      </c>
      <c r="Z77" s="88" t="s">
        <v>45</v>
      </c>
      <c r="AA77" s="88" t="s">
        <v>45</v>
      </c>
      <c r="AB77" s="88" t="s">
        <v>45</v>
      </c>
      <c r="AC77" s="88" t="s">
        <v>45</v>
      </c>
      <c r="AD77" s="88" t="s">
        <v>45</v>
      </c>
      <c r="AE77" s="88" t="s">
        <v>45</v>
      </c>
      <c r="AF77" s="88" t="s">
        <v>45</v>
      </c>
      <c r="AG77" s="88" t="s">
        <v>45</v>
      </c>
      <c r="AH77" s="88" t="s">
        <v>45</v>
      </c>
      <c r="AI77" s="88" t="s">
        <v>45</v>
      </c>
      <c r="AJ77" s="89">
        <f>SUM(L77:AI77)</f>
        <v>0</v>
      </c>
      <c r="AK77" s="77" t="s">
        <v>45</v>
      </c>
      <c r="AL77" s="78" t="s">
        <v>45</v>
      </c>
      <c r="AM77" s="79" t="s">
        <v>45</v>
      </c>
      <c r="AN77" s="79" t="s">
        <v>45</v>
      </c>
      <c r="AO77" s="85"/>
      <c r="AP77" s="86"/>
      <c r="AQ77" s="87"/>
      <c r="AR77" s="87"/>
      <c r="AS77" s="87"/>
      <c r="AT77" s="87"/>
      <c r="AU77" s="87"/>
    </row>
    <row r="78" spans="1:47" ht="52.5" hidden="1" customHeight="1">
      <c r="A78" s="68">
        <v>69</v>
      </c>
      <c r="B78" s="69" t="s">
        <v>45</v>
      </c>
      <c r="C78" s="83"/>
      <c r="D78" s="71">
        <v>0</v>
      </c>
      <c r="E78" s="72" t="s">
        <v>45</v>
      </c>
      <c r="F78" s="72" t="s">
        <v>45</v>
      </c>
      <c r="G78" s="72" t="s">
        <v>45</v>
      </c>
      <c r="H78" s="73"/>
      <c r="I78" s="74" t="s">
        <v>45</v>
      </c>
      <c r="J78" s="71" t="s">
        <v>45</v>
      </c>
      <c r="K78" s="71" t="s">
        <v>45</v>
      </c>
      <c r="L78" s="75" t="s">
        <v>45</v>
      </c>
      <c r="M78" s="75" t="s">
        <v>45</v>
      </c>
      <c r="N78" s="75" t="s">
        <v>45</v>
      </c>
      <c r="O78" s="75" t="s">
        <v>45</v>
      </c>
      <c r="P78" s="88" t="s">
        <v>45</v>
      </c>
      <c r="Q78" s="88" t="s">
        <v>45</v>
      </c>
      <c r="R78" s="88" t="s">
        <v>45</v>
      </c>
      <c r="S78" s="88" t="s">
        <v>45</v>
      </c>
      <c r="T78" s="88" t="s">
        <v>45</v>
      </c>
      <c r="U78" s="88" t="s">
        <v>45</v>
      </c>
      <c r="V78" s="88" t="s">
        <v>45</v>
      </c>
      <c r="W78" s="88" t="s">
        <v>45</v>
      </c>
      <c r="X78" s="88" t="s">
        <v>45</v>
      </c>
      <c r="Y78" s="88" t="s">
        <v>45</v>
      </c>
      <c r="Z78" s="88" t="s">
        <v>45</v>
      </c>
      <c r="AA78" s="88" t="s">
        <v>45</v>
      </c>
      <c r="AB78" s="88" t="s">
        <v>45</v>
      </c>
      <c r="AC78" s="88" t="s">
        <v>45</v>
      </c>
      <c r="AD78" s="88" t="s">
        <v>45</v>
      </c>
      <c r="AE78" s="88" t="s">
        <v>45</v>
      </c>
      <c r="AF78" s="88" t="s">
        <v>45</v>
      </c>
      <c r="AG78" s="88" t="s">
        <v>45</v>
      </c>
      <c r="AH78" s="88" t="s">
        <v>45</v>
      </c>
      <c r="AI78" s="88" t="s">
        <v>45</v>
      </c>
      <c r="AJ78" s="89">
        <f>SUM(L78:AI78)</f>
        <v>0</v>
      </c>
      <c r="AK78" s="77" t="s">
        <v>45</v>
      </c>
      <c r="AL78" s="78" t="s">
        <v>45</v>
      </c>
      <c r="AM78" s="79" t="s">
        <v>45</v>
      </c>
      <c r="AN78" s="79" t="s">
        <v>45</v>
      </c>
      <c r="AO78" s="85"/>
      <c r="AP78" s="86"/>
      <c r="AQ78" s="87"/>
      <c r="AR78" s="87"/>
      <c r="AS78" s="87"/>
      <c r="AT78" s="87"/>
      <c r="AU78" s="87"/>
    </row>
    <row r="79" spans="1:47" ht="21.75" customHeight="1">
      <c r="A79" s="68"/>
      <c r="B79" s="69"/>
      <c r="D79" s="90" t="s">
        <v>33</v>
      </c>
      <c r="E79" s="90"/>
      <c r="F79" s="91"/>
      <c r="G79" s="91"/>
      <c r="H79" s="91"/>
      <c r="I79" s="91"/>
      <c r="J79" s="91"/>
      <c r="K79" s="91"/>
      <c r="L79" s="92">
        <f t="shared" ref="L79:AD79" si="3">SUM(L8:L78)</f>
        <v>0</v>
      </c>
      <c r="M79" s="92">
        <f t="shared" si="3"/>
        <v>0</v>
      </c>
      <c r="N79" s="92">
        <f t="shared" si="3"/>
        <v>0</v>
      </c>
      <c r="O79" s="92">
        <f t="shared" si="3"/>
        <v>0</v>
      </c>
      <c r="P79" s="92">
        <f t="shared" si="3"/>
        <v>0</v>
      </c>
      <c r="Q79" s="92">
        <f t="shared" si="3"/>
        <v>0</v>
      </c>
      <c r="R79" s="92">
        <f t="shared" si="3"/>
        <v>0</v>
      </c>
      <c r="S79" s="92">
        <f t="shared" si="3"/>
        <v>0</v>
      </c>
      <c r="T79" s="92">
        <f t="shared" si="3"/>
        <v>0</v>
      </c>
      <c r="U79" s="92">
        <f t="shared" si="3"/>
        <v>0</v>
      </c>
      <c r="V79" s="92">
        <f t="shared" si="3"/>
        <v>0</v>
      </c>
      <c r="W79" s="92">
        <f t="shared" si="3"/>
        <v>0</v>
      </c>
      <c r="X79" s="92">
        <f t="shared" si="3"/>
        <v>0</v>
      </c>
      <c r="Y79" s="92">
        <f t="shared" si="3"/>
        <v>0</v>
      </c>
      <c r="Z79" s="92">
        <f t="shared" si="3"/>
        <v>0</v>
      </c>
      <c r="AA79" s="92">
        <f t="shared" si="3"/>
        <v>0</v>
      </c>
      <c r="AB79" s="92">
        <f t="shared" si="3"/>
        <v>0</v>
      </c>
      <c r="AC79" s="92">
        <f t="shared" si="3"/>
        <v>0</v>
      </c>
      <c r="AD79" s="92">
        <f t="shared" si="3"/>
        <v>0</v>
      </c>
      <c r="AE79" s="92">
        <f>SUM(AE8:AE78)</f>
        <v>6400</v>
      </c>
      <c r="AF79" s="92">
        <f t="shared" ref="AF79:AI79" si="4">SUM(AF8:AF78)</f>
        <v>0</v>
      </c>
      <c r="AG79" s="92">
        <f t="shared" si="4"/>
        <v>0</v>
      </c>
      <c r="AH79" s="92">
        <f t="shared" si="4"/>
        <v>0</v>
      </c>
      <c r="AI79" s="92">
        <f t="shared" si="4"/>
        <v>0</v>
      </c>
      <c r="AJ79" s="92">
        <f>SUM(AJ8:AJ78)</f>
        <v>6400</v>
      </c>
      <c r="AK79" s="93">
        <f>SUMPRODUCT($AJ10:$AJ70,$AK10:$AK70)</f>
        <v>0</v>
      </c>
      <c r="AL79" s="94">
        <f>SUMPRODUCT($AJ10:$AJ70,AL10:AL70)</f>
        <v>0</v>
      </c>
      <c r="AM79" s="95"/>
      <c r="AN79" s="95"/>
      <c r="AO79" s="96"/>
    </row>
    <row r="80" spans="1:47" ht="14.25">
      <c r="A80" s="68"/>
      <c r="B80" s="69"/>
      <c r="D80" s="45"/>
    </row>
    <row r="81" spans="1:47">
      <c r="A81" s="68"/>
      <c r="B81" s="69"/>
    </row>
    <row r="82" spans="1:47">
      <c r="A82" s="68"/>
      <c r="B82" s="69"/>
    </row>
    <row r="83" spans="1:47" s="25" customFormat="1">
      <c r="A83" s="68"/>
      <c r="B83" s="69"/>
      <c r="E83" s="38"/>
      <c r="F83" s="38"/>
      <c r="G83" s="38"/>
      <c r="H83" s="38"/>
      <c r="I83" s="38"/>
      <c r="J83" s="38"/>
      <c r="K83" s="38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3"/>
      <c r="AL83" s="38"/>
      <c r="AM83" s="46"/>
      <c r="AN83" s="46"/>
      <c r="AO83" s="47"/>
      <c r="AP83" s="38"/>
      <c r="AQ83" s="34"/>
      <c r="AR83" s="34"/>
      <c r="AS83" s="34"/>
      <c r="AT83" s="34"/>
      <c r="AU83" s="34"/>
    </row>
    <row r="84" spans="1:47" s="25" customFormat="1">
      <c r="A84" s="68"/>
      <c r="B84" s="69"/>
      <c r="E84" s="38"/>
      <c r="F84" s="38"/>
      <c r="G84" s="38"/>
      <c r="H84" s="38"/>
      <c r="I84" s="38"/>
      <c r="J84" s="38"/>
      <c r="K84" s="38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3"/>
      <c r="AL84" s="38"/>
      <c r="AM84" s="46"/>
      <c r="AN84" s="46"/>
      <c r="AO84" s="47"/>
      <c r="AP84" s="38"/>
      <c r="AQ84" s="34"/>
      <c r="AR84" s="34"/>
      <c r="AS84" s="34"/>
      <c r="AT84" s="34"/>
      <c r="AU84" s="34"/>
    </row>
    <row r="85" spans="1:47" s="25" customFormat="1">
      <c r="A85" s="68"/>
      <c r="B85" s="69"/>
      <c r="E85" s="38"/>
      <c r="F85" s="38"/>
      <c r="G85" s="38"/>
      <c r="H85" s="38"/>
      <c r="I85" s="38"/>
      <c r="J85" s="38"/>
      <c r="K85" s="38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3"/>
      <c r="AL85" s="38"/>
      <c r="AM85" s="46"/>
      <c r="AN85" s="46"/>
      <c r="AO85" s="47"/>
      <c r="AP85" s="38"/>
      <c r="AQ85" s="34"/>
      <c r="AR85" s="34"/>
      <c r="AS85" s="34"/>
      <c r="AT85" s="34"/>
      <c r="AU85" s="34"/>
    </row>
    <row r="86" spans="1:47" s="25" customFormat="1">
      <c r="A86" s="68"/>
      <c r="B86" s="69"/>
      <c r="E86" s="38"/>
      <c r="F86" s="38"/>
      <c r="G86" s="38"/>
      <c r="H86" s="38"/>
      <c r="I86" s="38"/>
      <c r="J86" s="38"/>
      <c r="K86" s="38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3"/>
      <c r="AL86" s="38"/>
      <c r="AM86" s="46"/>
      <c r="AN86" s="46"/>
      <c r="AO86" s="47"/>
      <c r="AP86" s="38"/>
      <c r="AQ86" s="34"/>
      <c r="AR86" s="34"/>
      <c r="AS86" s="34"/>
      <c r="AT86" s="34"/>
      <c r="AU86" s="34"/>
    </row>
    <row r="87" spans="1:47" s="25" customFormat="1">
      <c r="A87" s="68"/>
      <c r="B87" s="69"/>
      <c r="E87" s="38"/>
      <c r="F87" s="38"/>
      <c r="G87" s="38"/>
      <c r="H87" s="38"/>
      <c r="I87" s="38"/>
      <c r="J87" s="38"/>
      <c r="K87" s="38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3"/>
      <c r="AL87" s="38"/>
      <c r="AM87" s="46"/>
      <c r="AN87" s="46"/>
      <c r="AO87" s="47"/>
      <c r="AP87" s="38"/>
      <c r="AQ87" s="34"/>
      <c r="AR87" s="34"/>
      <c r="AS87" s="34"/>
      <c r="AT87" s="34"/>
      <c r="AU87" s="34"/>
    </row>
    <row r="88" spans="1:47" s="25" customFormat="1">
      <c r="A88" s="68"/>
      <c r="B88" s="69"/>
      <c r="E88" s="38"/>
      <c r="F88" s="38"/>
      <c r="G88" s="38"/>
      <c r="H88" s="38"/>
      <c r="I88" s="38"/>
      <c r="J88" s="38"/>
      <c r="K88" s="38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3"/>
      <c r="AL88" s="38"/>
      <c r="AM88" s="46"/>
      <c r="AN88" s="46"/>
      <c r="AO88" s="47"/>
      <c r="AP88" s="38"/>
      <c r="AQ88" s="34"/>
      <c r="AR88" s="34"/>
      <c r="AS88" s="34"/>
      <c r="AT88" s="34"/>
      <c r="AU88" s="34"/>
    </row>
    <row r="89" spans="1:47" s="25" customFormat="1">
      <c r="A89" s="68"/>
      <c r="B89" s="69"/>
      <c r="E89" s="38"/>
      <c r="F89" s="38"/>
      <c r="G89" s="38"/>
      <c r="H89" s="38"/>
      <c r="I89" s="38"/>
      <c r="J89" s="38"/>
      <c r="K89" s="38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3"/>
      <c r="AL89" s="38"/>
      <c r="AM89" s="46"/>
      <c r="AN89" s="46"/>
      <c r="AO89" s="47"/>
      <c r="AP89" s="38"/>
      <c r="AQ89" s="34"/>
      <c r="AR89" s="34"/>
      <c r="AS89" s="34"/>
      <c r="AT89" s="34"/>
      <c r="AU89" s="34"/>
    </row>
    <row r="90" spans="1:47" s="25" customFormat="1">
      <c r="A90" s="68"/>
      <c r="B90" s="69"/>
      <c r="E90" s="38"/>
      <c r="F90" s="38"/>
      <c r="G90" s="38"/>
      <c r="H90" s="38"/>
      <c r="I90" s="38"/>
      <c r="J90" s="38"/>
      <c r="K90" s="38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3"/>
      <c r="AL90" s="38"/>
      <c r="AM90" s="46"/>
      <c r="AN90" s="46"/>
      <c r="AO90" s="47"/>
      <c r="AP90" s="38"/>
      <c r="AQ90" s="34"/>
      <c r="AR90" s="34"/>
      <c r="AS90" s="34"/>
      <c r="AT90" s="34"/>
      <c r="AU90" s="34"/>
    </row>
    <row r="91" spans="1:47" s="25" customFormat="1">
      <c r="A91" s="68"/>
      <c r="B91" s="69"/>
      <c r="E91" s="38"/>
      <c r="F91" s="38"/>
      <c r="G91" s="38"/>
      <c r="H91" s="38"/>
      <c r="I91" s="38"/>
      <c r="J91" s="38"/>
      <c r="K91" s="38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3"/>
      <c r="AL91" s="38"/>
      <c r="AM91" s="46"/>
      <c r="AN91" s="46"/>
      <c r="AO91" s="47"/>
      <c r="AP91" s="38"/>
      <c r="AQ91" s="34"/>
      <c r="AR91" s="34"/>
      <c r="AS91" s="34"/>
      <c r="AT91" s="34"/>
      <c r="AU91" s="34"/>
    </row>
    <row r="92" spans="1:47" s="25" customFormat="1">
      <c r="A92" s="68"/>
      <c r="B92" s="69"/>
      <c r="E92" s="38"/>
      <c r="F92" s="38"/>
      <c r="G92" s="38"/>
      <c r="H92" s="38"/>
      <c r="I92" s="38"/>
      <c r="J92" s="38"/>
      <c r="K92" s="38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3"/>
      <c r="AL92" s="38"/>
      <c r="AM92" s="46"/>
      <c r="AN92" s="46"/>
      <c r="AO92" s="47"/>
      <c r="AP92" s="38"/>
      <c r="AQ92" s="34"/>
      <c r="AR92" s="34"/>
      <c r="AS92" s="34"/>
      <c r="AT92" s="34"/>
      <c r="AU92" s="34"/>
    </row>
    <row r="93" spans="1:47" s="25" customFormat="1">
      <c r="A93" s="68"/>
      <c r="B93" s="69"/>
      <c r="E93" s="38"/>
      <c r="F93" s="38"/>
      <c r="G93" s="38"/>
      <c r="H93" s="38"/>
      <c r="I93" s="38"/>
      <c r="J93" s="38"/>
      <c r="K93" s="38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3"/>
      <c r="AL93" s="38"/>
      <c r="AM93" s="46"/>
      <c r="AN93" s="46"/>
      <c r="AO93" s="47"/>
      <c r="AP93" s="38"/>
      <c r="AQ93" s="34"/>
      <c r="AR93" s="34"/>
      <c r="AS93" s="34"/>
      <c r="AT93" s="34"/>
      <c r="AU93" s="34"/>
    </row>
    <row r="94" spans="1:47" s="25" customFormat="1">
      <c r="A94" s="68"/>
      <c r="B94" s="69"/>
      <c r="E94" s="38"/>
      <c r="F94" s="38"/>
      <c r="G94" s="38"/>
      <c r="H94" s="38"/>
      <c r="I94" s="38"/>
      <c r="J94" s="38"/>
      <c r="K94" s="38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3"/>
      <c r="AL94" s="38"/>
      <c r="AM94" s="46"/>
      <c r="AN94" s="46"/>
      <c r="AO94" s="47"/>
      <c r="AP94" s="38"/>
      <c r="AQ94" s="34"/>
      <c r="AR94" s="34"/>
      <c r="AS94" s="34"/>
      <c r="AT94" s="34"/>
      <c r="AU94" s="34"/>
    </row>
    <row r="95" spans="1:47" s="25" customFormat="1">
      <c r="A95" s="68"/>
      <c r="B95" s="69"/>
      <c r="E95" s="38"/>
      <c r="F95" s="38"/>
      <c r="G95" s="38"/>
      <c r="H95" s="38"/>
      <c r="I95" s="38"/>
      <c r="J95" s="38"/>
      <c r="K95" s="38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3"/>
      <c r="AL95" s="38"/>
      <c r="AM95" s="46"/>
      <c r="AN95" s="46"/>
      <c r="AO95" s="47"/>
      <c r="AP95" s="38"/>
      <c r="AQ95" s="34"/>
      <c r="AR95" s="34"/>
      <c r="AS95" s="34"/>
      <c r="AT95" s="34"/>
      <c r="AU95" s="34"/>
    </row>
    <row r="96" spans="1:47" s="25" customFormat="1">
      <c r="A96" s="68"/>
      <c r="B96" s="69"/>
      <c r="E96" s="38"/>
      <c r="F96" s="38"/>
      <c r="G96" s="38"/>
      <c r="H96" s="38"/>
      <c r="I96" s="38"/>
      <c r="J96" s="38"/>
      <c r="K96" s="38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3"/>
      <c r="AL96" s="38"/>
      <c r="AM96" s="46"/>
      <c r="AN96" s="46"/>
      <c r="AO96" s="47"/>
      <c r="AP96" s="38"/>
      <c r="AQ96" s="34"/>
      <c r="AR96" s="34"/>
      <c r="AS96" s="34"/>
      <c r="AT96" s="34"/>
      <c r="AU96" s="34"/>
    </row>
    <row r="97" spans="1:47" s="25" customFormat="1">
      <c r="A97" s="68"/>
      <c r="B97" s="69"/>
      <c r="E97" s="38"/>
      <c r="F97" s="38"/>
      <c r="G97" s="38"/>
      <c r="H97" s="38"/>
      <c r="I97" s="38"/>
      <c r="J97" s="38"/>
      <c r="K97" s="38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3"/>
      <c r="AL97" s="38"/>
      <c r="AM97" s="46"/>
      <c r="AN97" s="46"/>
      <c r="AO97" s="47"/>
      <c r="AP97" s="38"/>
      <c r="AQ97" s="34"/>
      <c r="AR97" s="34"/>
      <c r="AS97" s="34"/>
      <c r="AT97" s="34"/>
      <c r="AU97" s="34"/>
    </row>
    <row r="98" spans="1:47" s="25" customFormat="1">
      <c r="A98" s="68"/>
      <c r="B98" s="69"/>
      <c r="E98" s="38"/>
      <c r="F98" s="38"/>
      <c r="G98" s="38"/>
      <c r="H98" s="38"/>
      <c r="I98" s="38"/>
      <c r="J98" s="38"/>
      <c r="K98" s="38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3"/>
      <c r="AL98" s="38"/>
      <c r="AM98" s="46"/>
      <c r="AN98" s="46"/>
      <c r="AO98" s="47"/>
      <c r="AP98" s="38"/>
      <c r="AQ98" s="34"/>
      <c r="AR98" s="34"/>
      <c r="AS98" s="34"/>
      <c r="AT98" s="34"/>
      <c r="AU98" s="34"/>
    </row>
    <row r="99" spans="1:47" s="25" customFormat="1">
      <c r="A99" s="68"/>
      <c r="B99" s="69"/>
      <c r="E99" s="38"/>
      <c r="F99" s="38"/>
      <c r="G99" s="38"/>
      <c r="H99" s="38"/>
      <c r="I99" s="38"/>
      <c r="J99" s="38"/>
      <c r="K99" s="38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3"/>
      <c r="AL99" s="38"/>
      <c r="AM99" s="46"/>
      <c r="AN99" s="46"/>
      <c r="AO99" s="47"/>
      <c r="AP99" s="38"/>
      <c r="AQ99" s="34"/>
      <c r="AR99" s="34"/>
      <c r="AS99" s="34"/>
      <c r="AT99" s="34"/>
      <c r="AU99" s="34"/>
    </row>
    <row r="100" spans="1:47" s="25" customFormat="1">
      <c r="A100" s="68"/>
      <c r="B100" s="69"/>
      <c r="E100" s="38"/>
      <c r="F100" s="38"/>
      <c r="G100" s="38"/>
      <c r="H100" s="38"/>
      <c r="I100" s="38"/>
      <c r="J100" s="38"/>
      <c r="K100" s="38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3"/>
      <c r="AL100" s="38"/>
      <c r="AM100" s="46"/>
      <c r="AN100" s="46"/>
      <c r="AO100" s="47"/>
      <c r="AP100" s="38"/>
      <c r="AQ100" s="34"/>
      <c r="AR100" s="34"/>
      <c r="AS100" s="34"/>
      <c r="AT100" s="34"/>
      <c r="AU100" s="34"/>
    </row>
    <row r="101" spans="1:47" s="25" customFormat="1">
      <c r="A101" s="68"/>
      <c r="B101" s="69"/>
      <c r="E101" s="38"/>
      <c r="F101" s="38"/>
      <c r="G101" s="38"/>
      <c r="H101" s="38"/>
      <c r="I101" s="38"/>
      <c r="J101" s="38"/>
      <c r="K101" s="38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3"/>
      <c r="AL101" s="38"/>
      <c r="AM101" s="46"/>
      <c r="AN101" s="46"/>
      <c r="AO101" s="47"/>
      <c r="AP101" s="38"/>
      <c r="AQ101" s="34"/>
      <c r="AR101" s="34"/>
      <c r="AS101" s="34"/>
      <c r="AT101" s="34"/>
      <c r="AU101" s="34"/>
    </row>
    <row r="102" spans="1:47" s="25" customFormat="1">
      <c r="A102" s="68"/>
      <c r="B102" s="69"/>
      <c r="E102" s="38"/>
      <c r="F102" s="38"/>
      <c r="G102" s="38"/>
      <c r="H102" s="38"/>
      <c r="I102" s="38"/>
      <c r="J102" s="38"/>
      <c r="K102" s="38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3"/>
      <c r="AL102" s="38"/>
      <c r="AM102" s="46"/>
      <c r="AN102" s="46"/>
      <c r="AO102" s="47"/>
      <c r="AP102" s="38"/>
      <c r="AQ102" s="34"/>
      <c r="AR102" s="34"/>
      <c r="AS102" s="34"/>
      <c r="AT102" s="34"/>
      <c r="AU102" s="34"/>
    </row>
    <row r="103" spans="1:47" s="25" customFormat="1">
      <c r="A103" s="68"/>
      <c r="B103" s="69"/>
      <c r="E103" s="38"/>
      <c r="F103" s="38"/>
      <c r="G103" s="38"/>
      <c r="H103" s="38"/>
      <c r="I103" s="38"/>
      <c r="J103" s="38"/>
      <c r="K103" s="38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3"/>
      <c r="AL103" s="38"/>
      <c r="AM103" s="46"/>
      <c r="AN103" s="46"/>
      <c r="AO103" s="47"/>
      <c r="AP103" s="38"/>
      <c r="AQ103" s="34"/>
      <c r="AR103" s="34"/>
      <c r="AS103" s="34"/>
      <c r="AT103" s="34"/>
      <c r="AU103" s="34"/>
    </row>
    <row r="104" spans="1:47" s="25" customFormat="1">
      <c r="A104" s="68"/>
      <c r="B104" s="69"/>
      <c r="E104" s="38"/>
      <c r="F104" s="38"/>
      <c r="G104" s="38"/>
      <c r="H104" s="38"/>
      <c r="I104" s="38"/>
      <c r="J104" s="38"/>
      <c r="K104" s="38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3"/>
      <c r="AL104" s="38"/>
      <c r="AM104" s="46"/>
      <c r="AN104" s="46"/>
      <c r="AO104" s="47"/>
      <c r="AP104" s="38"/>
      <c r="AQ104" s="34"/>
      <c r="AR104" s="34"/>
      <c r="AS104" s="34"/>
      <c r="AT104" s="34"/>
      <c r="AU104" s="34"/>
    </row>
    <row r="105" spans="1:47" s="25" customFormat="1">
      <c r="A105" s="68"/>
      <c r="B105" s="69"/>
      <c r="E105" s="38"/>
      <c r="F105" s="38"/>
      <c r="G105" s="38"/>
      <c r="H105" s="38"/>
      <c r="I105" s="38"/>
      <c r="J105" s="38"/>
      <c r="K105" s="38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3"/>
      <c r="AL105" s="38"/>
      <c r="AM105" s="46"/>
      <c r="AN105" s="46"/>
      <c r="AO105" s="47"/>
      <c r="AP105" s="38"/>
      <c r="AQ105" s="34"/>
      <c r="AR105" s="34"/>
      <c r="AS105" s="34"/>
      <c r="AT105" s="34"/>
      <c r="AU105" s="34"/>
    </row>
    <row r="106" spans="1:47" s="25" customFormat="1">
      <c r="A106" s="68"/>
      <c r="B106" s="69"/>
      <c r="E106" s="38"/>
      <c r="F106" s="38"/>
      <c r="G106" s="38"/>
      <c r="H106" s="38"/>
      <c r="I106" s="38"/>
      <c r="J106" s="38"/>
      <c r="K106" s="38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3"/>
      <c r="AL106" s="38"/>
      <c r="AM106" s="46"/>
      <c r="AN106" s="46"/>
      <c r="AO106" s="47"/>
      <c r="AP106" s="38"/>
      <c r="AQ106" s="34"/>
      <c r="AR106" s="34"/>
      <c r="AS106" s="34"/>
      <c r="AT106" s="34"/>
      <c r="AU106" s="34"/>
    </row>
    <row r="107" spans="1:47" s="25" customFormat="1">
      <c r="A107" s="68"/>
      <c r="B107" s="69"/>
      <c r="E107" s="38"/>
      <c r="F107" s="38"/>
      <c r="G107" s="38"/>
      <c r="H107" s="38"/>
      <c r="I107" s="38"/>
      <c r="J107" s="38"/>
      <c r="K107" s="38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3"/>
      <c r="AL107" s="38"/>
      <c r="AM107" s="46"/>
      <c r="AN107" s="46"/>
      <c r="AO107" s="47"/>
      <c r="AP107" s="38"/>
      <c r="AQ107" s="34"/>
      <c r="AR107" s="34"/>
      <c r="AS107" s="34"/>
      <c r="AT107" s="34"/>
      <c r="AU107" s="34"/>
    </row>
    <row r="108" spans="1:47" s="25" customFormat="1">
      <c r="A108" s="68"/>
      <c r="B108" s="69"/>
      <c r="E108" s="38"/>
      <c r="F108" s="38"/>
      <c r="G108" s="38"/>
      <c r="H108" s="38"/>
      <c r="I108" s="38"/>
      <c r="J108" s="38"/>
      <c r="K108" s="38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3"/>
      <c r="AL108" s="38"/>
      <c r="AM108" s="46"/>
      <c r="AN108" s="46"/>
      <c r="AO108" s="47"/>
      <c r="AP108" s="38"/>
      <c r="AQ108" s="34"/>
      <c r="AR108" s="34"/>
      <c r="AS108" s="34"/>
      <c r="AT108" s="34"/>
      <c r="AU108" s="34"/>
    </row>
    <row r="109" spans="1:47" s="25" customFormat="1">
      <c r="A109" s="68"/>
      <c r="B109" s="69"/>
      <c r="E109" s="38"/>
      <c r="F109" s="38"/>
      <c r="G109" s="38"/>
      <c r="H109" s="38"/>
      <c r="I109" s="38"/>
      <c r="J109" s="38"/>
      <c r="K109" s="38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3"/>
      <c r="AL109" s="38"/>
      <c r="AM109" s="46"/>
      <c r="AN109" s="46"/>
      <c r="AO109" s="47"/>
      <c r="AP109" s="38"/>
      <c r="AQ109" s="34"/>
      <c r="AR109" s="34"/>
      <c r="AS109" s="34"/>
      <c r="AT109" s="34"/>
      <c r="AU109" s="34"/>
    </row>
    <row r="110" spans="1:47" s="25" customFormat="1">
      <c r="A110" s="68"/>
      <c r="B110" s="69"/>
      <c r="E110" s="38"/>
      <c r="F110" s="38"/>
      <c r="G110" s="38"/>
      <c r="H110" s="38"/>
      <c r="I110" s="38"/>
      <c r="J110" s="38"/>
      <c r="K110" s="38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3"/>
      <c r="AL110" s="38"/>
      <c r="AM110" s="46"/>
      <c r="AN110" s="46"/>
      <c r="AO110" s="47"/>
      <c r="AP110" s="38"/>
      <c r="AQ110" s="34"/>
      <c r="AR110" s="34"/>
      <c r="AS110" s="34"/>
      <c r="AT110" s="34"/>
      <c r="AU110" s="34"/>
    </row>
    <row r="111" spans="1:47" s="25" customFormat="1">
      <c r="A111" s="68"/>
      <c r="B111" s="69"/>
      <c r="E111" s="38"/>
      <c r="F111" s="38"/>
      <c r="G111" s="38"/>
      <c r="H111" s="38"/>
      <c r="I111" s="38"/>
      <c r="J111" s="38"/>
      <c r="K111" s="38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3"/>
      <c r="AL111" s="38"/>
      <c r="AM111" s="46"/>
      <c r="AN111" s="46"/>
      <c r="AO111" s="47"/>
      <c r="AP111" s="38"/>
      <c r="AQ111" s="34"/>
      <c r="AR111" s="34"/>
      <c r="AS111" s="34"/>
      <c r="AT111" s="34"/>
      <c r="AU111" s="34"/>
    </row>
    <row r="112" spans="1:47" s="25" customFormat="1">
      <c r="A112" s="68"/>
      <c r="B112" s="69"/>
      <c r="E112" s="38"/>
      <c r="F112" s="38"/>
      <c r="G112" s="38"/>
      <c r="H112" s="38"/>
      <c r="I112" s="38"/>
      <c r="J112" s="38"/>
      <c r="K112" s="38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3"/>
      <c r="AL112" s="38"/>
      <c r="AM112" s="46"/>
      <c r="AN112" s="46"/>
      <c r="AO112" s="47"/>
      <c r="AP112" s="38"/>
      <c r="AQ112" s="34"/>
      <c r="AR112" s="34"/>
      <c r="AS112" s="34"/>
      <c r="AT112" s="34"/>
      <c r="AU112" s="34"/>
    </row>
    <row r="113" spans="1:47" s="25" customFormat="1">
      <c r="A113" s="68"/>
      <c r="B113" s="69"/>
      <c r="E113" s="38"/>
      <c r="F113" s="38"/>
      <c r="G113" s="38"/>
      <c r="H113" s="38"/>
      <c r="I113" s="38"/>
      <c r="J113" s="38"/>
      <c r="K113" s="38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3"/>
      <c r="AL113" s="38"/>
      <c r="AM113" s="46"/>
      <c r="AN113" s="46"/>
      <c r="AO113" s="47"/>
      <c r="AP113" s="38"/>
      <c r="AQ113" s="34"/>
      <c r="AR113" s="34"/>
      <c r="AS113" s="34"/>
      <c r="AT113" s="34"/>
      <c r="AU113" s="34"/>
    </row>
    <row r="114" spans="1:47" s="25" customFormat="1">
      <c r="A114" s="68"/>
      <c r="B114" s="69"/>
      <c r="E114" s="38"/>
      <c r="F114" s="38"/>
      <c r="G114" s="38"/>
      <c r="H114" s="38"/>
      <c r="I114" s="38"/>
      <c r="J114" s="38"/>
      <c r="K114" s="38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3"/>
      <c r="AL114" s="38"/>
      <c r="AM114" s="46"/>
      <c r="AN114" s="46"/>
      <c r="AO114" s="47"/>
      <c r="AP114" s="38"/>
      <c r="AQ114" s="34"/>
      <c r="AR114" s="34"/>
      <c r="AS114" s="34"/>
      <c r="AT114" s="34"/>
      <c r="AU114" s="34"/>
    </row>
    <row r="115" spans="1:47" s="25" customFormat="1">
      <c r="A115" s="68"/>
      <c r="B115" s="69"/>
      <c r="E115" s="38"/>
      <c r="F115" s="38"/>
      <c r="G115" s="38"/>
      <c r="H115" s="38"/>
      <c r="I115" s="38"/>
      <c r="J115" s="38"/>
      <c r="K115" s="38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3"/>
      <c r="AL115" s="38"/>
      <c r="AM115" s="46"/>
      <c r="AN115" s="46"/>
      <c r="AO115" s="47"/>
      <c r="AP115" s="38"/>
      <c r="AQ115" s="34"/>
      <c r="AR115" s="34"/>
      <c r="AS115" s="34"/>
      <c r="AT115" s="34"/>
      <c r="AU115" s="34"/>
    </row>
    <row r="116" spans="1:47" s="25" customFormat="1">
      <c r="A116" s="68"/>
      <c r="B116" s="69"/>
      <c r="E116" s="38"/>
      <c r="F116" s="38"/>
      <c r="G116" s="38"/>
      <c r="H116" s="38"/>
      <c r="I116" s="38"/>
      <c r="J116" s="38"/>
      <c r="K116" s="38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3"/>
      <c r="AL116" s="38"/>
      <c r="AM116" s="46"/>
      <c r="AN116" s="46"/>
      <c r="AO116" s="47"/>
      <c r="AP116" s="38"/>
      <c r="AQ116" s="34"/>
      <c r="AR116" s="34"/>
      <c r="AS116" s="34"/>
      <c r="AT116" s="34"/>
      <c r="AU116" s="34"/>
    </row>
    <row r="117" spans="1:47" s="25" customFormat="1">
      <c r="A117" s="68"/>
      <c r="B117" s="69"/>
      <c r="E117" s="38"/>
      <c r="F117" s="38"/>
      <c r="G117" s="38"/>
      <c r="H117" s="38"/>
      <c r="I117" s="38"/>
      <c r="J117" s="38"/>
      <c r="K117" s="38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3"/>
      <c r="AL117" s="38"/>
      <c r="AM117" s="46"/>
      <c r="AN117" s="46"/>
      <c r="AO117" s="47"/>
      <c r="AP117" s="38"/>
      <c r="AQ117" s="34"/>
      <c r="AR117" s="34"/>
      <c r="AS117" s="34"/>
      <c r="AT117" s="34"/>
      <c r="AU117" s="34"/>
    </row>
    <row r="118" spans="1:47" s="25" customFormat="1">
      <c r="A118" s="68"/>
      <c r="B118" s="69"/>
      <c r="E118" s="38"/>
      <c r="F118" s="38"/>
      <c r="G118" s="38"/>
      <c r="H118" s="38"/>
      <c r="I118" s="38"/>
      <c r="J118" s="38"/>
      <c r="K118" s="38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3"/>
      <c r="AL118" s="38"/>
      <c r="AM118" s="46"/>
      <c r="AN118" s="46"/>
      <c r="AO118" s="47"/>
      <c r="AP118" s="38"/>
      <c r="AQ118" s="34"/>
      <c r="AR118" s="34"/>
      <c r="AS118" s="34"/>
      <c r="AT118" s="34"/>
      <c r="AU118" s="34"/>
    </row>
    <row r="119" spans="1:47" s="25" customFormat="1">
      <c r="A119" s="68"/>
      <c r="B119" s="69"/>
      <c r="E119" s="38"/>
      <c r="F119" s="38"/>
      <c r="G119" s="38"/>
      <c r="H119" s="38"/>
      <c r="I119" s="38"/>
      <c r="J119" s="38"/>
      <c r="K119" s="38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3"/>
      <c r="AL119" s="38"/>
      <c r="AM119" s="46"/>
      <c r="AN119" s="46"/>
      <c r="AO119" s="47"/>
      <c r="AP119" s="38"/>
      <c r="AQ119" s="34"/>
      <c r="AR119" s="34"/>
      <c r="AS119" s="34"/>
      <c r="AT119" s="34"/>
      <c r="AU119" s="34"/>
    </row>
    <row r="120" spans="1:47" s="25" customFormat="1">
      <c r="A120" s="68"/>
      <c r="B120" s="69"/>
      <c r="E120" s="38"/>
      <c r="F120" s="38"/>
      <c r="G120" s="38"/>
      <c r="H120" s="38"/>
      <c r="I120" s="38"/>
      <c r="J120" s="38"/>
      <c r="K120" s="38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3"/>
      <c r="AL120" s="38"/>
      <c r="AM120" s="46"/>
      <c r="AN120" s="46"/>
      <c r="AO120" s="47"/>
      <c r="AP120" s="38"/>
      <c r="AQ120" s="34"/>
      <c r="AR120" s="34"/>
      <c r="AS120" s="34"/>
      <c r="AT120" s="34"/>
      <c r="AU120" s="34"/>
    </row>
    <row r="121" spans="1:47" s="25" customFormat="1">
      <c r="A121" s="68"/>
      <c r="B121" s="69"/>
      <c r="E121" s="38"/>
      <c r="F121" s="38"/>
      <c r="G121" s="38"/>
      <c r="H121" s="38"/>
      <c r="I121" s="38"/>
      <c r="J121" s="38"/>
      <c r="K121" s="38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3"/>
      <c r="AL121" s="38"/>
      <c r="AM121" s="46"/>
      <c r="AN121" s="46"/>
      <c r="AO121" s="47"/>
      <c r="AP121" s="38"/>
      <c r="AQ121" s="34"/>
      <c r="AR121" s="34"/>
      <c r="AS121" s="34"/>
      <c r="AT121" s="34"/>
      <c r="AU121" s="34"/>
    </row>
    <row r="122" spans="1:47" s="25" customFormat="1">
      <c r="A122" s="68"/>
      <c r="B122" s="69"/>
      <c r="E122" s="38"/>
      <c r="F122" s="38"/>
      <c r="G122" s="38"/>
      <c r="H122" s="38"/>
      <c r="I122" s="38"/>
      <c r="J122" s="38"/>
      <c r="K122" s="38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3"/>
      <c r="AL122" s="38"/>
      <c r="AM122" s="46"/>
      <c r="AN122" s="46"/>
      <c r="AO122" s="47"/>
      <c r="AP122" s="38"/>
      <c r="AQ122" s="34"/>
      <c r="AR122" s="34"/>
      <c r="AS122" s="34"/>
      <c r="AT122" s="34"/>
      <c r="AU122" s="34"/>
    </row>
    <row r="123" spans="1:47" s="25" customFormat="1">
      <c r="A123" s="68"/>
      <c r="B123" s="69"/>
      <c r="E123" s="38"/>
      <c r="F123" s="38"/>
      <c r="G123" s="38"/>
      <c r="H123" s="38"/>
      <c r="I123" s="38"/>
      <c r="J123" s="38"/>
      <c r="K123" s="38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3"/>
      <c r="AL123" s="38"/>
      <c r="AM123" s="46"/>
      <c r="AN123" s="46"/>
      <c r="AO123" s="47"/>
      <c r="AP123" s="38"/>
      <c r="AQ123" s="34"/>
      <c r="AR123" s="34"/>
      <c r="AS123" s="34"/>
      <c r="AT123" s="34"/>
      <c r="AU123" s="34"/>
    </row>
    <row r="124" spans="1:47" s="25" customFormat="1">
      <c r="A124" s="68"/>
      <c r="B124" s="69"/>
      <c r="E124" s="38"/>
      <c r="F124" s="38"/>
      <c r="G124" s="38"/>
      <c r="H124" s="38"/>
      <c r="I124" s="38"/>
      <c r="J124" s="38"/>
      <c r="K124" s="38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3"/>
      <c r="AL124" s="38"/>
      <c r="AM124" s="46"/>
      <c r="AN124" s="46"/>
      <c r="AO124" s="47"/>
      <c r="AP124" s="38"/>
      <c r="AQ124" s="34"/>
      <c r="AR124" s="34"/>
      <c r="AS124" s="34"/>
      <c r="AT124" s="34"/>
      <c r="AU124" s="34"/>
    </row>
    <row r="125" spans="1:47" s="25" customFormat="1">
      <c r="A125" s="68"/>
      <c r="B125" s="69"/>
      <c r="E125" s="38"/>
      <c r="F125" s="38"/>
      <c r="G125" s="38"/>
      <c r="H125" s="38"/>
      <c r="I125" s="38"/>
      <c r="J125" s="38"/>
      <c r="K125" s="38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3"/>
      <c r="AL125" s="38"/>
      <c r="AM125" s="46"/>
      <c r="AN125" s="46"/>
      <c r="AO125" s="47"/>
      <c r="AP125" s="38"/>
      <c r="AQ125" s="34"/>
      <c r="AR125" s="34"/>
      <c r="AS125" s="34"/>
      <c r="AT125" s="34"/>
      <c r="AU125" s="34"/>
    </row>
    <row r="126" spans="1:47" s="25" customFormat="1">
      <c r="A126" s="68"/>
      <c r="B126" s="69"/>
      <c r="E126" s="38"/>
      <c r="F126" s="38"/>
      <c r="G126" s="38"/>
      <c r="H126" s="38"/>
      <c r="I126" s="38"/>
      <c r="J126" s="38"/>
      <c r="K126" s="38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3"/>
      <c r="AL126" s="38"/>
      <c r="AM126" s="46"/>
      <c r="AN126" s="46"/>
      <c r="AO126" s="47"/>
      <c r="AP126" s="38"/>
      <c r="AQ126" s="34"/>
      <c r="AR126" s="34"/>
      <c r="AS126" s="34"/>
      <c r="AT126" s="34"/>
      <c r="AU126" s="34"/>
    </row>
    <row r="127" spans="1:47" s="25" customFormat="1">
      <c r="A127" s="68"/>
      <c r="B127" s="69"/>
      <c r="E127" s="38"/>
      <c r="F127" s="38"/>
      <c r="G127" s="38"/>
      <c r="H127" s="38"/>
      <c r="I127" s="38"/>
      <c r="J127" s="38"/>
      <c r="K127" s="38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3"/>
      <c r="AL127" s="38"/>
      <c r="AM127" s="46"/>
      <c r="AN127" s="46"/>
      <c r="AO127" s="47"/>
      <c r="AP127" s="38"/>
      <c r="AQ127" s="34"/>
      <c r="AR127" s="34"/>
      <c r="AS127" s="34"/>
      <c r="AT127" s="34"/>
      <c r="AU127" s="34"/>
    </row>
    <row r="128" spans="1:47" s="25" customFormat="1" ht="13.5">
      <c r="A128" s="68"/>
      <c r="B128" s="69"/>
      <c r="E128" s="38"/>
      <c r="F128" s="38"/>
      <c r="G128" s="38"/>
      <c r="H128" s="38"/>
      <c r="I128" s="38"/>
      <c r="J128" s="38"/>
      <c r="K128" s="38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3"/>
      <c r="AL128" s="38"/>
      <c r="AM128" s="46"/>
      <c r="AN128" s="46"/>
      <c r="AO128" s="47"/>
      <c r="AP128" s="38"/>
      <c r="AQ128" s="34"/>
      <c r="AR128" s="34"/>
      <c r="AS128" s="34"/>
      <c r="AT128" s="34"/>
      <c r="AU128" s="34"/>
    </row>
    <row r="129" spans="1:47" s="25" customFormat="1" ht="13.5">
      <c r="A129" s="68"/>
      <c r="B129" s="69"/>
      <c r="E129" s="38"/>
      <c r="F129" s="38"/>
      <c r="G129" s="38"/>
      <c r="H129" s="38"/>
      <c r="I129" s="38"/>
      <c r="J129" s="38"/>
      <c r="K129" s="38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3"/>
      <c r="AL129" s="38"/>
      <c r="AM129" s="46"/>
      <c r="AN129" s="46"/>
      <c r="AO129" s="47"/>
      <c r="AP129" s="38"/>
      <c r="AQ129" s="34"/>
      <c r="AR129" s="34"/>
      <c r="AS129" s="34"/>
      <c r="AT129" s="34"/>
      <c r="AU129" s="34"/>
    </row>
    <row r="130" spans="1:47" s="25" customFormat="1" ht="13.5">
      <c r="A130" s="68"/>
      <c r="B130" s="69"/>
      <c r="E130" s="38"/>
      <c r="F130" s="38"/>
      <c r="G130" s="38"/>
      <c r="H130" s="38"/>
      <c r="I130" s="38"/>
      <c r="J130" s="38"/>
      <c r="K130" s="38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3"/>
      <c r="AL130" s="38"/>
      <c r="AM130" s="46"/>
      <c r="AN130" s="46"/>
      <c r="AO130" s="47"/>
      <c r="AP130" s="38"/>
      <c r="AQ130" s="34"/>
      <c r="AR130" s="34"/>
      <c r="AS130" s="34"/>
      <c r="AT130" s="34"/>
      <c r="AU130" s="34"/>
    </row>
    <row r="131" spans="1:47" s="25" customFormat="1" ht="13.5">
      <c r="A131" s="68"/>
      <c r="B131" s="69"/>
      <c r="E131" s="38"/>
      <c r="F131" s="38"/>
      <c r="G131" s="38"/>
      <c r="H131" s="38"/>
      <c r="I131" s="38"/>
      <c r="J131" s="38"/>
      <c r="K131" s="38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3"/>
      <c r="AL131" s="38"/>
      <c r="AM131" s="46"/>
      <c r="AN131" s="46"/>
      <c r="AO131" s="47"/>
      <c r="AP131" s="38"/>
      <c r="AQ131" s="34"/>
      <c r="AR131" s="34"/>
      <c r="AS131" s="34"/>
      <c r="AT131" s="34"/>
      <c r="AU131" s="34"/>
    </row>
    <row r="132" spans="1:47" s="25" customFormat="1" ht="13.5">
      <c r="A132" s="68"/>
      <c r="B132" s="69"/>
      <c r="E132" s="38"/>
      <c r="F132" s="38"/>
      <c r="G132" s="38"/>
      <c r="H132" s="38"/>
      <c r="I132" s="38"/>
      <c r="J132" s="38"/>
      <c r="K132" s="38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3"/>
      <c r="AL132" s="38"/>
      <c r="AM132" s="46"/>
      <c r="AN132" s="46"/>
      <c r="AO132" s="47"/>
      <c r="AP132" s="38"/>
      <c r="AQ132" s="34"/>
      <c r="AR132" s="34"/>
      <c r="AS132" s="34"/>
      <c r="AT132" s="34"/>
      <c r="AU132" s="34"/>
    </row>
    <row r="133" spans="1:47" s="25" customFormat="1" ht="13.5">
      <c r="A133" s="68"/>
      <c r="B133" s="69"/>
      <c r="E133" s="38"/>
      <c r="F133" s="38"/>
      <c r="G133" s="38"/>
      <c r="H133" s="38"/>
      <c r="I133" s="38"/>
      <c r="J133" s="38"/>
      <c r="K133" s="38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3"/>
      <c r="AL133" s="38"/>
      <c r="AM133" s="46"/>
      <c r="AN133" s="46"/>
      <c r="AO133" s="47"/>
      <c r="AP133" s="38"/>
      <c r="AQ133" s="34"/>
      <c r="AR133" s="34"/>
      <c r="AS133" s="34"/>
      <c r="AT133" s="34"/>
      <c r="AU133" s="34"/>
    </row>
    <row r="134" spans="1:47" s="25" customFormat="1" ht="13.5">
      <c r="A134" s="68"/>
      <c r="B134" s="69"/>
      <c r="E134" s="38"/>
      <c r="F134" s="38"/>
      <c r="G134" s="38"/>
      <c r="H134" s="38"/>
      <c r="I134" s="38"/>
      <c r="J134" s="38"/>
      <c r="K134" s="38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3"/>
      <c r="AL134" s="38"/>
      <c r="AM134" s="46"/>
      <c r="AN134" s="46"/>
      <c r="AO134" s="47"/>
      <c r="AP134" s="38"/>
      <c r="AQ134" s="34"/>
      <c r="AR134" s="34"/>
      <c r="AS134" s="34"/>
      <c r="AT134" s="34"/>
      <c r="AU134" s="34"/>
    </row>
    <row r="135" spans="1:47" s="25" customFormat="1" ht="13.5">
      <c r="A135" s="68"/>
      <c r="B135" s="69"/>
      <c r="E135" s="38"/>
      <c r="F135" s="38"/>
      <c r="G135" s="38"/>
      <c r="H135" s="38"/>
      <c r="I135" s="38"/>
      <c r="J135" s="38"/>
      <c r="K135" s="38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3"/>
      <c r="AL135" s="38"/>
      <c r="AM135" s="46"/>
      <c r="AN135" s="46"/>
      <c r="AO135" s="47"/>
      <c r="AP135" s="38"/>
      <c r="AQ135" s="34"/>
      <c r="AR135" s="34"/>
      <c r="AS135" s="34"/>
      <c r="AT135" s="34"/>
      <c r="AU135" s="34"/>
    </row>
    <row r="136" spans="1:47" s="25" customFormat="1" ht="13.5">
      <c r="A136" s="68"/>
      <c r="B136" s="69"/>
      <c r="E136" s="38"/>
      <c r="F136" s="38"/>
      <c r="G136" s="38"/>
      <c r="H136" s="38"/>
      <c r="I136" s="38"/>
      <c r="J136" s="38"/>
      <c r="K136" s="38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3"/>
      <c r="AL136" s="38"/>
      <c r="AM136" s="46"/>
      <c r="AN136" s="46"/>
      <c r="AO136" s="47"/>
      <c r="AP136" s="38"/>
      <c r="AQ136" s="34"/>
      <c r="AR136" s="34"/>
      <c r="AS136" s="34"/>
      <c r="AT136" s="34"/>
      <c r="AU136" s="34"/>
    </row>
    <row r="137" spans="1:47" s="25" customFormat="1" ht="13.5">
      <c r="A137" s="68"/>
      <c r="B137" s="69"/>
      <c r="E137" s="38"/>
      <c r="F137" s="38"/>
      <c r="G137" s="38"/>
      <c r="H137" s="38"/>
      <c r="I137" s="38"/>
      <c r="J137" s="38"/>
      <c r="K137" s="38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3"/>
      <c r="AL137" s="38"/>
      <c r="AM137" s="46"/>
      <c r="AN137" s="46"/>
      <c r="AO137" s="47"/>
      <c r="AP137" s="38"/>
      <c r="AQ137" s="34"/>
      <c r="AR137" s="34"/>
      <c r="AS137" s="34"/>
      <c r="AT137" s="34"/>
      <c r="AU137" s="34"/>
    </row>
    <row r="138" spans="1:47" s="25" customFormat="1" ht="13.5">
      <c r="A138" s="68"/>
      <c r="B138" s="69"/>
      <c r="E138" s="38"/>
      <c r="F138" s="38"/>
      <c r="G138" s="38"/>
      <c r="H138" s="38"/>
      <c r="I138" s="38"/>
      <c r="J138" s="38"/>
      <c r="K138" s="38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3"/>
      <c r="AL138" s="38"/>
      <c r="AM138" s="46"/>
      <c r="AN138" s="46"/>
      <c r="AO138" s="47"/>
      <c r="AP138" s="38"/>
      <c r="AQ138" s="34"/>
      <c r="AR138" s="34"/>
      <c r="AS138" s="34"/>
      <c r="AT138" s="34"/>
      <c r="AU138" s="34"/>
    </row>
    <row r="139" spans="1:47" s="25" customFormat="1" ht="13.5">
      <c r="A139" s="68"/>
      <c r="B139" s="69"/>
      <c r="E139" s="38"/>
      <c r="F139" s="38"/>
      <c r="G139" s="38"/>
      <c r="H139" s="38"/>
      <c r="I139" s="38"/>
      <c r="J139" s="38"/>
      <c r="K139" s="38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3"/>
      <c r="AL139" s="38"/>
      <c r="AM139" s="46"/>
      <c r="AN139" s="46"/>
      <c r="AO139" s="47"/>
      <c r="AP139" s="38"/>
      <c r="AQ139" s="34"/>
      <c r="AR139" s="34"/>
      <c r="AS139" s="34"/>
      <c r="AT139" s="34"/>
      <c r="AU139" s="34"/>
    </row>
    <row r="140" spans="1:47" s="25" customFormat="1" ht="13.5">
      <c r="A140" s="68"/>
      <c r="B140" s="69"/>
      <c r="E140" s="38"/>
      <c r="F140" s="38"/>
      <c r="G140" s="38"/>
      <c r="H140" s="38"/>
      <c r="I140" s="38"/>
      <c r="J140" s="38"/>
      <c r="K140" s="38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3"/>
      <c r="AL140" s="38"/>
      <c r="AM140" s="46"/>
      <c r="AN140" s="46"/>
      <c r="AO140" s="47"/>
      <c r="AP140" s="38"/>
      <c r="AQ140" s="34"/>
      <c r="AR140" s="34"/>
      <c r="AS140" s="34"/>
      <c r="AT140" s="34"/>
      <c r="AU140" s="34"/>
    </row>
    <row r="141" spans="1:47" s="25" customFormat="1" ht="13.5">
      <c r="A141" s="68"/>
      <c r="B141" s="69"/>
      <c r="E141" s="38"/>
      <c r="F141" s="38"/>
      <c r="G141" s="38"/>
      <c r="H141" s="38"/>
      <c r="I141" s="38"/>
      <c r="J141" s="38"/>
      <c r="K141" s="38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3"/>
      <c r="AL141" s="38"/>
      <c r="AM141" s="46"/>
      <c r="AN141" s="46"/>
      <c r="AO141" s="47"/>
      <c r="AP141" s="38"/>
      <c r="AQ141" s="34"/>
      <c r="AR141" s="34"/>
      <c r="AS141" s="34"/>
      <c r="AT141" s="34"/>
      <c r="AU141" s="34"/>
    </row>
    <row r="142" spans="1:47" s="25" customFormat="1" ht="13.5">
      <c r="A142" s="68"/>
      <c r="B142" s="69"/>
      <c r="E142" s="38"/>
      <c r="F142" s="38"/>
      <c r="G142" s="38"/>
      <c r="H142" s="38"/>
      <c r="I142" s="38"/>
      <c r="J142" s="38"/>
      <c r="K142" s="38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3"/>
      <c r="AL142" s="38"/>
      <c r="AM142" s="46"/>
      <c r="AN142" s="46"/>
      <c r="AO142" s="47"/>
      <c r="AP142" s="38"/>
      <c r="AQ142" s="34"/>
      <c r="AR142" s="34"/>
      <c r="AS142" s="34"/>
      <c r="AT142" s="34"/>
      <c r="AU142" s="34"/>
    </row>
    <row r="143" spans="1:47" s="25" customFormat="1" ht="13.5">
      <c r="A143" s="68"/>
      <c r="B143" s="69"/>
      <c r="E143" s="38"/>
      <c r="F143" s="38"/>
      <c r="G143" s="38"/>
      <c r="H143" s="38"/>
      <c r="I143" s="38"/>
      <c r="J143" s="38"/>
      <c r="K143" s="38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3"/>
      <c r="AL143" s="38"/>
      <c r="AM143" s="46"/>
      <c r="AN143" s="46"/>
      <c r="AO143" s="47"/>
      <c r="AP143" s="38"/>
      <c r="AQ143" s="34"/>
      <c r="AR143" s="34"/>
      <c r="AS143" s="34"/>
      <c r="AT143" s="34"/>
      <c r="AU143" s="34"/>
    </row>
    <row r="144" spans="1:47" s="25" customFormat="1" ht="13.5">
      <c r="A144" s="68"/>
      <c r="B144" s="69"/>
      <c r="E144" s="38"/>
      <c r="F144" s="38"/>
      <c r="G144" s="38"/>
      <c r="H144" s="38"/>
      <c r="I144" s="38"/>
      <c r="J144" s="38"/>
      <c r="K144" s="38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3"/>
      <c r="AL144" s="38"/>
      <c r="AM144" s="46"/>
      <c r="AN144" s="46"/>
      <c r="AO144" s="47"/>
      <c r="AP144" s="38"/>
      <c r="AQ144" s="34"/>
      <c r="AR144" s="34"/>
      <c r="AS144" s="34"/>
      <c r="AT144" s="34"/>
      <c r="AU144" s="34"/>
    </row>
    <row r="145" spans="1:47" s="25" customFormat="1" ht="13.5">
      <c r="A145" s="68"/>
      <c r="B145" s="69"/>
      <c r="E145" s="38"/>
      <c r="F145" s="38"/>
      <c r="G145" s="38"/>
      <c r="H145" s="38"/>
      <c r="I145" s="38"/>
      <c r="J145" s="38"/>
      <c r="K145" s="38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3"/>
      <c r="AL145" s="38"/>
      <c r="AM145" s="46"/>
      <c r="AN145" s="46"/>
      <c r="AO145" s="47"/>
      <c r="AP145" s="38"/>
      <c r="AQ145" s="34"/>
      <c r="AR145" s="34"/>
      <c r="AS145" s="34"/>
      <c r="AT145" s="34"/>
      <c r="AU145" s="34"/>
    </row>
    <row r="146" spans="1:47" s="25" customFormat="1" ht="13.5">
      <c r="A146" s="68"/>
      <c r="B146" s="69"/>
      <c r="E146" s="38"/>
      <c r="F146" s="38"/>
      <c r="G146" s="38"/>
      <c r="H146" s="38"/>
      <c r="I146" s="38"/>
      <c r="J146" s="38"/>
      <c r="K146" s="38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3"/>
      <c r="AL146" s="38"/>
      <c r="AM146" s="46"/>
      <c r="AN146" s="46"/>
      <c r="AO146" s="47"/>
      <c r="AP146" s="38"/>
      <c r="AQ146" s="34"/>
      <c r="AR146" s="34"/>
      <c r="AS146" s="34"/>
      <c r="AT146" s="34"/>
      <c r="AU146" s="34"/>
    </row>
    <row r="147" spans="1:47" s="25" customFormat="1" ht="13.5">
      <c r="A147" s="68"/>
      <c r="B147" s="69"/>
      <c r="E147" s="38"/>
      <c r="F147" s="38"/>
      <c r="G147" s="38"/>
      <c r="H147" s="38"/>
      <c r="I147" s="38"/>
      <c r="J147" s="38"/>
      <c r="K147" s="38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3"/>
      <c r="AL147" s="38"/>
      <c r="AM147" s="46"/>
      <c r="AN147" s="46"/>
      <c r="AO147" s="47"/>
      <c r="AP147" s="38"/>
      <c r="AQ147" s="34"/>
      <c r="AR147" s="34"/>
      <c r="AS147" s="34"/>
      <c r="AT147" s="34"/>
      <c r="AU147" s="34"/>
    </row>
    <row r="148" spans="1:47" s="25" customFormat="1" ht="13.5">
      <c r="A148" s="68"/>
      <c r="B148" s="69"/>
      <c r="E148" s="38"/>
      <c r="F148" s="38"/>
      <c r="G148" s="38"/>
      <c r="H148" s="38"/>
      <c r="I148" s="38"/>
      <c r="J148" s="38"/>
      <c r="K148" s="38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3"/>
      <c r="AL148" s="38"/>
      <c r="AM148" s="46"/>
      <c r="AN148" s="46"/>
      <c r="AO148" s="47"/>
      <c r="AP148" s="38"/>
      <c r="AQ148" s="34"/>
      <c r="AR148" s="34"/>
      <c r="AS148" s="34"/>
      <c r="AT148" s="34"/>
      <c r="AU148" s="34"/>
    </row>
    <row r="149" spans="1:47" s="25" customFormat="1" ht="13.5">
      <c r="A149" s="68"/>
      <c r="B149" s="69"/>
      <c r="E149" s="38"/>
      <c r="F149" s="38"/>
      <c r="G149" s="38"/>
      <c r="H149" s="38"/>
      <c r="I149" s="38"/>
      <c r="J149" s="38"/>
      <c r="K149" s="38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3"/>
      <c r="AL149" s="38"/>
      <c r="AM149" s="46"/>
      <c r="AN149" s="46"/>
      <c r="AO149" s="47"/>
      <c r="AP149" s="38"/>
      <c r="AQ149" s="34"/>
      <c r="AR149" s="34"/>
      <c r="AS149" s="34"/>
      <c r="AT149" s="34"/>
      <c r="AU149" s="34"/>
    </row>
    <row r="150" spans="1:47" s="25" customFormat="1" ht="13.5">
      <c r="A150" s="68"/>
      <c r="B150" s="69"/>
      <c r="E150" s="38"/>
      <c r="F150" s="38"/>
      <c r="G150" s="38"/>
      <c r="H150" s="38"/>
      <c r="I150" s="38"/>
      <c r="J150" s="38"/>
      <c r="K150" s="38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3"/>
      <c r="AL150" s="38"/>
      <c r="AM150" s="46"/>
      <c r="AN150" s="46"/>
      <c r="AO150" s="47"/>
      <c r="AP150" s="38"/>
      <c r="AQ150" s="34"/>
      <c r="AR150" s="34"/>
      <c r="AS150" s="34"/>
      <c r="AT150" s="34"/>
      <c r="AU150" s="34"/>
    </row>
    <row r="151" spans="1:47" s="25" customFormat="1" ht="13.5">
      <c r="A151" s="68"/>
      <c r="B151" s="69"/>
      <c r="E151" s="38"/>
      <c r="F151" s="38"/>
      <c r="G151" s="38"/>
      <c r="H151" s="38"/>
      <c r="I151" s="38"/>
      <c r="J151" s="38"/>
      <c r="K151" s="38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3"/>
      <c r="AL151" s="38"/>
      <c r="AM151" s="46"/>
      <c r="AN151" s="46"/>
      <c r="AO151" s="47"/>
      <c r="AP151" s="38"/>
      <c r="AQ151" s="34"/>
      <c r="AR151" s="34"/>
      <c r="AS151" s="34"/>
      <c r="AT151" s="34"/>
      <c r="AU151" s="34"/>
    </row>
    <row r="152" spans="1:47" s="25" customFormat="1" ht="13.5">
      <c r="A152" s="68"/>
      <c r="B152" s="69"/>
      <c r="E152" s="38"/>
      <c r="F152" s="38"/>
      <c r="G152" s="38"/>
      <c r="H152" s="38"/>
      <c r="I152" s="38"/>
      <c r="J152" s="38"/>
      <c r="K152" s="38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3"/>
      <c r="AL152" s="38"/>
      <c r="AM152" s="46"/>
      <c r="AN152" s="46"/>
      <c r="AO152" s="47"/>
      <c r="AP152" s="38"/>
      <c r="AQ152" s="34"/>
      <c r="AR152" s="34"/>
      <c r="AS152" s="34"/>
      <c r="AT152" s="34"/>
      <c r="AU152" s="34"/>
    </row>
    <row r="153" spans="1:47" s="25" customFormat="1" ht="13.5">
      <c r="A153" s="68"/>
      <c r="B153" s="69"/>
      <c r="E153" s="38"/>
      <c r="F153" s="38"/>
      <c r="G153" s="38"/>
      <c r="H153" s="38"/>
      <c r="I153" s="38"/>
      <c r="J153" s="38"/>
      <c r="K153" s="38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3"/>
      <c r="AL153" s="38"/>
      <c r="AM153" s="46"/>
      <c r="AN153" s="46"/>
      <c r="AO153" s="47"/>
      <c r="AP153" s="38"/>
      <c r="AQ153" s="34"/>
      <c r="AR153" s="34"/>
      <c r="AS153" s="34"/>
      <c r="AT153" s="34"/>
      <c r="AU153" s="34"/>
    </row>
    <row r="154" spans="1:47" s="25" customFormat="1" ht="13.5">
      <c r="A154" s="68"/>
      <c r="B154" s="69"/>
      <c r="E154" s="38"/>
      <c r="F154" s="38"/>
      <c r="G154" s="38"/>
      <c r="H154" s="38"/>
      <c r="I154" s="38"/>
      <c r="J154" s="38"/>
      <c r="K154" s="38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3"/>
      <c r="AL154" s="38"/>
      <c r="AM154" s="46"/>
      <c r="AN154" s="46"/>
      <c r="AO154" s="47"/>
      <c r="AP154" s="38"/>
      <c r="AQ154" s="34"/>
      <c r="AR154" s="34"/>
      <c r="AS154" s="34"/>
      <c r="AT154" s="34"/>
      <c r="AU154" s="34"/>
    </row>
    <row r="155" spans="1:47" s="25" customFormat="1" ht="13.5">
      <c r="A155" s="68"/>
      <c r="B155" s="69"/>
      <c r="E155" s="38"/>
      <c r="F155" s="38"/>
      <c r="G155" s="38"/>
      <c r="H155" s="38"/>
      <c r="I155" s="38"/>
      <c r="J155" s="38"/>
      <c r="K155" s="38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3"/>
      <c r="AL155" s="38"/>
      <c r="AM155" s="46"/>
      <c r="AN155" s="46"/>
      <c r="AO155" s="47"/>
      <c r="AP155" s="38"/>
      <c r="AQ155" s="34"/>
      <c r="AR155" s="34"/>
      <c r="AS155" s="34"/>
      <c r="AT155" s="34"/>
      <c r="AU155" s="34"/>
    </row>
    <row r="156" spans="1:47" s="25" customFormat="1" ht="13.5">
      <c r="A156" s="68"/>
      <c r="B156" s="69"/>
      <c r="E156" s="38"/>
      <c r="F156" s="38"/>
      <c r="G156" s="38"/>
      <c r="H156" s="38"/>
      <c r="I156" s="38"/>
      <c r="J156" s="38"/>
      <c r="K156" s="38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3"/>
      <c r="AL156" s="38"/>
      <c r="AM156" s="46"/>
      <c r="AN156" s="46"/>
      <c r="AO156" s="47"/>
      <c r="AP156" s="38"/>
      <c r="AQ156" s="34"/>
      <c r="AR156" s="34"/>
      <c r="AS156" s="34"/>
      <c r="AT156" s="34"/>
      <c r="AU156" s="34"/>
    </row>
    <row r="157" spans="1:47" s="25" customFormat="1" ht="13.5">
      <c r="A157" s="68"/>
      <c r="B157" s="69"/>
      <c r="E157" s="38"/>
      <c r="F157" s="38"/>
      <c r="G157" s="38"/>
      <c r="H157" s="38"/>
      <c r="I157" s="38"/>
      <c r="J157" s="38"/>
      <c r="K157" s="38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3"/>
      <c r="AL157" s="38"/>
      <c r="AM157" s="46"/>
      <c r="AN157" s="46"/>
      <c r="AO157" s="47"/>
      <c r="AP157" s="38"/>
      <c r="AQ157" s="34"/>
      <c r="AR157" s="34"/>
      <c r="AS157" s="34"/>
      <c r="AT157" s="34"/>
      <c r="AU157" s="34"/>
    </row>
    <row r="158" spans="1:47" s="25" customFormat="1" ht="13.5">
      <c r="A158" s="68"/>
      <c r="B158" s="69"/>
      <c r="E158" s="38"/>
      <c r="F158" s="38"/>
      <c r="G158" s="38"/>
      <c r="H158" s="38"/>
      <c r="I158" s="38"/>
      <c r="J158" s="38"/>
      <c r="K158" s="38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3"/>
      <c r="AL158" s="38"/>
      <c r="AM158" s="46"/>
      <c r="AN158" s="46"/>
      <c r="AO158" s="47"/>
      <c r="AP158" s="38"/>
      <c r="AQ158" s="34"/>
      <c r="AR158" s="34"/>
      <c r="AS158" s="34"/>
      <c r="AT158" s="34"/>
      <c r="AU158" s="34"/>
    </row>
    <row r="159" spans="1:47" s="25" customFormat="1" ht="13.5">
      <c r="A159" s="68"/>
      <c r="B159" s="69"/>
      <c r="E159" s="38"/>
      <c r="F159" s="38"/>
      <c r="G159" s="38"/>
      <c r="H159" s="38"/>
      <c r="I159" s="38"/>
      <c r="J159" s="38"/>
      <c r="K159" s="38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3"/>
      <c r="AL159" s="38"/>
      <c r="AM159" s="46"/>
      <c r="AN159" s="46"/>
      <c r="AO159" s="47"/>
      <c r="AP159" s="38"/>
      <c r="AQ159" s="34"/>
      <c r="AR159" s="34"/>
      <c r="AS159" s="34"/>
      <c r="AT159" s="34"/>
      <c r="AU159" s="34"/>
    </row>
    <row r="160" spans="1:47" s="25" customFormat="1" ht="13.5">
      <c r="A160" s="68"/>
      <c r="B160" s="69"/>
      <c r="E160" s="38"/>
      <c r="F160" s="38"/>
      <c r="G160" s="38"/>
      <c r="H160" s="38"/>
      <c r="I160" s="38"/>
      <c r="J160" s="38"/>
      <c r="K160" s="38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3"/>
      <c r="AL160" s="38"/>
      <c r="AM160" s="46"/>
      <c r="AN160" s="46"/>
      <c r="AO160" s="47"/>
      <c r="AP160" s="38"/>
      <c r="AQ160" s="34"/>
      <c r="AR160" s="34"/>
      <c r="AS160" s="34"/>
      <c r="AT160" s="34"/>
      <c r="AU160" s="34"/>
    </row>
    <row r="161" spans="1:47" s="25" customFormat="1" ht="13.5">
      <c r="A161" s="68"/>
      <c r="B161" s="69"/>
      <c r="E161" s="38"/>
      <c r="F161" s="38"/>
      <c r="G161" s="38"/>
      <c r="H161" s="38"/>
      <c r="I161" s="38"/>
      <c r="J161" s="38"/>
      <c r="K161" s="38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3"/>
      <c r="AL161" s="38"/>
      <c r="AM161" s="46"/>
      <c r="AN161" s="46"/>
      <c r="AO161" s="47"/>
      <c r="AP161" s="38"/>
      <c r="AQ161" s="34"/>
      <c r="AR161" s="34"/>
      <c r="AS161" s="34"/>
      <c r="AT161" s="34"/>
      <c r="AU161" s="34"/>
    </row>
    <row r="162" spans="1:47" s="25" customFormat="1" ht="13.5">
      <c r="A162" s="68"/>
      <c r="B162" s="69"/>
      <c r="E162" s="38"/>
      <c r="F162" s="38"/>
      <c r="G162" s="38"/>
      <c r="H162" s="38"/>
      <c r="I162" s="38"/>
      <c r="J162" s="38"/>
      <c r="K162" s="38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3"/>
      <c r="AL162" s="38"/>
      <c r="AM162" s="46"/>
      <c r="AN162" s="46"/>
      <c r="AO162" s="47"/>
      <c r="AP162" s="38"/>
      <c r="AQ162" s="34"/>
      <c r="AR162" s="34"/>
      <c r="AS162" s="34"/>
      <c r="AT162" s="34"/>
      <c r="AU162" s="34"/>
    </row>
    <row r="163" spans="1:47" s="25" customFormat="1" ht="13.5">
      <c r="A163" s="68"/>
      <c r="B163" s="69"/>
      <c r="E163" s="38"/>
      <c r="F163" s="38"/>
      <c r="G163" s="38"/>
      <c r="H163" s="38"/>
      <c r="I163" s="38"/>
      <c r="J163" s="38"/>
      <c r="K163" s="38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3"/>
      <c r="AL163" s="38"/>
      <c r="AM163" s="46"/>
      <c r="AN163" s="46"/>
      <c r="AO163" s="47"/>
      <c r="AP163" s="38"/>
      <c r="AQ163" s="34"/>
      <c r="AR163" s="34"/>
      <c r="AS163" s="34"/>
      <c r="AT163" s="34"/>
      <c r="AU163" s="34"/>
    </row>
    <row r="164" spans="1:47" s="25" customFormat="1" ht="13.5">
      <c r="A164" s="68"/>
      <c r="B164" s="69"/>
      <c r="E164" s="38"/>
      <c r="F164" s="38"/>
      <c r="G164" s="38"/>
      <c r="H164" s="38"/>
      <c r="I164" s="38"/>
      <c r="J164" s="38"/>
      <c r="K164" s="38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3"/>
      <c r="AL164" s="38"/>
      <c r="AM164" s="46"/>
      <c r="AN164" s="46"/>
      <c r="AO164" s="47"/>
      <c r="AP164" s="38"/>
      <c r="AQ164" s="34"/>
      <c r="AR164" s="34"/>
      <c r="AS164" s="34"/>
      <c r="AT164" s="34"/>
      <c r="AU164" s="34"/>
    </row>
    <row r="165" spans="1:47" s="25" customFormat="1" ht="13.5">
      <c r="A165" s="68"/>
      <c r="B165" s="69"/>
      <c r="E165" s="38"/>
      <c r="F165" s="38"/>
      <c r="G165" s="38"/>
      <c r="H165" s="38"/>
      <c r="I165" s="38"/>
      <c r="J165" s="38"/>
      <c r="K165" s="38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3"/>
      <c r="AL165" s="38"/>
      <c r="AM165" s="46"/>
      <c r="AN165" s="46"/>
      <c r="AO165" s="47"/>
      <c r="AP165" s="38"/>
      <c r="AQ165" s="34"/>
      <c r="AR165" s="34"/>
      <c r="AS165" s="34"/>
      <c r="AT165" s="34"/>
      <c r="AU165" s="34"/>
    </row>
    <row r="166" spans="1:47" s="25" customFormat="1" ht="13.5">
      <c r="A166" s="68"/>
      <c r="B166" s="69"/>
      <c r="E166" s="38"/>
      <c r="F166" s="38"/>
      <c r="G166" s="38"/>
      <c r="H166" s="38"/>
      <c r="I166" s="38"/>
      <c r="J166" s="38"/>
      <c r="K166" s="38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3"/>
      <c r="AL166" s="38"/>
      <c r="AM166" s="46"/>
      <c r="AN166" s="46"/>
      <c r="AO166" s="47"/>
      <c r="AP166" s="38"/>
      <c r="AQ166" s="34"/>
      <c r="AR166" s="34"/>
      <c r="AS166" s="34"/>
      <c r="AT166" s="34"/>
      <c r="AU166" s="34"/>
    </row>
    <row r="167" spans="1:47" s="25" customFormat="1" ht="13.5">
      <c r="A167" s="68"/>
      <c r="B167" s="69"/>
      <c r="E167" s="38"/>
      <c r="F167" s="38"/>
      <c r="G167" s="38"/>
      <c r="H167" s="38"/>
      <c r="I167" s="38"/>
      <c r="J167" s="38"/>
      <c r="K167" s="38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3"/>
      <c r="AL167" s="38"/>
      <c r="AM167" s="46"/>
      <c r="AN167" s="46"/>
      <c r="AO167" s="47"/>
      <c r="AP167" s="38"/>
      <c r="AQ167" s="34"/>
      <c r="AR167" s="34"/>
      <c r="AS167" s="34"/>
      <c r="AT167" s="34"/>
      <c r="AU167" s="34"/>
    </row>
    <row r="168" spans="1:47" s="25" customFormat="1" ht="13.5">
      <c r="A168" s="68"/>
      <c r="B168" s="69"/>
      <c r="E168" s="38"/>
      <c r="F168" s="38"/>
      <c r="G168" s="38"/>
      <c r="H168" s="38"/>
      <c r="I168" s="38"/>
      <c r="J168" s="38"/>
      <c r="K168" s="38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3"/>
      <c r="AL168" s="38"/>
      <c r="AM168" s="46"/>
      <c r="AN168" s="46"/>
      <c r="AO168" s="47"/>
      <c r="AP168" s="38"/>
      <c r="AQ168" s="34"/>
      <c r="AR168" s="34"/>
      <c r="AS168" s="34"/>
      <c r="AT168" s="34"/>
      <c r="AU168" s="34"/>
    </row>
    <row r="169" spans="1:47" s="25" customFormat="1" ht="13.5">
      <c r="A169" s="68"/>
      <c r="B169" s="69"/>
      <c r="E169" s="38"/>
      <c r="F169" s="38"/>
      <c r="G169" s="38"/>
      <c r="H169" s="38"/>
      <c r="I169" s="38"/>
      <c r="J169" s="38"/>
      <c r="K169" s="38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3"/>
      <c r="AL169" s="38"/>
      <c r="AM169" s="46"/>
      <c r="AN169" s="46"/>
      <c r="AO169" s="47"/>
      <c r="AP169" s="38"/>
      <c r="AQ169" s="34"/>
      <c r="AR169" s="34"/>
      <c r="AS169" s="34"/>
      <c r="AT169" s="34"/>
      <c r="AU169" s="34"/>
    </row>
    <row r="170" spans="1:47" s="25" customFormat="1" ht="13.5">
      <c r="A170" s="68"/>
      <c r="B170" s="69"/>
      <c r="E170" s="38"/>
      <c r="F170" s="38"/>
      <c r="G170" s="38"/>
      <c r="H170" s="38"/>
      <c r="I170" s="38"/>
      <c r="J170" s="38"/>
      <c r="K170" s="38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3"/>
      <c r="AL170" s="38"/>
      <c r="AM170" s="46"/>
      <c r="AN170" s="46"/>
      <c r="AO170" s="47"/>
      <c r="AP170" s="38"/>
      <c r="AQ170" s="34"/>
      <c r="AR170" s="34"/>
      <c r="AS170" s="34"/>
      <c r="AT170" s="34"/>
      <c r="AU170" s="34"/>
    </row>
    <row r="171" spans="1:47" s="25" customFormat="1" ht="13.5">
      <c r="A171" s="68"/>
      <c r="B171" s="69"/>
      <c r="E171" s="38"/>
      <c r="F171" s="38"/>
      <c r="G171" s="38"/>
      <c r="H171" s="38"/>
      <c r="I171" s="38"/>
      <c r="J171" s="38"/>
      <c r="K171" s="38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3"/>
      <c r="AL171" s="38"/>
      <c r="AM171" s="46"/>
      <c r="AN171" s="46"/>
      <c r="AO171" s="47"/>
      <c r="AP171" s="38"/>
      <c r="AQ171" s="34"/>
      <c r="AR171" s="34"/>
      <c r="AS171" s="34"/>
      <c r="AT171" s="34"/>
      <c r="AU171" s="34"/>
    </row>
    <row r="172" spans="1:47" s="25" customFormat="1" ht="13.5">
      <c r="A172" s="68"/>
      <c r="B172" s="69"/>
      <c r="E172" s="38"/>
      <c r="F172" s="38"/>
      <c r="G172" s="38"/>
      <c r="H172" s="38"/>
      <c r="I172" s="38"/>
      <c r="J172" s="38"/>
      <c r="K172" s="38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3"/>
      <c r="AL172" s="38"/>
      <c r="AM172" s="46"/>
      <c r="AN172" s="46"/>
      <c r="AO172" s="47"/>
      <c r="AP172" s="38"/>
      <c r="AQ172" s="34"/>
      <c r="AR172" s="34"/>
      <c r="AS172" s="34"/>
      <c r="AT172" s="34"/>
      <c r="AU172" s="34"/>
    </row>
    <row r="173" spans="1:47" s="25" customFormat="1" ht="13.5">
      <c r="A173" s="68"/>
      <c r="B173" s="69"/>
      <c r="E173" s="38"/>
      <c r="F173" s="38"/>
      <c r="G173" s="38"/>
      <c r="H173" s="38"/>
      <c r="I173" s="38"/>
      <c r="J173" s="38"/>
      <c r="K173" s="38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3"/>
      <c r="AL173" s="38"/>
      <c r="AM173" s="46"/>
      <c r="AN173" s="46"/>
      <c r="AO173" s="47"/>
      <c r="AP173" s="38"/>
      <c r="AQ173" s="34"/>
      <c r="AR173" s="34"/>
      <c r="AS173" s="34"/>
      <c r="AT173" s="34"/>
      <c r="AU173" s="34"/>
    </row>
    <row r="174" spans="1:47" s="25" customFormat="1" ht="13.5">
      <c r="A174" s="68"/>
      <c r="B174" s="69"/>
      <c r="E174" s="38"/>
      <c r="F174" s="38"/>
      <c r="G174" s="38"/>
      <c r="H174" s="38"/>
      <c r="I174" s="38"/>
      <c r="J174" s="38"/>
      <c r="K174" s="38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3"/>
      <c r="AL174" s="38"/>
      <c r="AM174" s="46"/>
      <c r="AN174" s="46"/>
      <c r="AO174" s="47"/>
      <c r="AP174" s="38"/>
      <c r="AQ174" s="34"/>
      <c r="AR174" s="34"/>
      <c r="AS174" s="34"/>
      <c r="AT174" s="34"/>
      <c r="AU174" s="34"/>
    </row>
    <row r="175" spans="1:47" s="25" customFormat="1" ht="13.5">
      <c r="A175" s="68"/>
      <c r="B175" s="69"/>
      <c r="E175" s="38"/>
      <c r="F175" s="38"/>
      <c r="G175" s="38"/>
      <c r="H175" s="38"/>
      <c r="I175" s="38"/>
      <c r="J175" s="38"/>
      <c r="K175" s="38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3"/>
      <c r="AL175" s="38"/>
      <c r="AM175" s="46"/>
      <c r="AN175" s="46"/>
      <c r="AO175" s="47"/>
      <c r="AP175" s="38"/>
      <c r="AQ175" s="34"/>
      <c r="AR175" s="34"/>
      <c r="AS175" s="34"/>
      <c r="AT175" s="34"/>
      <c r="AU175" s="34"/>
    </row>
    <row r="176" spans="1:47" s="25" customFormat="1" ht="13.5">
      <c r="A176" s="68"/>
      <c r="B176" s="69"/>
      <c r="E176" s="38"/>
      <c r="F176" s="38"/>
      <c r="G176" s="38"/>
      <c r="H176" s="38"/>
      <c r="I176" s="38"/>
      <c r="J176" s="38"/>
      <c r="K176" s="38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3"/>
      <c r="AL176" s="38"/>
      <c r="AM176" s="46"/>
      <c r="AN176" s="46"/>
      <c r="AO176" s="47"/>
      <c r="AP176" s="38"/>
      <c r="AQ176" s="34"/>
      <c r="AR176" s="34"/>
      <c r="AS176" s="34"/>
      <c r="AT176" s="34"/>
      <c r="AU176" s="34"/>
    </row>
    <row r="177" spans="1:47" s="25" customFormat="1" ht="13.5">
      <c r="A177" s="68"/>
      <c r="B177" s="69"/>
      <c r="E177" s="38"/>
      <c r="F177" s="38"/>
      <c r="G177" s="38"/>
      <c r="H177" s="38"/>
      <c r="I177" s="38"/>
      <c r="J177" s="38"/>
      <c r="K177" s="38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3"/>
      <c r="AL177" s="38"/>
      <c r="AM177" s="46"/>
      <c r="AN177" s="46"/>
      <c r="AO177" s="47"/>
      <c r="AP177" s="38"/>
      <c r="AQ177" s="34"/>
      <c r="AR177" s="34"/>
      <c r="AS177" s="34"/>
      <c r="AT177" s="34"/>
      <c r="AU177" s="34"/>
    </row>
    <row r="178" spans="1:47" s="25" customFormat="1" ht="13.5">
      <c r="A178" s="68"/>
      <c r="B178" s="69"/>
      <c r="E178" s="38"/>
      <c r="F178" s="38"/>
      <c r="G178" s="38"/>
      <c r="H178" s="38"/>
      <c r="I178" s="38"/>
      <c r="J178" s="38"/>
      <c r="K178" s="38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3"/>
      <c r="AL178" s="38"/>
      <c r="AM178" s="46"/>
      <c r="AN178" s="46"/>
      <c r="AO178" s="47"/>
      <c r="AP178" s="38"/>
      <c r="AQ178" s="34"/>
      <c r="AR178" s="34"/>
      <c r="AS178" s="34"/>
      <c r="AT178" s="34"/>
      <c r="AU178" s="34"/>
    </row>
    <row r="179" spans="1:47" s="25" customFormat="1" ht="13.5">
      <c r="A179" s="68"/>
      <c r="B179" s="69"/>
      <c r="E179" s="38"/>
      <c r="F179" s="38"/>
      <c r="G179" s="38"/>
      <c r="H179" s="38"/>
      <c r="I179" s="38"/>
      <c r="J179" s="38"/>
      <c r="K179" s="38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3"/>
      <c r="AL179" s="38"/>
      <c r="AM179" s="46"/>
      <c r="AN179" s="46"/>
      <c r="AO179" s="47"/>
      <c r="AP179" s="38"/>
      <c r="AQ179" s="34"/>
      <c r="AR179" s="34"/>
      <c r="AS179" s="34"/>
      <c r="AT179" s="34"/>
      <c r="AU179" s="34"/>
    </row>
    <row r="180" spans="1:47" s="25" customFormat="1" ht="13.5">
      <c r="A180" s="68"/>
      <c r="B180" s="69"/>
      <c r="E180" s="38"/>
      <c r="F180" s="38"/>
      <c r="G180" s="38"/>
      <c r="H180" s="38"/>
      <c r="I180" s="38"/>
      <c r="J180" s="38"/>
      <c r="K180" s="38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3"/>
      <c r="AL180" s="38"/>
      <c r="AM180" s="46"/>
      <c r="AN180" s="46"/>
      <c r="AO180" s="47"/>
      <c r="AP180" s="38"/>
      <c r="AQ180" s="34"/>
      <c r="AR180" s="34"/>
      <c r="AS180" s="34"/>
      <c r="AT180" s="34"/>
      <c r="AU180" s="34"/>
    </row>
    <row r="181" spans="1:47" s="25" customFormat="1" ht="13.5">
      <c r="A181" s="68"/>
      <c r="B181" s="69"/>
      <c r="E181" s="38"/>
      <c r="F181" s="38"/>
      <c r="G181" s="38"/>
      <c r="H181" s="38"/>
      <c r="I181" s="38"/>
      <c r="J181" s="38"/>
      <c r="K181" s="38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3"/>
      <c r="AL181" s="38"/>
      <c r="AM181" s="46"/>
      <c r="AN181" s="46"/>
      <c r="AO181" s="47"/>
      <c r="AP181" s="38"/>
      <c r="AQ181" s="34"/>
      <c r="AR181" s="34"/>
      <c r="AS181" s="34"/>
      <c r="AT181" s="34"/>
      <c r="AU181" s="34"/>
    </row>
    <row r="182" spans="1:47" s="25" customFormat="1" ht="13.5">
      <c r="A182" s="68"/>
      <c r="B182" s="69"/>
      <c r="E182" s="38"/>
      <c r="F182" s="38"/>
      <c r="G182" s="38"/>
      <c r="H182" s="38"/>
      <c r="I182" s="38"/>
      <c r="J182" s="38"/>
      <c r="K182" s="38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3"/>
      <c r="AL182" s="38"/>
      <c r="AM182" s="46"/>
      <c r="AN182" s="46"/>
      <c r="AO182" s="47"/>
      <c r="AP182" s="38"/>
      <c r="AQ182" s="34"/>
      <c r="AR182" s="34"/>
      <c r="AS182" s="34"/>
      <c r="AT182" s="34"/>
      <c r="AU182" s="34"/>
    </row>
    <row r="183" spans="1:47" s="25" customFormat="1" ht="13.5">
      <c r="A183" s="68"/>
      <c r="B183" s="69"/>
      <c r="E183" s="38"/>
      <c r="F183" s="38"/>
      <c r="G183" s="38"/>
      <c r="H183" s="38"/>
      <c r="I183" s="38"/>
      <c r="J183" s="38"/>
      <c r="K183" s="38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3"/>
      <c r="AL183" s="38"/>
      <c r="AM183" s="46"/>
      <c r="AN183" s="46"/>
      <c r="AO183" s="47"/>
      <c r="AP183" s="38"/>
      <c r="AQ183" s="34"/>
      <c r="AR183" s="34"/>
      <c r="AS183" s="34"/>
      <c r="AT183" s="34"/>
      <c r="AU183" s="34"/>
    </row>
    <row r="184" spans="1:47" s="25" customFormat="1" ht="13.5">
      <c r="A184" s="68"/>
      <c r="B184" s="69"/>
      <c r="E184" s="38"/>
      <c r="F184" s="38"/>
      <c r="G184" s="38"/>
      <c r="H184" s="38"/>
      <c r="I184" s="38"/>
      <c r="J184" s="38"/>
      <c r="K184" s="38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3"/>
      <c r="AL184" s="38"/>
      <c r="AM184" s="46"/>
      <c r="AN184" s="46"/>
      <c r="AO184" s="47"/>
      <c r="AP184" s="38"/>
      <c r="AQ184" s="34"/>
      <c r="AR184" s="34"/>
      <c r="AS184" s="34"/>
      <c r="AT184" s="34"/>
      <c r="AU184" s="34"/>
    </row>
    <row r="185" spans="1:47" s="25" customFormat="1" ht="13.5">
      <c r="A185" s="68"/>
      <c r="B185" s="69"/>
      <c r="E185" s="38"/>
      <c r="F185" s="38"/>
      <c r="G185" s="38"/>
      <c r="H185" s="38"/>
      <c r="I185" s="38"/>
      <c r="J185" s="38"/>
      <c r="K185" s="38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3"/>
      <c r="AL185" s="38"/>
      <c r="AM185" s="46"/>
      <c r="AN185" s="46"/>
      <c r="AO185" s="47"/>
      <c r="AP185" s="38"/>
      <c r="AQ185" s="34"/>
      <c r="AR185" s="34"/>
      <c r="AS185" s="34"/>
      <c r="AT185" s="34"/>
      <c r="AU185" s="34"/>
    </row>
    <row r="186" spans="1:47" s="25" customFormat="1" ht="13.5">
      <c r="A186" s="68"/>
      <c r="B186" s="69"/>
      <c r="E186" s="38"/>
      <c r="F186" s="38"/>
      <c r="G186" s="38"/>
      <c r="H186" s="38"/>
      <c r="I186" s="38"/>
      <c r="J186" s="38"/>
      <c r="K186" s="38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3"/>
      <c r="AL186" s="38"/>
      <c r="AM186" s="46"/>
      <c r="AN186" s="46"/>
      <c r="AO186" s="47"/>
      <c r="AP186" s="38"/>
      <c r="AQ186" s="34"/>
      <c r="AR186" s="34"/>
      <c r="AS186" s="34"/>
      <c r="AT186" s="34"/>
      <c r="AU186" s="34"/>
    </row>
    <row r="187" spans="1:47" s="25" customFormat="1" ht="13.5">
      <c r="A187" s="68"/>
      <c r="B187" s="69"/>
      <c r="E187" s="38"/>
      <c r="F187" s="38"/>
      <c r="G187" s="38"/>
      <c r="H187" s="38"/>
      <c r="I187" s="38"/>
      <c r="J187" s="38"/>
      <c r="K187" s="38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3"/>
      <c r="AL187" s="38"/>
      <c r="AM187" s="46"/>
      <c r="AN187" s="46"/>
      <c r="AO187" s="47"/>
      <c r="AP187" s="38"/>
      <c r="AQ187" s="34"/>
      <c r="AR187" s="34"/>
      <c r="AS187" s="34"/>
      <c r="AT187" s="34"/>
      <c r="AU187" s="34"/>
    </row>
    <row r="188" spans="1:47" s="25" customFormat="1" ht="13.5">
      <c r="A188" s="68"/>
      <c r="B188" s="69"/>
      <c r="E188" s="38"/>
      <c r="F188" s="38"/>
      <c r="G188" s="38"/>
      <c r="H188" s="38"/>
      <c r="I188" s="38"/>
      <c r="J188" s="38"/>
      <c r="K188" s="38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3"/>
      <c r="AL188" s="38"/>
      <c r="AM188" s="46"/>
      <c r="AN188" s="46"/>
      <c r="AO188" s="47"/>
      <c r="AP188" s="38"/>
      <c r="AQ188" s="34"/>
      <c r="AR188" s="34"/>
      <c r="AS188" s="34"/>
      <c r="AT188" s="34"/>
      <c r="AU188" s="34"/>
    </row>
    <row r="189" spans="1:47" s="25" customFormat="1" ht="13.5">
      <c r="A189" s="68"/>
      <c r="B189" s="69"/>
      <c r="E189" s="38"/>
      <c r="F189" s="38"/>
      <c r="G189" s="38"/>
      <c r="H189" s="38"/>
      <c r="I189" s="38"/>
      <c r="J189" s="38"/>
      <c r="K189" s="38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3"/>
      <c r="AL189" s="38"/>
      <c r="AM189" s="46"/>
      <c r="AN189" s="46"/>
      <c r="AO189" s="47"/>
      <c r="AP189" s="38"/>
      <c r="AQ189" s="34"/>
      <c r="AR189" s="34"/>
      <c r="AS189" s="34"/>
      <c r="AT189" s="34"/>
      <c r="AU189" s="34"/>
    </row>
    <row r="190" spans="1:47" s="25" customFormat="1" ht="13.5">
      <c r="A190" s="68"/>
      <c r="B190" s="69"/>
      <c r="E190" s="38"/>
      <c r="F190" s="38"/>
      <c r="G190" s="38"/>
      <c r="H190" s="38"/>
      <c r="I190" s="38"/>
      <c r="J190" s="38"/>
      <c r="K190" s="38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3"/>
      <c r="AL190" s="38"/>
      <c r="AM190" s="46"/>
      <c r="AN190" s="46"/>
      <c r="AO190" s="47"/>
      <c r="AP190" s="38"/>
      <c r="AQ190" s="34"/>
      <c r="AR190" s="34"/>
      <c r="AS190" s="34"/>
      <c r="AT190" s="34"/>
      <c r="AU190" s="34"/>
    </row>
    <row r="191" spans="1:47" s="25" customFormat="1" ht="13.5">
      <c r="A191" s="68"/>
      <c r="B191" s="69"/>
      <c r="E191" s="38"/>
      <c r="F191" s="38"/>
      <c r="G191" s="38"/>
      <c r="H191" s="38"/>
      <c r="I191" s="38"/>
      <c r="J191" s="38"/>
      <c r="K191" s="38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3"/>
      <c r="AL191" s="38"/>
      <c r="AM191" s="46"/>
      <c r="AN191" s="46"/>
      <c r="AO191" s="47"/>
      <c r="AP191" s="38"/>
      <c r="AQ191" s="34"/>
      <c r="AR191" s="34"/>
      <c r="AS191" s="34"/>
      <c r="AT191" s="34"/>
      <c r="AU191" s="34"/>
    </row>
    <row r="192" spans="1:47" s="25" customFormat="1" ht="13.5">
      <c r="A192" s="68"/>
      <c r="B192" s="69"/>
      <c r="E192" s="38"/>
      <c r="F192" s="38"/>
      <c r="G192" s="38"/>
      <c r="H192" s="38"/>
      <c r="I192" s="38"/>
      <c r="J192" s="38"/>
      <c r="K192" s="38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3"/>
      <c r="AL192" s="38"/>
      <c r="AM192" s="46"/>
      <c r="AN192" s="46"/>
      <c r="AO192" s="47"/>
      <c r="AP192" s="38"/>
      <c r="AQ192" s="34"/>
      <c r="AR192" s="34"/>
      <c r="AS192" s="34"/>
      <c r="AT192" s="34"/>
      <c r="AU192" s="34"/>
    </row>
    <row r="193" spans="1:47" s="25" customFormat="1" ht="13.5">
      <c r="A193" s="68"/>
      <c r="B193" s="69"/>
      <c r="E193" s="38"/>
      <c r="F193" s="38"/>
      <c r="G193" s="38"/>
      <c r="H193" s="38"/>
      <c r="I193" s="38"/>
      <c r="J193" s="38"/>
      <c r="K193" s="38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3"/>
      <c r="AL193" s="38"/>
      <c r="AM193" s="46"/>
      <c r="AN193" s="46"/>
      <c r="AO193" s="47"/>
      <c r="AP193" s="38"/>
      <c r="AQ193" s="34"/>
      <c r="AR193" s="34"/>
      <c r="AS193" s="34"/>
      <c r="AT193" s="34"/>
      <c r="AU193" s="34"/>
    </row>
    <row r="194" spans="1:47" s="25" customFormat="1" ht="13.5">
      <c r="A194" s="68"/>
      <c r="B194" s="69"/>
      <c r="E194" s="38"/>
      <c r="F194" s="38"/>
      <c r="G194" s="38"/>
      <c r="H194" s="38"/>
      <c r="I194" s="38"/>
      <c r="J194" s="38"/>
      <c r="K194" s="38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3"/>
      <c r="AL194" s="38"/>
      <c r="AM194" s="46"/>
      <c r="AN194" s="46"/>
      <c r="AO194" s="47"/>
      <c r="AP194" s="38"/>
      <c r="AQ194" s="34"/>
      <c r="AR194" s="34"/>
      <c r="AS194" s="34"/>
      <c r="AT194" s="34"/>
      <c r="AU194" s="34"/>
    </row>
    <row r="195" spans="1:47" s="25" customFormat="1" ht="13.5">
      <c r="A195" s="68"/>
      <c r="B195" s="69"/>
      <c r="E195" s="38"/>
      <c r="F195" s="38"/>
      <c r="G195" s="38"/>
      <c r="H195" s="38"/>
      <c r="I195" s="38"/>
      <c r="J195" s="38"/>
      <c r="K195" s="38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3"/>
      <c r="AL195" s="38"/>
      <c r="AM195" s="46"/>
      <c r="AN195" s="46"/>
      <c r="AO195" s="47"/>
      <c r="AP195" s="38"/>
      <c r="AQ195" s="34"/>
      <c r="AR195" s="34"/>
      <c r="AS195" s="34"/>
      <c r="AT195" s="34"/>
      <c r="AU195" s="34"/>
    </row>
    <row r="196" spans="1:47" s="25" customFormat="1" ht="13.5">
      <c r="A196" s="68"/>
      <c r="B196" s="69"/>
      <c r="E196" s="38"/>
      <c r="F196" s="38"/>
      <c r="G196" s="38"/>
      <c r="H196" s="38"/>
      <c r="I196" s="38"/>
      <c r="J196" s="38"/>
      <c r="K196" s="38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3"/>
      <c r="AL196" s="38"/>
      <c r="AM196" s="46"/>
      <c r="AN196" s="46"/>
      <c r="AO196" s="47"/>
      <c r="AP196" s="38"/>
      <c r="AQ196" s="34"/>
      <c r="AR196" s="34"/>
      <c r="AS196" s="34"/>
      <c r="AT196" s="34"/>
      <c r="AU196" s="34"/>
    </row>
    <row r="197" spans="1:47" s="25" customFormat="1" ht="13.5">
      <c r="A197" s="68"/>
      <c r="B197" s="69"/>
      <c r="E197" s="38"/>
      <c r="F197" s="38"/>
      <c r="G197" s="38"/>
      <c r="H197" s="38"/>
      <c r="I197" s="38"/>
      <c r="J197" s="38"/>
      <c r="K197" s="38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3"/>
      <c r="AL197" s="38"/>
      <c r="AM197" s="46"/>
      <c r="AN197" s="46"/>
      <c r="AO197" s="47"/>
      <c r="AP197" s="38"/>
      <c r="AQ197" s="34"/>
      <c r="AR197" s="34"/>
      <c r="AS197" s="34"/>
      <c r="AT197" s="34"/>
      <c r="AU197" s="34"/>
    </row>
    <row r="198" spans="1:47" s="25" customFormat="1" ht="13.5">
      <c r="A198" s="68"/>
      <c r="B198" s="69"/>
      <c r="E198" s="38"/>
      <c r="F198" s="38"/>
      <c r="G198" s="38"/>
      <c r="H198" s="38"/>
      <c r="I198" s="38"/>
      <c r="J198" s="38"/>
      <c r="K198" s="38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3"/>
      <c r="AL198" s="38"/>
      <c r="AM198" s="46"/>
      <c r="AN198" s="46"/>
      <c r="AO198" s="47"/>
      <c r="AP198" s="38"/>
      <c r="AQ198" s="34"/>
      <c r="AR198" s="34"/>
      <c r="AS198" s="34"/>
      <c r="AT198" s="34"/>
      <c r="AU198" s="34"/>
    </row>
    <row r="199" spans="1:47" s="25" customFormat="1" ht="13.5">
      <c r="A199" s="68"/>
      <c r="B199" s="69"/>
      <c r="E199" s="38"/>
      <c r="F199" s="38"/>
      <c r="G199" s="38"/>
      <c r="H199" s="38"/>
      <c r="I199" s="38"/>
      <c r="J199" s="38"/>
      <c r="K199" s="38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3"/>
      <c r="AL199" s="38"/>
      <c r="AM199" s="46"/>
      <c r="AN199" s="46"/>
      <c r="AO199" s="47"/>
      <c r="AP199" s="38"/>
      <c r="AQ199" s="34"/>
      <c r="AR199" s="34"/>
      <c r="AS199" s="34"/>
      <c r="AT199" s="34"/>
      <c r="AU199" s="34"/>
    </row>
    <row r="200" spans="1:47" s="25" customFormat="1" ht="13.5">
      <c r="A200" s="68"/>
      <c r="B200" s="69"/>
      <c r="E200" s="38"/>
      <c r="F200" s="38"/>
      <c r="G200" s="38"/>
      <c r="H200" s="38"/>
      <c r="I200" s="38"/>
      <c r="J200" s="38"/>
      <c r="K200" s="38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3"/>
      <c r="AL200" s="38"/>
      <c r="AM200" s="46"/>
      <c r="AN200" s="46"/>
      <c r="AO200" s="47"/>
      <c r="AP200" s="38"/>
      <c r="AQ200" s="34"/>
      <c r="AR200" s="34"/>
      <c r="AS200" s="34"/>
      <c r="AT200" s="34"/>
      <c r="AU200" s="34"/>
    </row>
    <row r="201" spans="1:47" s="25" customFormat="1" ht="13.5">
      <c r="A201" s="68"/>
      <c r="B201" s="69"/>
      <c r="E201" s="38"/>
      <c r="F201" s="38"/>
      <c r="G201" s="38"/>
      <c r="H201" s="38"/>
      <c r="I201" s="38"/>
      <c r="J201" s="38"/>
      <c r="K201" s="38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3"/>
      <c r="AL201" s="38"/>
      <c r="AM201" s="46"/>
      <c r="AN201" s="46"/>
      <c r="AO201" s="47"/>
      <c r="AP201" s="38"/>
      <c r="AQ201" s="34"/>
      <c r="AR201" s="34"/>
      <c r="AS201" s="34"/>
      <c r="AT201" s="34"/>
      <c r="AU201" s="34"/>
    </row>
    <row r="202" spans="1:47" s="25" customFormat="1" ht="13.5">
      <c r="A202" s="68"/>
      <c r="B202" s="69"/>
      <c r="E202" s="38"/>
      <c r="F202" s="38"/>
      <c r="G202" s="38"/>
      <c r="H202" s="38"/>
      <c r="I202" s="38"/>
      <c r="J202" s="38"/>
      <c r="K202" s="38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3"/>
      <c r="AL202" s="38"/>
      <c r="AM202" s="46"/>
      <c r="AN202" s="46"/>
      <c r="AO202" s="47"/>
      <c r="AP202" s="38"/>
      <c r="AQ202" s="34"/>
      <c r="AR202" s="34"/>
      <c r="AS202" s="34"/>
      <c r="AT202" s="34"/>
      <c r="AU202" s="34"/>
    </row>
    <row r="203" spans="1:47" s="25" customFormat="1" ht="13.5">
      <c r="A203" s="68"/>
      <c r="B203" s="69"/>
      <c r="E203" s="38"/>
      <c r="F203" s="38"/>
      <c r="G203" s="38"/>
      <c r="H203" s="38"/>
      <c r="I203" s="38"/>
      <c r="J203" s="38"/>
      <c r="K203" s="38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3"/>
      <c r="AL203" s="38"/>
      <c r="AM203" s="46"/>
      <c r="AN203" s="46"/>
      <c r="AO203" s="47"/>
      <c r="AP203" s="38"/>
      <c r="AQ203" s="34"/>
      <c r="AR203" s="34"/>
      <c r="AS203" s="34"/>
      <c r="AT203" s="34"/>
      <c r="AU203" s="34"/>
    </row>
    <row r="204" spans="1:47" s="25" customFormat="1" ht="13.5">
      <c r="A204" s="68"/>
      <c r="B204" s="69"/>
      <c r="E204" s="38"/>
      <c r="F204" s="38"/>
      <c r="G204" s="38"/>
      <c r="H204" s="38"/>
      <c r="I204" s="38"/>
      <c r="J204" s="38"/>
      <c r="K204" s="38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3"/>
      <c r="AL204" s="38"/>
      <c r="AM204" s="46"/>
      <c r="AN204" s="46"/>
      <c r="AO204" s="47"/>
      <c r="AP204" s="38"/>
      <c r="AQ204" s="34"/>
      <c r="AR204" s="34"/>
      <c r="AS204" s="34"/>
      <c r="AT204" s="34"/>
      <c r="AU204" s="34"/>
    </row>
    <row r="205" spans="1:47" s="25" customFormat="1" ht="13.5">
      <c r="A205" s="68"/>
      <c r="B205" s="69"/>
      <c r="E205" s="38"/>
      <c r="F205" s="38"/>
      <c r="G205" s="38"/>
      <c r="H205" s="38"/>
      <c r="I205" s="38"/>
      <c r="J205" s="38"/>
      <c r="K205" s="38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3"/>
      <c r="AL205" s="38"/>
      <c r="AM205" s="46"/>
      <c r="AN205" s="46"/>
      <c r="AO205" s="47"/>
      <c r="AP205" s="38"/>
      <c r="AQ205" s="34"/>
      <c r="AR205" s="34"/>
      <c r="AS205" s="34"/>
      <c r="AT205" s="34"/>
      <c r="AU205" s="34"/>
    </row>
    <row r="206" spans="1:47" s="25" customFormat="1" ht="13.5">
      <c r="A206" s="68"/>
      <c r="B206" s="69"/>
      <c r="E206" s="38"/>
      <c r="F206" s="38"/>
      <c r="G206" s="38"/>
      <c r="H206" s="38"/>
      <c r="I206" s="38"/>
      <c r="J206" s="38"/>
      <c r="K206" s="38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3"/>
      <c r="AL206" s="38"/>
      <c r="AM206" s="46"/>
      <c r="AN206" s="46"/>
      <c r="AO206" s="47"/>
      <c r="AP206" s="38"/>
      <c r="AQ206" s="34"/>
      <c r="AR206" s="34"/>
      <c r="AS206" s="34"/>
      <c r="AT206" s="34"/>
      <c r="AU206" s="34"/>
    </row>
    <row r="207" spans="1:47" s="25" customFormat="1" ht="13.5">
      <c r="A207" s="68"/>
      <c r="B207" s="69"/>
      <c r="E207" s="38"/>
      <c r="F207" s="38"/>
      <c r="G207" s="38"/>
      <c r="H207" s="38"/>
      <c r="I207" s="38"/>
      <c r="J207" s="38"/>
      <c r="K207" s="38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3"/>
      <c r="AL207" s="38"/>
      <c r="AM207" s="46"/>
      <c r="AN207" s="46"/>
      <c r="AO207" s="47"/>
      <c r="AP207" s="38"/>
      <c r="AQ207" s="34"/>
      <c r="AR207" s="34"/>
      <c r="AS207" s="34"/>
      <c r="AT207" s="34"/>
      <c r="AU207" s="34"/>
    </row>
    <row r="208" spans="1:47" s="25" customFormat="1" ht="13.5">
      <c r="A208" s="68"/>
      <c r="B208" s="69"/>
      <c r="E208" s="38"/>
      <c r="F208" s="38"/>
      <c r="G208" s="38"/>
      <c r="H208" s="38"/>
      <c r="I208" s="38"/>
      <c r="J208" s="38"/>
      <c r="K208" s="38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3"/>
      <c r="AL208" s="38"/>
      <c r="AM208" s="46"/>
      <c r="AN208" s="46"/>
      <c r="AO208" s="47"/>
      <c r="AP208" s="38"/>
      <c r="AQ208" s="34"/>
      <c r="AR208" s="34"/>
      <c r="AS208" s="34"/>
      <c r="AT208" s="34"/>
      <c r="AU208" s="34"/>
    </row>
    <row r="209" spans="1:47" s="25" customFormat="1" ht="13.5">
      <c r="A209" s="68"/>
      <c r="B209" s="69"/>
      <c r="E209" s="38"/>
      <c r="F209" s="38"/>
      <c r="G209" s="38"/>
      <c r="H209" s="38"/>
      <c r="I209" s="38"/>
      <c r="J209" s="38"/>
      <c r="K209" s="38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3"/>
      <c r="AL209" s="38"/>
      <c r="AM209" s="46"/>
      <c r="AN209" s="46"/>
      <c r="AO209" s="47"/>
      <c r="AP209" s="38"/>
      <c r="AQ209" s="34"/>
      <c r="AR209" s="34"/>
      <c r="AS209" s="34"/>
      <c r="AT209" s="34"/>
      <c r="AU209" s="34"/>
    </row>
    <row r="210" spans="1:47" s="25" customFormat="1" ht="13.5">
      <c r="A210" s="68"/>
      <c r="B210" s="69"/>
      <c r="E210" s="38"/>
      <c r="F210" s="38"/>
      <c r="G210" s="38"/>
      <c r="H210" s="38"/>
      <c r="I210" s="38"/>
      <c r="J210" s="38"/>
      <c r="K210" s="38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3"/>
      <c r="AL210" s="38"/>
      <c r="AM210" s="46"/>
      <c r="AN210" s="46"/>
      <c r="AO210" s="47"/>
      <c r="AP210" s="38"/>
      <c r="AQ210" s="34"/>
      <c r="AR210" s="34"/>
      <c r="AS210" s="34"/>
      <c r="AT210" s="34"/>
      <c r="AU210" s="34"/>
    </row>
    <row r="211" spans="1:47" s="25" customFormat="1" ht="13.5">
      <c r="A211" s="68"/>
      <c r="B211" s="69"/>
      <c r="E211" s="38"/>
      <c r="F211" s="38"/>
      <c r="G211" s="38"/>
      <c r="H211" s="38"/>
      <c r="I211" s="38"/>
      <c r="J211" s="38"/>
      <c r="K211" s="38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3"/>
      <c r="AL211" s="38"/>
      <c r="AM211" s="46"/>
      <c r="AN211" s="46"/>
      <c r="AO211" s="47"/>
      <c r="AP211" s="38"/>
      <c r="AQ211" s="34"/>
      <c r="AR211" s="34"/>
      <c r="AS211" s="34"/>
      <c r="AT211" s="34"/>
      <c r="AU211" s="34"/>
    </row>
    <row r="212" spans="1:47" s="25" customFormat="1" ht="13.5">
      <c r="A212" s="68"/>
      <c r="B212" s="69"/>
      <c r="E212" s="38"/>
      <c r="F212" s="38"/>
      <c r="G212" s="38"/>
      <c r="H212" s="38"/>
      <c r="I212" s="38"/>
      <c r="J212" s="38"/>
      <c r="K212" s="38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3"/>
      <c r="AL212" s="38"/>
      <c r="AM212" s="46"/>
      <c r="AN212" s="46"/>
      <c r="AO212" s="47"/>
      <c r="AP212" s="38"/>
      <c r="AQ212" s="34"/>
      <c r="AR212" s="34"/>
      <c r="AS212" s="34"/>
      <c r="AT212" s="34"/>
      <c r="AU212" s="34"/>
    </row>
    <row r="213" spans="1:47" s="25" customFormat="1" ht="13.5">
      <c r="A213" s="68"/>
      <c r="B213" s="69"/>
      <c r="E213" s="38"/>
      <c r="F213" s="38"/>
      <c r="G213" s="38"/>
      <c r="H213" s="38"/>
      <c r="I213" s="38"/>
      <c r="J213" s="38"/>
      <c r="K213" s="38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3"/>
      <c r="AL213" s="38"/>
      <c r="AM213" s="46"/>
      <c r="AN213" s="46"/>
      <c r="AO213" s="47"/>
      <c r="AP213" s="38"/>
      <c r="AQ213" s="34"/>
      <c r="AR213" s="34"/>
      <c r="AS213" s="34"/>
      <c r="AT213" s="34"/>
      <c r="AU213" s="34"/>
    </row>
  </sheetData>
  <autoFilter ref="L7:AJ79">
    <filterColumn colId="24">
      <customFilters>
        <customFilter operator="notEqual" val=" "/>
      </customFilters>
    </filterColumn>
  </autoFilter>
  <mergeCells count="15">
    <mergeCell ref="AO6:AO7"/>
    <mergeCell ref="D79:E79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5:H31 H70:H78">
    <cfRule type="expression" dxfId="18" priority="18" stopIfTrue="1">
      <formula>$H15="TTL"</formula>
    </cfRule>
  </conditionalFormatting>
  <conditionalFormatting sqref="H30">
    <cfRule type="expression" dxfId="17" priority="17" stopIfTrue="1">
      <formula>$H30="TTL"</formula>
    </cfRule>
  </conditionalFormatting>
  <conditionalFormatting sqref="H15:H31">
    <cfRule type="expression" dxfId="16" priority="16" stopIfTrue="1">
      <formula>$H15="TTL"</formula>
    </cfRule>
  </conditionalFormatting>
  <conditionalFormatting sqref="H30">
    <cfRule type="expression" dxfId="15" priority="15" stopIfTrue="1">
      <formula>$H30="TTL"</formula>
    </cfRule>
  </conditionalFormatting>
  <conditionalFormatting sqref="H15:H32">
    <cfRule type="expression" dxfId="14" priority="14" stopIfTrue="1">
      <formula>$H15="TTL"</formula>
    </cfRule>
  </conditionalFormatting>
  <conditionalFormatting sqref="H15:H20">
    <cfRule type="expression" dxfId="13" priority="12" stopIfTrue="1">
      <formula>$H15="TTL"</formula>
    </cfRule>
  </conditionalFormatting>
  <conditionalFormatting sqref="H15:H16">
    <cfRule type="expression" dxfId="11" priority="11" stopIfTrue="1">
      <formula>$H15="TTL"</formula>
    </cfRule>
  </conditionalFormatting>
  <conditionalFormatting sqref="H15:H17">
    <cfRule type="expression" dxfId="10" priority="10" stopIfTrue="1">
      <formula>$H15="TTL"</formula>
    </cfRule>
  </conditionalFormatting>
  <conditionalFormatting sqref="H15:H34">
    <cfRule type="expression" dxfId="9" priority="9" stopIfTrue="1">
      <formula>$H15="TTL"</formula>
    </cfRule>
  </conditionalFormatting>
  <conditionalFormatting sqref="H15:H17">
    <cfRule type="expression" dxfId="8" priority="8" stopIfTrue="1">
      <formula>$H15="TTL"</formula>
    </cfRule>
  </conditionalFormatting>
  <conditionalFormatting sqref="H15:H16">
    <cfRule type="expression" dxfId="5" priority="4" stopIfTrue="1">
      <formula>$H15="TTL"</formula>
    </cfRule>
  </conditionalFormatting>
  <conditionalFormatting sqref="H10:H14">
    <cfRule type="expression" dxfId="2" priority="2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2014-07-01T06:07:36Z</cp:lastPrinted>
  <dcterms:created xsi:type="dcterms:W3CDTF">2014-07-01T06:06:11Z</dcterms:created>
  <dcterms:modified xsi:type="dcterms:W3CDTF">2014-07-01T06:26:33Z</dcterms:modified>
</cp:coreProperties>
</file>