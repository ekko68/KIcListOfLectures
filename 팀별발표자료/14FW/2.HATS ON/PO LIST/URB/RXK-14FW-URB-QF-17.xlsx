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J8" i="1" l="1"/>
  <c r="AJ9" i="1"/>
  <c r="AJ11" i="1"/>
  <c r="AJ10" i="1" l="1"/>
  <c r="AJ12" i="1" l="1"/>
  <c r="AJ13" i="1" l="1"/>
  <c r="AJ14" i="1"/>
  <c r="AJ15" i="1" l="1"/>
  <c r="AJ16" i="1" l="1"/>
  <c r="AJ18" i="1" l="1"/>
  <c r="AJ17" i="1"/>
  <c r="AJ19" i="1" l="1"/>
  <c r="AJ20" i="1" l="1"/>
  <c r="AJ21" i="1" l="1"/>
  <c r="AJ22" i="1"/>
  <c r="AJ23" i="1" l="1"/>
  <c r="AJ24" i="1" l="1"/>
  <c r="AJ25" i="1" l="1"/>
  <c r="AJ26" i="1" l="1"/>
  <c r="AJ27" i="1" l="1"/>
  <c r="AJ28" i="1" l="1"/>
  <c r="AJ29" i="1" l="1"/>
  <c r="AJ30" i="1" l="1"/>
  <c r="AJ31" i="1" l="1"/>
  <c r="AJ32" i="1" l="1"/>
  <c r="AJ33" i="1" l="1"/>
  <c r="AJ34" i="1" l="1"/>
  <c r="AJ35" i="1" l="1"/>
  <c r="AJ36" i="1" l="1"/>
  <c r="AJ37" i="1" l="1"/>
  <c r="AJ38" i="1" l="1"/>
  <c r="AJ39" i="1" l="1"/>
  <c r="AJ40" i="1" l="1"/>
  <c r="AJ41" i="1" l="1"/>
  <c r="AJ42" i="1" l="1"/>
  <c r="AJ43" i="1" l="1"/>
  <c r="AJ44" i="1" l="1"/>
  <c r="AJ45" i="1" l="1"/>
  <c r="AJ46" i="1" l="1"/>
  <c r="AJ47" i="1" l="1"/>
  <c r="AJ48" i="1" l="1"/>
  <c r="AJ49" i="1" l="1"/>
  <c r="AJ50" i="1" l="1"/>
  <c r="AJ51" i="1" l="1"/>
  <c r="AJ52" i="1" l="1"/>
  <c r="AJ53" i="1" l="1"/>
  <c r="AJ54" i="1" l="1"/>
  <c r="AJ55" i="1" l="1"/>
  <c r="AJ56" i="1" l="1"/>
  <c r="AJ57" i="1" l="1"/>
  <c r="AJ58" i="1" l="1"/>
  <c r="AJ59" i="1" l="1"/>
  <c r="AJ61" i="1" l="1"/>
  <c r="AJ60" i="1"/>
  <c r="AJ62" i="1" l="1"/>
  <c r="AJ63" i="1" l="1"/>
  <c r="AJ64" i="1"/>
  <c r="AJ66" i="1" l="1"/>
  <c r="AJ65" i="1"/>
  <c r="AL75" i="1" l="1"/>
  <c r="AK75" i="1"/>
  <c r="AJ67" i="1" l="1"/>
  <c r="AJ68" i="1" l="1"/>
  <c r="AJ69" i="1"/>
  <c r="AJ70" i="1" l="1"/>
  <c r="AJ72" i="1" l="1"/>
  <c r="AJ71" i="1"/>
  <c r="AJ73" i="1" l="1"/>
  <c r="P75" i="1" l="1"/>
  <c r="T75" i="1"/>
  <c r="X75" i="1"/>
  <c r="AB75" i="1"/>
  <c r="AF75" i="1"/>
  <c r="O75" i="1"/>
  <c r="S75" i="1"/>
  <c r="W75" i="1"/>
  <c r="AA75" i="1"/>
  <c r="AE75" i="1"/>
  <c r="AI75" i="1"/>
  <c r="N75" i="1"/>
  <c r="R75" i="1"/>
  <c r="V75" i="1"/>
  <c r="Z75" i="1"/>
  <c r="AD75" i="1"/>
  <c r="AH75" i="1"/>
  <c r="M75" i="1"/>
  <c r="Q75" i="1"/>
  <c r="U75" i="1"/>
  <c r="Y75" i="1"/>
  <c r="AC75" i="1"/>
  <c r="AG75" i="1"/>
  <c r="AJ74" i="1" l="1"/>
  <c r="L75" i="1"/>
  <c r="AJ75" i="1" l="1"/>
</calcChain>
</file>

<file path=xl/sharedStrings.xml><?xml version="1.0" encoding="utf-8"?>
<sst xmlns="http://schemas.openxmlformats.org/spreadsheetml/2006/main" count="2355" uniqueCount="65">
  <si>
    <t>PURCHASE ORDER LIST</t>
    <phoneticPr fontId="4" type="noConversion"/>
  </si>
  <si>
    <t>PO#</t>
    <phoneticPr fontId="4" type="noConversion"/>
  </si>
  <si>
    <t>URB-QF-17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</si>
  <si>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</si>
  <si>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</si>
  <si>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</si>
  <si>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</si>
  <si>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</si>
  <si>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</si>
  <si>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</si>
  <si>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</si>
  <si>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</si>
  <si>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</si>
  <si>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</si>
  <si>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</si>
  <si>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</si>
  <si>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</si>
  <si>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</si>
  <si>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</si>
  <si>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</si>
  <si>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</si>
  <si>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</si>
  <si>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</si>
  <si>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</si>
  <si>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</si>
  <si>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</si>
  <si>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</si>
  <si>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</si>
  <si>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</si>
  <si>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</si>
  <si>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</si>
  <si>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</si>
  <si>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</si>
  <si>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</si>
  <si>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</si>
  <si>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</si>
  <si>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</si>
  <si>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URBSNF5020BLACK</t>
  </si>
  <si>
    <t>URBAN SWAGGER</t>
  </si>
  <si>
    <t>SNAPBACK</t>
  </si>
  <si>
    <t>U</t>
  </si>
  <si>
    <t>14FW_URBAN SWAGGER_34_FLAT_BK</t>
  </si>
  <si>
    <t>URBSNF5020</t>
  </si>
  <si>
    <t>BLACK</t>
  </si>
  <si>
    <t/>
  </si>
  <si>
    <t>URBSNF3021BLACK</t>
  </si>
  <si>
    <t>14FW_URBAN SWAGGER_30_FLAT_BK</t>
  </si>
  <si>
    <t>URBSNF3021</t>
  </si>
  <si>
    <t>URBSNF3024BLACK</t>
  </si>
  <si>
    <t>14FW_URBAN SWAGGER_38_FLAT_BK</t>
  </si>
  <si>
    <t>URBSNF3024</t>
  </si>
  <si>
    <t>URBSNF3025GREY</t>
  </si>
  <si>
    <t>14FW_URBAN SWAGGER_39_FLAT_GY</t>
  </si>
  <si>
    <t>URBSNF3025</t>
  </si>
  <si>
    <t>GREY</t>
  </si>
  <si>
    <t>URBSNF3026MINT</t>
  </si>
  <si>
    <t>URBSNF3026</t>
  </si>
  <si>
    <t>URBSNF3027WHITE</t>
  </si>
  <si>
    <t>14FW_URBAN SWAGGER_40_FLAT_WH</t>
  </si>
  <si>
    <t>URBSNF3027</t>
  </si>
  <si>
    <t>WHITE</t>
  </si>
  <si>
    <t>FW</t>
  </si>
  <si>
    <t>14FW_URBAN SWAGGER_37_FLAT_YE</t>
  </si>
  <si>
    <t>YELLOW</t>
    <phoneticPr fontId="3" type="noConversion"/>
  </si>
  <si>
    <t>RXK-14FW-URB-QF-17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</si>
</sst>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543821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6170" t="21337" r="36360" b="29034"/>
        <a:stretch>
          <a:fillRect/>
        </a:stretch>
      </xdr:blipFill>
      <xdr:spPr bwMode="auto">
        <a:xfrm>
          <a:off x="4918981" y="811853850"/>
          <a:ext cx="540000" cy="4485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545249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150" t="36036" r="44858" b="30773"/>
        <a:stretch>
          <a:fillRect/>
        </a:stretch>
      </xdr:blipFill>
      <xdr:spPr bwMode="auto">
        <a:xfrm>
          <a:off x="4918981" y="812520599"/>
          <a:ext cx="540000" cy="45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95250</xdr:rowOff>
    </xdr:from>
    <xdr:to>
      <xdr:col>7</xdr:col>
      <xdr:colOff>648856</xdr:colOff>
      <xdr:row>9</xdr:row>
      <xdr:rowOff>544239</xdr:rowOff>
    </xdr:to>
    <xdr:pic>
      <xdr:nvPicPr>
        <xdr:cNvPr id="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24088" t="20705" r="40623" b="32511"/>
        <a:stretch>
          <a:fillRect/>
        </a:stretch>
      </xdr:blipFill>
      <xdr:spPr bwMode="auto">
        <a:xfrm>
          <a:off x="4918981" y="814520850"/>
          <a:ext cx="540000" cy="4489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95249</xdr:rowOff>
    </xdr:from>
    <xdr:to>
      <xdr:col>7</xdr:col>
      <xdr:colOff>648856</xdr:colOff>
      <xdr:row>10</xdr:row>
      <xdr:rowOff>541587</xdr:rowOff>
    </xdr:to>
    <xdr:pic>
      <xdr:nvPicPr>
        <xdr:cNvPr id="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1796" t="17228" r="41911" b="21764"/>
        <a:stretch>
          <a:fillRect/>
        </a:stretch>
      </xdr:blipFill>
      <xdr:spPr bwMode="auto">
        <a:xfrm>
          <a:off x="4918981" y="815187599"/>
          <a:ext cx="540000" cy="4463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95249</xdr:rowOff>
    </xdr:from>
    <xdr:to>
      <xdr:col>7</xdr:col>
      <xdr:colOff>648856</xdr:colOff>
      <xdr:row>12</xdr:row>
      <xdr:rowOff>548115</xdr:rowOff>
    </xdr:to>
    <xdr:pic>
      <xdr:nvPicPr>
        <xdr:cNvPr id="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0228" t="17228" r="33069" b="20341"/>
        <a:stretch>
          <a:fillRect/>
        </a:stretch>
      </xdr:blipFill>
      <xdr:spPr bwMode="auto">
        <a:xfrm>
          <a:off x="4918981" y="816521099"/>
          <a:ext cx="540000" cy="4528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11</xdr:row>
      <xdr:rowOff>114301</xdr:rowOff>
    </xdr:from>
    <xdr:to>
      <xdr:col>7</xdr:col>
      <xdr:colOff>654300</xdr:colOff>
      <xdr:row>11</xdr:row>
      <xdr:rowOff>565814</xdr:rowOff>
    </xdr:to>
    <xdr:pic>
      <xdr:nvPicPr>
        <xdr:cNvPr id="1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5185" t="16121" r="37574" b="20974"/>
        <a:stretch>
          <a:fillRect/>
        </a:stretch>
      </xdr:blipFill>
      <xdr:spPr bwMode="auto">
        <a:xfrm>
          <a:off x="3136900" y="5842001"/>
          <a:ext cx="540000" cy="451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D75" sqref="D75:E75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64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41800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84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1000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7" si="0">SUM(L8:AI8)</f>
        <v>1000</v>
      </c>
      <c r="AK8" s="64">
        <v>0</v>
      </c>
      <c r="AL8" s="65">
        <v>0</v>
      </c>
      <c r="AM8" s="66">
        <v>0</v>
      </c>
      <c r="AN8" s="66">
        <v>41900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84"/>
      <c r="I9" s="61" t="s">
        <v>46</v>
      </c>
      <c r="J9" s="58" t="s">
        <v>47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1000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41900</v>
      </c>
      <c r="AO9" s="61"/>
    </row>
    <row r="10" spans="1:46" ht="52.5" customHeight="1">
      <c r="A10" s="55">
        <v>5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40</v>
      </c>
      <c r="H10" s="84"/>
      <c r="I10" s="61" t="s">
        <v>49</v>
      </c>
      <c r="J10" s="58" t="s">
        <v>50</v>
      </c>
      <c r="K10" s="58" t="s">
        <v>43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750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750</v>
      </c>
      <c r="AK10" s="64">
        <v>0</v>
      </c>
      <c r="AL10" s="65">
        <v>0</v>
      </c>
      <c r="AM10" s="66">
        <v>0</v>
      </c>
      <c r="AN10" s="66">
        <v>41900</v>
      </c>
      <c r="AO10" s="61"/>
    </row>
    <row r="11" spans="1:46" ht="52.5" customHeight="1">
      <c r="A11" s="55">
        <v>6</v>
      </c>
      <c r="B11" s="56" t="s">
        <v>51</v>
      </c>
      <c r="D11" s="58">
        <v>4</v>
      </c>
      <c r="E11" s="59" t="s">
        <v>38</v>
      </c>
      <c r="F11" s="59" t="s">
        <v>39</v>
      </c>
      <c r="G11" s="59" t="s">
        <v>40</v>
      </c>
      <c r="H11" s="84"/>
      <c r="I11" s="61" t="s">
        <v>52</v>
      </c>
      <c r="J11" s="58" t="s">
        <v>53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500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500</v>
      </c>
      <c r="AK11" s="64">
        <v>0</v>
      </c>
      <c r="AL11" s="65">
        <v>0</v>
      </c>
      <c r="AM11" s="66">
        <v>0</v>
      </c>
      <c r="AN11" s="66">
        <v>41900</v>
      </c>
      <c r="AO11" s="61"/>
    </row>
    <row r="12" spans="1:46" ht="52.5" customHeight="1">
      <c r="A12" s="55">
        <v>7</v>
      </c>
      <c r="B12" s="56" t="s">
        <v>55</v>
      </c>
      <c r="D12" s="58">
        <v>5</v>
      </c>
      <c r="E12" s="59" t="s">
        <v>38</v>
      </c>
      <c r="F12" s="59" t="s">
        <v>39</v>
      </c>
      <c r="G12" s="59" t="s">
        <v>40</v>
      </c>
      <c r="H12" s="84"/>
      <c r="I12" s="61" t="s">
        <v>62</v>
      </c>
      <c r="J12" s="58" t="s">
        <v>56</v>
      </c>
      <c r="K12" s="58" t="s">
        <v>63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500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500</v>
      </c>
      <c r="AK12" s="64">
        <v>0</v>
      </c>
      <c r="AL12" s="65">
        <v>0</v>
      </c>
      <c r="AM12" s="66">
        <v>0</v>
      </c>
      <c r="AN12" s="66">
        <v>41900</v>
      </c>
      <c r="AO12" s="61"/>
    </row>
    <row r="13" spans="1:46" ht="52.5" customHeight="1">
      <c r="A13" s="55">
        <v>8</v>
      </c>
      <c r="B13" s="56" t="s">
        <v>57</v>
      </c>
      <c r="D13" s="58">
        <v>6</v>
      </c>
      <c r="E13" s="59" t="s">
        <v>38</v>
      </c>
      <c r="F13" s="59" t="s">
        <v>39</v>
      </c>
      <c r="G13" s="59" t="s">
        <v>40</v>
      </c>
      <c r="H13" s="84"/>
      <c r="I13" s="61" t="s">
        <v>58</v>
      </c>
      <c r="J13" s="58" t="s">
        <v>59</v>
      </c>
      <c r="K13" s="58" t="s">
        <v>60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500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500</v>
      </c>
      <c r="AK13" s="64">
        <v>0</v>
      </c>
      <c r="AL13" s="65">
        <v>0</v>
      </c>
      <c r="AM13" s="66">
        <v>0</v>
      </c>
      <c r="AN13" s="66">
        <v>41900</v>
      </c>
      <c r="AO13" s="61"/>
    </row>
    <row r="14" spans="1:46" ht="52.5" hidden="1" customHeight="1">
      <c r="A14" s="55">
        <v>9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0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10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11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12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13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14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15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16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17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18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19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20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21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22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23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24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25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26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8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27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8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28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29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30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31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32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33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ref="AJ38:AJ69" si="1">SUM(L38:AI38)</f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34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1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35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si="1"/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36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37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38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39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40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41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42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43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44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45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46</v>
      </c>
      <c r="B51" s="56" t="s">
        <v>44</v>
      </c>
      <c r="C51" s="69"/>
      <c r="D51" s="58">
        <v>0</v>
      </c>
      <c r="E51" s="59" t="s">
        <v>44</v>
      </c>
      <c r="F51" s="59" t="s">
        <v>44</v>
      </c>
      <c r="G51" s="59" t="s">
        <v>44</v>
      </c>
      <c r="H51" s="70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71"/>
      <c r="AP51" s="72"/>
      <c r="AQ51" s="73"/>
      <c r="AR51" s="73"/>
      <c r="AS51" s="73"/>
      <c r="AT51" s="73"/>
      <c r="AU51" s="73"/>
    </row>
    <row r="52" spans="1:47" ht="52.5" hidden="1" customHeight="1">
      <c r="A52" s="55">
        <v>47</v>
      </c>
      <c r="B52" s="56" t="s">
        <v>44</v>
      </c>
      <c r="C52" s="69"/>
      <c r="D52" s="58">
        <v>0</v>
      </c>
      <c r="E52" s="59" t="s">
        <v>44</v>
      </c>
      <c r="F52" s="59" t="s">
        <v>44</v>
      </c>
      <c r="G52" s="59" t="s">
        <v>44</v>
      </c>
      <c r="H52" s="70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71"/>
      <c r="AP52" s="72"/>
      <c r="AQ52" s="73"/>
      <c r="AR52" s="73"/>
      <c r="AS52" s="73"/>
      <c r="AT52" s="73"/>
      <c r="AU52" s="73"/>
    </row>
    <row r="53" spans="1:47" ht="52.5" hidden="1" customHeight="1">
      <c r="A53" s="55">
        <v>48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49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50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51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52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53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54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55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56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57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58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59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60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61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6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62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6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74" t="s">
        <v>44</v>
      </c>
      <c r="Q67" s="74" t="s">
        <v>44</v>
      </c>
      <c r="R67" s="74" t="s">
        <v>44</v>
      </c>
      <c r="S67" s="74" t="s">
        <v>44</v>
      </c>
      <c r="T67" s="74" t="s">
        <v>44</v>
      </c>
      <c r="U67" s="74" t="s">
        <v>44</v>
      </c>
      <c r="V67" s="74" t="s">
        <v>44</v>
      </c>
      <c r="W67" s="74" t="s">
        <v>44</v>
      </c>
      <c r="X67" s="74" t="s">
        <v>44</v>
      </c>
      <c r="Y67" s="74" t="s">
        <v>44</v>
      </c>
      <c r="Z67" s="74" t="s">
        <v>44</v>
      </c>
      <c r="AA67" s="74" t="s">
        <v>44</v>
      </c>
      <c r="AB67" s="74" t="s">
        <v>44</v>
      </c>
      <c r="AC67" s="74" t="s">
        <v>44</v>
      </c>
      <c r="AD67" s="74" t="s">
        <v>44</v>
      </c>
      <c r="AE67" s="74" t="s">
        <v>44</v>
      </c>
      <c r="AF67" s="74" t="s">
        <v>44</v>
      </c>
      <c r="AG67" s="74" t="s">
        <v>44</v>
      </c>
      <c r="AH67" s="74" t="s">
        <v>44</v>
      </c>
      <c r="AI67" s="74" t="s">
        <v>44</v>
      </c>
      <c r="AJ67" s="75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63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4" t="s">
        <v>44</v>
      </c>
      <c r="AC68" s="74" t="s">
        <v>44</v>
      </c>
      <c r="AD68" s="74" t="s">
        <v>44</v>
      </c>
      <c r="AE68" s="74" t="s">
        <v>44</v>
      </c>
      <c r="AF68" s="74" t="s">
        <v>44</v>
      </c>
      <c r="AG68" s="74" t="s">
        <v>44</v>
      </c>
      <c r="AH68" s="74" t="s">
        <v>44</v>
      </c>
      <c r="AI68" s="74" t="s">
        <v>44</v>
      </c>
      <c r="AJ68" s="75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64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65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>SUM(L70:AI70)</f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66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>SUM(L71:AI71)</f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67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68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69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21.75" customHeight="1">
      <c r="A75" s="55"/>
      <c r="B75" s="56"/>
      <c r="D75" s="91" t="s">
        <v>32</v>
      </c>
      <c r="E75" s="91"/>
      <c r="F75" s="76"/>
      <c r="G75" s="76"/>
      <c r="H75" s="76"/>
      <c r="I75" s="76"/>
      <c r="J75" s="76"/>
      <c r="K75" s="76"/>
      <c r="L75" s="77">
        <f t="shared" ref="L75:AJ75" si="2">SUM(L8:L74)</f>
        <v>0</v>
      </c>
      <c r="M75" s="77">
        <f t="shared" si="2"/>
        <v>0</v>
      </c>
      <c r="N75" s="77">
        <f t="shared" si="2"/>
        <v>0</v>
      </c>
      <c r="O75" s="77">
        <f t="shared" si="2"/>
        <v>0</v>
      </c>
      <c r="P75" s="77">
        <f t="shared" si="2"/>
        <v>0</v>
      </c>
      <c r="Q75" s="77">
        <f t="shared" si="2"/>
        <v>0</v>
      </c>
      <c r="R75" s="77">
        <f t="shared" si="2"/>
        <v>0</v>
      </c>
      <c r="S75" s="77">
        <f t="shared" si="2"/>
        <v>0</v>
      </c>
      <c r="T75" s="77">
        <f t="shared" si="2"/>
        <v>0</v>
      </c>
      <c r="U75" s="77">
        <f t="shared" si="2"/>
        <v>0</v>
      </c>
      <c r="V75" s="77">
        <f t="shared" si="2"/>
        <v>0</v>
      </c>
      <c r="W75" s="77">
        <f t="shared" si="2"/>
        <v>0</v>
      </c>
      <c r="X75" s="77">
        <f t="shared" si="2"/>
        <v>0</v>
      </c>
      <c r="Y75" s="77">
        <f t="shared" si="2"/>
        <v>0</v>
      </c>
      <c r="Z75" s="77">
        <f t="shared" si="2"/>
        <v>0</v>
      </c>
      <c r="AA75" s="77">
        <f t="shared" si="2"/>
        <v>0</v>
      </c>
      <c r="AB75" s="77">
        <f t="shared" si="2"/>
        <v>0</v>
      </c>
      <c r="AC75" s="77">
        <f t="shared" si="2"/>
        <v>0</v>
      </c>
      <c r="AD75" s="77">
        <f t="shared" si="2"/>
        <v>0</v>
      </c>
      <c r="AE75" s="77">
        <f t="shared" si="2"/>
        <v>4250</v>
      </c>
      <c r="AF75" s="77">
        <f t="shared" si="2"/>
        <v>0</v>
      </c>
      <c r="AG75" s="77">
        <f t="shared" si="2"/>
        <v>0</v>
      </c>
      <c r="AH75" s="77">
        <f t="shared" si="2"/>
        <v>0</v>
      </c>
      <c r="AI75" s="77">
        <f t="shared" si="2"/>
        <v>0</v>
      </c>
      <c r="AJ75" s="77">
        <f t="shared" si="2"/>
        <v>4250</v>
      </c>
      <c r="AK75" s="78">
        <f>SUMPRODUCT($AJ8:$AJ66,$AK8:$AK66)</f>
        <v>0</v>
      </c>
      <c r="AL75" s="79">
        <f>SUMPRODUCT($AJ8:$AJ66,AL8:AL66)</f>
        <v>0</v>
      </c>
      <c r="AM75" s="80"/>
      <c r="AN75" s="80"/>
      <c r="AO75" s="81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O6:AO7"/>
    <mergeCell ref="D75:E75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7 H66:H74">
    <cfRule type="expression" dxfId="7" priority="17" stopIfTrue="1">
      <formula>$H14="TTL"</formula>
    </cfRule>
  </conditionalFormatting>
  <conditionalFormatting sqref="H26">
    <cfRule type="expression" dxfId="6" priority="16" stopIfTrue="1">
      <formula>$H26="TTL"</formula>
    </cfRule>
  </conditionalFormatting>
  <conditionalFormatting sqref="H14:H27">
    <cfRule type="expression" dxfId="5" priority="15" stopIfTrue="1">
      <formula>$H14="TTL"</formula>
    </cfRule>
  </conditionalFormatting>
  <conditionalFormatting sqref="H26">
    <cfRule type="expression" dxfId="4" priority="14" stopIfTrue="1">
      <formula>$H26="TTL"</formula>
    </cfRule>
  </conditionalFormatting>
  <conditionalFormatting sqref="H14:H28">
    <cfRule type="expression" dxfId="3" priority="13" stopIfTrue="1">
      <formula>$H14="TTL"</formula>
    </cfRule>
  </conditionalFormatting>
  <conditionalFormatting sqref="H14:H16">
    <cfRule type="expression" dxfId="2" priority="11" stopIfTrue="1">
      <formula>$H14="TTL"</formula>
    </cfRule>
  </conditionalFormatting>
  <conditionalFormatting sqref="H14:H30">
    <cfRule type="expression" dxfId="1" priority="8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2014-06-10T00:27:45Z</dcterms:created>
  <dcterms:modified xsi:type="dcterms:W3CDTF">2014-06-16T07:23:34Z</dcterms:modified>
</cp:coreProperties>
</file>