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<sst xmlns="http://schemas.openxmlformats.org/spreadsheetml/2006/main" count="2427" uniqueCount="58">
  <si>
    <t>PURCHASE ORDER LIST</t>
    <phoneticPr fontId="4" type="noConversion"/>
  </si>
  <si>
    <t>PO#</t>
    <phoneticPr fontId="4" type="noConversion"/>
  </si>
  <si>
    <t>URB-QF-13 TTL</t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</si>
  <si>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</si>
  <si>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</si>
  <si>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</si>
  <si>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</si>
  <si>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</si>
  <si>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</si>
  <si>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</si>
  <si>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</si>
  <si>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</si>
  <si>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</si>
  <si>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</si>
  <si>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</si>
  <si>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</si>
  <si>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</si>
  <si>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</si>
  <si>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</si>
  <si>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</si>
  <si>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</si>
  <si>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</si>
  <si>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</si>
  <si>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</si>
  <si>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</si>
  <si>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</si>
  <si>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</si>
  <si>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</si>
  <si>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</si>
  <si>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</si>
  <si>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</si>
  <si>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</si>
  <si>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</si>
  <si>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</si>
  <si>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</si>
  <si>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</si>
  <si>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</si>
  <si>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</si>
  <si>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URBFIF3403BLACK</t>
  </si>
  <si>
    <t>URBAN SWAGGER</t>
  </si>
  <si>
    <t>FITTED CAP</t>
  </si>
  <si>
    <t>U</t>
  </si>
  <si>
    <t>14SS URBAN SWAGGER_03_FLAP_BK(5950)</t>
  </si>
  <si>
    <t>URBFIF3403</t>
  </si>
  <si>
    <t>BLACK</t>
  </si>
  <si>
    <t/>
  </si>
  <si>
    <t>URBFIF3411BLACK</t>
  </si>
  <si>
    <t>14SS URBAN SWAGGER_06_FLAP_BK(5950)</t>
  </si>
  <si>
    <t>URBFIF3411</t>
  </si>
  <si>
    <t>URBFIF3412BLACK</t>
  </si>
  <si>
    <t>14SS URBAN SWAGGER_07_FLAP_BK(5950)</t>
  </si>
  <si>
    <t>URBFIF3412</t>
  </si>
  <si>
    <t>URBFIF3414BLACK</t>
  </si>
  <si>
    <t>14SS URBAN SWAGGER_10_FLAP_BK(5950)</t>
  </si>
  <si>
    <t>URBFIF3414</t>
  </si>
  <si>
    <t>FW</t>
  </si>
  <si>
    <t>RXK-14FW-URB-QF-13</t>
    <phoneticPr fontId="4" type="noConversion"/>
  </si>
  <si>
    <t>사이즈캡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</si>
</sst>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122463</xdr:colOff>
      <xdr:row>7</xdr:row>
      <xdr:rowOff>108857</xdr:rowOff>
    </xdr:from>
    <xdr:to>
      <xdr:col>7</xdr:col>
      <xdr:colOff>662463</xdr:colOff>
      <xdr:row>7</xdr:row>
      <xdr:rowOff>552242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32588" y="753860207"/>
          <a:ext cx="540000" cy="4433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8</xdr:row>
      <xdr:rowOff>108857</xdr:rowOff>
    </xdr:from>
    <xdr:to>
      <xdr:col>7</xdr:col>
      <xdr:colOff>662463</xdr:colOff>
      <xdr:row>8</xdr:row>
      <xdr:rowOff>557798</xdr:rowOff>
    </xdr:to>
    <xdr:pic>
      <xdr:nvPicPr>
        <xdr:cNvPr id="3" name="그림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2588" y="754526957"/>
          <a:ext cx="540000" cy="448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122463</xdr:colOff>
      <xdr:row>10</xdr:row>
      <xdr:rowOff>108856</xdr:rowOff>
    </xdr:from>
    <xdr:to>
      <xdr:col>7</xdr:col>
      <xdr:colOff>662463</xdr:colOff>
      <xdr:row>10</xdr:row>
      <xdr:rowOff>575845</xdr:rowOff>
    </xdr:to>
    <xdr:pic>
      <xdr:nvPicPr>
        <xdr:cNvPr id="4" name="그림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2588" y="759860956"/>
          <a:ext cx="540000" cy="466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122463</xdr:colOff>
      <xdr:row>9</xdr:row>
      <xdr:rowOff>108857</xdr:rowOff>
    </xdr:from>
    <xdr:to>
      <xdr:col>7</xdr:col>
      <xdr:colOff>662463</xdr:colOff>
      <xdr:row>9</xdr:row>
      <xdr:rowOff>560902</xdr:rowOff>
    </xdr:to>
    <xdr:pic>
      <xdr:nvPicPr>
        <xdr:cNvPr id="5" name="그림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2588" y="759194207"/>
          <a:ext cx="540000" cy="452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55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56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41772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 t="s">
        <v>45</v>
      </c>
      <c r="AF8" s="75">
        <v>300</v>
      </c>
      <c r="AG8" s="75">
        <v>450</v>
      </c>
      <c r="AH8" s="75">
        <v>450</v>
      </c>
      <c r="AI8" s="75">
        <v>300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41848</v>
      </c>
      <c r="AO8" s="74" t="s">
        <v>57</v>
      </c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>
        <v>300</v>
      </c>
      <c r="AG9" s="75">
        <v>450</v>
      </c>
      <c r="AH9" s="75">
        <v>450</v>
      </c>
      <c r="AI9" s="75">
        <v>300</v>
      </c>
      <c r="AJ9" s="76">
        <f t="shared" si="0"/>
        <v>1500</v>
      </c>
      <c r="AK9" s="77">
        <v>0</v>
      </c>
      <c r="AL9" s="78">
        <v>0</v>
      </c>
      <c r="AM9" s="79">
        <v>0</v>
      </c>
      <c r="AN9" s="79">
        <v>41848</v>
      </c>
      <c r="AO9" s="74" t="s">
        <v>57</v>
      </c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50</v>
      </c>
      <c r="J10" s="71" t="s">
        <v>51</v>
      </c>
      <c r="K10" s="71" t="s">
        <v>44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>
        <v>300</v>
      </c>
      <c r="AG10" s="75">
        <v>450</v>
      </c>
      <c r="AH10" s="75">
        <v>450</v>
      </c>
      <c r="AI10" s="75">
        <v>300</v>
      </c>
      <c r="AJ10" s="76">
        <f t="shared" si="0"/>
        <v>1500</v>
      </c>
      <c r="AK10" s="77">
        <v>0</v>
      </c>
      <c r="AL10" s="78">
        <v>0</v>
      </c>
      <c r="AM10" s="79">
        <v>0</v>
      </c>
      <c r="AN10" s="79">
        <v>41848</v>
      </c>
      <c r="AO10" s="74" t="s">
        <v>57</v>
      </c>
    </row>
    <row r="11" spans="1:46" ht="52.5" customHeight="1">
      <c r="A11" s="68">
        <v>4</v>
      </c>
      <c r="B11" s="69" t="s">
        <v>52</v>
      </c>
      <c r="D11" s="71">
        <v>4</v>
      </c>
      <c r="E11" s="72" t="s">
        <v>39</v>
      </c>
      <c r="F11" s="72" t="s">
        <v>40</v>
      </c>
      <c r="G11" s="72" t="s">
        <v>41</v>
      </c>
      <c r="H11" s="73"/>
      <c r="I11" s="74" t="s">
        <v>53</v>
      </c>
      <c r="J11" s="71" t="s">
        <v>54</v>
      </c>
      <c r="K11" s="71" t="s">
        <v>44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>
        <v>300</v>
      </c>
      <c r="AG11" s="75">
        <v>450</v>
      </c>
      <c r="AH11" s="75">
        <v>450</v>
      </c>
      <c r="AI11" s="75">
        <v>300</v>
      </c>
      <c r="AJ11" s="76">
        <f t="shared" si="0"/>
        <v>1500</v>
      </c>
      <c r="AK11" s="77">
        <v>0</v>
      </c>
      <c r="AL11" s="78">
        <v>0</v>
      </c>
      <c r="AM11" s="79">
        <v>0</v>
      </c>
      <c r="AN11" s="79">
        <v>41848</v>
      </c>
      <c r="AO11" s="74" t="s">
        <v>57</v>
      </c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37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0</v>
      </c>
      <c r="AF77" s="92">
        <f t="shared" ref="AF77" si="6">SUM(AF8:AF76)</f>
        <v>1200</v>
      </c>
      <c r="AG77" s="92">
        <f t="shared" si="3"/>
        <v>1800</v>
      </c>
      <c r="AH77" s="92">
        <f t="shared" si="3"/>
        <v>1800</v>
      </c>
      <c r="AI77" s="92">
        <f t="shared" si="3"/>
        <v>1200</v>
      </c>
      <c r="AJ77" s="92">
        <f>SUM(AJ8:AJ76)</f>
        <v>6000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17" priority="17" stopIfTrue="1">
      <formula>$H12="TTL"</formula>
    </cfRule>
  </conditionalFormatting>
  <conditionalFormatting sqref="H28">
    <cfRule type="expression" dxfId="16" priority="16" stopIfTrue="1">
      <formula>$H28="TTL"</formula>
    </cfRule>
  </conditionalFormatting>
  <conditionalFormatting sqref="H12:H29">
    <cfRule type="expression" dxfId="15" priority="15" stopIfTrue="1">
      <formula>$H12="TTL"</formula>
    </cfRule>
  </conditionalFormatting>
  <conditionalFormatting sqref="H28">
    <cfRule type="expression" dxfId="14" priority="14" stopIfTrue="1">
      <formula>$H28="TTL"</formula>
    </cfRule>
  </conditionalFormatting>
  <conditionalFormatting sqref="H12:H30">
    <cfRule type="expression" dxfId="13" priority="13" stopIfTrue="1">
      <formula>$H12="TTL"</formula>
    </cfRule>
  </conditionalFormatting>
  <conditionalFormatting sqref="H12:H18">
    <cfRule type="expression" dxfId="11" priority="11" stopIfTrue="1">
      <formula>$H12="TTL"</formula>
    </cfRule>
  </conditionalFormatting>
  <conditionalFormatting sqref="H12:H14">
    <cfRule type="expression" dxfId="10" priority="10" stopIfTrue="1">
      <formula>$H12="TTL"</formula>
    </cfRule>
  </conditionalFormatting>
  <conditionalFormatting sqref="H12:H15">
    <cfRule type="expression" dxfId="9" priority="9" stopIfTrue="1">
      <formula>$H12="TTL"</formula>
    </cfRule>
  </conditionalFormatting>
  <conditionalFormatting sqref="H12:H32">
    <cfRule type="expression" dxfId="8" priority="8" stopIfTrue="1">
      <formula>$H12="TTL"</formula>
    </cfRule>
  </conditionalFormatting>
  <conditionalFormatting sqref="H12:H15">
    <cfRule type="expression" dxfId="7" priority="7" stopIfTrue="1">
      <formula>$H12="TTL"</formula>
    </cfRule>
  </conditionalFormatting>
  <conditionalFormatting sqref="H12">
    <cfRule type="expression" dxfId="5" priority="5" stopIfTrue="1">
      <formula>$H12="TTL"</formula>
    </cfRule>
  </conditionalFormatting>
  <conditionalFormatting sqref="H12:H14">
    <cfRule type="expression" dxfId="3" priority="3" stopIfTrue="1">
      <formula>$H12="TTL"</formula>
    </cfRule>
  </conditionalFormatting>
  <conditionalFormatting sqref="H12">
    <cfRule type="expression" dxfId="2" priority="2" stopIfTrue="1">
      <formula>$I12="TTL"</formula>
    </cfRule>
  </conditionalFormatting>
  <conditionalFormatting sqref="H8:H11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2014-05-12T09:14:42Z</dcterms:created>
  <dcterms:modified xsi:type="dcterms:W3CDTF">2014-05-12T09:17:25Z</dcterms:modified>
</cp:coreProperties>
</file>