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45" windowWidth="27795" windowHeight="12045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<sst xmlns="http://schemas.openxmlformats.org/spreadsheetml/2006/main" count="2423" uniqueCount="64">
  <si>
    <t>PURCHASE ORDER LIST</t>
    <phoneticPr fontId="4" type="noConversion"/>
  </si>
  <si>
    <t>PO#</t>
    <phoneticPr fontId="4" type="noConversion"/>
  </si>
  <si>
    <t>RXK-14FW-URB-QF-04</t>
    <phoneticPr fontId="4" type="noConversion"/>
  </si>
  <si>
    <t>URB-QF-04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</si>
  <si>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</si>
  <si>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</si>
  <si>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</si>
  <si>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</si>
  <si>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</si>
  <si>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</si>
  <si>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</si>
  <si>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</si>
  <si>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</si>
  <si>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</si>
  <si>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</si>
  <si>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</si>
  <si>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</si>
  <si>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</si>
  <si>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</si>
  <si>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</si>
  <si>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</si>
  <si>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</si>
  <si>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</si>
  <si>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</si>
  <si>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</si>
  <si>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</si>
  <si>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</si>
  <si>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</si>
  <si>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</si>
  <si>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</si>
  <si>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</si>
  <si>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</si>
  <si>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</si>
  <si>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</si>
  <si>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</si>
  <si>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</si>
  <si>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</si>
  <si>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</si>
  <si>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URBSNF3005BLUE</t>
  </si>
  <si>
    <t>URBAN SWAGGER</t>
  </si>
  <si>
    <t>SNAPBACK</t>
  </si>
  <si>
    <t>U</t>
  </si>
  <si>
    <t>14SS_URBAN SWAGGER_42_FLAT_BL</t>
  </si>
  <si>
    <t>URBSNF3005</t>
  </si>
  <si>
    <t>BLUE</t>
  </si>
  <si>
    <t/>
  </si>
  <si>
    <t>URBSNF3505BLUE</t>
  </si>
  <si>
    <t>K</t>
  </si>
  <si>
    <t>14SS_URBAN SWAGGER_42_FLAT_BL_KIDS</t>
  </si>
  <si>
    <t>URBSNF3505</t>
  </si>
  <si>
    <t>URBSNF3006BLACK</t>
  </si>
  <si>
    <t>14SS_URBAN SWAGGER_39_FLAT_BK</t>
  </si>
  <si>
    <t>URBSNF3006</t>
  </si>
  <si>
    <t>BLACK</t>
  </si>
  <si>
    <t>URBSNF3506BLACK</t>
  </si>
  <si>
    <t>14SS_URBAN SWAGGER_39_FLAT_BK_KIDS</t>
  </si>
  <si>
    <t>URBSNF3506</t>
  </si>
  <si>
    <t>URBSNF3007GREY</t>
  </si>
  <si>
    <t>14SS_URBAN SWAGGER_40_FLAT_GY</t>
  </si>
  <si>
    <t>URBSNF3007</t>
  </si>
  <si>
    <t>GREY</t>
  </si>
  <si>
    <t>URBSNF3007BLACK</t>
  </si>
  <si>
    <t>14SS_URBAN SWAGGER_40_FLAT_BK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</si>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</sst>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9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108856</xdr:colOff>
      <xdr:row>9</xdr:row>
      <xdr:rowOff>108856</xdr:rowOff>
    </xdr:from>
    <xdr:to>
      <xdr:col>7</xdr:col>
      <xdr:colOff>648856</xdr:colOff>
      <xdr:row>9</xdr:row>
      <xdr:rowOff>554943</xdr:rowOff>
    </xdr:to>
    <xdr:pic>
      <xdr:nvPicPr>
        <xdr:cNvPr id="2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18981" y="146450956"/>
          <a:ext cx="540000" cy="44608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108856</xdr:colOff>
      <xdr:row>7</xdr:row>
      <xdr:rowOff>108857</xdr:rowOff>
    </xdr:from>
    <xdr:to>
      <xdr:col>7</xdr:col>
      <xdr:colOff>648856</xdr:colOff>
      <xdr:row>7</xdr:row>
      <xdr:rowOff>554542</xdr:rowOff>
    </xdr:to>
    <xdr:pic>
      <xdr:nvPicPr>
        <xdr:cNvPr id="3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918981" y="145117457"/>
          <a:ext cx="540000" cy="44568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108856</xdr:colOff>
      <xdr:row>8</xdr:row>
      <xdr:rowOff>108857</xdr:rowOff>
    </xdr:from>
    <xdr:to>
      <xdr:col>7</xdr:col>
      <xdr:colOff>648856</xdr:colOff>
      <xdr:row>8</xdr:row>
      <xdr:rowOff>554542</xdr:rowOff>
    </xdr:to>
    <xdr:pic>
      <xdr:nvPicPr>
        <xdr:cNvPr id="4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918981" y="145784207"/>
          <a:ext cx="540000" cy="44568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108856</xdr:colOff>
      <xdr:row>10</xdr:row>
      <xdr:rowOff>108856</xdr:rowOff>
    </xdr:from>
    <xdr:to>
      <xdr:col>7</xdr:col>
      <xdr:colOff>648856</xdr:colOff>
      <xdr:row>10</xdr:row>
      <xdr:rowOff>554943</xdr:rowOff>
    </xdr:to>
    <xdr:pic>
      <xdr:nvPicPr>
        <xdr:cNvPr id="5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18981" y="147117706"/>
          <a:ext cx="540000" cy="44608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108856</xdr:colOff>
      <xdr:row>11</xdr:row>
      <xdr:rowOff>108857</xdr:rowOff>
    </xdr:from>
    <xdr:to>
      <xdr:col>7</xdr:col>
      <xdr:colOff>648856</xdr:colOff>
      <xdr:row>11</xdr:row>
      <xdr:rowOff>555184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918981" y="148451207"/>
          <a:ext cx="540000" cy="44632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108856</xdr:colOff>
      <xdr:row>12</xdr:row>
      <xdr:rowOff>108857</xdr:rowOff>
    </xdr:from>
    <xdr:to>
      <xdr:col>7</xdr:col>
      <xdr:colOff>648856</xdr:colOff>
      <xdr:row>12</xdr:row>
      <xdr:rowOff>555184</xdr:rowOff>
    </xdr:to>
    <xdr:pic>
      <xdr:nvPicPr>
        <xdr:cNvPr id="7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18981" y="149117957"/>
          <a:ext cx="540000" cy="44632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  <pageSetUpPr fitToPage="1"/>
  </sheetPr>
  <dimension ref="A1:AU211"/>
  <sheetViews>
    <sheetView showGridLines="0" showZeros="0" tabSelected="1" zoomScale="75" zoomScaleNormal="75" workbookViewId="0">
      <pane xSplit="11" ySplit="8" topLeftCell="L9" activePane="bottomRight" state="frozen"/>
      <selection activeCell="AD15" sqref="AD15"/>
      <selection pane="topRight" activeCell="AD15" sqref="AD15"/>
      <selection pane="bottomLeft" activeCell="AD15" sqref="AD15"/>
      <selection pane="bottomRight" activeCell="AK89" sqref="AK89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63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41733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1500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39" si="0">SUM(L8:AI8)</f>
        <v>1500</v>
      </c>
      <c r="AK8" s="77">
        <v>0</v>
      </c>
      <c r="AL8" s="78">
        <v>0</v>
      </c>
      <c r="AM8" s="79">
        <v>0</v>
      </c>
      <c r="AN8" s="79">
        <v>41823</v>
      </c>
      <c r="AO8" s="74"/>
      <c r="AP8" s="38"/>
    </row>
    <row r="9" spans="1:46" ht="52.5" customHeight="1">
      <c r="A9" s="68">
        <v>2</v>
      </c>
      <c r="B9" s="69" t="s">
        <v>46</v>
      </c>
      <c r="D9" s="71">
        <v>2</v>
      </c>
      <c r="E9" s="72" t="s">
        <v>39</v>
      </c>
      <c r="F9" s="72" t="s">
        <v>40</v>
      </c>
      <c r="G9" s="72" t="s">
        <v>47</v>
      </c>
      <c r="H9" s="73"/>
      <c r="I9" s="74" t="s">
        <v>48</v>
      </c>
      <c r="J9" s="71" t="s">
        <v>49</v>
      </c>
      <c r="K9" s="71" t="s">
        <v>44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 t="s">
        <v>45</v>
      </c>
      <c r="AF9" s="75" t="s">
        <v>45</v>
      </c>
      <c r="AG9" s="75">
        <v>1000</v>
      </c>
      <c r="AH9" s="75">
        <v>500</v>
      </c>
      <c r="AI9" s="75" t="s">
        <v>45</v>
      </c>
      <c r="AJ9" s="76">
        <f t="shared" si="0"/>
        <v>1500</v>
      </c>
      <c r="AK9" s="77">
        <v>0</v>
      </c>
      <c r="AL9" s="78">
        <v>0</v>
      </c>
      <c r="AM9" s="79">
        <v>0</v>
      </c>
      <c r="AN9" s="79">
        <v>41823</v>
      </c>
      <c r="AO9" s="74"/>
    </row>
    <row r="10" spans="1:46" ht="52.5" customHeight="1">
      <c r="A10" s="68">
        <v>3</v>
      </c>
      <c r="B10" s="69" t="s">
        <v>50</v>
      </c>
      <c r="D10" s="71">
        <v>3</v>
      </c>
      <c r="E10" s="72" t="s">
        <v>39</v>
      </c>
      <c r="F10" s="72" t="s">
        <v>40</v>
      </c>
      <c r="G10" s="72" t="s">
        <v>41</v>
      </c>
      <c r="H10" s="73"/>
      <c r="I10" s="74" t="s">
        <v>51</v>
      </c>
      <c r="J10" s="71" t="s">
        <v>52</v>
      </c>
      <c r="K10" s="71" t="s">
        <v>53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>
        <v>1500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1500</v>
      </c>
      <c r="AK10" s="77">
        <v>0</v>
      </c>
      <c r="AL10" s="78">
        <v>0</v>
      </c>
      <c r="AM10" s="79">
        <v>0</v>
      </c>
      <c r="AN10" s="79">
        <v>41823</v>
      </c>
      <c r="AO10" s="74"/>
    </row>
    <row r="11" spans="1:46" ht="52.5" customHeight="1">
      <c r="A11" s="68">
        <v>4</v>
      </c>
      <c r="B11" s="69" t="s">
        <v>54</v>
      </c>
      <c r="D11" s="71">
        <v>4</v>
      </c>
      <c r="E11" s="72" t="s">
        <v>39</v>
      </c>
      <c r="F11" s="72" t="s">
        <v>40</v>
      </c>
      <c r="G11" s="72" t="s">
        <v>47</v>
      </c>
      <c r="H11" s="73"/>
      <c r="I11" s="74" t="s">
        <v>55</v>
      </c>
      <c r="J11" s="71" t="s">
        <v>56</v>
      </c>
      <c r="K11" s="71" t="s">
        <v>53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 t="s">
        <v>45</v>
      </c>
      <c r="AF11" s="75" t="s">
        <v>45</v>
      </c>
      <c r="AG11" s="75">
        <v>1000</v>
      </c>
      <c r="AH11" s="75">
        <v>500</v>
      </c>
      <c r="AI11" s="75" t="s">
        <v>45</v>
      </c>
      <c r="AJ11" s="76">
        <f t="shared" si="0"/>
        <v>1500</v>
      </c>
      <c r="AK11" s="77">
        <v>0</v>
      </c>
      <c r="AL11" s="78">
        <v>0</v>
      </c>
      <c r="AM11" s="79">
        <v>0</v>
      </c>
      <c r="AN11" s="79">
        <v>41823</v>
      </c>
      <c r="AO11" s="74"/>
    </row>
    <row r="12" spans="1:46" ht="52.5" customHeight="1">
      <c r="A12" s="68">
        <v>5</v>
      </c>
      <c r="B12" s="69" t="s">
        <v>57</v>
      </c>
      <c r="D12" s="71">
        <v>5</v>
      </c>
      <c r="E12" s="72" t="s">
        <v>39</v>
      </c>
      <c r="F12" s="72" t="s">
        <v>40</v>
      </c>
      <c r="G12" s="72" t="s">
        <v>41</v>
      </c>
      <c r="H12" s="73"/>
      <c r="I12" s="74" t="s">
        <v>58</v>
      </c>
      <c r="J12" s="71" t="s">
        <v>59</v>
      </c>
      <c r="K12" s="71" t="s">
        <v>60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>
        <v>1500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1500</v>
      </c>
      <c r="AK12" s="77">
        <v>0</v>
      </c>
      <c r="AL12" s="78">
        <v>0</v>
      </c>
      <c r="AM12" s="79">
        <v>0</v>
      </c>
      <c r="AN12" s="79">
        <v>41823</v>
      </c>
      <c r="AO12" s="74"/>
    </row>
    <row r="13" spans="1:46" ht="52.5" customHeight="1">
      <c r="A13" s="68">
        <v>6</v>
      </c>
      <c r="B13" s="69" t="s">
        <v>61</v>
      </c>
      <c r="D13" s="71">
        <v>6</v>
      </c>
      <c r="E13" s="72" t="s">
        <v>39</v>
      </c>
      <c r="F13" s="72" t="s">
        <v>40</v>
      </c>
      <c r="G13" s="72" t="s">
        <v>41</v>
      </c>
      <c r="H13" s="73"/>
      <c r="I13" s="74" t="s">
        <v>62</v>
      </c>
      <c r="J13" s="71" t="s">
        <v>59</v>
      </c>
      <c r="K13" s="71" t="s">
        <v>53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>
        <v>1500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1500</v>
      </c>
      <c r="AK13" s="77">
        <v>0</v>
      </c>
      <c r="AL13" s="78">
        <v>0</v>
      </c>
      <c r="AM13" s="79">
        <v>0</v>
      </c>
      <c r="AN13" s="79">
        <v>41823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 t="shared" ref="AJ72:AJ76" si="2"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 t="shared" si="2"/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 t="shared" si="2"/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 t="shared" si="2"/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 t="shared" si="2"/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33</v>
      </c>
      <c r="E77" s="90"/>
      <c r="F77" s="91"/>
      <c r="G77" s="91"/>
      <c r="H77" s="91"/>
      <c r="I77" s="91"/>
      <c r="J77" s="91"/>
      <c r="K77" s="91"/>
      <c r="L77" s="92">
        <f t="shared" ref="L77:AI77" si="3">SUM(L8:L76)</f>
        <v>0</v>
      </c>
      <c r="M77" s="92">
        <f t="shared" si="3"/>
        <v>0</v>
      </c>
      <c r="N77" s="92">
        <f t="shared" si="3"/>
        <v>0</v>
      </c>
      <c r="O77" s="92">
        <f t="shared" si="3"/>
        <v>0</v>
      </c>
      <c r="P77" s="92">
        <f>SUM(P8:P76)</f>
        <v>0</v>
      </c>
      <c r="Q77" s="92">
        <f>SUM(Q8:Q76)</f>
        <v>0</v>
      </c>
      <c r="R77" s="92">
        <f t="shared" si="3"/>
        <v>0</v>
      </c>
      <c r="S77" s="92">
        <f>SUM(S8:S76)</f>
        <v>0</v>
      </c>
      <c r="T77" s="92">
        <f t="shared" si="3"/>
        <v>0</v>
      </c>
      <c r="U77" s="92">
        <f t="shared" si="3"/>
        <v>0</v>
      </c>
      <c r="V77" s="92">
        <f t="shared" si="3"/>
        <v>0</v>
      </c>
      <c r="W77" s="92">
        <f>SUM(W8:W76)</f>
        <v>0</v>
      </c>
      <c r="X77" s="92">
        <f>SUM(X8:X76)</f>
        <v>0</v>
      </c>
      <c r="Y77" s="92">
        <f t="shared" ref="Y77" si="4">SUM(Y8:Y76)</f>
        <v>0</v>
      </c>
      <c r="Z77" s="92">
        <f>SUM(Z8:Z76)</f>
        <v>0</v>
      </c>
      <c r="AA77" s="92">
        <f t="shared" ref="AA77:AC77" si="5">SUM(AA8:AA76)</f>
        <v>0</v>
      </c>
      <c r="AB77" s="92">
        <f t="shared" si="5"/>
        <v>0</v>
      </c>
      <c r="AC77" s="92">
        <f t="shared" si="5"/>
        <v>0</v>
      </c>
      <c r="AD77" s="92">
        <f>SUM(AD8:AD76)</f>
        <v>0</v>
      </c>
      <c r="AE77" s="92">
        <f>SUM(AE8:AE76)</f>
        <v>6000</v>
      </c>
      <c r="AF77" s="92">
        <f t="shared" ref="AF77" si="6">SUM(AF8:AF76)</f>
        <v>0</v>
      </c>
      <c r="AG77" s="92">
        <f t="shared" si="3"/>
        <v>2000</v>
      </c>
      <c r="AH77" s="92">
        <f t="shared" si="3"/>
        <v>1000</v>
      </c>
      <c r="AI77" s="92">
        <f t="shared" si="3"/>
        <v>0</v>
      </c>
      <c r="AJ77" s="92">
        <f>SUM(AJ8:AJ76)</f>
        <v>9000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 ht="13.5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4:H29 H68:H76">
    <cfRule type="expression" dxfId="18" priority="19" stopIfTrue="1">
      <formula>$H14="TTL"</formula>
    </cfRule>
  </conditionalFormatting>
  <conditionalFormatting sqref="H28">
    <cfRule type="expression" dxfId="17" priority="18" stopIfTrue="1">
      <formula>$H28="TTL"</formula>
    </cfRule>
  </conditionalFormatting>
  <conditionalFormatting sqref="H14:H29">
    <cfRule type="expression" dxfId="16" priority="17" stopIfTrue="1">
      <formula>$H14="TTL"</formula>
    </cfRule>
  </conditionalFormatting>
  <conditionalFormatting sqref="H28">
    <cfRule type="expression" dxfId="15" priority="16" stopIfTrue="1">
      <formula>$H28="TTL"</formula>
    </cfRule>
  </conditionalFormatting>
  <conditionalFormatting sqref="H14:H30">
    <cfRule type="expression" dxfId="14" priority="15" stopIfTrue="1">
      <formula>$H14="TTL"</formula>
    </cfRule>
  </conditionalFormatting>
  <conditionalFormatting sqref="H14:H18">
    <cfRule type="expression" dxfId="12" priority="13" stopIfTrue="1">
      <formula>$H14="TTL"</formula>
    </cfRule>
  </conditionalFormatting>
  <conditionalFormatting sqref="H14">
    <cfRule type="expression" dxfId="11" priority="12" stopIfTrue="1">
      <formula>$H14="TTL"</formula>
    </cfRule>
  </conditionalFormatting>
  <conditionalFormatting sqref="H14:H15">
    <cfRule type="expression" dxfId="10" priority="11" stopIfTrue="1">
      <formula>$H14="TTL"</formula>
    </cfRule>
  </conditionalFormatting>
  <conditionalFormatting sqref="H14:H32">
    <cfRule type="expression" dxfId="9" priority="10" stopIfTrue="1">
      <formula>$H14="TTL"</formula>
    </cfRule>
  </conditionalFormatting>
  <conditionalFormatting sqref="H14:H15">
    <cfRule type="expression" dxfId="8" priority="9" stopIfTrue="1">
      <formula>$H14="TTL"</formula>
    </cfRule>
  </conditionalFormatting>
  <conditionalFormatting sqref="H14">
    <cfRule type="expression" dxfId="4" priority="5" stopIfTrue="1">
      <formula>$H14="TTL"</formula>
    </cfRule>
  </conditionalFormatting>
  <conditionalFormatting sqref="H12:H13 H10">
    <cfRule type="expression" dxfId="2" priority="3">
      <formula>$I10="TTL"</formula>
    </cfRule>
  </conditionalFormatting>
  <conditionalFormatting sqref="H8:H9">
    <cfRule type="expression" dxfId="1" priority="2">
      <formula>$I8="TTL"</formula>
    </cfRule>
  </conditionalFormatting>
  <conditionalFormatting sqref="H11">
    <cfRule type="expression" dxfId="0" priority="1">
      <formula>$I11="TTL"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8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cp:lastPrinted>2014-04-04T02:12:48Z</cp:lastPrinted>
  <dcterms:created xsi:type="dcterms:W3CDTF">2014-04-04T02:05:30Z</dcterms:created>
  <dcterms:modified xsi:type="dcterms:W3CDTF">2014-04-04T02:24:00Z</dcterms:modified>
</cp:coreProperties>
</file>