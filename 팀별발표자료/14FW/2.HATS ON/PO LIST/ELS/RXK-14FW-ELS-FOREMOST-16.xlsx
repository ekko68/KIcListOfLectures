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<sst xmlns="http://schemas.openxmlformats.org/spreadsheetml/2006/main" count="2439" uniqueCount="56">
  <si>
    <t>PURCHASE ORDER LIST</t>
    <phoneticPr fontId="4" type="noConversion"/>
  </si>
  <si>
    <t>PO#</t>
    <phoneticPr fontId="4" type="noConversion"/>
  </si>
  <si>
    <t>RXK-14FW-ELS-FOREMOST-16</t>
    <phoneticPr fontId="4" type="noConversion"/>
  </si>
  <si>
    <t>ELS-FOREMOST-16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</si>
  <si>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</si>
  <si>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</si>
  <si>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</si>
  <si>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</si>
  <si>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</si>
  <si>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</si>
  <si>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</si>
  <si>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</si>
  <si>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</si>
  <si>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</si>
  <si>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</si>
  <si>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</si>
  <si>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</si>
  <si>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</si>
  <si>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</si>
  <si>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</si>
  <si>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</si>
  <si>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</si>
  <si>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</si>
  <si>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</si>
  <si>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</si>
  <si>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</si>
  <si>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</si>
  <si>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</si>
  <si>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</si>
  <si>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</si>
  <si>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</si>
  <si>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</si>
  <si>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</si>
  <si>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</si>
  <si>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</si>
  <si>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</si>
  <si>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</si>
  <si>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</si>
  <si>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ELSERF5516ORANGE</t>
  </si>
  <si>
    <t>ELSTINKO</t>
  </si>
  <si>
    <t>EARCAP</t>
  </si>
  <si>
    <t>K</t>
  </si>
  <si>
    <t>14FW ELS 39_TROOPER_OR_KIDS</t>
  </si>
  <si>
    <t>ELSERF5516</t>
  </si>
  <si>
    <t>ORANGE</t>
  </si>
  <si>
    <t/>
  </si>
  <si>
    <t>ELSTPF5017BLACK</t>
  </si>
  <si>
    <t>TROOPER</t>
  </si>
  <si>
    <t>U</t>
  </si>
  <si>
    <t>14FW ELS_48_TROOPER_BK</t>
  </si>
  <si>
    <t>ELSTPF5017</t>
  </si>
  <si>
    <t>BLACK</t>
  </si>
  <si>
    <t>ELSTPF5517BLACK</t>
  </si>
  <si>
    <t>14FW ELS_48_TROOPER_BK_KIDS</t>
  </si>
  <si>
    <t>ELSTPF5517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</si>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</sst>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136071</xdr:colOff>
      <xdr:row>7</xdr:row>
      <xdr:rowOff>81642</xdr:rowOff>
    </xdr:from>
    <xdr:to>
      <xdr:col>7</xdr:col>
      <xdr:colOff>658991</xdr:colOff>
      <xdr:row>7</xdr:row>
      <xdr:rowOff>585642</xdr:rowOff>
    </xdr:to>
    <xdr:pic>
      <xdr:nvPicPr>
        <xdr:cNvPr id="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46196" y="561142242"/>
          <a:ext cx="522920" cy="50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204106</xdr:colOff>
      <xdr:row>8</xdr:row>
      <xdr:rowOff>81642</xdr:rowOff>
    </xdr:from>
    <xdr:to>
      <xdr:col>7</xdr:col>
      <xdr:colOff>576156</xdr:colOff>
      <xdr:row>8</xdr:row>
      <xdr:rowOff>585642</xdr:rowOff>
    </xdr:to>
    <xdr:pic>
      <xdr:nvPicPr>
        <xdr:cNvPr id="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14231" y="561808992"/>
          <a:ext cx="372050" cy="50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204106</xdr:colOff>
      <xdr:row>9</xdr:row>
      <xdr:rowOff>81642</xdr:rowOff>
    </xdr:from>
    <xdr:to>
      <xdr:col>7</xdr:col>
      <xdr:colOff>576156</xdr:colOff>
      <xdr:row>9</xdr:row>
      <xdr:rowOff>585642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14231" y="562475742"/>
          <a:ext cx="372050" cy="50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 filterMode="1">
    <tabColor rgb="FFFFC000"/>
  </sheetPr>
  <dimension ref="A1:AU211"/>
  <sheetViews>
    <sheetView showGridLines="0" showZeros="0" tabSelected="1" zoomScale="75" zoomScaleNormal="75" workbookViewId="0">
      <pane xSplit="11" ySplit="8" topLeftCell="T9" activePane="bottomRight" state="frozen"/>
      <selection activeCell="AD15" sqref="AD15"/>
      <selection pane="topRight" activeCell="AD15" sqref="AD15"/>
      <selection pane="bottomLeft" activeCell="AD15" sqref="AD15"/>
      <selection pane="bottomRight" activeCell="AE82" sqref="AE82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55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41750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 t="s">
        <v>45</v>
      </c>
      <c r="AF8" s="75" t="s">
        <v>45</v>
      </c>
      <c r="AG8" s="75">
        <v>800</v>
      </c>
      <c r="AH8" s="75">
        <v>400</v>
      </c>
      <c r="AI8" s="75" t="s">
        <v>45</v>
      </c>
      <c r="AJ8" s="76">
        <f t="shared" ref="AJ8:AJ39" si="0">SUM(L8:AI8)</f>
        <v>1200</v>
      </c>
      <c r="AK8" s="77">
        <v>0</v>
      </c>
      <c r="AL8" s="78">
        <v>0</v>
      </c>
      <c r="AM8" s="79">
        <v>0</v>
      </c>
      <c r="AN8" s="79">
        <v>41879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47</v>
      </c>
      <c r="G9" s="72" t="s">
        <v>48</v>
      </c>
      <c r="H9" s="73"/>
      <c r="I9" s="74" t="s">
        <v>49</v>
      </c>
      <c r="J9" s="71" t="s">
        <v>50</v>
      </c>
      <c r="K9" s="71" t="s">
        <v>51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800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800</v>
      </c>
      <c r="AK9" s="77">
        <v>0</v>
      </c>
      <c r="AL9" s="78">
        <v>0</v>
      </c>
      <c r="AM9" s="79">
        <v>0</v>
      </c>
      <c r="AN9" s="79">
        <v>41879</v>
      </c>
      <c r="AO9" s="74"/>
    </row>
    <row r="10" spans="1:46" ht="52.5" customHeight="1">
      <c r="A10" s="68">
        <v>3</v>
      </c>
      <c r="B10" s="69" t="s">
        <v>52</v>
      </c>
      <c r="D10" s="71">
        <v>3</v>
      </c>
      <c r="E10" s="72" t="s">
        <v>39</v>
      </c>
      <c r="F10" s="72" t="s">
        <v>47</v>
      </c>
      <c r="G10" s="72" t="s">
        <v>41</v>
      </c>
      <c r="H10" s="73"/>
      <c r="I10" s="74" t="s">
        <v>53</v>
      </c>
      <c r="J10" s="71" t="s">
        <v>54</v>
      </c>
      <c r="K10" s="71" t="s">
        <v>51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>
        <v>800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800</v>
      </c>
      <c r="AK10" s="77">
        <v>0</v>
      </c>
      <c r="AL10" s="78">
        <v>0</v>
      </c>
      <c r="AM10" s="79">
        <v>0</v>
      </c>
      <c r="AN10" s="79">
        <v>41879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1600</v>
      </c>
      <c r="AF77" s="92">
        <f t="shared" ref="AF77" si="6">SUM(AF8:AF76)</f>
        <v>0</v>
      </c>
      <c r="AG77" s="92">
        <f t="shared" si="3"/>
        <v>800</v>
      </c>
      <c r="AH77" s="92">
        <f t="shared" si="3"/>
        <v>400</v>
      </c>
      <c r="AI77" s="92">
        <f t="shared" si="3"/>
        <v>0</v>
      </c>
      <c r="AJ77" s="92">
        <f>SUM(AJ8:AJ76)</f>
        <v>2800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1:H29 H68:H76">
    <cfRule type="expression" dxfId="17" priority="17" stopIfTrue="1">
      <formula>$H11="TTL"</formula>
    </cfRule>
  </conditionalFormatting>
  <conditionalFormatting sqref="H28">
    <cfRule type="expression" dxfId="16" priority="16" stopIfTrue="1">
      <formula>$H28="TTL"</formula>
    </cfRule>
  </conditionalFormatting>
  <conditionalFormatting sqref="H11:H29">
    <cfRule type="expression" dxfId="15" priority="15" stopIfTrue="1">
      <formula>$H11="TTL"</formula>
    </cfRule>
  </conditionalFormatting>
  <conditionalFormatting sqref="H28">
    <cfRule type="expression" dxfId="14" priority="14" stopIfTrue="1">
      <formula>$H28="TTL"</formula>
    </cfRule>
  </conditionalFormatting>
  <conditionalFormatting sqref="H11:H30">
    <cfRule type="expression" dxfId="13" priority="13" stopIfTrue="1">
      <formula>$H11="TTL"</formula>
    </cfRule>
  </conditionalFormatting>
  <conditionalFormatting sqref="H11:H18">
    <cfRule type="expression" dxfId="11" priority="11" stopIfTrue="1">
      <formula>$H11="TTL"</formula>
    </cfRule>
  </conditionalFormatting>
  <conditionalFormatting sqref="H11:H14">
    <cfRule type="expression" dxfId="10" priority="10" stopIfTrue="1">
      <formula>$H11="TTL"</formula>
    </cfRule>
  </conditionalFormatting>
  <conditionalFormatting sqref="H11:H15">
    <cfRule type="expression" dxfId="9" priority="9" stopIfTrue="1">
      <formula>$H11="TTL"</formula>
    </cfRule>
  </conditionalFormatting>
  <conditionalFormatting sqref="H11:H32">
    <cfRule type="expression" dxfId="8" priority="8" stopIfTrue="1">
      <formula>$H11="TTL"</formula>
    </cfRule>
  </conditionalFormatting>
  <conditionalFormatting sqref="H11:H15">
    <cfRule type="expression" dxfId="7" priority="7" stopIfTrue="1">
      <formula>$H11="TTL"</formula>
    </cfRule>
  </conditionalFormatting>
  <conditionalFormatting sqref="H11">
    <cfRule type="expression" dxfId="6" priority="6" stopIfTrue="1">
      <formula>$H11="TTL"</formula>
    </cfRule>
  </conditionalFormatting>
  <conditionalFormatting sqref="H11:H12">
    <cfRule type="expression" dxfId="5" priority="5" stopIfTrue="1">
      <formula>$H11="TTL"</formula>
    </cfRule>
  </conditionalFormatting>
  <conditionalFormatting sqref="H11:H14">
    <cfRule type="expression" dxfId="3" priority="3" stopIfTrue="1">
      <formula>$H11="TTL"</formula>
    </cfRule>
  </conditionalFormatting>
  <conditionalFormatting sqref="H11:H12">
    <cfRule type="expression" dxfId="2" priority="2" stopIfTrue="1">
      <formula>$I11="TTL"</formula>
    </cfRule>
  </conditionalFormatting>
  <conditionalFormatting sqref="H8:H10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2014-04-21T05:36:04Z</cp:lastPrinted>
  <dcterms:created xsi:type="dcterms:W3CDTF">2014-04-21T05:29:09Z</dcterms:created>
  <dcterms:modified xsi:type="dcterms:W3CDTF">2014-04-21T06:05:58Z</dcterms:modified>
</cp:coreProperties>
</file>