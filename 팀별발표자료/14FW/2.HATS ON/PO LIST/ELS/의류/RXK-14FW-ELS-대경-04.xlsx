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6" i="1" l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6" i="1" s="1"/>
  <c r="AK76" i="1" l="1"/>
  <c r="AJ76" i="1"/>
</calcChain>
</file>

<file path=xl/sharedStrings.xml><?xml version="1.0" encoding="utf-8"?>
<sst xmlns="http://schemas.openxmlformats.org/spreadsheetml/2006/main" count="2349" uniqueCount="77">
  <si>
    <t>PURCHASE ORDER LIST</t>
    <phoneticPr fontId="4" type="noConversion"/>
  </si>
  <si>
    <t>PO#</t>
    <phoneticPr fontId="4" type="noConversion"/>
  </si>
  <si>
    <t>ELS-대경-04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</si>
  <si>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</si>
  <si>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</si>
  <si>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</si>
  <si>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</si>
  <si>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</si>
  <si>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</si>
  <si>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</si>
  <si>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</si>
  <si>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</si>
  <si>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</si>
  <si>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</si>
  <si>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</si>
  <si>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</si>
  <si>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</si>
  <si>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</si>
  <si>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</si>
  <si>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</si>
  <si>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</si>
  <si>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</si>
  <si>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</si>
  <si>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</si>
  <si>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</si>
  <si>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</si>
  <si>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</si>
  <si>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</si>
  <si>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</si>
  <si>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</si>
  <si>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</si>
  <si>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</si>
  <si>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</si>
  <si>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</si>
  <si>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</si>
  <si>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</si>
  <si>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</si>
  <si>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ELSTLF5009BLACK</t>
  </si>
  <si>
    <t>ELSTINKO</t>
  </si>
  <si>
    <t>LONG SLEEVES</t>
  </si>
  <si>
    <t>U</t>
  </si>
  <si>
    <t>14FW_ELSTINKO_MTM_06_BK</t>
  </si>
  <si>
    <t>ELSTLF5009</t>
  </si>
  <si>
    <t>BLACK</t>
  </si>
  <si>
    <t/>
  </si>
  <si>
    <t>K</t>
  </si>
  <si>
    <t>ELSTLF5511MINT</t>
  </si>
  <si>
    <t>14FW_ELSTINKO_MTM_21_MT_KIDS</t>
  </si>
  <si>
    <t>ELSTLF5511</t>
  </si>
  <si>
    <t>MINT</t>
  </si>
  <si>
    <t>ELSTLF5511PINK</t>
  </si>
  <si>
    <t>14FW_ELSTINKO_MTM_21_PK_KIDS</t>
  </si>
  <si>
    <t>PINK</t>
  </si>
  <si>
    <t>ELSHPF5012BLACK</t>
  </si>
  <si>
    <t>HOODED JUMPER</t>
  </si>
  <si>
    <t>14FW_ELSTINKO_HOODZIP_03_BK</t>
  </si>
  <si>
    <t>ELSHPF5012</t>
  </si>
  <si>
    <t>ELSHPF5513MINT</t>
  </si>
  <si>
    <t>14FW_ELSTINKO_HOODZIP_01_MT_KIDS</t>
  </si>
  <si>
    <t>ELSHPF5513</t>
  </si>
  <si>
    <t>ELSHPF5514PINK</t>
  </si>
  <si>
    <t>14FW_ELSTINKO_HOODZIP_02_PK_KIDS</t>
  </si>
  <si>
    <t>ELSHPF5514</t>
  </si>
  <si>
    <t>ELSHPF5515RED</t>
  </si>
  <si>
    <t>14FW_ELSTINKO_HOODZIP_09_RE_KIDS</t>
  </si>
  <si>
    <t>ELSHPF5515</t>
  </si>
  <si>
    <t>RED</t>
  </si>
  <si>
    <t>ELSJPF5516BLUE</t>
  </si>
  <si>
    <t>JUMPER</t>
  </si>
  <si>
    <t>14FW_ELSTINKO_JUMPER_01_BL_KIDS</t>
  </si>
  <si>
    <t>ELSJPF5516</t>
  </si>
  <si>
    <t>BLUE</t>
  </si>
  <si>
    <t>ELSJPF5516PINK</t>
  </si>
  <si>
    <t>14FW_ELSTINKO_JUMPER_01_PK_KIDS</t>
  </si>
  <si>
    <t>FW</t>
  </si>
  <si>
    <t>RXK-14FW-ELS-대경-04</t>
    <phoneticPr fontId="4" type="noConversion"/>
  </si>
  <si>
    <t>수량변경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</si>
</sst>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9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81643</xdr:rowOff>
    </xdr:from>
    <xdr:to>
      <xdr:col>7</xdr:col>
      <xdr:colOff>626463</xdr:colOff>
      <xdr:row>7</xdr:row>
      <xdr:rowOff>581872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33978124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95250</xdr:rowOff>
    </xdr:from>
    <xdr:to>
      <xdr:col>7</xdr:col>
      <xdr:colOff>648856</xdr:colOff>
      <xdr:row>8</xdr:row>
      <xdr:rowOff>531039</xdr:rowOff>
    </xdr:to>
    <xdr:pic>
      <xdr:nvPicPr>
        <xdr:cNvPr id="4" name="그림 3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346462350"/>
          <a:ext cx="540000" cy="435789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122464</xdr:rowOff>
    </xdr:from>
    <xdr:to>
      <xdr:col>7</xdr:col>
      <xdr:colOff>662463</xdr:colOff>
      <xdr:row>9</xdr:row>
      <xdr:rowOff>558253</xdr:rowOff>
    </xdr:to>
    <xdr:pic>
      <xdr:nvPicPr>
        <xdr:cNvPr id="5" name="그림 4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2588" y="347156314"/>
          <a:ext cx="540000" cy="435789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81641</xdr:rowOff>
    </xdr:from>
    <xdr:to>
      <xdr:col>7</xdr:col>
      <xdr:colOff>671249</xdr:colOff>
      <xdr:row>10</xdr:row>
      <xdr:rowOff>615091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05374" y="352449491"/>
          <a:ext cx="576000" cy="5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163284</xdr:colOff>
      <xdr:row>11</xdr:row>
      <xdr:rowOff>68037</xdr:rowOff>
    </xdr:from>
    <xdr:to>
      <xdr:col>7</xdr:col>
      <xdr:colOff>595284</xdr:colOff>
      <xdr:row>11</xdr:row>
      <xdr:rowOff>612774</xdr:rowOff>
    </xdr:to>
    <xdr:pic>
      <xdr:nvPicPr>
        <xdr:cNvPr id="7" name="그림 6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73409" y="353102637"/>
          <a:ext cx="432000" cy="544737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12</xdr:row>
      <xdr:rowOff>54428</xdr:rowOff>
    </xdr:from>
    <xdr:to>
      <xdr:col>7</xdr:col>
      <xdr:colOff>559284</xdr:colOff>
      <xdr:row>12</xdr:row>
      <xdr:rowOff>626958</xdr:rowOff>
    </xdr:to>
    <xdr:pic>
      <xdr:nvPicPr>
        <xdr:cNvPr id="8" name="그림 7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73409" y="359089778"/>
          <a:ext cx="396000" cy="57253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13</xdr:row>
      <xdr:rowOff>54428</xdr:rowOff>
    </xdr:from>
    <xdr:to>
      <xdr:col>7</xdr:col>
      <xdr:colOff>572891</xdr:colOff>
      <xdr:row>13</xdr:row>
      <xdr:rowOff>623530</xdr:rowOff>
    </xdr:to>
    <xdr:pic>
      <xdr:nvPicPr>
        <xdr:cNvPr id="9" name="그림 8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87016" y="359756528"/>
          <a:ext cx="396000" cy="56910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14</xdr:row>
      <xdr:rowOff>81643</xdr:rowOff>
    </xdr:from>
    <xdr:to>
      <xdr:col>7</xdr:col>
      <xdr:colOff>648856</xdr:colOff>
      <xdr:row>14</xdr:row>
      <xdr:rowOff>579916</xdr:rowOff>
    </xdr:to>
    <xdr:pic>
      <xdr:nvPicPr>
        <xdr:cNvPr id="10" name="그림 9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1" y="365784493"/>
          <a:ext cx="540000" cy="49827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15</xdr:row>
      <xdr:rowOff>81642</xdr:rowOff>
    </xdr:from>
    <xdr:to>
      <xdr:col>7</xdr:col>
      <xdr:colOff>648856</xdr:colOff>
      <xdr:row>15</xdr:row>
      <xdr:rowOff>579915</xdr:rowOff>
    </xdr:to>
    <xdr:pic>
      <xdr:nvPicPr>
        <xdr:cNvPr id="11" name="그림 10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18981" y="366451242"/>
          <a:ext cx="540000" cy="49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0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9" sqref="AO9:AO16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74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75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41744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>
        <v>150</v>
      </c>
      <c r="S8" s="62">
        <v>300</v>
      </c>
      <c r="T8" s="62">
        <v>250</v>
      </c>
      <c r="U8" s="62">
        <v>200</v>
      </c>
      <c r="V8" s="62">
        <v>100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8" si="0">SUM(L8:AI8)</f>
        <v>1000</v>
      </c>
      <c r="AK8" s="64">
        <v>0</v>
      </c>
      <c r="AL8" s="65">
        <v>0</v>
      </c>
      <c r="AM8" s="66">
        <v>0</v>
      </c>
      <c r="AN8" s="66">
        <v>41844</v>
      </c>
      <c r="AO8" s="61" t="s">
        <v>76</v>
      </c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38</v>
      </c>
      <c r="F9" s="59" t="s">
        <v>39</v>
      </c>
      <c r="G9" s="59" t="s">
        <v>45</v>
      </c>
      <c r="H9" s="60"/>
      <c r="I9" s="61" t="s">
        <v>47</v>
      </c>
      <c r="J9" s="58" t="s">
        <v>48</v>
      </c>
      <c r="K9" s="58" t="s">
        <v>49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>
        <v>200</v>
      </c>
      <c r="S9" s="62">
        <v>300</v>
      </c>
      <c r="T9" s="62">
        <v>300</v>
      </c>
      <c r="U9" s="62">
        <v>200</v>
      </c>
      <c r="V9" s="62">
        <v>200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41844</v>
      </c>
      <c r="AO9" s="61" t="s">
        <v>76</v>
      </c>
    </row>
    <row r="10" spans="1:46" ht="52.5" customHeight="1">
      <c r="A10" s="55">
        <v>3</v>
      </c>
      <c r="B10" s="56" t="s">
        <v>50</v>
      </c>
      <c r="D10" s="58">
        <v>3</v>
      </c>
      <c r="E10" s="59" t="s">
        <v>38</v>
      </c>
      <c r="F10" s="59" t="s">
        <v>39</v>
      </c>
      <c r="G10" s="59" t="s">
        <v>45</v>
      </c>
      <c r="H10" s="84"/>
      <c r="I10" s="61" t="s">
        <v>51</v>
      </c>
      <c r="J10" s="58" t="s">
        <v>48</v>
      </c>
      <c r="K10" s="58" t="s">
        <v>52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>
        <v>200</v>
      </c>
      <c r="S10" s="62">
        <v>300</v>
      </c>
      <c r="T10" s="62">
        <v>300</v>
      </c>
      <c r="U10" s="62">
        <v>200</v>
      </c>
      <c r="V10" s="62">
        <v>200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41844</v>
      </c>
      <c r="AO10" s="61" t="s">
        <v>76</v>
      </c>
    </row>
    <row r="11" spans="1:46" ht="52.5" customHeight="1">
      <c r="A11" s="55">
        <v>4</v>
      </c>
      <c r="B11" s="56" t="s">
        <v>53</v>
      </c>
      <c r="D11" s="58">
        <v>4</v>
      </c>
      <c r="E11" s="59" t="s">
        <v>38</v>
      </c>
      <c r="F11" s="59" t="s">
        <v>54</v>
      </c>
      <c r="G11" s="59" t="s">
        <v>40</v>
      </c>
      <c r="H11" s="60"/>
      <c r="I11" s="61" t="s">
        <v>55</v>
      </c>
      <c r="J11" s="58" t="s">
        <v>56</v>
      </c>
      <c r="K11" s="58" t="s">
        <v>43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>
        <v>200</v>
      </c>
      <c r="T11" s="62">
        <v>300</v>
      </c>
      <c r="U11" s="62">
        <v>300</v>
      </c>
      <c r="V11" s="62">
        <v>200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41844</v>
      </c>
      <c r="AO11" s="61" t="s">
        <v>76</v>
      </c>
    </row>
    <row r="12" spans="1:46" ht="52.5" customHeight="1">
      <c r="A12" s="55">
        <v>5</v>
      </c>
      <c r="B12" s="56" t="s">
        <v>57</v>
      </c>
      <c r="D12" s="58">
        <v>5</v>
      </c>
      <c r="E12" s="59" t="s">
        <v>38</v>
      </c>
      <c r="F12" s="59" t="s">
        <v>54</v>
      </c>
      <c r="G12" s="59" t="s">
        <v>45</v>
      </c>
      <c r="H12" s="60"/>
      <c r="I12" s="61" t="s">
        <v>58</v>
      </c>
      <c r="J12" s="58" t="s">
        <v>59</v>
      </c>
      <c r="K12" s="58" t="s">
        <v>49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>
        <v>200</v>
      </c>
      <c r="S12" s="62">
        <v>250</v>
      </c>
      <c r="T12" s="62">
        <v>200</v>
      </c>
      <c r="U12" s="62">
        <v>200</v>
      </c>
      <c r="V12" s="62">
        <v>150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41844</v>
      </c>
      <c r="AO12" s="61" t="s">
        <v>76</v>
      </c>
    </row>
    <row r="13" spans="1:46" ht="52.5" customHeight="1">
      <c r="A13" s="55">
        <v>6</v>
      </c>
      <c r="B13" s="56" t="s">
        <v>60</v>
      </c>
      <c r="D13" s="58">
        <v>6</v>
      </c>
      <c r="E13" s="59" t="s">
        <v>38</v>
      </c>
      <c r="F13" s="59" t="s">
        <v>54</v>
      </c>
      <c r="G13" s="59" t="s">
        <v>45</v>
      </c>
      <c r="H13" s="60"/>
      <c r="I13" s="61" t="s">
        <v>61</v>
      </c>
      <c r="J13" s="58" t="s">
        <v>62</v>
      </c>
      <c r="K13" s="58" t="s">
        <v>52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>
        <v>200</v>
      </c>
      <c r="S13" s="62">
        <v>250</v>
      </c>
      <c r="T13" s="62">
        <v>200</v>
      </c>
      <c r="U13" s="62">
        <v>200</v>
      </c>
      <c r="V13" s="62">
        <v>150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41844</v>
      </c>
      <c r="AO13" s="61" t="s">
        <v>76</v>
      </c>
    </row>
    <row r="14" spans="1:46" ht="52.5" customHeight="1">
      <c r="A14" s="55">
        <v>7</v>
      </c>
      <c r="B14" s="56" t="s">
        <v>63</v>
      </c>
      <c r="D14" s="58">
        <v>7</v>
      </c>
      <c r="E14" s="59" t="s">
        <v>38</v>
      </c>
      <c r="F14" s="59" t="s">
        <v>54</v>
      </c>
      <c r="G14" s="59" t="s">
        <v>45</v>
      </c>
      <c r="H14" s="60"/>
      <c r="I14" s="61" t="s">
        <v>64</v>
      </c>
      <c r="J14" s="58" t="s">
        <v>65</v>
      </c>
      <c r="K14" s="58" t="s">
        <v>66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>
        <v>200</v>
      </c>
      <c r="S14" s="62">
        <v>250</v>
      </c>
      <c r="T14" s="62">
        <v>200</v>
      </c>
      <c r="U14" s="62">
        <v>200</v>
      </c>
      <c r="V14" s="62">
        <v>150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1000</v>
      </c>
      <c r="AK14" s="64">
        <v>0</v>
      </c>
      <c r="AL14" s="65">
        <v>0</v>
      </c>
      <c r="AM14" s="66">
        <v>0</v>
      </c>
      <c r="AN14" s="66">
        <v>41844</v>
      </c>
      <c r="AO14" s="61" t="s">
        <v>76</v>
      </c>
    </row>
    <row r="15" spans="1:46" ht="52.5" customHeight="1">
      <c r="A15" s="55">
        <v>8</v>
      </c>
      <c r="B15" s="56" t="s">
        <v>67</v>
      </c>
      <c r="D15" s="58">
        <v>8</v>
      </c>
      <c r="E15" s="59" t="s">
        <v>38</v>
      </c>
      <c r="F15" s="59" t="s">
        <v>68</v>
      </c>
      <c r="G15" s="59" t="s">
        <v>45</v>
      </c>
      <c r="H15" s="60"/>
      <c r="I15" s="61" t="s">
        <v>69</v>
      </c>
      <c r="J15" s="58" t="s">
        <v>70</v>
      </c>
      <c r="K15" s="58" t="s">
        <v>71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>
        <v>200</v>
      </c>
      <c r="S15" s="62">
        <v>250</v>
      </c>
      <c r="T15" s="62">
        <v>200</v>
      </c>
      <c r="U15" s="62">
        <v>200</v>
      </c>
      <c r="V15" s="62">
        <v>150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1000</v>
      </c>
      <c r="AK15" s="64">
        <v>0</v>
      </c>
      <c r="AL15" s="65">
        <v>0</v>
      </c>
      <c r="AM15" s="66">
        <v>0</v>
      </c>
      <c r="AN15" s="66">
        <v>41844</v>
      </c>
      <c r="AO15" s="61" t="s">
        <v>76</v>
      </c>
    </row>
    <row r="16" spans="1:46" ht="52.5" customHeight="1">
      <c r="A16" s="55">
        <v>9</v>
      </c>
      <c r="B16" s="56" t="s">
        <v>72</v>
      </c>
      <c r="D16" s="58">
        <v>9</v>
      </c>
      <c r="E16" s="59" t="s">
        <v>38</v>
      </c>
      <c r="F16" s="59" t="s">
        <v>68</v>
      </c>
      <c r="G16" s="59" t="s">
        <v>45</v>
      </c>
      <c r="H16" s="60"/>
      <c r="I16" s="61" t="s">
        <v>73</v>
      </c>
      <c r="J16" s="58" t="s">
        <v>70</v>
      </c>
      <c r="K16" s="58" t="s">
        <v>52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>
        <v>200</v>
      </c>
      <c r="S16" s="62">
        <v>250</v>
      </c>
      <c r="T16" s="62">
        <v>200</v>
      </c>
      <c r="U16" s="62">
        <v>200</v>
      </c>
      <c r="V16" s="62">
        <v>150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1000</v>
      </c>
      <c r="AK16" s="64">
        <v>0</v>
      </c>
      <c r="AL16" s="65">
        <v>0</v>
      </c>
      <c r="AM16" s="66">
        <v>0</v>
      </c>
      <c r="AN16" s="66">
        <v>41844</v>
      </c>
      <c r="AO16" s="61" t="s">
        <v>76</v>
      </c>
    </row>
    <row r="17" spans="1:41" ht="52.5" hidden="1" customHeight="1">
      <c r="A17" s="55">
        <v>11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12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13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14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15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16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17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18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19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20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21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22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23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24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25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26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8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27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28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29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30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31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32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33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ref="AJ39:AJ70" si="1">SUM(L39:AI39)</f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34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si="1"/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35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36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37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38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39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40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41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42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43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44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45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46</v>
      </c>
      <c r="B52" s="56" t="s">
        <v>44</v>
      </c>
      <c r="C52" s="69"/>
      <c r="D52" s="58">
        <v>0</v>
      </c>
      <c r="E52" s="59" t="s">
        <v>44</v>
      </c>
      <c r="F52" s="59" t="s">
        <v>44</v>
      </c>
      <c r="G52" s="59" t="s">
        <v>44</v>
      </c>
      <c r="H52" s="70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71"/>
      <c r="AP52" s="72"/>
      <c r="AQ52" s="73"/>
      <c r="AR52" s="73"/>
      <c r="AS52" s="73"/>
      <c r="AT52" s="73"/>
      <c r="AU52" s="73"/>
    </row>
    <row r="53" spans="1:47" ht="52.5" hidden="1" customHeight="1">
      <c r="A53" s="55">
        <v>47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48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49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50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51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52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53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54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55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56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57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58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59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60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61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6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62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4" t="s">
        <v>44</v>
      </c>
      <c r="AC68" s="74" t="s">
        <v>44</v>
      </c>
      <c r="AD68" s="74" t="s">
        <v>44</v>
      </c>
      <c r="AE68" s="74" t="s">
        <v>44</v>
      </c>
      <c r="AF68" s="74" t="s">
        <v>44</v>
      </c>
      <c r="AG68" s="74" t="s">
        <v>44</v>
      </c>
      <c r="AH68" s="74" t="s">
        <v>44</v>
      </c>
      <c r="AI68" s="74" t="s">
        <v>44</v>
      </c>
      <c r="AJ68" s="75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63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64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65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ref="AJ71:AJ75" si="2">SUM(L71:AI71)</f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66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si="2"/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67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68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69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21.75" customHeight="1">
      <c r="A76" s="55"/>
      <c r="B76" s="56"/>
      <c r="D76" s="91" t="s">
        <v>32</v>
      </c>
      <c r="E76" s="91"/>
      <c r="F76" s="76"/>
      <c r="G76" s="76"/>
      <c r="H76" s="76"/>
      <c r="I76" s="76"/>
      <c r="J76" s="76"/>
      <c r="K76" s="76"/>
      <c r="L76" s="77">
        <f t="shared" ref="L76:AE76" si="3">SUM(L8:L75)</f>
        <v>0</v>
      </c>
      <c r="M76" s="77">
        <f t="shared" si="3"/>
        <v>0</v>
      </c>
      <c r="N76" s="77">
        <f t="shared" si="3"/>
        <v>0</v>
      </c>
      <c r="O76" s="77">
        <f t="shared" si="3"/>
        <v>0</v>
      </c>
      <c r="P76" s="77">
        <f t="shared" si="3"/>
        <v>0</v>
      </c>
      <c r="Q76" s="77">
        <f t="shared" si="3"/>
        <v>0</v>
      </c>
      <c r="R76" s="77">
        <f t="shared" si="3"/>
        <v>1550</v>
      </c>
      <c r="S76" s="77">
        <f t="shared" si="3"/>
        <v>2350</v>
      </c>
      <c r="T76" s="77">
        <f t="shared" si="3"/>
        <v>2150</v>
      </c>
      <c r="U76" s="77">
        <f t="shared" si="3"/>
        <v>1900</v>
      </c>
      <c r="V76" s="77">
        <f t="shared" si="3"/>
        <v>1450</v>
      </c>
      <c r="W76" s="77">
        <f t="shared" si="3"/>
        <v>0</v>
      </c>
      <c r="X76" s="77">
        <f t="shared" si="3"/>
        <v>0</v>
      </c>
      <c r="Y76" s="77">
        <f t="shared" si="3"/>
        <v>0</v>
      </c>
      <c r="Z76" s="77">
        <f t="shared" si="3"/>
        <v>0</v>
      </c>
      <c r="AA76" s="77">
        <f t="shared" si="3"/>
        <v>0</v>
      </c>
      <c r="AB76" s="77">
        <f t="shared" si="3"/>
        <v>0</v>
      </c>
      <c r="AC76" s="77">
        <f t="shared" si="3"/>
        <v>0</v>
      </c>
      <c r="AD76" s="77">
        <f t="shared" si="3"/>
        <v>0</v>
      </c>
      <c r="AE76" s="77">
        <f t="shared" si="3"/>
        <v>0</v>
      </c>
      <c r="AF76" s="77">
        <f t="shared" ref="AF76" si="4">SUM(AF8:AF75)</f>
        <v>0</v>
      </c>
      <c r="AG76" s="77">
        <f>SUM(AG8:AG75)</f>
        <v>0</v>
      </c>
      <c r="AH76" s="77">
        <f>SUM(AH8:AH75)</f>
        <v>0</v>
      </c>
      <c r="AI76" s="77">
        <f>SUM(AI8:AI75)</f>
        <v>0</v>
      </c>
      <c r="AJ76" s="77">
        <f>SUM(AJ8:AJ75)</f>
        <v>9400</v>
      </c>
      <c r="AK76" s="78">
        <f>SUMPRODUCT($AJ8:$AJ67,$AK8:$AK67)</f>
        <v>0</v>
      </c>
      <c r="AL76" s="79">
        <f>SUMPRODUCT($AJ8:$AJ67,AL8:AL67)</f>
        <v>0</v>
      </c>
      <c r="AM76" s="80"/>
      <c r="AN76" s="80"/>
      <c r="AO76" s="81"/>
    </row>
    <row r="77" spans="1:47" ht="14.25">
      <c r="A77" s="55"/>
      <c r="B77" s="56"/>
      <c r="D77" s="41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</sheetData>
  <autoFilter ref="L7:AJ76">
    <filterColumn colId="24">
      <customFilters>
        <customFilter operator="notEqual" val=" "/>
      </customFilters>
    </filterColumn>
  </autoFilter>
  <mergeCells count="15">
    <mergeCell ref="AO6:AO7"/>
    <mergeCell ref="D76:E76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7:H28 H67:H75">
    <cfRule type="expression" dxfId="8" priority="18" stopIfTrue="1">
      <formula>$H17="TTL"</formula>
    </cfRule>
  </conditionalFormatting>
  <conditionalFormatting sqref="H27">
    <cfRule type="expression" dxfId="7" priority="17" stopIfTrue="1">
      <formula>$H27="TTL"</formula>
    </cfRule>
  </conditionalFormatting>
  <conditionalFormatting sqref="H17:H28">
    <cfRule type="expression" dxfId="6" priority="16" stopIfTrue="1">
      <formula>$H17="TTL"</formula>
    </cfRule>
  </conditionalFormatting>
  <conditionalFormatting sqref="H27">
    <cfRule type="expression" dxfId="5" priority="15" stopIfTrue="1">
      <formula>$H27="TTL"</formula>
    </cfRule>
  </conditionalFormatting>
  <conditionalFormatting sqref="H17:H29">
    <cfRule type="expression" dxfId="4" priority="14" stopIfTrue="1">
      <formula>$H17="TTL"</formula>
    </cfRule>
  </conditionalFormatting>
  <conditionalFormatting sqref="H17">
    <cfRule type="expression" dxfId="3" priority="12" stopIfTrue="1">
      <formula>$H17="TTL"</formula>
    </cfRule>
  </conditionalFormatting>
  <conditionalFormatting sqref="H17:H31">
    <cfRule type="expression" dxfId="2" priority="9" stopIfTrue="1">
      <formula>$H17="TTL"</formula>
    </cfRule>
  </conditionalFormatting>
  <conditionalFormatting sqref="H8">
    <cfRule type="expression" dxfId="1" priority="2" stopIfTrue="1">
      <formula>$I8="TTL"</formula>
    </cfRule>
  </conditionalFormatting>
  <conditionalFormatting sqref="H8:H16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2014-04-11T02:32:02Z</dcterms:created>
  <dcterms:modified xsi:type="dcterms:W3CDTF">2014-05-16T06:25:06Z</dcterms:modified>
</cp:coreProperties>
</file>