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<sst xmlns="http://schemas.openxmlformats.org/spreadsheetml/2006/main" count="2403" uniqueCount="72">
  <si>
    <t>PURCHASE ORDER LIST</t>
    <phoneticPr fontId="4" type="noConversion"/>
  </si>
  <si>
    <t>PO#</t>
    <phoneticPr fontId="4" type="noConversion"/>
  </si>
  <si>
    <t>ELS-EVERGREEN-04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</si>
  <si>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</si>
  <si>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</si>
  <si>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</si>
  <si>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</si>
  <si>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</si>
  <si>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</si>
  <si>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</si>
  <si>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</si>
  <si>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</si>
  <si>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</si>
  <si>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</si>
  <si>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</si>
  <si>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</si>
  <si>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</si>
  <si>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</si>
  <si>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</si>
  <si>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</si>
  <si>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</si>
  <si>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</si>
  <si>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</si>
  <si>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</si>
  <si>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</si>
  <si>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</si>
  <si>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</si>
  <si>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</si>
  <si>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</si>
  <si>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</si>
  <si>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</si>
  <si>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</si>
  <si>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</si>
  <si>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</si>
  <si>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</si>
  <si>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</si>
  <si>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</si>
  <si>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ELSTLF5510NAVY</t>
  </si>
  <si>
    <t>ELSTINKO</t>
  </si>
  <si>
    <t>LONG SLEEVES</t>
  </si>
  <si>
    <t>K</t>
  </si>
  <si>
    <t>14FW_ELSTINKO_MTM_14_NY_KIDS</t>
  </si>
  <si>
    <t>ELSTLF5510</t>
  </si>
  <si>
    <t>NAVY</t>
  </si>
  <si>
    <t/>
  </si>
  <si>
    <t>ELSTLF5521RED</t>
  </si>
  <si>
    <t>14FW_ELSTINKO_MTM_13_RE_KIDS</t>
  </si>
  <si>
    <t>ELSTLF5521</t>
  </si>
  <si>
    <t>RED</t>
  </si>
  <si>
    <t>ELSTHF5522BLUE</t>
  </si>
  <si>
    <t>HOODED T-SHIRTS</t>
  </si>
  <si>
    <t>14FW_ELSTINKO_HOOD_01_BL_KIDS</t>
  </si>
  <si>
    <t>ELSTHF5522</t>
  </si>
  <si>
    <t>BLUE</t>
  </si>
  <si>
    <t>ELSTHF5522PINK</t>
  </si>
  <si>
    <t>14FW_ELSTINKO_HOOD_01_PK_KIDS</t>
  </si>
  <si>
    <t>PINK</t>
  </si>
  <si>
    <t>ELSPTF5023BLACK</t>
  </si>
  <si>
    <t>PANTS</t>
  </si>
  <si>
    <t>U</t>
  </si>
  <si>
    <t>14FW ELSTINKO_PANTS_01_BK</t>
  </si>
  <si>
    <t>ELSPTF5023</t>
  </si>
  <si>
    <t>BLACK</t>
  </si>
  <si>
    <t>ELSPTF5524BLACK</t>
  </si>
  <si>
    <t>14FW ELSTINKO_PANTS_03_BK_KIDS</t>
  </si>
  <si>
    <t>ELSPTF5524</t>
  </si>
  <si>
    <t>FW</t>
  </si>
  <si>
    <t>ELSTLF5044BLACK</t>
  </si>
  <si>
    <t>14FW_ELSTINKO_MTM_05_BK</t>
  </si>
  <si>
    <t>ELSTLF5044</t>
  </si>
  <si>
    <t>수량변경</t>
    <phoneticPr fontId="3" type="noConversion"/>
  </si>
  <si>
    <t>RXK-14FW-ELS-EVERGREEN-04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</si>
</sst>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95249</xdr:rowOff>
    </xdr:from>
    <xdr:to>
      <xdr:col>7</xdr:col>
      <xdr:colOff>626463</xdr:colOff>
      <xdr:row>7</xdr:row>
      <xdr:rowOff>601888</xdr:rowOff>
    </xdr:to>
    <xdr:pic>
      <xdr:nvPicPr>
        <xdr:cNvPr id="2" name="그림 1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3913" y="426472349"/>
          <a:ext cx="504000" cy="506639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81642</xdr:rowOff>
    </xdr:from>
    <xdr:to>
      <xdr:col>7</xdr:col>
      <xdr:colOff>626463</xdr:colOff>
      <xdr:row>8</xdr:row>
      <xdr:rowOff>588281</xdr:rowOff>
    </xdr:to>
    <xdr:pic>
      <xdr:nvPicPr>
        <xdr:cNvPr id="3" name="그림 2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3913" y="427125492"/>
          <a:ext cx="504000" cy="506639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9</xdr:row>
      <xdr:rowOff>54430</xdr:rowOff>
    </xdr:from>
    <xdr:to>
      <xdr:col>7</xdr:col>
      <xdr:colOff>572891</xdr:colOff>
      <xdr:row>9</xdr:row>
      <xdr:rowOff>613357</xdr:rowOff>
    </xdr:to>
    <xdr:pic>
      <xdr:nvPicPr>
        <xdr:cNvPr id="4" name="그림 3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8341" y="433099030"/>
          <a:ext cx="396000" cy="558927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10</xdr:row>
      <xdr:rowOff>54429</xdr:rowOff>
    </xdr:from>
    <xdr:to>
      <xdr:col>7</xdr:col>
      <xdr:colOff>559284</xdr:colOff>
      <xdr:row>10</xdr:row>
      <xdr:rowOff>607502</xdr:rowOff>
    </xdr:to>
    <xdr:pic>
      <xdr:nvPicPr>
        <xdr:cNvPr id="5" name="그림 4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34734" y="433765779"/>
          <a:ext cx="396000" cy="553073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11</xdr:row>
      <xdr:rowOff>68036</xdr:rowOff>
    </xdr:from>
    <xdr:to>
      <xdr:col>7</xdr:col>
      <xdr:colOff>662463</xdr:colOff>
      <xdr:row>11</xdr:row>
      <xdr:rowOff>608653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93913" y="439113386"/>
          <a:ext cx="540000" cy="5406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244926</xdr:colOff>
      <xdr:row>12</xdr:row>
      <xdr:rowOff>40822</xdr:rowOff>
    </xdr:from>
    <xdr:to>
      <xdr:col>7</xdr:col>
      <xdr:colOff>496926</xdr:colOff>
      <xdr:row>12</xdr:row>
      <xdr:rowOff>607114</xdr:rowOff>
    </xdr:to>
    <xdr:pic>
      <xdr:nvPicPr>
        <xdr:cNvPr id="7" name="그림 6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6376" y="439752922"/>
          <a:ext cx="252000" cy="566292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13</xdr:row>
      <xdr:rowOff>68036</xdr:rowOff>
    </xdr:from>
    <xdr:to>
      <xdr:col>7</xdr:col>
      <xdr:colOff>635249</xdr:colOff>
      <xdr:row>13</xdr:row>
      <xdr:rowOff>608789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114674" y="176348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4"/>
      <c r="B3" s="23"/>
      <c r="D3" s="25" t="s">
        <v>1</v>
      </c>
      <c r="E3" s="85" t="s">
        <v>71</v>
      </c>
      <c r="F3" s="86"/>
      <c r="G3" s="86"/>
      <c r="H3" s="8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41744</v>
      </c>
      <c r="AT3" s="34"/>
    </row>
    <row r="4" spans="1:46" s="36" customFormat="1">
      <c r="A4" s="8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4"/>
      <c r="B6" s="23"/>
      <c r="C6" s="44"/>
      <c r="D6" s="88" t="s">
        <v>5</v>
      </c>
      <c r="E6" s="88" t="s">
        <v>6</v>
      </c>
      <c r="F6" s="88" t="s">
        <v>7</v>
      </c>
      <c r="G6" s="88" t="s">
        <v>8</v>
      </c>
      <c r="H6" s="88" t="s">
        <v>9</v>
      </c>
      <c r="I6" s="88" t="s">
        <v>10</v>
      </c>
      <c r="J6" s="91" t="s">
        <v>11</v>
      </c>
      <c r="K6" s="91" t="s">
        <v>12</v>
      </c>
      <c r="L6" s="93" t="s">
        <v>13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  <c r="AK6" s="96" t="s">
        <v>14</v>
      </c>
      <c r="AL6" s="96"/>
      <c r="AM6" s="97" t="s">
        <v>15</v>
      </c>
      <c r="AN6" s="97"/>
      <c r="AO6" s="88" t="s">
        <v>16</v>
      </c>
      <c r="AP6" s="43"/>
    </row>
    <row r="7" spans="1:46" s="54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9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98">
        <v>200</v>
      </c>
      <c r="S8" s="98">
        <v>300</v>
      </c>
      <c r="T8" s="98">
        <v>300</v>
      </c>
      <c r="U8" s="98">
        <v>200</v>
      </c>
      <c r="V8" s="98">
        <v>200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 t="s">
        <v>44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41844</v>
      </c>
      <c r="AO8" s="61" t="s">
        <v>70</v>
      </c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98">
        <v>200</v>
      </c>
      <c r="S9" s="98">
        <v>300</v>
      </c>
      <c r="T9" s="98">
        <v>300</v>
      </c>
      <c r="U9" s="98">
        <v>200</v>
      </c>
      <c r="V9" s="98">
        <v>200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41844</v>
      </c>
      <c r="AO9" s="61" t="s">
        <v>70</v>
      </c>
    </row>
    <row r="10" spans="1:46" ht="52.5" customHeight="1">
      <c r="A10" s="55">
        <v>3</v>
      </c>
      <c r="B10" s="56" t="s">
        <v>49</v>
      </c>
      <c r="D10" s="58">
        <v>3</v>
      </c>
      <c r="E10" s="59" t="s">
        <v>38</v>
      </c>
      <c r="F10" s="59" t="s">
        <v>50</v>
      </c>
      <c r="G10" s="59" t="s">
        <v>40</v>
      </c>
      <c r="H10" s="60"/>
      <c r="I10" s="61" t="s">
        <v>51</v>
      </c>
      <c r="J10" s="58" t="s">
        <v>52</v>
      </c>
      <c r="K10" s="58" t="s">
        <v>53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98">
        <v>200</v>
      </c>
      <c r="S10" s="98">
        <v>250</v>
      </c>
      <c r="T10" s="98">
        <v>200</v>
      </c>
      <c r="U10" s="98">
        <v>200</v>
      </c>
      <c r="V10" s="98">
        <v>150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41844</v>
      </c>
      <c r="AO10" s="61" t="s">
        <v>70</v>
      </c>
    </row>
    <row r="11" spans="1:46" ht="52.5" customHeight="1">
      <c r="A11" s="55">
        <v>4</v>
      </c>
      <c r="B11" s="56" t="s">
        <v>54</v>
      </c>
      <c r="D11" s="58">
        <v>4</v>
      </c>
      <c r="E11" s="59" t="s">
        <v>38</v>
      </c>
      <c r="F11" s="59" t="s">
        <v>50</v>
      </c>
      <c r="G11" s="59" t="s">
        <v>40</v>
      </c>
      <c r="H11" s="60"/>
      <c r="I11" s="61" t="s">
        <v>55</v>
      </c>
      <c r="J11" s="58" t="s">
        <v>52</v>
      </c>
      <c r="K11" s="58" t="s">
        <v>56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98">
        <v>200</v>
      </c>
      <c r="S11" s="98">
        <v>250</v>
      </c>
      <c r="T11" s="98">
        <v>200</v>
      </c>
      <c r="U11" s="98">
        <v>200</v>
      </c>
      <c r="V11" s="98">
        <v>150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41844</v>
      </c>
      <c r="AO11" s="61" t="s">
        <v>70</v>
      </c>
    </row>
    <row r="12" spans="1:46" ht="52.5" customHeight="1">
      <c r="A12" s="55">
        <v>5</v>
      </c>
      <c r="B12" s="56" t="s">
        <v>57</v>
      </c>
      <c r="D12" s="58">
        <v>5</v>
      </c>
      <c r="E12" s="59" t="s">
        <v>38</v>
      </c>
      <c r="F12" s="59" t="s">
        <v>58</v>
      </c>
      <c r="G12" s="59" t="s">
        <v>59</v>
      </c>
      <c r="H12" s="60"/>
      <c r="I12" s="61" t="s">
        <v>60</v>
      </c>
      <c r="J12" s="58" t="s">
        <v>61</v>
      </c>
      <c r="K12" s="58" t="s">
        <v>62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>
        <v>600</v>
      </c>
      <c r="T12" s="62">
        <v>500</v>
      </c>
      <c r="U12" s="62">
        <v>400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1500</v>
      </c>
      <c r="AK12" s="64">
        <v>0</v>
      </c>
      <c r="AL12" s="65">
        <v>0</v>
      </c>
      <c r="AM12" s="66">
        <v>0</v>
      </c>
      <c r="AN12" s="66">
        <v>41844</v>
      </c>
      <c r="AO12" s="61"/>
    </row>
    <row r="13" spans="1:46" ht="52.5" customHeight="1">
      <c r="A13" s="55">
        <v>6</v>
      </c>
      <c r="B13" s="56" t="s">
        <v>63</v>
      </c>
      <c r="D13" s="58">
        <v>6</v>
      </c>
      <c r="E13" s="59" t="s">
        <v>38</v>
      </c>
      <c r="F13" s="59" t="s">
        <v>58</v>
      </c>
      <c r="G13" s="59" t="s">
        <v>40</v>
      </c>
      <c r="H13" s="60"/>
      <c r="I13" s="61" t="s">
        <v>64</v>
      </c>
      <c r="J13" s="58" t="s">
        <v>65</v>
      </c>
      <c r="K13" s="58" t="s">
        <v>62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98">
        <v>250</v>
      </c>
      <c r="S13" s="98">
        <v>250</v>
      </c>
      <c r="T13" s="98">
        <v>200</v>
      </c>
      <c r="U13" s="98">
        <v>150</v>
      </c>
      <c r="V13" s="98">
        <v>150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41844</v>
      </c>
      <c r="AO13" s="61" t="s">
        <v>70</v>
      </c>
    </row>
    <row r="14" spans="1:46" ht="52.5" customHeight="1">
      <c r="A14" s="55">
        <v>7</v>
      </c>
      <c r="B14" s="56" t="s">
        <v>67</v>
      </c>
      <c r="D14" s="58">
        <v>7</v>
      </c>
      <c r="E14" s="59" t="s">
        <v>38</v>
      </c>
      <c r="F14" s="59" t="s">
        <v>39</v>
      </c>
      <c r="G14" s="59" t="s">
        <v>59</v>
      </c>
      <c r="H14" s="60"/>
      <c r="I14" s="61" t="s">
        <v>68</v>
      </c>
      <c r="J14" s="58" t="s">
        <v>69</v>
      </c>
      <c r="K14" s="58" t="s">
        <v>62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98">
        <v>200</v>
      </c>
      <c r="S14" s="98">
        <v>250</v>
      </c>
      <c r="T14" s="98">
        <v>250</v>
      </c>
      <c r="U14" s="98">
        <v>200</v>
      </c>
      <c r="V14" s="98">
        <v>100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1000</v>
      </c>
      <c r="AK14" s="64" t="s">
        <v>44</v>
      </c>
      <c r="AL14" s="65" t="s">
        <v>44</v>
      </c>
      <c r="AM14" s="66" t="s">
        <v>44</v>
      </c>
      <c r="AN14" s="66">
        <v>41844</v>
      </c>
      <c r="AO14" s="61" t="s">
        <v>70</v>
      </c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8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8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7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7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44</v>
      </c>
      <c r="C75" s="69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44</v>
      </c>
      <c r="C76" s="69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90" t="s">
        <v>32</v>
      </c>
      <c r="E77" s="90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1250</v>
      </c>
      <c r="S77" s="77">
        <f>SUM(S8:S76)</f>
        <v>2200</v>
      </c>
      <c r="T77" s="77">
        <f t="shared" si="3"/>
        <v>1950</v>
      </c>
      <c r="U77" s="77">
        <f t="shared" si="3"/>
        <v>1550</v>
      </c>
      <c r="V77" s="77">
        <f t="shared" si="3"/>
        <v>950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0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7900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29 H68:H76">
    <cfRule type="expression" dxfId="11" priority="19" stopIfTrue="1">
      <formula>$H15="TTL"</formula>
    </cfRule>
  </conditionalFormatting>
  <conditionalFormatting sqref="H28">
    <cfRule type="expression" dxfId="10" priority="18" stopIfTrue="1">
      <formula>$H28="TTL"</formula>
    </cfRule>
  </conditionalFormatting>
  <conditionalFormatting sqref="H15:H29">
    <cfRule type="expression" dxfId="9" priority="17" stopIfTrue="1">
      <formula>$H15="TTL"</formula>
    </cfRule>
  </conditionalFormatting>
  <conditionalFormatting sqref="H28">
    <cfRule type="expression" dxfId="8" priority="16" stopIfTrue="1">
      <formula>$H28="TTL"</formula>
    </cfRule>
  </conditionalFormatting>
  <conditionalFormatting sqref="H15:H30">
    <cfRule type="expression" dxfId="7" priority="15" stopIfTrue="1">
      <formula>$H15="TTL"</formula>
    </cfRule>
  </conditionalFormatting>
  <conditionalFormatting sqref="H15:H18">
    <cfRule type="expression" dxfId="6" priority="13" stopIfTrue="1">
      <formula>$H15="TTL"</formula>
    </cfRule>
  </conditionalFormatting>
  <conditionalFormatting sqref="H15">
    <cfRule type="expression" dxfId="5" priority="11" stopIfTrue="1">
      <formula>$H15="TTL"</formula>
    </cfRule>
  </conditionalFormatting>
  <conditionalFormatting sqref="H15:H32">
    <cfRule type="expression" dxfId="4" priority="10" stopIfTrue="1">
      <formula>$H15="TTL"</formula>
    </cfRule>
  </conditionalFormatting>
  <conditionalFormatting sqref="H15">
    <cfRule type="expression" dxfId="3" priority="9" stopIfTrue="1">
      <formula>$H15="TTL"</formula>
    </cfRule>
  </conditionalFormatting>
  <conditionalFormatting sqref="H8">
    <cfRule type="expression" dxfId="2" priority="3" stopIfTrue="1">
      <formula>$I8="TTL"</formula>
    </cfRule>
  </conditionalFormatting>
  <conditionalFormatting sqref="H8:H13">
    <cfRule type="expression" dxfId="1" priority="2">
      <formula>$I8="TTL"</formula>
    </cfRule>
  </conditionalFormatting>
  <conditionalFormatting sqref="H14">
    <cfRule type="expression" dxfId="0" priority="1">
      <formula>$I14="TTL"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2014-04-11T11:52:14Z</dcterms:created>
  <dcterms:modified xsi:type="dcterms:W3CDTF">2014-05-16T07:25:09Z</dcterms:modified>
</cp:coreProperties>
</file>