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<sst xmlns="http://schemas.openxmlformats.org/spreadsheetml/2006/main" count="2390" uniqueCount="82">
  <si>
    <t>PURCHASE ORDER LIST</t>
    <phoneticPr fontId="4" type="noConversion"/>
  </si>
  <si>
    <t>PO#</t>
    <phoneticPr fontId="4" type="noConversion"/>
  </si>
  <si>
    <t>ELS-대경-01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</si>
  <si>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</si>
  <si>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</si>
  <si>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</si>
  <si>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</si>
  <si>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</si>
  <si>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</si>
  <si>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</si>
  <si>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</si>
  <si>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</si>
  <si>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</si>
  <si>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</si>
  <si>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</si>
  <si>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</si>
  <si>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</si>
  <si>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</si>
  <si>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</si>
  <si>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</si>
  <si>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</si>
  <si>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</si>
  <si>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</si>
  <si>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</si>
  <si>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</si>
  <si>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</si>
  <si>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</si>
  <si>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</si>
  <si>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</si>
  <si>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</si>
  <si>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</si>
  <si>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</si>
  <si>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</si>
  <si>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</si>
  <si>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</si>
  <si>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</si>
  <si>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</si>
  <si>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ELSJPF5001BLACK</t>
  </si>
  <si>
    <t>ELSTINKO</t>
  </si>
  <si>
    <t>JUMPER</t>
  </si>
  <si>
    <t>U</t>
  </si>
  <si>
    <t>14FW_ELSTINKO_DOWN JUMPER_01_BK</t>
  </si>
  <si>
    <t>ELSJPF5001</t>
  </si>
  <si>
    <t>BLACK</t>
  </si>
  <si>
    <t/>
  </si>
  <si>
    <t>ELSJPF5001RED</t>
  </si>
  <si>
    <t>14FW_ELSTINKO_DOWN JUMPER_01_RD</t>
  </si>
  <si>
    <t>RED</t>
  </si>
  <si>
    <t>ELSJPF5502RED</t>
  </si>
  <si>
    <t>K</t>
  </si>
  <si>
    <t>14FW_ELSTINKO_DOWN_JUMPER_05_RD_KIDS</t>
  </si>
  <si>
    <t>ELSJPF5502</t>
  </si>
  <si>
    <t>ELSJPF5502YELLOW</t>
  </si>
  <si>
    <t>14FW_ELSTINKO_DOWN_JUMPER_05_YE_KIDS</t>
  </si>
  <si>
    <t>YELLOW</t>
  </si>
  <si>
    <t>ELSPTF5503BLACK</t>
  </si>
  <si>
    <t>PANTS</t>
  </si>
  <si>
    <t>14FW ELSTINKO_PANTS_04_BK_KIDS</t>
  </si>
  <si>
    <t>ELSPTF5503</t>
  </si>
  <si>
    <t>FW</t>
  </si>
  <si>
    <t>ELSJPF5502BLUE</t>
  </si>
  <si>
    <t>14FW_ELSTINKO_DOWN_JUMPER_05_BL_KIDS</t>
  </si>
  <si>
    <t>BLUE</t>
  </si>
  <si>
    <t>ELSJPF5028BLACK</t>
  </si>
  <si>
    <t>14FW_ELSTINKO_DOWN JUMPER_02_BK</t>
  </si>
  <si>
    <t>ELSJPF5028</t>
  </si>
  <si>
    <t>ELSJPF5028BLUE</t>
  </si>
  <si>
    <t>14FW_ELSTINKO_DOWN JUMPER_02_BL</t>
  </si>
  <si>
    <t>ELSJPF5529PINK</t>
  </si>
  <si>
    <t>14FW_ELSTINKO_PADDING_JUMPER_06_OR_KIDS</t>
  </si>
  <si>
    <t>ELSJPF5529</t>
  </si>
  <si>
    <t>PINK</t>
  </si>
  <si>
    <t>ELSJPF5529ORANGE</t>
  </si>
  <si>
    <t>ORANGE</t>
  </si>
  <si>
    <t>ELSVEF5530RED</t>
  </si>
  <si>
    <t>VEST (조끼)</t>
  </si>
  <si>
    <t>14FW_ELSTINKO_VEST_RED_01_KIDS</t>
  </si>
  <si>
    <t>* CANCEL *</t>
    <phoneticPr fontId="3" type="noConversion"/>
  </si>
  <si>
    <t>14FW_ELSTINKO_PADDING_JUMPER_06_PK_KIDS</t>
  </si>
  <si>
    <t>ELSVEF5530</t>
  </si>
  <si>
    <t>RXK-14FW-ELS-대경-01</t>
    <phoneticPr fontId="4" type="noConversion"/>
  </si>
  <si>
    <t>수량변경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</si>
</sst>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1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3" fontId="5" fillId="33" borderId="2" xfId="0" applyNumberFormat="1" applyFont="1" applyFill="1" applyBorder="1" applyAlignment="1">
      <alignment horizontal="center" vertical="center"/>
    </xf>
    <xf numFmtId="0" fontId="5" fillId="34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3" borderId="2" xfId="0" applyNumberFormat="1" applyFont="1" applyFill="1" applyBorder="1" applyAlignment="1">
      <alignment horizontal="center" vertical="center"/>
    </xf>
    <xf numFmtId="0" fontId="5" fillId="33" borderId="2" xfId="0" applyNumberFormat="1" applyFont="1" applyFill="1" applyBorder="1" applyAlignment="1">
      <alignment horizontal="center" vertical="center" wrapText="1"/>
    </xf>
    <xf numFmtId="0" fontId="5" fillId="33" borderId="2" xfId="0" applyFont="1" applyFill="1" applyBorder="1">
      <alignment vertical="center"/>
    </xf>
    <xf numFmtId="0" fontId="10" fillId="33" borderId="2" xfId="0" applyNumberFormat="1" applyFont="1" applyFill="1" applyBorder="1" applyAlignment="1">
      <alignment horizontal="center" vertical="center" wrapText="1"/>
    </xf>
    <xf numFmtId="4" fontId="10" fillId="33" borderId="2" xfId="0" applyNumberFormat="1" applyFont="1" applyFill="1" applyBorder="1" applyAlignment="1">
      <alignment horizontal="center" vertical="center"/>
    </xf>
    <xf numFmtId="3" fontId="10" fillId="33" borderId="2" xfId="0" applyNumberFormat="1" applyFont="1" applyFill="1" applyBorder="1" applyAlignment="1">
      <alignment horizontal="center" vertical="center"/>
    </xf>
    <xf numFmtId="176" fontId="10" fillId="33" borderId="2" xfId="0" applyNumberFormat="1" applyFont="1" applyFill="1" applyBorder="1" applyAlignment="1">
      <alignment horizontal="center" vertical="center"/>
    </xf>
    <xf numFmtId="3" fontId="5" fillId="34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7</xdr:row>
      <xdr:rowOff>54428</xdr:rowOff>
    </xdr:from>
    <xdr:to>
      <xdr:col>7</xdr:col>
      <xdr:colOff>568582</xdr:colOff>
      <xdr:row>7</xdr:row>
      <xdr:rowOff>594428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73409" y="203070278"/>
          <a:ext cx="40529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122464</xdr:colOff>
      <xdr:row>8</xdr:row>
      <xdr:rowOff>54428</xdr:rowOff>
    </xdr:from>
    <xdr:to>
      <xdr:col>7</xdr:col>
      <xdr:colOff>625527</xdr:colOff>
      <xdr:row>8</xdr:row>
      <xdr:rowOff>594428</xdr:rowOff>
    </xdr:to>
    <xdr:pic>
      <xdr:nvPicPr>
        <xdr:cNvPr id="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9" y="203737028"/>
          <a:ext cx="50306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68035</xdr:rowOff>
    </xdr:from>
    <xdr:to>
      <xdr:col>7</xdr:col>
      <xdr:colOff>684856</xdr:colOff>
      <xdr:row>9</xdr:row>
      <xdr:rowOff>618991</xdr:rowOff>
    </xdr:to>
    <xdr:pic>
      <xdr:nvPicPr>
        <xdr:cNvPr id="4" name="그림 3" descr="14FW_ELSTINKO_DOWN_JUMPER_05_RD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209751385"/>
          <a:ext cx="576000" cy="550956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10</xdr:row>
      <xdr:rowOff>68035</xdr:rowOff>
    </xdr:from>
    <xdr:to>
      <xdr:col>7</xdr:col>
      <xdr:colOff>661900</xdr:colOff>
      <xdr:row>10</xdr:row>
      <xdr:rowOff>608035</xdr:rowOff>
    </xdr:to>
    <xdr:pic>
      <xdr:nvPicPr>
        <xdr:cNvPr id="5" name="그림 4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2" y="210418135"/>
          <a:ext cx="553043" cy="540000"/>
        </a:xfrm>
        <a:prstGeom prst="rect">
          <a:avLst/>
        </a:prstGeom>
      </xdr:spPr>
    </xdr:pic>
    <xdr:clientData/>
  </xdr:twoCellAnchor>
  <xdr:twoCellAnchor>
    <xdr:from>
      <xdr:col>7</xdr:col>
      <xdr:colOff>165100</xdr:colOff>
      <xdr:row>12</xdr:row>
      <xdr:rowOff>50800</xdr:rowOff>
    </xdr:from>
    <xdr:to>
      <xdr:col>7</xdr:col>
      <xdr:colOff>593052</xdr:colOff>
      <xdr:row>12</xdr:row>
      <xdr:rowOff>626800</xdr:rowOff>
    </xdr:to>
    <xdr:pic>
      <xdr:nvPicPr>
        <xdr:cNvPr id="6" name="그림 5" descr="14FW ELSTINKO_PANTS_04_B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29100" y="5105400"/>
          <a:ext cx="427952" cy="576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11</xdr:row>
      <xdr:rowOff>68035</xdr:rowOff>
    </xdr:from>
    <xdr:to>
      <xdr:col>7</xdr:col>
      <xdr:colOff>661900</xdr:colOff>
      <xdr:row>11</xdr:row>
      <xdr:rowOff>608035</xdr:rowOff>
    </xdr:to>
    <xdr:pic>
      <xdr:nvPicPr>
        <xdr:cNvPr id="7" name="그림 6" descr="14FW_ELSTINKO_DOWN_JUMPER_05_YE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172857" y="3776435"/>
          <a:ext cx="553043" cy="54000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13</xdr:row>
      <xdr:rowOff>68036</xdr:rowOff>
    </xdr:from>
    <xdr:to>
      <xdr:col>7</xdr:col>
      <xdr:colOff>671249</xdr:colOff>
      <xdr:row>13</xdr:row>
      <xdr:rowOff>601249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05374" y="229087136"/>
          <a:ext cx="576000" cy="5332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14</xdr:row>
      <xdr:rowOff>68035</xdr:rowOff>
    </xdr:from>
    <xdr:to>
      <xdr:col>7</xdr:col>
      <xdr:colOff>684856</xdr:colOff>
      <xdr:row>14</xdr:row>
      <xdr:rowOff>592631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18981" y="229753885"/>
          <a:ext cx="576000" cy="5245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54428</xdr:colOff>
      <xdr:row>15</xdr:row>
      <xdr:rowOff>95248</xdr:rowOff>
    </xdr:from>
    <xdr:to>
      <xdr:col>7</xdr:col>
      <xdr:colOff>702428</xdr:colOff>
      <xdr:row>15</xdr:row>
      <xdr:rowOff>590150</xdr:rowOff>
    </xdr:to>
    <xdr:pic>
      <xdr:nvPicPr>
        <xdr:cNvPr id="10" name="그림 9" descr="111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64553" y="235115098"/>
          <a:ext cx="648000" cy="494902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16</xdr:row>
      <xdr:rowOff>122463</xdr:rowOff>
    </xdr:from>
    <xdr:to>
      <xdr:col>7</xdr:col>
      <xdr:colOff>716035</xdr:colOff>
      <xdr:row>16</xdr:row>
      <xdr:rowOff>567203</xdr:rowOff>
    </xdr:to>
    <xdr:pic>
      <xdr:nvPicPr>
        <xdr:cNvPr id="11" name="그림 10" descr="WEREWREW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78160" y="235809063"/>
          <a:ext cx="648000" cy="444740"/>
        </a:xfrm>
        <a:prstGeom prst="rect">
          <a:avLst/>
        </a:prstGeom>
      </xdr:spPr>
    </xdr:pic>
    <xdr:clientData/>
  </xdr:twoCellAnchor>
  <xdr:twoCellAnchor>
    <xdr:from>
      <xdr:col>7</xdr:col>
      <xdr:colOff>88900</xdr:colOff>
      <xdr:row>17</xdr:row>
      <xdr:rowOff>114300</xdr:rowOff>
    </xdr:from>
    <xdr:to>
      <xdr:col>7</xdr:col>
      <xdr:colOff>664900</xdr:colOff>
      <xdr:row>17</xdr:row>
      <xdr:rowOff>545953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11500" y="8534400"/>
          <a:ext cx="576000" cy="43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P8" sqref="AP8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8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8"/>
      <c r="B3" s="23"/>
      <c r="D3" s="25" t="s">
        <v>1</v>
      </c>
      <c r="E3" s="89" t="s">
        <v>80</v>
      </c>
      <c r="F3" s="90"/>
      <c r="G3" s="90"/>
      <c r="H3" s="91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41744</v>
      </c>
      <c r="AT3" s="34"/>
    </row>
    <row r="4" spans="1:46" s="36" customFormat="1">
      <c r="A4" s="88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8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8"/>
      <c r="B6" s="23"/>
      <c r="C6" s="44"/>
      <c r="D6" s="92" t="s">
        <v>5</v>
      </c>
      <c r="E6" s="92" t="s">
        <v>6</v>
      </c>
      <c r="F6" s="92" t="s">
        <v>7</v>
      </c>
      <c r="G6" s="92" t="s">
        <v>8</v>
      </c>
      <c r="H6" s="92" t="s">
        <v>9</v>
      </c>
      <c r="I6" s="92" t="s">
        <v>10</v>
      </c>
      <c r="J6" s="95" t="s">
        <v>11</v>
      </c>
      <c r="K6" s="95" t="s">
        <v>12</v>
      </c>
      <c r="L6" s="97" t="s">
        <v>13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9"/>
      <c r="AK6" s="100" t="s">
        <v>14</v>
      </c>
      <c r="AL6" s="100"/>
      <c r="AM6" s="101" t="s">
        <v>15</v>
      </c>
      <c r="AN6" s="101"/>
      <c r="AO6" s="92" t="s">
        <v>16</v>
      </c>
      <c r="AP6" s="43"/>
    </row>
    <row r="7" spans="1:46" s="54" customFormat="1" ht="23.25" customHeight="1">
      <c r="A7" s="46"/>
      <c r="B7" s="23"/>
      <c r="C7" s="44"/>
      <c r="D7" s="93"/>
      <c r="E7" s="93"/>
      <c r="F7" s="93"/>
      <c r="G7" s="93"/>
      <c r="H7" s="93"/>
      <c r="I7" s="93"/>
      <c r="J7" s="96"/>
      <c r="K7" s="96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3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>
        <v>200</v>
      </c>
      <c r="S8" s="62">
        <v>400</v>
      </c>
      <c r="T8" s="62">
        <v>450</v>
      </c>
      <c r="U8" s="62">
        <v>250</v>
      </c>
      <c r="V8" s="62">
        <v>200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41897</v>
      </c>
      <c r="AO8" s="61" t="s">
        <v>81</v>
      </c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42</v>
      </c>
      <c r="K9" s="58" t="s">
        <v>47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>
        <v>200</v>
      </c>
      <c r="S9" s="62">
        <v>400</v>
      </c>
      <c r="T9" s="62">
        <v>450</v>
      </c>
      <c r="U9" s="62">
        <v>250</v>
      </c>
      <c r="V9" s="62">
        <v>200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41897</v>
      </c>
      <c r="AO9" s="61" t="s">
        <v>81</v>
      </c>
    </row>
    <row r="10" spans="1:46" ht="52.5" customHeight="1">
      <c r="A10" s="55">
        <v>3</v>
      </c>
      <c r="B10" s="56" t="s">
        <v>48</v>
      </c>
      <c r="D10" s="58">
        <v>3</v>
      </c>
      <c r="E10" s="59" t="s">
        <v>38</v>
      </c>
      <c r="F10" s="59" t="s">
        <v>39</v>
      </c>
      <c r="G10" s="59" t="s">
        <v>49</v>
      </c>
      <c r="H10" s="60"/>
      <c r="I10" s="61" t="s">
        <v>50</v>
      </c>
      <c r="J10" s="58" t="s">
        <v>51</v>
      </c>
      <c r="K10" s="58" t="s">
        <v>47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>
        <v>350</v>
      </c>
      <c r="S10" s="62">
        <v>450</v>
      </c>
      <c r="T10" s="62">
        <v>400</v>
      </c>
      <c r="U10" s="62">
        <v>300</v>
      </c>
      <c r="V10" s="109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1500</v>
      </c>
      <c r="AK10" s="64">
        <v>0</v>
      </c>
      <c r="AL10" s="65">
        <v>0</v>
      </c>
      <c r="AM10" s="66">
        <v>0</v>
      </c>
      <c r="AN10" s="66">
        <v>41897</v>
      </c>
      <c r="AO10" s="61" t="s">
        <v>81</v>
      </c>
    </row>
    <row r="11" spans="1:46" ht="52.5" customHeight="1">
      <c r="A11" s="55">
        <v>4</v>
      </c>
      <c r="B11" s="56" t="s">
        <v>52</v>
      </c>
      <c r="D11" s="58">
        <v>4</v>
      </c>
      <c r="E11" s="59" t="s">
        <v>38</v>
      </c>
      <c r="F11" s="59" t="s">
        <v>39</v>
      </c>
      <c r="G11" s="59" t="s">
        <v>49</v>
      </c>
      <c r="H11" s="60"/>
      <c r="I11" s="61" t="s">
        <v>53</v>
      </c>
      <c r="J11" s="58" t="s">
        <v>51</v>
      </c>
      <c r="K11" s="58" t="s">
        <v>54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>
        <v>350</v>
      </c>
      <c r="S11" s="62">
        <v>450</v>
      </c>
      <c r="T11" s="62">
        <v>400</v>
      </c>
      <c r="U11" s="62">
        <v>300</v>
      </c>
      <c r="V11" s="109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1500</v>
      </c>
      <c r="AK11" s="64">
        <v>0</v>
      </c>
      <c r="AL11" s="65">
        <v>0</v>
      </c>
      <c r="AM11" s="66">
        <v>0</v>
      </c>
      <c r="AN11" s="66">
        <v>41897</v>
      </c>
      <c r="AO11" s="61" t="s">
        <v>81</v>
      </c>
    </row>
    <row r="12" spans="1:46" ht="52.5" customHeight="1">
      <c r="A12" s="55">
        <v>5</v>
      </c>
      <c r="B12" s="56" t="s">
        <v>60</v>
      </c>
      <c r="D12" s="58">
        <v>5</v>
      </c>
      <c r="E12" s="59" t="s">
        <v>38</v>
      </c>
      <c r="F12" s="59" t="s">
        <v>39</v>
      </c>
      <c r="G12" s="59" t="s">
        <v>49</v>
      </c>
      <c r="H12" s="85"/>
      <c r="I12" s="61" t="s">
        <v>61</v>
      </c>
      <c r="J12" s="58" t="s">
        <v>51</v>
      </c>
      <c r="K12" s="58" t="s">
        <v>62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>
        <v>350</v>
      </c>
      <c r="S12" s="62">
        <v>450</v>
      </c>
      <c r="T12" s="62">
        <v>400</v>
      </c>
      <c r="U12" s="62">
        <v>300</v>
      </c>
      <c r="V12" s="109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1500</v>
      </c>
      <c r="AK12" s="64">
        <v>0</v>
      </c>
      <c r="AL12" s="65">
        <v>0</v>
      </c>
      <c r="AM12" s="66">
        <v>0</v>
      </c>
      <c r="AN12" s="66">
        <v>41897</v>
      </c>
      <c r="AO12" s="61" t="s">
        <v>81</v>
      </c>
    </row>
    <row r="13" spans="1:46" ht="52.5" customHeight="1">
      <c r="A13" s="55">
        <v>6</v>
      </c>
      <c r="B13" s="56" t="s">
        <v>55</v>
      </c>
      <c r="D13" s="58">
        <v>6</v>
      </c>
      <c r="E13" s="59" t="s">
        <v>38</v>
      </c>
      <c r="F13" s="59" t="s">
        <v>56</v>
      </c>
      <c r="G13" s="59" t="s">
        <v>49</v>
      </c>
      <c r="H13" s="68"/>
      <c r="I13" s="61" t="s">
        <v>57</v>
      </c>
      <c r="J13" s="58" t="s">
        <v>58</v>
      </c>
      <c r="K13" s="58" t="s">
        <v>43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>
        <v>250</v>
      </c>
      <c r="S13" s="62">
        <v>300</v>
      </c>
      <c r="T13" s="62">
        <v>250</v>
      </c>
      <c r="U13" s="62">
        <v>200</v>
      </c>
      <c r="V13" s="62">
        <v>200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1200</v>
      </c>
      <c r="AK13" s="64" t="s">
        <v>44</v>
      </c>
      <c r="AL13" s="65" t="s">
        <v>44</v>
      </c>
      <c r="AM13" s="66" t="s">
        <v>44</v>
      </c>
      <c r="AN13" s="66">
        <v>41897</v>
      </c>
      <c r="AO13" s="61" t="s">
        <v>81</v>
      </c>
    </row>
    <row r="14" spans="1:46" ht="52.5" customHeight="1">
      <c r="A14" s="55">
        <v>7</v>
      </c>
      <c r="B14" s="56" t="s">
        <v>63</v>
      </c>
      <c r="D14" s="58">
        <v>7</v>
      </c>
      <c r="E14" s="59" t="s">
        <v>38</v>
      </c>
      <c r="F14" s="59" t="s">
        <v>39</v>
      </c>
      <c r="G14" s="59" t="s">
        <v>40</v>
      </c>
      <c r="H14" s="87"/>
      <c r="I14" s="61" t="s">
        <v>64</v>
      </c>
      <c r="J14" s="58" t="s">
        <v>65</v>
      </c>
      <c r="K14" s="58" t="s">
        <v>43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>
        <v>200</v>
      </c>
      <c r="S14" s="62">
        <v>400</v>
      </c>
      <c r="T14" s="62">
        <v>450</v>
      </c>
      <c r="U14" s="62">
        <v>250</v>
      </c>
      <c r="V14" s="62">
        <v>200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1500</v>
      </c>
      <c r="AK14" s="64" t="s">
        <v>44</v>
      </c>
      <c r="AL14" s="65" t="s">
        <v>44</v>
      </c>
      <c r="AM14" s="66" t="s">
        <v>44</v>
      </c>
      <c r="AN14" s="66">
        <v>41897</v>
      </c>
      <c r="AO14" s="61" t="s">
        <v>81</v>
      </c>
    </row>
    <row r="15" spans="1:46" ht="52.5" customHeight="1">
      <c r="A15" s="55">
        <v>8</v>
      </c>
      <c r="B15" s="56" t="s">
        <v>66</v>
      </c>
      <c r="D15" s="102">
        <v>8</v>
      </c>
      <c r="E15" s="103" t="s">
        <v>38</v>
      </c>
      <c r="F15" s="103" t="s">
        <v>39</v>
      </c>
      <c r="G15" s="103" t="s">
        <v>40</v>
      </c>
      <c r="H15" s="104"/>
      <c r="I15" s="105" t="s">
        <v>67</v>
      </c>
      <c r="J15" s="102" t="s">
        <v>65</v>
      </c>
      <c r="K15" s="102" t="s">
        <v>62</v>
      </c>
      <c r="L15" s="86" t="s">
        <v>44</v>
      </c>
      <c r="M15" s="86" t="s">
        <v>44</v>
      </c>
      <c r="N15" s="86" t="s">
        <v>44</v>
      </c>
      <c r="O15" s="86" t="s">
        <v>44</v>
      </c>
      <c r="P15" s="86" t="s">
        <v>44</v>
      </c>
      <c r="Q15" s="86" t="s">
        <v>44</v>
      </c>
      <c r="R15" s="86"/>
      <c r="S15" s="86"/>
      <c r="T15" s="86"/>
      <c r="U15" s="86"/>
      <c r="V15" s="86"/>
      <c r="W15" s="86" t="s">
        <v>44</v>
      </c>
      <c r="X15" s="86" t="s">
        <v>44</v>
      </c>
      <c r="Y15" s="86" t="s">
        <v>44</v>
      </c>
      <c r="Z15" s="86" t="s">
        <v>44</v>
      </c>
      <c r="AA15" s="86" t="s">
        <v>44</v>
      </c>
      <c r="AB15" s="86" t="s">
        <v>44</v>
      </c>
      <c r="AC15" s="86" t="s">
        <v>44</v>
      </c>
      <c r="AD15" s="86" t="s">
        <v>44</v>
      </c>
      <c r="AE15" s="86" t="s">
        <v>44</v>
      </c>
      <c r="AF15" s="86" t="s">
        <v>44</v>
      </c>
      <c r="AG15" s="86" t="s">
        <v>44</v>
      </c>
      <c r="AH15" s="86" t="s">
        <v>44</v>
      </c>
      <c r="AI15" s="86" t="s">
        <v>44</v>
      </c>
      <c r="AJ15" s="86">
        <f t="shared" si="0"/>
        <v>0</v>
      </c>
      <c r="AK15" s="106" t="s">
        <v>44</v>
      </c>
      <c r="AL15" s="107" t="s">
        <v>44</v>
      </c>
      <c r="AM15" s="108" t="s">
        <v>44</v>
      </c>
      <c r="AN15" s="108">
        <v>41897</v>
      </c>
      <c r="AO15" s="105" t="s">
        <v>77</v>
      </c>
    </row>
    <row r="16" spans="1:46" ht="52.5" customHeight="1">
      <c r="A16" s="55">
        <v>8</v>
      </c>
      <c r="B16" s="56" t="s">
        <v>68</v>
      </c>
      <c r="D16" s="58">
        <v>8</v>
      </c>
      <c r="E16" s="59" t="s">
        <v>38</v>
      </c>
      <c r="F16" s="59" t="s">
        <v>39</v>
      </c>
      <c r="G16" s="59" t="s">
        <v>49</v>
      </c>
      <c r="H16" s="60"/>
      <c r="I16" s="61" t="s">
        <v>78</v>
      </c>
      <c r="J16" s="58" t="s">
        <v>70</v>
      </c>
      <c r="K16" s="58" t="s">
        <v>71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>
        <v>350</v>
      </c>
      <c r="S16" s="62">
        <v>450</v>
      </c>
      <c r="T16" s="62">
        <v>400</v>
      </c>
      <c r="U16" s="62">
        <v>300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1500</v>
      </c>
      <c r="AK16" s="64" t="s">
        <v>44</v>
      </c>
      <c r="AL16" s="65" t="s">
        <v>44</v>
      </c>
      <c r="AM16" s="66" t="s">
        <v>44</v>
      </c>
      <c r="AN16" s="66">
        <v>41897</v>
      </c>
      <c r="AO16" s="61" t="s">
        <v>81</v>
      </c>
    </row>
    <row r="17" spans="1:41" ht="52.5" customHeight="1">
      <c r="A17" s="55">
        <v>9</v>
      </c>
      <c r="B17" s="56" t="s">
        <v>72</v>
      </c>
      <c r="D17" s="58">
        <v>9</v>
      </c>
      <c r="E17" s="59" t="s">
        <v>38</v>
      </c>
      <c r="F17" s="59" t="s">
        <v>39</v>
      </c>
      <c r="G17" s="59" t="s">
        <v>49</v>
      </c>
      <c r="H17" s="87"/>
      <c r="I17" s="61" t="s">
        <v>69</v>
      </c>
      <c r="J17" s="58" t="s">
        <v>70</v>
      </c>
      <c r="K17" s="58" t="s">
        <v>73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>
        <v>350</v>
      </c>
      <c r="S17" s="62">
        <v>450</v>
      </c>
      <c r="T17" s="62">
        <v>400</v>
      </c>
      <c r="U17" s="62">
        <v>300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1500</v>
      </c>
      <c r="AK17" s="64" t="s">
        <v>44</v>
      </c>
      <c r="AL17" s="65" t="s">
        <v>44</v>
      </c>
      <c r="AM17" s="66" t="s">
        <v>44</v>
      </c>
      <c r="AN17" s="66">
        <v>41897</v>
      </c>
      <c r="AO17" s="61" t="s">
        <v>81</v>
      </c>
    </row>
    <row r="18" spans="1:41" ht="52.5" customHeight="1">
      <c r="A18" s="55">
        <v>10</v>
      </c>
      <c r="B18" s="56" t="s">
        <v>74</v>
      </c>
      <c r="D18" s="58">
        <v>10</v>
      </c>
      <c r="E18" s="59" t="s">
        <v>38</v>
      </c>
      <c r="F18" s="59" t="s">
        <v>75</v>
      </c>
      <c r="G18" s="59" t="s">
        <v>49</v>
      </c>
      <c r="H18" s="60"/>
      <c r="I18" s="61" t="s">
        <v>76</v>
      </c>
      <c r="J18" s="58" t="s">
        <v>79</v>
      </c>
      <c r="K18" s="58" t="s">
        <v>47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>
        <v>200</v>
      </c>
      <c r="S18" s="62">
        <v>300</v>
      </c>
      <c r="T18" s="62">
        <v>300</v>
      </c>
      <c r="U18" s="62">
        <v>200</v>
      </c>
      <c r="V18" s="62"/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1000</v>
      </c>
      <c r="AK18" s="64" t="s">
        <v>44</v>
      </c>
      <c r="AL18" s="65" t="s">
        <v>44</v>
      </c>
      <c r="AM18" s="66" t="s">
        <v>44</v>
      </c>
      <c r="AN18" s="66">
        <v>41897</v>
      </c>
      <c r="AO18" s="61" t="s">
        <v>81</v>
      </c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4" t="s">
        <v>32</v>
      </c>
      <c r="E77" s="94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2800</v>
      </c>
      <c r="S77" s="78">
        <f>SUM(S8:S76)</f>
        <v>4050</v>
      </c>
      <c r="T77" s="78">
        <f t="shared" si="3"/>
        <v>3900</v>
      </c>
      <c r="U77" s="78">
        <f t="shared" si="3"/>
        <v>2650</v>
      </c>
      <c r="V77" s="78">
        <f t="shared" si="3"/>
        <v>800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14200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 H68:H76 H18:H29">
    <cfRule type="expression" dxfId="14" priority="20" stopIfTrue="1">
      <formula>$H13="TTL"</formula>
    </cfRule>
  </conditionalFormatting>
  <conditionalFormatting sqref="H28">
    <cfRule type="expression" dxfId="13" priority="19" stopIfTrue="1">
      <formula>$H28="TTL"</formula>
    </cfRule>
  </conditionalFormatting>
  <conditionalFormatting sqref="H13 H18:H29">
    <cfRule type="expression" dxfId="12" priority="18" stopIfTrue="1">
      <formula>$H13="TTL"</formula>
    </cfRule>
  </conditionalFormatting>
  <conditionalFormatting sqref="H28">
    <cfRule type="expression" dxfId="11" priority="17" stopIfTrue="1">
      <formula>$H28="TTL"</formula>
    </cfRule>
  </conditionalFormatting>
  <conditionalFormatting sqref="H13 H18:H30">
    <cfRule type="expression" dxfId="10" priority="16" stopIfTrue="1">
      <formula>$H13="TTL"</formula>
    </cfRule>
  </conditionalFormatting>
  <conditionalFormatting sqref="H13 H18">
    <cfRule type="expression" dxfId="9" priority="14" stopIfTrue="1">
      <formula>$H13="TTL"</formula>
    </cfRule>
  </conditionalFormatting>
  <conditionalFormatting sqref="H13">
    <cfRule type="expression" dxfId="8" priority="13" stopIfTrue="1">
      <formula>$H13="TTL"</formula>
    </cfRule>
  </conditionalFormatting>
  <conditionalFormatting sqref="H13">
    <cfRule type="expression" dxfId="7" priority="12" stopIfTrue="1">
      <formula>$H13="TTL"</formula>
    </cfRule>
  </conditionalFormatting>
  <conditionalFormatting sqref="H13 H18:H32">
    <cfRule type="expression" dxfId="6" priority="11" stopIfTrue="1">
      <formula>$H13="TTL"</formula>
    </cfRule>
  </conditionalFormatting>
  <conditionalFormatting sqref="H13">
    <cfRule type="expression" dxfId="5" priority="10" stopIfTrue="1">
      <formula>$H13="TTL"</formula>
    </cfRule>
  </conditionalFormatting>
  <conditionalFormatting sqref="H13">
    <cfRule type="expression" dxfId="4" priority="6" stopIfTrue="1">
      <formula>$H13="TTL"</formula>
    </cfRule>
  </conditionalFormatting>
  <conditionalFormatting sqref="H8:H11">
    <cfRule type="expression" dxfId="3" priority="4">
      <formula>$I8="TTL"</formula>
    </cfRule>
  </conditionalFormatting>
  <conditionalFormatting sqref="H12">
    <cfRule type="expression" dxfId="2" priority="3">
      <formula>$I12="TTL"</formula>
    </cfRule>
  </conditionalFormatting>
  <conditionalFormatting sqref="H14:H15">
    <cfRule type="expression" dxfId="1" priority="2">
      <formula>$I14="TTL"</formula>
    </cfRule>
  </conditionalFormatting>
  <conditionalFormatting sqref="H16:H17">
    <cfRule type="expression" dxfId="0" priority="1">
      <formula>$I16="TTL"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2014-04-08T01:42:04Z</dcterms:created>
  <dcterms:modified xsi:type="dcterms:W3CDTF">2014-05-16T06:09:19Z</dcterms:modified>
</cp:coreProperties>
</file>