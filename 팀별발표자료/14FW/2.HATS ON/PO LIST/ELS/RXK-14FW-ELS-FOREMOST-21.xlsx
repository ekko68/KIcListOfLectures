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<sst xmlns="http://schemas.openxmlformats.org/spreadsheetml/2006/main" count="2435" uniqueCount="61">
  <si>
    <t>PURCHASE ORDER LIST</t>
    <phoneticPr fontId="4" type="noConversion"/>
  </si>
  <si>
    <t>PO#</t>
    <phoneticPr fontId="4" type="noConversion"/>
  </si>
  <si>
    <t>RXK-14FW-ELS-FOREMOST-21</t>
    <phoneticPr fontId="4" type="noConversion"/>
  </si>
  <si>
    <t>ELS-FOREMOST-21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</si>
  <si>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</si>
  <si>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</si>
  <si>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</si>
  <si>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</si>
  <si>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</si>
  <si>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</si>
  <si>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</si>
  <si>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</si>
  <si>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</si>
  <si>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</si>
  <si>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</si>
  <si>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</si>
  <si>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</si>
  <si>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</si>
  <si>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</si>
  <si>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</si>
  <si>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</si>
  <si>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</si>
  <si>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</si>
  <si>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</si>
  <si>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</si>
  <si>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</si>
  <si>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</si>
  <si>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</si>
  <si>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</si>
  <si>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</si>
  <si>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</si>
  <si>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</si>
  <si>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</si>
  <si>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</si>
  <si>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</si>
  <si>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</si>
  <si>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</si>
  <si>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</si>
  <si>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ELSTPF5515RED</t>
  </si>
  <si>
    <t>ELSTINKO</t>
  </si>
  <si>
    <t>TROOPER</t>
  </si>
  <si>
    <t>K</t>
  </si>
  <si>
    <t>14FW ELS 40_TROOPER_RD_KIDS</t>
  </si>
  <si>
    <t>ELSTPF5515</t>
  </si>
  <si>
    <t>RED</t>
  </si>
  <si>
    <t/>
  </si>
  <si>
    <t>ELSEDF5522YELLOW</t>
  </si>
  <si>
    <t>MITTEN</t>
  </si>
  <si>
    <t>14FW ELS_32_SKI GLOBE_YE_KIDS</t>
  </si>
  <si>
    <t>ELSEDF5522</t>
  </si>
  <si>
    <t>YELLOW</t>
  </si>
  <si>
    <t>ELSEDF5523BLACK</t>
  </si>
  <si>
    <t>14FW ELS_33_SKI GLOBE_BK_KIDS</t>
  </si>
  <si>
    <t>ELSEDF5523</t>
  </si>
  <si>
    <t>BLACK</t>
  </si>
  <si>
    <t>ELSEDF5524PINK</t>
  </si>
  <si>
    <t>14FW ELS_72_SKI GLOBE_PK_KIDS</t>
  </si>
  <si>
    <t>ELSEDF5524</t>
  </si>
  <si>
    <t>PINK</t>
  </si>
  <si>
    <t>FW</t>
  </si>
  <si>
    <t>OSM: 3세~5세
OML: 5세~9세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</si>
</sst>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204105</xdr:colOff>
      <xdr:row>7</xdr:row>
      <xdr:rowOff>68035</xdr:rowOff>
    </xdr:from>
    <xdr:to>
      <xdr:col>7</xdr:col>
      <xdr:colOff>591393</xdr:colOff>
      <xdr:row>7</xdr:row>
      <xdr:rowOff>608035</xdr:rowOff>
    </xdr:to>
    <xdr:pic>
      <xdr:nvPicPr>
        <xdr:cNvPr id="2" name="그림 1" descr="4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4230" y="563795635"/>
          <a:ext cx="387288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122464</xdr:rowOff>
    </xdr:from>
    <xdr:to>
      <xdr:col>7</xdr:col>
      <xdr:colOff>662463</xdr:colOff>
      <xdr:row>8</xdr:row>
      <xdr:rowOff>557141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564516814"/>
          <a:ext cx="540000" cy="434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122464</xdr:rowOff>
    </xdr:from>
    <xdr:to>
      <xdr:col>7</xdr:col>
      <xdr:colOff>662463</xdr:colOff>
      <xdr:row>9</xdr:row>
      <xdr:rowOff>608029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566517064"/>
          <a:ext cx="540000" cy="485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122464</xdr:rowOff>
    </xdr:from>
    <xdr:to>
      <xdr:col>7</xdr:col>
      <xdr:colOff>662463</xdr:colOff>
      <xdr:row>10</xdr:row>
      <xdr:rowOff>525319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567183814"/>
          <a:ext cx="540000" cy="402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O88" sqref="AO88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41907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47</v>
      </c>
      <c r="G9" s="72" t="s">
        <v>41</v>
      </c>
      <c r="H9" s="99"/>
      <c r="I9" s="74" t="s">
        <v>48</v>
      </c>
      <c r="J9" s="71" t="s">
        <v>49</v>
      </c>
      <c r="K9" s="71" t="s">
        <v>50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400</v>
      </c>
      <c r="AH9" s="75">
        <v>400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41907</v>
      </c>
      <c r="AO9" s="74" t="s">
        <v>60</v>
      </c>
    </row>
    <row r="10" spans="1:46" ht="52.5" customHeight="1">
      <c r="A10" s="68">
        <v>3</v>
      </c>
      <c r="B10" s="69" t="s">
        <v>51</v>
      </c>
      <c r="D10" s="71">
        <v>3</v>
      </c>
      <c r="E10" s="72" t="s">
        <v>39</v>
      </c>
      <c r="F10" s="72" t="s">
        <v>47</v>
      </c>
      <c r="G10" s="72" t="s">
        <v>41</v>
      </c>
      <c r="H10" s="73"/>
      <c r="I10" s="74" t="s">
        <v>52</v>
      </c>
      <c r="J10" s="71" t="s">
        <v>53</v>
      </c>
      <c r="K10" s="71" t="s">
        <v>54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>
        <v>400</v>
      </c>
      <c r="AH10" s="75">
        <v>400</v>
      </c>
      <c r="AI10" s="75" t="s">
        <v>45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41907</v>
      </c>
      <c r="AO10" s="74" t="s">
        <v>60</v>
      </c>
    </row>
    <row r="11" spans="1:46" ht="52.5" customHeight="1">
      <c r="A11" s="68">
        <v>4</v>
      </c>
      <c r="B11" s="69" t="s">
        <v>55</v>
      </c>
      <c r="D11" s="71">
        <v>4</v>
      </c>
      <c r="E11" s="72" t="s">
        <v>39</v>
      </c>
      <c r="F11" s="72" t="s">
        <v>47</v>
      </c>
      <c r="G11" s="72" t="s">
        <v>41</v>
      </c>
      <c r="H11" s="73"/>
      <c r="I11" s="74" t="s">
        <v>56</v>
      </c>
      <c r="J11" s="71" t="s">
        <v>57</v>
      </c>
      <c r="K11" s="71" t="s">
        <v>58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>
        <v>400</v>
      </c>
      <c r="AH11" s="75">
        <v>400</v>
      </c>
      <c r="AI11" s="75" t="s">
        <v>45</v>
      </c>
      <c r="AJ11" s="76">
        <f t="shared" si="0"/>
        <v>800</v>
      </c>
      <c r="AK11" s="77">
        <v>0</v>
      </c>
      <c r="AL11" s="78">
        <v>0</v>
      </c>
      <c r="AM11" s="79">
        <v>0</v>
      </c>
      <c r="AN11" s="79">
        <v>41907</v>
      </c>
      <c r="AO11" s="74" t="s">
        <v>60</v>
      </c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1000</v>
      </c>
      <c r="AF77" s="92">
        <f t="shared" ref="AF77" si="6">SUM(AF8:AF76)</f>
        <v>0</v>
      </c>
      <c r="AG77" s="92">
        <f t="shared" si="3"/>
        <v>1200</v>
      </c>
      <c r="AH77" s="92">
        <f t="shared" si="3"/>
        <v>1200</v>
      </c>
      <c r="AI77" s="92">
        <f t="shared" si="3"/>
        <v>0</v>
      </c>
      <c r="AJ77" s="92">
        <f>SUM(AJ8:AJ76)</f>
        <v>3400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8" stopIfTrue="1">
      <formula>$H12="TTL"</formula>
    </cfRule>
  </conditionalFormatting>
  <conditionalFormatting sqref="H28">
    <cfRule type="expression" dxfId="16" priority="17" stopIfTrue="1">
      <formula>$H28="TTL"</formula>
    </cfRule>
  </conditionalFormatting>
  <conditionalFormatting sqref="H12:H29">
    <cfRule type="expression" dxfId="15" priority="16" stopIfTrue="1">
      <formula>$H12="TTL"</formula>
    </cfRule>
  </conditionalFormatting>
  <conditionalFormatting sqref="H28">
    <cfRule type="expression" dxfId="14" priority="15" stopIfTrue="1">
      <formula>$H28="TTL"</formula>
    </cfRule>
  </conditionalFormatting>
  <conditionalFormatting sqref="H12:H30">
    <cfRule type="expression" dxfId="13" priority="14" stopIfTrue="1">
      <formula>$H12="TTL"</formula>
    </cfRule>
  </conditionalFormatting>
  <conditionalFormatting sqref="H12:H18">
    <cfRule type="expression" dxfId="11" priority="12" stopIfTrue="1">
      <formula>$H12="TTL"</formula>
    </cfRule>
  </conditionalFormatting>
  <conditionalFormatting sqref="H12:H14">
    <cfRule type="expression" dxfId="10" priority="11" stopIfTrue="1">
      <formula>$H12="TTL"</formula>
    </cfRule>
  </conditionalFormatting>
  <conditionalFormatting sqref="H12:H15">
    <cfRule type="expression" dxfId="9" priority="10" stopIfTrue="1">
      <formula>$H12="TTL"</formula>
    </cfRule>
  </conditionalFormatting>
  <conditionalFormatting sqref="H12:H32">
    <cfRule type="expression" dxfId="8" priority="9" stopIfTrue="1">
      <formula>$H12="TTL"</formula>
    </cfRule>
  </conditionalFormatting>
  <conditionalFormatting sqref="H12:H15">
    <cfRule type="expression" dxfId="7" priority="8" stopIfTrue="1">
      <formula>$H12="TTL"</formula>
    </cfRule>
  </conditionalFormatting>
  <conditionalFormatting sqref="H12">
    <cfRule type="expression" dxfId="5" priority="6" stopIfTrue="1">
      <formula>$H12="TTL"</formula>
    </cfRule>
  </conditionalFormatting>
  <conditionalFormatting sqref="H12:H14">
    <cfRule type="expression" dxfId="3" priority="4" stopIfTrue="1">
      <formula>$H12="TTL"</formula>
    </cfRule>
  </conditionalFormatting>
  <conditionalFormatting sqref="H12">
    <cfRule type="expression" dxfId="2" priority="3" stopIfTrue="1">
      <formula>$I12="TTL"</formula>
    </cfRule>
  </conditionalFormatting>
  <conditionalFormatting sqref="H8:H11">
    <cfRule type="expression" dxfId="1" priority="2">
      <formula>$I8="TTL"</formula>
    </cfRule>
  </conditionalFormatting>
  <conditionalFormatting sqref="H10:H11">
    <cfRule type="expression" dxfId="0" priority="1" stopIfTrue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2014-04-21T05:36:10Z</cp:lastPrinted>
  <dcterms:created xsi:type="dcterms:W3CDTF">2014-04-21T05:31:56Z</dcterms:created>
  <dcterms:modified xsi:type="dcterms:W3CDTF">2014-04-21T06:50:58Z</dcterms:modified>
</cp:coreProperties>
</file>