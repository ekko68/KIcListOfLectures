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<sst xmlns="http://schemas.openxmlformats.org/spreadsheetml/2006/main" count="2427" uniqueCount="65">
  <si>
    <t>PURCHASE ORDER LIST</t>
    <phoneticPr fontId="4" type="noConversion"/>
  </si>
  <si>
    <t>PO#</t>
    <phoneticPr fontId="4" type="noConversion"/>
  </si>
  <si>
    <t>ELS-동일모자-05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</si>
  <si>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</si>
  <si>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</si>
  <si>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</si>
  <si>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</si>
  <si>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</si>
  <si>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</si>
  <si>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</si>
  <si>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</si>
  <si>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</si>
  <si>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</si>
  <si>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</si>
  <si>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</si>
  <si>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</si>
  <si>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</si>
  <si>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</si>
  <si>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</si>
  <si>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</si>
  <si>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</si>
  <si>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</si>
  <si>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</si>
  <si>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</si>
  <si>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</si>
  <si>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</si>
  <si>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</si>
  <si>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</si>
  <si>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</si>
  <si>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</si>
  <si>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</si>
  <si>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</si>
  <si>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</si>
  <si>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</si>
  <si>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</si>
  <si>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</si>
  <si>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</si>
  <si>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ELSSNF5004NAVY</t>
  </si>
  <si>
    <t>ELSTINKO</t>
  </si>
  <si>
    <t>SNAPBACK</t>
  </si>
  <si>
    <t>U</t>
  </si>
  <si>
    <t>14FW ELS_09_SNAP_NV</t>
  </si>
  <si>
    <t>ELSSNF5004</t>
  </si>
  <si>
    <t>NAVY</t>
  </si>
  <si>
    <t/>
  </si>
  <si>
    <t>ELSSNF3005GREY</t>
  </si>
  <si>
    <t>14FW ELS_11_SNAP_GY</t>
  </si>
  <si>
    <t>ELSSNF3005</t>
  </si>
  <si>
    <t>GREY</t>
  </si>
  <si>
    <t>ELSBAF5506GREEN</t>
  </si>
  <si>
    <t>BASIC CAP</t>
  </si>
  <si>
    <t>K</t>
  </si>
  <si>
    <t>14FW ELS_53_SNAP_GR_KIDS</t>
  </si>
  <si>
    <t>ELSBAF5506</t>
  </si>
  <si>
    <t>GREEN</t>
  </si>
  <si>
    <t>ELSBAF5507RED</t>
  </si>
  <si>
    <t>14FW ELS_52_SNAP_RD_KIDS</t>
  </si>
  <si>
    <t>ELSBAF5507</t>
  </si>
  <si>
    <t>RED</t>
  </si>
  <si>
    <t>ELSBAF5508PINK</t>
  </si>
  <si>
    <t>14FW ELS_52_SNAP_PK_KIDS</t>
  </si>
  <si>
    <t>ELSBAF5508</t>
  </si>
  <si>
    <t>PINK</t>
  </si>
  <si>
    <t>FW</t>
  </si>
  <si>
    <t>RXK-14FW-ELS-동일모자-05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</si>
</sst>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3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571378</xdr:rowOff>
    </xdr:to>
    <xdr:pic>
      <xdr:nvPicPr>
        <xdr:cNvPr id="2" name="그림 1" descr="DSFDF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76454706"/>
          <a:ext cx="540000" cy="46252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535794</xdr:rowOff>
    </xdr:to>
    <xdr:pic>
      <xdr:nvPicPr>
        <xdr:cNvPr id="3" name="그림 2" descr="SDSD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77121456"/>
          <a:ext cx="540000" cy="426938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554356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77788206"/>
          <a:ext cx="540000" cy="44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563167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79788456"/>
          <a:ext cx="540000" cy="4543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11</xdr:row>
      <xdr:rowOff>108856</xdr:rowOff>
    </xdr:from>
    <xdr:to>
      <xdr:col>7</xdr:col>
      <xdr:colOff>648856</xdr:colOff>
      <xdr:row>11</xdr:row>
      <xdr:rowOff>568456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18981" y="180455206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R7" sqref="AR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64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41736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14</v>
      </c>
      <c r="AL6" s="94"/>
      <c r="AM6" s="95" t="s">
        <v>15</v>
      </c>
      <c r="AN6" s="95"/>
      <c r="AO6" s="86" t="s">
        <v>16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7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85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>
        <v>1200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41844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>
        <v>1200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41844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38</v>
      </c>
      <c r="F10" s="59" t="s">
        <v>50</v>
      </c>
      <c r="G10" s="59" t="s">
        <v>51</v>
      </c>
      <c r="H10" s="60"/>
      <c r="I10" s="61" t="s">
        <v>52</v>
      </c>
      <c r="J10" s="58" t="s">
        <v>53</v>
      </c>
      <c r="K10" s="58" t="s">
        <v>54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>
        <v>1000</v>
      </c>
      <c r="AH10" s="62">
        <v>500</v>
      </c>
      <c r="AI10" s="62" t="s">
        <v>44</v>
      </c>
      <c r="AJ10" s="63">
        <f t="shared" si="0"/>
        <v>1500</v>
      </c>
      <c r="AK10" s="64">
        <v>0</v>
      </c>
      <c r="AL10" s="65">
        <v>0</v>
      </c>
      <c r="AM10" s="66">
        <v>0</v>
      </c>
      <c r="AN10" s="66">
        <v>41844</v>
      </c>
      <c r="AO10" s="61"/>
    </row>
    <row r="11" spans="1:46" ht="52.5" customHeight="1">
      <c r="A11" s="55">
        <v>4</v>
      </c>
      <c r="B11" s="56" t="s">
        <v>55</v>
      </c>
      <c r="D11" s="58">
        <v>4</v>
      </c>
      <c r="E11" s="59" t="s">
        <v>38</v>
      </c>
      <c r="F11" s="59" t="s">
        <v>50</v>
      </c>
      <c r="G11" s="59" t="s">
        <v>51</v>
      </c>
      <c r="H11" s="60"/>
      <c r="I11" s="61" t="s">
        <v>56</v>
      </c>
      <c r="J11" s="58" t="s">
        <v>57</v>
      </c>
      <c r="K11" s="58" t="s">
        <v>58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>
        <v>1000</v>
      </c>
      <c r="AH11" s="62">
        <v>500</v>
      </c>
      <c r="AI11" s="62" t="s">
        <v>44</v>
      </c>
      <c r="AJ11" s="63">
        <f t="shared" si="0"/>
        <v>1500</v>
      </c>
      <c r="AK11" s="64">
        <v>0</v>
      </c>
      <c r="AL11" s="65">
        <v>0</v>
      </c>
      <c r="AM11" s="66">
        <v>0</v>
      </c>
      <c r="AN11" s="66">
        <v>41844</v>
      </c>
      <c r="AO11" s="61"/>
    </row>
    <row r="12" spans="1:46" ht="52.5" customHeight="1">
      <c r="A12" s="55">
        <v>5</v>
      </c>
      <c r="B12" s="56" t="s">
        <v>59</v>
      </c>
      <c r="D12" s="58">
        <v>5</v>
      </c>
      <c r="E12" s="59" t="s">
        <v>38</v>
      </c>
      <c r="F12" s="59" t="s">
        <v>50</v>
      </c>
      <c r="G12" s="59" t="s">
        <v>51</v>
      </c>
      <c r="H12" s="60"/>
      <c r="I12" s="61" t="s">
        <v>60</v>
      </c>
      <c r="J12" s="58" t="s">
        <v>61</v>
      </c>
      <c r="K12" s="58" t="s">
        <v>62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>
        <v>1000</v>
      </c>
      <c r="AH12" s="62">
        <v>500</v>
      </c>
      <c r="AI12" s="62" t="s">
        <v>44</v>
      </c>
      <c r="AJ12" s="63">
        <f t="shared" si="0"/>
        <v>1500</v>
      </c>
      <c r="AK12" s="64">
        <v>0</v>
      </c>
      <c r="AL12" s="65">
        <v>0</v>
      </c>
      <c r="AM12" s="66">
        <v>0</v>
      </c>
      <c r="AN12" s="66">
        <v>41844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32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2400</v>
      </c>
      <c r="AF77" s="78">
        <f t="shared" ref="AF77" si="6">SUM(AF8:AF76)</f>
        <v>0</v>
      </c>
      <c r="AG77" s="78">
        <f t="shared" si="3"/>
        <v>3000</v>
      </c>
      <c r="AH77" s="78">
        <f t="shared" si="3"/>
        <v>1500</v>
      </c>
      <c r="AI77" s="78">
        <f t="shared" si="3"/>
        <v>0</v>
      </c>
      <c r="AJ77" s="78">
        <f>SUM(AJ8:AJ76)</f>
        <v>6900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3:H29 H68:H76">
    <cfRule type="expression" dxfId="12" priority="18" stopIfTrue="1">
      <formula>$H13="TTL"</formula>
    </cfRule>
  </conditionalFormatting>
  <conditionalFormatting sqref="H28">
    <cfRule type="expression" dxfId="11" priority="17" stopIfTrue="1">
      <formula>$H28="TTL"</formula>
    </cfRule>
  </conditionalFormatting>
  <conditionalFormatting sqref="H13:H29">
    <cfRule type="expression" dxfId="10" priority="16" stopIfTrue="1">
      <formula>$H13="TTL"</formula>
    </cfRule>
  </conditionalFormatting>
  <conditionalFormatting sqref="H28">
    <cfRule type="expression" dxfId="9" priority="15" stopIfTrue="1">
      <formula>$H28="TTL"</formula>
    </cfRule>
  </conditionalFormatting>
  <conditionalFormatting sqref="H13:H30">
    <cfRule type="expression" dxfId="8" priority="14" stopIfTrue="1">
      <formula>$H13="TTL"</formula>
    </cfRule>
  </conditionalFormatting>
  <conditionalFormatting sqref="H13:H18">
    <cfRule type="expression" dxfId="7" priority="12" stopIfTrue="1">
      <formula>$H13="TTL"</formula>
    </cfRule>
  </conditionalFormatting>
  <conditionalFormatting sqref="H13:H14">
    <cfRule type="expression" dxfId="6" priority="11" stopIfTrue="1">
      <formula>$H13="TTL"</formula>
    </cfRule>
  </conditionalFormatting>
  <conditionalFormatting sqref="H13:H15">
    <cfRule type="expression" dxfId="5" priority="10" stopIfTrue="1">
      <formula>$H13="TTL"</formula>
    </cfRule>
  </conditionalFormatting>
  <conditionalFormatting sqref="H13:H32">
    <cfRule type="expression" dxfId="4" priority="9" stopIfTrue="1">
      <formula>$H13="TTL"</formula>
    </cfRule>
  </conditionalFormatting>
  <conditionalFormatting sqref="H13:H15">
    <cfRule type="expression" dxfId="3" priority="8" stopIfTrue="1">
      <formula>$H13="TTL"</formula>
    </cfRule>
  </conditionalFormatting>
  <conditionalFormatting sqref="H13:H14">
    <cfRule type="expression" dxfId="2" priority="4" stopIfTrue="1">
      <formula>$H13="TTL"</formula>
    </cfRule>
  </conditionalFormatting>
  <conditionalFormatting sqref="H8:H10">
    <cfRule type="expression" dxfId="1" priority="2">
      <formula>$I8="TTL"</formula>
    </cfRule>
  </conditionalFormatting>
  <conditionalFormatting sqref="H11:H12">
    <cfRule type="expression" dxfId="0" priority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2014-04-04T10:58:47Z</cp:lastPrinted>
  <dcterms:created xsi:type="dcterms:W3CDTF">2014-04-04T10:40:34Z</dcterms:created>
  <dcterms:modified xsi:type="dcterms:W3CDTF">2014-04-07T02:13:18Z</dcterms:modified>
</cp:coreProperties>
</file>