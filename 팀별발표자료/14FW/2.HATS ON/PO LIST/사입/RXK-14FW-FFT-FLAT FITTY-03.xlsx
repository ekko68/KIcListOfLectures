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<sst xmlns="http://schemas.openxmlformats.org/spreadsheetml/2006/main" count="2410" uniqueCount="72">
  <si>
    <t>PURCHASE ORDER LIST</t>
    <phoneticPr fontId="4" type="noConversion"/>
  </si>
  <si>
    <t>PO#</t>
    <phoneticPr fontId="4" type="noConversion"/>
  </si>
  <si>
    <t>RXK-14FW-FFT-FLAT FITTY-03</t>
    <phoneticPr fontId="4" type="noConversion"/>
  </si>
  <si>
    <t>FFT-FLAT FITTY-03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</si>
  <si>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</si>
  <si>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</si>
  <si>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</si>
  <si>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</si>
  <si>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</si>
  <si>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</si>
  <si>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</si>
  <si>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</si>
  <si>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</si>
  <si>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</si>
  <si>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</si>
  <si>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</si>
  <si>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</si>
  <si>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</si>
  <si>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</si>
  <si>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</si>
  <si>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</si>
  <si>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</si>
  <si>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</si>
  <si>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</si>
  <si>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</si>
  <si>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</si>
  <si>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</si>
  <si>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</si>
  <si>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</si>
  <si>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</si>
  <si>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</si>
  <si>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</si>
  <si>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</si>
  <si>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</si>
  <si>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</si>
  <si>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</si>
  <si>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</si>
  <si>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</si>
  <si>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FFTFAF3014BLACK</t>
  </si>
  <si>
    <t>FLAT FITTY</t>
  </si>
  <si>
    <t>FASHION HAT</t>
  </si>
  <si>
    <t>U</t>
  </si>
  <si>
    <t>BURC307</t>
  </si>
  <si>
    <t>FFTFAF3014</t>
  </si>
  <si>
    <t>BLACK</t>
  </si>
  <si>
    <t/>
  </si>
  <si>
    <t>FFTFAF3015BEIGE</t>
  </si>
  <si>
    <t>BURC311</t>
  </si>
  <si>
    <t>FFTFAF3015</t>
  </si>
  <si>
    <t>BEIGE</t>
  </si>
  <si>
    <t>FFTFAF3016BLACK</t>
  </si>
  <si>
    <t>SM14-8001</t>
  </si>
  <si>
    <t>FFTFAF3016</t>
  </si>
  <si>
    <t>FFTFAF3017GREY</t>
  </si>
  <si>
    <t>SM14-8002</t>
  </si>
  <si>
    <t>FFTFAF3017</t>
  </si>
  <si>
    <t>GREY</t>
  </si>
  <si>
    <t>FFTFAF3018GREY</t>
  </si>
  <si>
    <t>SP14-8000</t>
  </si>
  <si>
    <t>FFTFAF3018</t>
  </si>
  <si>
    <t>FFTFAF3019BLUE</t>
  </si>
  <si>
    <t>SP14-8005</t>
  </si>
  <si>
    <t>FFTFAF3019</t>
  </si>
  <si>
    <t>BLUE</t>
  </si>
  <si>
    <t>FFTFAF3020KHAKI</t>
  </si>
  <si>
    <t>SP14-8006</t>
  </si>
  <si>
    <t>FFTFAF3020</t>
  </si>
  <si>
    <t>KHAKI</t>
  </si>
  <si>
    <t>FFTFAF3021BLACK</t>
  </si>
  <si>
    <t>W13-5014</t>
  </si>
  <si>
    <t>FFTFAF3021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</si>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</sst>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9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63500</xdr:rowOff>
    </xdr:from>
    <xdr:to>
      <xdr:col>7</xdr:col>
      <xdr:colOff>654300</xdr:colOff>
      <xdr:row>7</xdr:row>
      <xdr:rowOff>603500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914501600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8</xdr:row>
      <xdr:rowOff>63500</xdr:rowOff>
    </xdr:from>
    <xdr:to>
      <xdr:col>7</xdr:col>
      <xdr:colOff>654300</xdr:colOff>
      <xdr:row>8</xdr:row>
      <xdr:rowOff>603500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915168350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9</xdr:row>
      <xdr:rowOff>63500</xdr:rowOff>
    </xdr:from>
    <xdr:to>
      <xdr:col>7</xdr:col>
      <xdr:colOff>654300</xdr:colOff>
      <xdr:row>9</xdr:row>
      <xdr:rowOff>603500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915835100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10</xdr:row>
      <xdr:rowOff>63500</xdr:rowOff>
    </xdr:from>
    <xdr:to>
      <xdr:col>7</xdr:col>
      <xdr:colOff>654300</xdr:colOff>
      <xdr:row>10</xdr:row>
      <xdr:rowOff>603500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917835350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11</xdr:row>
      <xdr:rowOff>63500</xdr:rowOff>
    </xdr:from>
    <xdr:to>
      <xdr:col>7</xdr:col>
      <xdr:colOff>654300</xdr:colOff>
      <xdr:row>11</xdr:row>
      <xdr:rowOff>603500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918502100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12</xdr:row>
      <xdr:rowOff>63500</xdr:rowOff>
    </xdr:from>
    <xdr:to>
      <xdr:col>7</xdr:col>
      <xdr:colOff>654300</xdr:colOff>
      <xdr:row>12</xdr:row>
      <xdr:rowOff>603500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920502350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13</xdr:row>
      <xdr:rowOff>63500</xdr:rowOff>
    </xdr:from>
    <xdr:to>
      <xdr:col>7</xdr:col>
      <xdr:colOff>654300</xdr:colOff>
      <xdr:row>13</xdr:row>
      <xdr:rowOff>603500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921169100"/>
          <a:ext cx="540000" cy="540000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14</xdr:row>
      <xdr:rowOff>63500</xdr:rowOff>
    </xdr:from>
    <xdr:to>
      <xdr:col>7</xdr:col>
      <xdr:colOff>654300</xdr:colOff>
      <xdr:row>14</xdr:row>
      <xdr:rowOff>603500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922502600"/>
          <a:ext cx="540000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V9" activePane="bottomRight" state="frozen"/>
      <selection activeCell="AD15" sqref="AD15"/>
      <selection pane="topRight" activeCell="AD15" sqref="AD15"/>
      <selection pane="bottomLeft" activeCell="AD15" sqref="AD15"/>
      <selection pane="bottomRight" activeCell="AO77" sqref="AO77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71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2</v>
      </c>
      <c r="F3" s="97"/>
      <c r="G3" s="97"/>
      <c r="H3" s="98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v>41852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6</v>
      </c>
      <c r="E6" s="85" t="s">
        <v>7</v>
      </c>
      <c r="F6" s="85" t="s">
        <v>8</v>
      </c>
      <c r="G6" s="85" t="s">
        <v>9</v>
      </c>
      <c r="H6" s="85" t="s">
        <v>10</v>
      </c>
      <c r="I6" s="85" t="s">
        <v>11</v>
      </c>
      <c r="J6" s="88" t="s">
        <v>12</v>
      </c>
      <c r="K6" s="88" t="s">
        <v>13</v>
      </c>
      <c r="L6" s="90" t="s">
        <v>14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15</v>
      </c>
      <c r="AL6" s="93"/>
      <c r="AM6" s="94" t="s">
        <v>16</v>
      </c>
      <c r="AN6" s="94"/>
      <c r="AO6" s="85" t="s">
        <v>17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86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 t="s">
        <v>45</v>
      </c>
      <c r="AF8" s="62" t="s">
        <v>45</v>
      </c>
      <c r="AG8" s="62">
        <v>20</v>
      </c>
      <c r="AH8" s="62" t="s">
        <v>45</v>
      </c>
      <c r="AI8" s="62" t="s">
        <v>45</v>
      </c>
      <c r="AJ8" s="63">
        <f t="shared" ref="AJ8:AJ39" si="0">SUM(L8:AI8)</f>
        <v>20</v>
      </c>
      <c r="AK8" s="64">
        <v>0</v>
      </c>
      <c r="AL8" s="65">
        <v>0</v>
      </c>
      <c r="AM8" s="66">
        <v>0</v>
      </c>
      <c r="AN8" s="66">
        <v>41855</v>
      </c>
      <c r="AO8" s="61"/>
      <c r="AP8" s="34"/>
    </row>
    <row r="9" spans="1:46" ht="52.5" customHeight="1">
      <c r="A9" s="55">
        <v>2</v>
      </c>
      <c r="B9" s="56" t="s">
        <v>46</v>
      </c>
      <c r="D9" s="58">
        <v>2</v>
      </c>
      <c r="E9" s="59" t="s">
        <v>39</v>
      </c>
      <c r="F9" s="59" t="s">
        <v>40</v>
      </c>
      <c r="G9" s="59" t="s">
        <v>41</v>
      </c>
      <c r="H9" s="60"/>
      <c r="I9" s="61" t="s">
        <v>47</v>
      </c>
      <c r="J9" s="58" t="s">
        <v>48</v>
      </c>
      <c r="K9" s="58" t="s">
        <v>49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 t="s">
        <v>45</v>
      </c>
      <c r="AF9" s="62" t="s">
        <v>45</v>
      </c>
      <c r="AG9" s="62">
        <v>16</v>
      </c>
      <c r="AH9" s="62" t="s">
        <v>45</v>
      </c>
      <c r="AI9" s="62" t="s">
        <v>45</v>
      </c>
      <c r="AJ9" s="63">
        <f t="shared" si="0"/>
        <v>16</v>
      </c>
      <c r="AK9" s="64">
        <v>0</v>
      </c>
      <c r="AL9" s="65">
        <v>0</v>
      </c>
      <c r="AM9" s="66">
        <v>0</v>
      </c>
      <c r="AN9" s="66">
        <v>41855</v>
      </c>
      <c r="AO9" s="61"/>
    </row>
    <row r="10" spans="1:46" ht="52.5" customHeight="1">
      <c r="A10" s="55">
        <v>3</v>
      </c>
      <c r="B10" s="56" t="s">
        <v>50</v>
      </c>
      <c r="D10" s="58">
        <v>3</v>
      </c>
      <c r="E10" s="59" t="s">
        <v>39</v>
      </c>
      <c r="F10" s="59" t="s">
        <v>40</v>
      </c>
      <c r="G10" s="59" t="s">
        <v>41</v>
      </c>
      <c r="H10" s="60"/>
      <c r="I10" s="61" t="s">
        <v>51</v>
      </c>
      <c r="J10" s="58" t="s">
        <v>52</v>
      </c>
      <c r="K10" s="58" t="s">
        <v>44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 t="s">
        <v>45</v>
      </c>
      <c r="AF10" s="62" t="s">
        <v>45</v>
      </c>
      <c r="AG10" s="62">
        <v>10</v>
      </c>
      <c r="AH10" s="62" t="s">
        <v>45</v>
      </c>
      <c r="AI10" s="62">
        <v>8</v>
      </c>
      <c r="AJ10" s="63">
        <f t="shared" si="0"/>
        <v>18</v>
      </c>
      <c r="AK10" s="64">
        <v>0</v>
      </c>
      <c r="AL10" s="65">
        <v>0</v>
      </c>
      <c r="AM10" s="66">
        <v>0</v>
      </c>
      <c r="AN10" s="66">
        <v>41855</v>
      </c>
      <c r="AO10" s="61"/>
    </row>
    <row r="11" spans="1:46" ht="52.5" customHeight="1">
      <c r="A11" s="55">
        <v>4</v>
      </c>
      <c r="B11" s="56" t="s">
        <v>53</v>
      </c>
      <c r="D11" s="58">
        <v>4</v>
      </c>
      <c r="E11" s="59" t="s">
        <v>39</v>
      </c>
      <c r="F11" s="59" t="s">
        <v>40</v>
      </c>
      <c r="G11" s="59" t="s">
        <v>41</v>
      </c>
      <c r="H11" s="60"/>
      <c r="I11" s="61" t="s">
        <v>54</v>
      </c>
      <c r="J11" s="58" t="s">
        <v>55</v>
      </c>
      <c r="K11" s="58" t="s">
        <v>56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 t="s">
        <v>45</v>
      </c>
      <c r="AF11" s="62" t="s">
        <v>45</v>
      </c>
      <c r="AG11" s="62">
        <v>8</v>
      </c>
      <c r="AH11" s="62" t="s">
        <v>45</v>
      </c>
      <c r="AI11" s="62">
        <v>6</v>
      </c>
      <c r="AJ11" s="63">
        <f t="shared" si="0"/>
        <v>14</v>
      </c>
      <c r="AK11" s="64">
        <v>0</v>
      </c>
      <c r="AL11" s="65">
        <v>0</v>
      </c>
      <c r="AM11" s="66">
        <v>0</v>
      </c>
      <c r="AN11" s="66">
        <v>41855</v>
      </c>
      <c r="AO11" s="61"/>
    </row>
    <row r="12" spans="1:46" ht="52.5" customHeight="1">
      <c r="A12" s="55">
        <v>5</v>
      </c>
      <c r="B12" s="56" t="s">
        <v>57</v>
      </c>
      <c r="D12" s="58">
        <v>5</v>
      </c>
      <c r="E12" s="59" t="s">
        <v>39</v>
      </c>
      <c r="F12" s="59" t="s">
        <v>40</v>
      </c>
      <c r="G12" s="59" t="s">
        <v>41</v>
      </c>
      <c r="H12" s="60"/>
      <c r="I12" s="61" t="s">
        <v>58</v>
      </c>
      <c r="J12" s="58" t="s">
        <v>59</v>
      </c>
      <c r="K12" s="58" t="s">
        <v>56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 t="s">
        <v>45</v>
      </c>
      <c r="AF12" s="62" t="s">
        <v>45</v>
      </c>
      <c r="AG12" s="62">
        <v>5</v>
      </c>
      <c r="AH12" s="62" t="s">
        <v>45</v>
      </c>
      <c r="AI12" s="62">
        <v>5</v>
      </c>
      <c r="AJ12" s="63">
        <f t="shared" si="0"/>
        <v>10</v>
      </c>
      <c r="AK12" s="64">
        <v>0</v>
      </c>
      <c r="AL12" s="65">
        <v>0</v>
      </c>
      <c r="AM12" s="66">
        <v>0</v>
      </c>
      <c r="AN12" s="66">
        <v>41855</v>
      </c>
      <c r="AO12" s="61"/>
    </row>
    <row r="13" spans="1:46" ht="52.5" customHeight="1">
      <c r="A13" s="55">
        <v>6</v>
      </c>
      <c r="B13" s="56" t="s">
        <v>60</v>
      </c>
      <c r="D13" s="58">
        <v>6</v>
      </c>
      <c r="E13" s="59" t="s">
        <v>39</v>
      </c>
      <c r="F13" s="59" t="s">
        <v>40</v>
      </c>
      <c r="G13" s="59" t="s">
        <v>41</v>
      </c>
      <c r="H13" s="84"/>
      <c r="I13" s="61" t="s">
        <v>61</v>
      </c>
      <c r="J13" s="58" t="s">
        <v>62</v>
      </c>
      <c r="K13" s="58" t="s">
        <v>63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>
        <v>15</v>
      </c>
      <c r="AH13" s="62" t="s">
        <v>45</v>
      </c>
      <c r="AI13" s="62">
        <v>8</v>
      </c>
      <c r="AJ13" s="63">
        <f t="shared" si="0"/>
        <v>23</v>
      </c>
      <c r="AK13" s="64">
        <v>0</v>
      </c>
      <c r="AL13" s="65">
        <v>0</v>
      </c>
      <c r="AM13" s="66">
        <v>0</v>
      </c>
      <c r="AN13" s="66">
        <v>41855</v>
      </c>
      <c r="AO13" s="61"/>
    </row>
    <row r="14" spans="1:46" ht="52.5" customHeight="1">
      <c r="A14" s="55">
        <v>7</v>
      </c>
      <c r="B14" s="56" t="s">
        <v>64</v>
      </c>
      <c r="D14" s="58">
        <v>7</v>
      </c>
      <c r="E14" s="59" t="s">
        <v>39</v>
      </c>
      <c r="F14" s="59" t="s">
        <v>40</v>
      </c>
      <c r="G14" s="59" t="s">
        <v>41</v>
      </c>
      <c r="H14" s="84"/>
      <c r="I14" s="61" t="s">
        <v>65</v>
      </c>
      <c r="J14" s="58" t="s">
        <v>66</v>
      </c>
      <c r="K14" s="58" t="s">
        <v>67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>
        <v>11</v>
      </c>
      <c r="AH14" s="62" t="s">
        <v>45</v>
      </c>
      <c r="AI14" s="62">
        <v>13</v>
      </c>
      <c r="AJ14" s="63">
        <f t="shared" si="0"/>
        <v>24</v>
      </c>
      <c r="AK14" s="64">
        <v>0</v>
      </c>
      <c r="AL14" s="65">
        <v>0</v>
      </c>
      <c r="AM14" s="66">
        <v>0</v>
      </c>
      <c r="AN14" s="66">
        <v>41855</v>
      </c>
      <c r="AO14" s="61"/>
    </row>
    <row r="15" spans="1:46" ht="52.5" customHeight="1">
      <c r="A15" s="55">
        <v>8</v>
      </c>
      <c r="B15" s="56" t="s">
        <v>68</v>
      </c>
      <c r="D15" s="58">
        <v>8</v>
      </c>
      <c r="E15" s="59" t="s">
        <v>39</v>
      </c>
      <c r="F15" s="59" t="s">
        <v>40</v>
      </c>
      <c r="G15" s="59" t="s">
        <v>41</v>
      </c>
      <c r="H15" s="60"/>
      <c r="I15" s="61" t="s">
        <v>69</v>
      </c>
      <c r="J15" s="58" t="s">
        <v>70</v>
      </c>
      <c r="K15" s="58" t="s">
        <v>44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 t="s">
        <v>45</v>
      </c>
      <c r="AH15" s="62" t="s">
        <v>45</v>
      </c>
      <c r="AI15" s="62">
        <v>20</v>
      </c>
      <c r="AJ15" s="63">
        <f t="shared" si="0"/>
        <v>20</v>
      </c>
      <c r="AK15" s="64">
        <v>0</v>
      </c>
      <c r="AL15" s="65">
        <v>0</v>
      </c>
      <c r="AM15" s="66">
        <v>0</v>
      </c>
      <c r="AN15" s="66">
        <v>41855</v>
      </c>
      <c r="AO15" s="61"/>
    </row>
    <row r="16" spans="1:46" ht="52.5" hidden="1" customHeight="1">
      <c r="A16" s="55">
        <v>9</v>
      </c>
      <c r="B16" s="56" t="s">
        <v>45</v>
      </c>
      <c r="D16" s="58">
        <v>0</v>
      </c>
      <c r="E16" s="59" t="s">
        <v>45</v>
      </c>
      <c r="F16" s="59" t="s">
        <v>45</v>
      </c>
      <c r="G16" s="59" t="s">
        <v>45</v>
      </c>
      <c r="H16" s="60"/>
      <c r="I16" s="61" t="s">
        <v>45</v>
      </c>
      <c r="J16" s="58" t="s">
        <v>45</v>
      </c>
      <c r="K16" s="58" t="s">
        <v>45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0</v>
      </c>
      <c r="AK16" s="64" t="s">
        <v>45</v>
      </c>
      <c r="AL16" s="65" t="s">
        <v>45</v>
      </c>
      <c r="AM16" s="66" t="s">
        <v>45</v>
      </c>
      <c r="AN16" s="66" t="s">
        <v>45</v>
      </c>
      <c r="AO16" s="61"/>
    </row>
    <row r="17" spans="1:41" ht="52.5" hidden="1" customHeight="1">
      <c r="A17" s="55">
        <v>10</v>
      </c>
      <c r="B17" s="56" t="s">
        <v>45</v>
      </c>
      <c r="D17" s="58">
        <v>0</v>
      </c>
      <c r="E17" s="59" t="s">
        <v>45</v>
      </c>
      <c r="F17" s="59" t="s">
        <v>45</v>
      </c>
      <c r="G17" s="59" t="s">
        <v>45</v>
      </c>
      <c r="H17" s="60"/>
      <c r="I17" s="61" t="s">
        <v>45</v>
      </c>
      <c r="J17" s="58" t="s">
        <v>45</v>
      </c>
      <c r="K17" s="58" t="s">
        <v>45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f t="shared" si="0"/>
        <v>0</v>
      </c>
      <c r="AK17" s="64" t="s">
        <v>45</v>
      </c>
      <c r="AL17" s="65" t="s">
        <v>45</v>
      </c>
      <c r="AM17" s="66" t="s">
        <v>45</v>
      </c>
      <c r="AN17" s="66" t="s">
        <v>45</v>
      </c>
      <c r="AO17" s="61"/>
    </row>
    <row r="18" spans="1:41" ht="52.5" hidden="1" customHeight="1">
      <c r="A18" s="55">
        <v>11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12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13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14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15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16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8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8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8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8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8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8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8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8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8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8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8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8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8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8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8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8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8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8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8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8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69"/>
      <c r="D53" s="58">
        <v>0</v>
      </c>
      <c r="E53" s="59" t="s">
        <v>45</v>
      </c>
      <c r="F53" s="59" t="s">
        <v>45</v>
      </c>
      <c r="G53" s="59" t="s">
        <v>45</v>
      </c>
      <c r="H53" s="70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1"/>
      <c r="AP53" s="72"/>
      <c r="AQ53" s="73"/>
      <c r="AR53" s="73"/>
      <c r="AS53" s="73"/>
      <c r="AT53" s="73"/>
      <c r="AU53" s="73"/>
    </row>
    <row r="54" spans="1:47" ht="52.5" hidden="1" customHeight="1">
      <c r="A54" s="55">
        <v>47</v>
      </c>
      <c r="B54" s="56" t="s">
        <v>45</v>
      </c>
      <c r="C54" s="69"/>
      <c r="D54" s="58">
        <v>0</v>
      </c>
      <c r="E54" s="59" t="s">
        <v>45</v>
      </c>
      <c r="F54" s="59" t="s">
        <v>45</v>
      </c>
      <c r="G54" s="59" t="s">
        <v>45</v>
      </c>
      <c r="H54" s="70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1"/>
      <c r="AP54" s="72"/>
      <c r="AQ54" s="73"/>
      <c r="AR54" s="73"/>
      <c r="AS54" s="73"/>
      <c r="AT54" s="73"/>
      <c r="AU54" s="73"/>
    </row>
    <row r="55" spans="1:47" ht="52.5" hidden="1" customHeight="1">
      <c r="A55" s="55">
        <v>48</v>
      </c>
      <c r="B55" s="56" t="s">
        <v>45</v>
      </c>
      <c r="C55" s="69"/>
      <c r="D55" s="58">
        <v>0</v>
      </c>
      <c r="E55" s="59" t="s">
        <v>45</v>
      </c>
      <c r="F55" s="59" t="s">
        <v>45</v>
      </c>
      <c r="G55" s="59" t="s">
        <v>45</v>
      </c>
      <c r="H55" s="70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1"/>
      <c r="AP55" s="72"/>
      <c r="AQ55" s="73"/>
      <c r="AR55" s="73"/>
      <c r="AS55" s="73"/>
      <c r="AT55" s="73"/>
      <c r="AU55" s="73"/>
    </row>
    <row r="56" spans="1:47" ht="52.5" hidden="1" customHeight="1">
      <c r="A56" s="55">
        <v>49</v>
      </c>
      <c r="B56" s="56" t="s">
        <v>45</v>
      </c>
      <c r="C56" s="69"/>
      <c r="D56" s="58">
        <v>0</v>
      </c>
      <c r="E56" s="59" t="s">
        <v>45</v>
      </c>
      <c r="F56" s="59" t="s">
        <v>45</v>
      </c>
      <c r="G56" s="59" t="s">
        <v>45</v>
      </c>
      <c r="H56" s="70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1"/>
      <c r="AP56" s="72"/>
      <c r="AQ56" s="73"/>
      <c r="AR56" s="73"/>
      <c r="AS56" s="73"/>
      <c r="AT56" s="73"/>
      <c r="AU56" s="73"/>
    </row>
    <row r="57" spans="1:47" ht="52.5" hidden="1" customHeight="1">
      <c r="A57" s="55">
        <v>50</v>
      </c>
      <c r="B57" s="56" t="s">
        <v>45</v>
      </c>
      <c r="C57" s="69"/>
      <c r="D57" s="58">
        <v>0</v>
      </c>
      <c r="E57" s="59" t="s">
        <v>45</v>
      </c>
      <c r="F57" s="59" t="s">
        <v>45</v>
      </c>
      <c r="G57" s="59" t="s">
        <v>45</v>
      </c>
      <c r="H57" s="70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1"/>
      <c r="AP57" s="72"/>
      <c r="AQ57" s="73"/>
      <c r="AR57" s="73"/>
      <c r="AS57" s="73"/>
      <c r="AT57" s="73"/>
      <c r="AU57" s="73"/>
    </row>
    <row r="58" spans="1:47" ht="52.5" hidden="1" customHeight="1">
      <c r="A58" s="55">
        <v>51</v>
      </c>
      <c r="B58" s="56" t="s">
        <v>45</v>
      </c>
      <c r="C58" s="69"/>
      <c r="D58" s="58">
        <v>0</v>
      </c>
      <c r="E58" s="59" t="s">
        <v>45</v>
      </c>
      <c r="F58" s="59" t="s">
        <v>45</v>
      </c>
      <c r="G58" s="59" t="s">
        <v>45</v>
      </c>
      <c r="H58" s="70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1"/>
      <c r="AP58" s="72"/>
      <c r="AQ58" s="73"/>
      <c r="AR58" s="73"/>
      <c r="AS58" s="73"/>
      <c r="AT58" s="73"/>
      <c r="AU58" s="73"/>
    </row>
    <row r="59" spans="1:47" ht="52.5" hidden="1" customHeight="1">
      <c r="A59" s="55">
        <v>52</v>
      </c>
      <c r="B59" s="56" t="s">
        <v>45</v>
      </c>
      <c r="C59" s="69"/>
      <c r="D59" s="58">
        <v>0</v>
      </c>
      <c r="E59" s="59" t="s">
        <v>45</v>
      </c>
      <c r="F59" s="59" t="s">
        <v>45</v>
      </c>
      <c r="G59" s="59" t="s">
        <v>45</v>
      </c>
      <c r="H59" s="70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1"/>
      <c r="AP59" s="72"/>
      <c r="AQ59" s="73"/>
      <c r="AR59" s="73"/>
      <c r="AS59" s="73"/>
      <c r="AT59" s="73"/>
      <c r="AU59" s="73"/>
    </row>
    <row r="60" spans="1:47" ht="52.5" hidden="1" customHeight="1">
      <c r="A60" s="55">
        <v>53</v>
      </c>
      <c r="B60" s="56" t="s">
        <v>45</v>
      </c>
      <c r="C60" s="69"/>
      <c r="D60" s="58">
        <v>0</v>
      </c>
      <c r="E60" s="59" t="s">
        <v>45</v>
      </c>
      <c r="F60" s="59" t="s">
        <v>45</v>
      </c>
      <c r="G60" s="59" t="s">
        <v>45</v>
      </c>
      <c r="H60" s="70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1"/>
      <c r="AP60" s="72"/>
      <c r="AQ60" s="73"/>
      <c r="AR60" s="73"/>
      <c r="AS60" s="73"/>
      <c r="AT60" s="73"/>
      <c r="AU60" s="73"/>
    </row>
    <row r="61" spans="1:47" ht="52.5" hidden="1" customHeight="1">
      <c r="A61" s="55">
        <v>54</v>
      </c>
      <c r="B61" s="56" t="s">
        <v>45</v>
      </c>
      <c r="C61" s="69"/>
      <c r="D61" s="58">
        <v>0</v>
      </c>
      <c r="E61" s="59" t="s">
        <v>45</v>
      </c>
      <c r="F61" s="59" t="s">
        <v>45</v>
      </c>
      <c r="G61" s="59" t="s">
        <v>45</v>
      </c>
      <c r="H61" s="70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1"/>
      <c r="AP61" s="72"/>
      <c r="AQ61" s="73"/>
      <c r="AR61" s="73"/>
      <c r="AS61" s="73"/>
      <c r="AT61" s="73"/>
      <c r="AU61" s="73"/>
    </row>
    <row r="62" spans="1:47" ht="52.5" hidden="1" customHeight="1">
      <c r="A62" s="55">
        <v>55</v>
      </c>
      <c r="B62" s="56" t="s">
        <v>45</v>
      </c>
      <c r="C62" s="69"/>
      <c r="D62" s="58">
        <v>0</v>
      </c>
      <c r="E62" s="59" t="s">
        <v>45</v>
      </c>
      <c r="F62" s="59" t="s">
        <v>45</v>
      </c>
      <c r="G62" s="59" t="s">
        <v>45</v>
      </c>
      <c r="H62" s="70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1"/>
      <c r="AP62" s="72"/>
      <c r="AQ62" s="73"/>
      <c r="AR62" s="73"/>
      <c r="AS62" s="73"/>
      <c r="AT62" s="73"/>
      <c r="AU62" s="73"/>
    </row>
    <row r="63" spans="1:47" ht="52.5" hidden="1" customHeight="1">
      <c r="A63" s="55">
        <v>56</v>
      </c>
      <c r="B63" s="56" t="s">
        <v>45</v>
      </c>
      <c r="C63" s="69"/>
      <c r="D63" s="58">
        <v>0</v>
      </c>
      <c r="E63" s="59" t="s">
        <v>45</v>
      </c>
      <c r="F63" s="59" t="s">
        <v>45</v>
      </c>
      <c r="G63" s="59" t="s">
        <v>45</v>
      </c>
      <c r="H63" s="70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1"/>
      <c r="AP63" s="72"/>
      <c r="AQ63" s="73"/>
      <c r="AR63" s="73"/>
      <c r="AS63" s="73"/>
      <c r="AT63" s="73"/>
      <c r="AU63" s="73"/>
    </row>
    <row r="64" spans="1:47" ht="52.5" hidden="1" customHeight="1">
      <c r="A64" s="55">
        <v>57</v>
      </c>
      <c r="B64" s="56" t="s">
        <v>45</v>
      </c>
      <c r="C64" s="69"/>
      <c r="D64" s="58">
        <v>0</v>
      </c>
      <c r="E64" s="59" t="s">
        <v>45</v>
      </c>
      <c r="F64" s="59" t="s">
        <v>45</v>
      </c>
      <c r="G64" s="59" t="s">
        <v>45</v>
      </c>
      <c r="H64" s="70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1"/>
      <c r="AP64" s="72"/>
      <c r="AQ64" s="73"/>
      <c r="AR64" s="73"/>
      <c r="AS64" s="73"/>
      <c r="AT64" s="73"/>
      <c r="AU64" s="73"/>
    </row>
    <row r="65" spans="1:47" ht="52.5" hidden="1" customHeight="1">
      <c r="A65" s="55">
        <v>58</v>
      </c>
      <c r="B65" s="56" t="s">
        <v>45</v>
      </c>
      <c r="C65" s="69"/>
      <c r="D65" s="58">
        <v>0</v>
      </c>
      <c r="E65" s="59" t="s">
        <v>45</v>
      </c>
      <c r="F65" s="59" t="s">
        <v>45</v>
      </c>
      <c r="G65" s="59" t="s">
        <v>45</v>
      </c>
      <c r="H65" s="70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1"/>
      <c r="AP65" s="72"/>
      <c r="AQ65" s="73"/>
      <c r="AR65" s="73"/>
      <c r="AS65" s="73"/>
      <c r="AT65" s="73"/>
      <c r="AU65" s="73"/>
    </row>
    <row r="66" spans="1:47" ht="52.5" hidden="1" customHeight="1">
      <c r="A66" s="55">
        <v>59</v>
      </c>
      <c r="B66" s="56" t="s">
        <v>45</v>
      </c>
      <c r="C66" s="69"/>
      <c r="D66" s="58">
        <v>0</v>
      </c>
      <c r="E66" s="59" t="s">
        <v>45</v>
      </c>
      <c r="F66" s="59" t="s">
        <v>45</v>
      </c>
      <c r="G66" s="59" t="s">
        <v>45</v>
      </c>
      <c r="H66" s="70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1"/>
      <c r="AP66" s="72"/>
      <c r="AQ66" s="73"/>
      <c r="AR66" s="73"/>
      <c r="AS66" s="73"/>
      <c r="AT66" s="73"/>
      <c r="AU66" s="73"/>
    </row>
    <row r="67" spans="1:47" ht="52.5" hidden="1" customHeight="1">
      <c r="A67" s="55">
        <v>60</v>
      </c>
      <c r="B67" s="56" t="s">
        <v>45</v>
      </c>
      <c r="C67" s="69"/>
      <c r="D67" s="58">
        <v>0</v>
      </c>
      <c r="E67" s="59" t="s">
        <v>45</v>
      </c>
      <c r="F67" s="59" t="s">
        <v>45</v>
      </c>
      <c r="G67" s="59" t="s">
        <v>45</v>
      </c>
      <c r="H67" s="70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1"/>
      <c r="AP67" s="72"/>
      <c r="AQ67" s="73"/>
      <c r="AR67" s="73"/>
      <c r="AS67" s="73"/>
      <c r="AT67" s="73"/>
      <c r="AU67" s="73"/>
    </row>
    <row r="68" spans="1:47" ht="52.5" hidden="1" customHeight="1">
      <c r="A68" s="55">
        <v>61</v>
      </c>
      <c r="B68" s="56" t="s">
        <v>45</v>
      </c>
      <c r="C68" s="69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1"/>
      <c r="AP68" s="72"/>
      <c r="AQ68" s="73"/>
      <c r="AR68" s="73"/>
      <c r="AS68" s="73"/>
      <c r="AT68" s="73"/>
      <c r="AU68" s="73"/>
    </row>
    <row r="69" spans="1:47" ht="52.5" hidden="1" customHeight="1">
      <c r="A69" s="55">
        <v>62</v>
      </c>
      <c r="B69" s="56" t="s">
        <v>45</v>
      </c>
      <c r="C69" s="69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4" t="s">
        <v>45</v>
      </c>
      <c r="Q69" s="74" t="s">
        <v>45</v>
      </c>
      <c r="R69" s="74" t="s">
        <v>45</v>
      </c>
      <c r="S69" s="74" t="s">
        <v>45</v>
      </c>
      <c r="T69" s="74" t="s">
        <v>45</v>
      </c>
      <c r="U69" s="74" t="s">
        <v>45</v>
      </c>
      <c r="V69" s="74" t="s">
        <v>45</v>
      </c>
      <c r="W69" s="74" t="s">
        <v>45</v>
      </c>
      <c r="X69" s="74" t="s">
        <v>45</v>
      </c>
      <c r="Y69" s="74" t="s">
        <v>45</v>
      </c>
      <c r="Z69" s="74" t="s">
        <v>45</v>
      </c>
      <c r="AA69" s="74" t="s">
        <v>45</v>
      </c>
      <c r="AB69" s="74" t="s">
        <v>45</v>
      </c>
      <c r="AC69" s="74" t="s">
        <v>45</v>
      </c>
      <c r="AD69" s="74" t="s">
        <v>45</v>
      </c>
      <c r="AE69" s="74" t="s">
        <v>45</v>
      </c>
      <c r="AF69" s="74" t="s">
        <v>45</v>
      </c>
      <c r="AG69" s="74" t="s">
        <v>45</v>
      </c>
      <c r="AH69" s="74" t="s">
        <v>45</v>
      </c>
      <c r="AI69" s="74" t="s">
        <v>45</v>
      </c>
      <c r="AJ69" s="75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1"/>
      <c r="AP69" s="72"/>
      <c r="AQ69" s="73"/>
      <c r="AR69" s="73"/>
      <c r="AS69" s="73"/>
      <c r="AT69" s="73"/>
      <c r="AU69" s="73"/>
    </row>
    <row r="70" spans="1:47" ht="52.5" hidden="1" customHeight="1">
      <c r="A70" s="55">
        <v>63</v>
      </c>
      <c r="B70" s="56" t="s">
        <v>45</v>
      </c>
      <c r="C70" s="69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4" t="s">
        <v>45</v>
      </c>
      <c r="Q70" s="74" t="s">
        <v>45</v>
      </c>
      <c r="R70" s="74" t="s">
        <v>45</v>
      </c>
      <c r="S70" s="74" t="s">
        <v>45</v>
      </c>
      <c r="T70" s="74" t="s">
        <v>45</v>
      </c>
      <c r="U70" s="74" t="s">
        <v>45</v>
      </c>
      <c r="V70" s="74" t="s">
        <v>45</v>
      </c>
      <c r="W70" s="74" t="s">
        <v>45</v>
      </c>
      <c r="X70" s="74" t="s">
        <v>45</v>
      </c>
      <c r="Y70" s="74" t="s">
        <v>45</v>
      </c>
      <c r="Z70" s="74" t="s">
        <v>45</v>
      </c>
      <c r="AA70" s="74" t="s">
        <v>45</v>
      </c>
      <c r="AB70" s="74" t="s">
        <v>45</v>
      </c>
      <c r="AC70" s="74" t="s">
        <v>45</v>
      </c>
      <c r="AD70" s="74" t="s">
        <v>45</v>
      </c>
      <c r="AE70" s="74" t="s">
        <v>45</v>
      </c>
      <c r="AF70" s="74" t="s">
        <v>45</v>
      </c>
      <c r="AG70" s="74" t="s">
        <v>45</v>
      </c>
      <c r="AH70" s="74" t="s">
        <v>45</v>
      </c>
      <c r="AI70" s="74" t="s">
        <v>45</v>
      </c>
      <c r="AJ70" s="75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1"/>
      <c r="AP70" s="72"/>
      <c r="AQ70" s="73"/>
      <c r="AR70" s="73"/>
      <c r="AS70" s="73"/>
      <c r="AT70" s="73"/>
      <c r="AU70" s="73"/>
    </row>
    <row r="71" spans="1:47" ht="52.5" hidden="1" customHeight="1">
      <c r="A71" s="55">
        <v>64</v>
      </c>
      <c r="B71" s="56" t="s">
        <v>45</v>
      </c>
      <c r="C71" s="69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4" t="s">
        <v>45</v>
      </c>
      <c r="Q71" s="74" t="s">
        <v>45</v>
      </c>
      <c r="R71" s="74" t="s">
        <v>45</v>
      </c>
      <c r="S71" s="74" t="s">
        <v>45</v>
      </c>
      <c r="T71" s="74" t="s">
        <v>45</v>
      </c>
      <c r="U71" s="74" t="s">
        <v>45</v>
      </c>
      <c r="V71" s="74" t="s">
        <v>45</v>
      </c>
      <c r="W71" s="74" t="s">
        <v>45</v>
      </c>
      <c r="X71" s="74" t="s">
        <v>45</v>
      </c>
      <c r="Y71" s="74" t="s">
        <v>45</v>
      </c>
      <c r="Z71" s="74" t="s">
        <v>45</v>
      </c>
      <c r="AA71" s="74" t="s">
        <v>45</v>
      </c>
      <c r="AB71" s="74" t="s">
        <v>45</v>
      </c>
      <c r="AC71" s="74" t="s">
        <v>45</v>
      </c>
      <c r="AD71" s="74" t="s">
        <v>45</v>
      </c>
      <c r="AE71" s="74" t="s">
        <v>45</v>
      </c>
      <c r="AF71" s="74" t="s">
        <v>45</v>
      </c>
      <c r="AG71" s="74" t="s">
        <v>45</v>
      </c>
      <c r="AH71" s="74" t="s">
        <v>45</v>
      </c>
      <c r="AI71" s="74" t="s">
        <v>45</v>
      </c>
      <c r="AJ71" s="75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1"/>
      <c r="AP71" s="72"/>
      <c r="AQ71" s="73"/>
      <c r="AR71" s="73"/>
      <c r="AS71" s="73"/>
      <c r="AT71" s="73"/>
      <c r="AU71" s="73"/>
    </row>
    <row r="72" spans="1:47" ht="52.5" hidden="1" customHeight="1">
      <c r="A72" s="55">
        <v>65</v>
      </c>
      <c r="B72" s="56" t="s">
        <v>45</v>
      </c>
      <c r="C72" s="69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4" t="s">
        <v>45</v>
      </c>
      <c r="Q72" s="74" t="s">
        <v>45</v>
      </c>
      <c r="R72" s="74" t="s">
        <v>45</v>
      </c>
      <c r="S72" s="74" t="s">
        <v>45</v>
      </c>
      <c r="T72" s="74" t="s">
        <v>45</v>
      </c>
      <c r="U72" s="74" t="s">
        <v>45</v>
      </c>
      <c r="V72" s="74" t="s">
        <v>45</v>
      </c>
      <c r="W72" s="74" t="s">
        <v>45</v>
      </c>
      <c r="X72" s="74" t="s">
        <v>45</v>
      </c>
      <c r="Y72" s="74" t="s">
        <v>45</v>
      </c>
      <c r="Z72" s="74" t="s">
        <v>45</v>
      </c>
      <c r="AA72" s="74" t="s">
        <v>45</v>
      </c>
      <c r="AB72" s="74" t="s">
        <v>45</v>
      </c>
      <c r="AC72" s="74" t="s">
        <v>45</v>
      </c>
      <c r="AD72" s="74" t="s">
        <v>45</v>
      </c>
      <c r="AE72" s="74" t="s">
        <v>45</v>
      </c>
      <c r="AF72" s="74" t="s">
        <v>45</v>
      </c>
      <c r="AG72" s="74" t="s">
        <v>45</v>
      </c>
      <c r="AH72" s="74" t="s">
        <v>45</v>
      </c>
      <c r="AI72" s="74" t="s">
        <v>45</v>
      </c>
      <c r="AJ72" s="75">
        <f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1"/>
      <c r="AP72" s="72"/>
      <c r="AQ72" s="73"/>
      <c r="AR72" s="73"/>
      <c r="AS72" s="73"/>
      <c r="AT72" s="73"/>
      <c r="AU72" s="73"/>
    </row>
    <row r="73" spans="1:47" ht="52.5" hidden="1" customHeight="1">
      <c r="A73" s="55">
        <v>66</v>
      </c>
      <c r="B73" s="56" t="s">
        <v>45</v>
      </c>
      <c r="C73" s="69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4" t="s">
        <v>45</v>
      </c>
      <c r="Q73" s="74" t="s">
        <v>45</v>
      </c>
      <c r="R73" s="74" t="s">
        <v>45</v>
      </c>
      <c r="S73" s="74" t="s">
        <v>45</v>
      </c>
      <c r="T73" s="74" t="s">
        <v>45</v>
      </c>
      <c r="U73" s="74" t="s">
        <v>45</v>
      </c>
      <c r="V73" s="74" t="s">
        <v>45</v>
      </c>
      <c r="W73" s="74" t="s">
        <v>45</v>
      </c>
      <c r="X73" s="74" t="s">
        <v>45</v>
      </c>
      <c r="Y73" s="74" t="s">
        <v>45</v>
      </c>
      <c r="Z73" s="74" t="s">
        <v>45</v>
      </c>
      <c r="AA73" s="74" t="s">
        <v>45</v>
      </c>
      <c r="AB73" s="74" t="s">
        <v>45</v>
      </c>
      <c r="AC73" s="74" t="s">
        <v>45</v>
      </c>
      <c r="AD73" s="74" t="s">
        <v>45</v>
      </c>
      <c r="AE73" s="74" t="s">
        <v>45</v>
      </c>
      <c r="AF73" s="74" t="s">
        <v>45</v>
      </c>
      <c r="AG73" s="74" t="s">
        <v>45</v>
      </c>
      <c r="AH73" s="74" t="s">
        <v>45</v>
      </c>
      <c r="AI73" s="74" t="s">
        <v>45</v>
      </c>
      <c r="AJ73" s="75">
        <f>SUM(L73:AI73)</f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1"/>
      <c r="AP73" s="72"/>
      <c r="AQ73" s="73"/>
      <c r="AR73" s="73"/>
      <c r="AS73" s="73"/>
      <c r="AT73" s="73"/>
      <c r="AU73" s="73"/>
    </row>
    <row r="74" spans="1:47" ht="52.5" hidden="1" customHeight="1">
      <c r="A74" s="55">
        <v>67</v>
      </c>
      <c r="B74" s="56" t="s">
        <v>45</v>
      </c>
      <c r="C74" s="69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4" t="s">
        <v>45</v>
      </c>
      <c r="Q74" s="74" t="s">
        <v>45</v>
      </c>
      <c r="R74" s="74" t="s">
        <v>45</v>
      </c>
      <c r="S74" s="74" t="s">
        <v>45</v>
      </c>
      <c r="T74" s="74" t="s">
        <v>45</v>
      </c>
      <c r="U74" s="74" t="s">
        <v>45</v>
      </c>
      <c r="V74" s="74" t="s">
        <v>45</v>
      </c>
      <c r="W74" s="74" t="s">
        <v>45</v>
      </c>
      <c r="X74" s="74" t="s">
        <v>45</v>
      </c>
      <c r="Y74" s="74" t="s">
        <v>45</v>
      </c>
      <c r="Z74" s="74" t="s">
        <v>45</v>
      </c>
      <c r="AA74" s="74" t="s">
        <v>45</v>
      </c>
      <c r="AB74" s="74" t="s">
        <v>45</v>
      </c>
      <c r="AC74" s="74" t="s">
        <v>45</v>
      </c>
      <c r="AD74" s="74" t="s">
        <v>45</v>
      </c>
      <c r="AE74" s="74" t="s">
        <v>45</v>
      </c>
      <c r="AF74" s="74" t="s">
        <v>45</v>
      </c>
      <c r="AG74" s="74" t="s">
        <v>45</v>
      </c>
      <c r="AH74" s="74" t="s">
        <v>45</v>
      </c>
      <c r="AI74" s="74" t="s">
        <v>45</v>
      </c>
      <c r="AJ74" s="75">
        <f>SUM(L74:AI74)</f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1"/>
      <c r="AP74" s="72"/>
      <c r="AQ74" s="73"/>
      <c r="AR74" s="73"/>
      <c r="AS74" s="73"/>
      <c r="AT74" s="73"/>
      <c r="AU74" s="73"/>
    </row>
    <row r="75" spans="1:47" ht="52.5" hidden="1" customHeight="1">
      <c r="A75" s="55">
        <v>68</v>
      </c>
      <c r="B75" s="56" t="s">
        <v>45</v>
      </c>
      <c r="C75" s="69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4" t="s">
        <v>45</v>
      </c>
      <c r="Q75" s="74" t="s">
        <v>45</v>
      </c>
      <c r="R75" s="74" t="s">
        <v>45</v>
      </c>
      <c r="S75" s="74" t="s">
        <v>45</v>
      </c>
      <c r="T75" s="74" t="s">
        <v>45</v>
      </c>
      <c r="U75" s="74" t="s">
        <v>45</v>
      </c>
      <c r="V75" s="74" t="s">
        <v>45</v>
      </c>
      <c r="W75" s="74" t="s">
        <v>45</v>
      </c>
      <c r="X75" s="74" t="s">
        <v>45</v>
      </c>
      <c r="Y75" s="74" t="s">
        <v>45</v>
      </c>
      <c r="Z75" s="74" t="s">
        <v>45</v>
      </c>
      <c r="AA75" s="74" t="s">
        <v>45</v>
      </c>
      <c r="AB75" s="74" t="s">
        <v>45</v>
      </c>
      <c r="AC75" s="74" t="s">
        <v>45</v>
      </c>
      <c r="AD75" s="74" t="s">
        <v>45</v>
      </c>
      <c r="AE75" s="74" t="s">
        <v>45</v>
      </c>
      <c r="AF75" s="74" t="s">
        <v>45</v>
      </c>
      <c r="AG75" s="74" t="s">
        <v>45</v>
      </c>
      <c r="AH75" s="74" t="s">
        <v>45</v>
      </c>
      <c r="AI75" s="74" t="s">
        <v>45</v>
      </c>
      <c r="AJ75" s="75">
        <f>SUM(L75:AI75)</f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1"/>
      <c r="AP75" s="72"/>
      <c r="AQ75" s="73"/>
      <c r="AR75" s="73"/>
      <c r="AS75" s="73"/>
      <c r="AT75" s="73"/>
      <c r="AU75" s="73"/>
    </row>
    <row r="76" spans="1:47" ht="52.5" hidden="1" customHeight="1">
      <c r="A76" s="55">
        <v>69</v>
      </c>
      <c r="B76" s="56" t="s">
        <v>45</v>
      </c>
      <c r="C76" s="69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4" t="s">
        <v>45</v>
      </c>
      <c r="Q76" s="74" t="s">
        <v>45</v>
      </c>
      <c r="R76" s="74" t="s">
        <v>45</v>
      </c>
      <c r="S76" s="74" t="s">
        <v>45</v>
      </c>
      <c r="T76" s="74" t="s">
        <v>45</v>
      </c>
      <c r="U76" s="74" t="s">
        <v>45</v>
      </c>
      <c r="V76" s="74" t="s">
        <v>45</v>
      </c>
      <c r="W76" s="74" t="s">
        <v>45</v>
      </c>
      <c r="X76" s="74" t="s">
        <v>45</v>
      </c>
      <c r="Y76" s="74" t="s">
        <v>45</v>
      </c>
      <c r="Z76" s="74" t="s">
        <v>45</v>
      </c>
      <c r="AA76" s="74" t="s">
        <v>45</v>
      </c>
      <c r="AB76" s="74" t="s">
        <v>45</v>
      </c>
      <c r="AC76" s="74" t="s">
        <v>45</v>
      </c>
      <c r="AD76" s="74" t="s">
        <v>45</v>
      </c>
      <c r="AE76" s="74" t="s">
        <v>45</v>
      </c>
      <c r="AF76" s="74" t="s">
        <v>45</v>
      </c>
      <c r="AG76" s="74" t="s">
        <v>45</v>
      </c>
      <c r="AH76" s="74" t="s">
        <v>45</v>
      </c>
      <c r="AI76" s="74" t="s">
        <v>45</v>
      </c>
      <c r="AJ76" s="75">
        <f>SUM(L76:AI76)</f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1"/>
      <c r="AP76" s="72"/>
      <c r="AQ76" s="73"/>
      <c r="AR76" s="73"/>
      <c r="AS76" s="73"/>
      <c r="AT76" s="73"/>
      <c r="AU76" s="73"/>
    </row>
    <row r="77" spans="1:47" ht="21.75" customHeight="1">
      <c r="A77" s="55"/>
      <c r="B77" s="56"/>
      <c r="D77" s="87" t="s">
        <v>33</v>
      </c>
      <c r="E77" s="87"/>
      <c r="F77" s="76"/>
      <c r="G77" s="76"/>
      <c r="H77" s="76"/>
      <c r="I77" s="76"/>
      <c r="J77" s="76"/>
      <c r="K77" s="76"/>
      <c r="L77" s="77">
        <f t="shared" ref="L77:AJ77" si="2">SUM(L8:L76)</f>
        <v>0</v>
      </c>
      <c r="M77" s="77">
        <f t="shared" si="2"/>
        <v>0</v>
      </c>
      <c r="N77" s="77">
        <f t="shared" si="2"/>
        <v>0</v>
      </c>
      <c r="O77" s="77">
        <f t="shared" si="2"/>
        <v>0</v>
      </c>
      <c r="P77" s="77">
        <f t="shared" si="2"/>
        <v>0</v>
      </c>
      <c r="Q77" s="77">
        <f t="shared" si="2"/>
        <v>0</v>
      </c>
      <c r="R77" s="77">
        <f t="shared" si="2"/>
        <v>0</v>
      </c>
      <c r="S77" s="77">
        <f t="shared" si="2"/>
        <v>0</v>
      </c>
      <c r="T77" s="77">
        <f t="shared" si="2"/>
        <v>0</v>
      </c>
      <c r="U77" s="77">
        <f t="shared" si="2"/>
        <v>0</v>
      </c>
      <c r="V77" s="77">
        <f t="shared" si="2"/>
        <v>0</v>
      </c>
      <c r="W77" s="77">
        <f t="shared" si="2"/>
        <v>0</v>
      </c>
      <c r="X77" s="77">
        <f t="shared" si="2"/>
        <v>0</v>
      </c>
      <c r="Y77" s="77">
        <f t="shared" si="2"/>
        <v>0</v>
      </c>
      <c r="Z77" s="77">
        <f t="shared" si="2"/>
        <v>0</v>
      </c>
      <c r="AA77" s="77">
        <f t="shared" si="2"/>
        <v>0</v>
      </c>
      <c r="AB77" s="77">
        <f t="shared" si="2"/>
        <v>0</v>
      </c>
      <c r="AC77" s="77">
        <f t="shared" si="2"/>
        <v>0</v>
      </c>
      <c r="AD77" s="77">
        <f t="shared" si="2"/>
        <v>0</v>
      </c>
      <c r="AE77" s="77">
        <f t="shared" si="2"/>
        <v>0</v>
      </c>
      <c r="AF77" s="77">
        <f t="shared" si="2"/>
        <v>0</v>
      </c>
      <c r="AG77" s="77">
        <f t="shared" si="2"/>
        <v>85</v>
      </c>
      <c r="AH77" s="77">
        <f t="shared" si="2"/>
        <v>0</v>
      </c>
      <c r="AI77" s="77">
        <f t="shared" si="2"/>
        <v>60</v>
      </c>
      <c r="AJ77" s="77">
        <f t="shared" si="2"/>
        <v>145</v>
      </c>
      <c r="AK77" s="78">
        <f>SUMPRODUCT($AJ8:$AJ68,$AK8:$AK68)</f>
        <v>0</v>
      </c>
      <c r="AL77" s="79">
        <f>SUMPRODUCT($AJ8:$AJ68,AL8:AL68)</f>
        <v>0</v>
      </c>
      <c r="AM77" s="80"/>
      <c r="AN77" s="80"/>
      <c r="AO77" s="81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6:H29 H68:H76">
    <cfRule type="expression" dxfId="8" priority="18" stopIfTrue="1">
      <formula>$H16="TTL"</formula>
    </cfRule>
  </conditionalFormatting>
  <conditionalFormatting sqref="H28">
    <cfRule type="expression" dxfId="7" priority="17" stopIfTrue="1">
      <formula>$H28="TTL"</formula>
    </cfRule>
  </conditionalFormatting>
  <conditionalFormatting sqref="H16:H29">
    <cfRule type="expression" dxfId="6" priority="16" stopIfTrue="1">
      <formula>$H16="TTL"</formula>
    </cfRule>
  </conditionalFormatting>
  <conditionalFormatting sqref="H28">
    <cfRule type="expression" dxfId="5" priority="15" stopIfTrue="1">
      <formula>$H28="TTL"</formula>
    </cfRule>
  </conditionalFormatting>
  <conditionalFormatting sqref="H16:H30">
    <cfRule type="expression" dxfId="4" priority="14" stopIfTrue="1">
      <formula>$H16="TTL"</formula>
    </cfRule>
  </conditionalFormatting>
  <conditionalFormatting sqref="H16:H18">
    <cfRule type="expression" dxfId="3" priority="12" stopIfTrue="1">
      <formula>$H16="TTL"</formula>
    </cfRule>
  </conditionalFormatting>
  <conditionalFormatting sqref="H16:H32">
    <cfRule type="expression" dxfId="2" priority="9" stopIfTrue="1">
      <formula>$H16="TTL"</formula>
    </cfRule>
  </conditionalFormatting>
  <conditionalFormatting sqref="H8:H15">
    <cfRule type="expression" dxfId="1" priority="2">
      <formula>$I8="TTL"</formula>
    </cfRule>
  </conditionalFormatting>
  <conditionalFormatting sqref="H11:H14">
    <cfRule type="expression" dxfId="0" priority="1" stopIfTrue="1">
      <formula>$I11="TTL"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2014-08-01T00:17:30Z</dcterms:created>
  <dcterms:modified xsi:type="dcterms:W3CDTF">2014-08-07T07:46:15Z</dcterms:modified>
</cp:coreProperties>
</file>