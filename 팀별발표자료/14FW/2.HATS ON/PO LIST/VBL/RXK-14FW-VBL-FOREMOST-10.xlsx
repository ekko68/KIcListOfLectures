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<sst xmlns="http://schemas.openxmlformats.org/spreadsheetml/2006/main" count="2428" uniqueCount="61">
  <si>
    <t>PURCHASE ORDER LIST</t>
    <phoneticPr fontId="4" type="noConversion"/>
  </si>
  <si>
    <t>PO#</t>
    <phoneticPr fontId="4" type="noConversion"/>
  </si>
  <si>
    <t>RXK-14FW-VBL-FOREMOST-10</t>
    <phoneticPr fontId="4" type="noConversion"/>
  </si>
  <si>
    <t>VBL-FOREMOST-10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</si>
  <si>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</si>
  <si>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</si>
  <si>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</si>
  <si>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</si>
  <si>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</si>
  <si>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</si>
  <si>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</si>
  <si>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</si>
  <si>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</si>
  <si>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</si>
  <si>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</si>
  <si>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</si>
  <si>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</si>
  <si>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</si>
  <si>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</si>
  <si>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</si>
  <si>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</si>
  <si>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</si>
  <si>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</si>
  <si>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</si>
  <si>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</si>
  <si>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</si>
  <si>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</si>
  <si>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</si>
  <si>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</si>
  <si>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</si>
  <si>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</si>
  <si>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</si>
  <si>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</si>
  <si>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</si>
  <si>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</si>
  <si>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</si>
  <si>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</si>
  <si>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</si>
  <si>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VBLERF5005BLACK</t>
  </si>
  <si>
    <t>VITAL BLUE</t>
  </si>
  <si>
    <t>EARCAP</t>
  </si>
  <si>
    <t>U</t>
  </si>
  <si>
    <t>14FW VB 03_WIRE_BK</t>
  </si>
  <si>
    <t>VBLERF5005</t>
  </si>
  <si>
    <t>BLACK</t>
  </si>
  <si>
    <t/>
  </si>
  <si>
    <t>VBLERF5006GREY</t>
  </si>
  <si>
    <t>14FW VB 04_WIRE_GY</t>
  </si>
  <si>
    <t>VBLERF5006</t>
  </si>
  <si>
    <t>GREY</t>
  </si>
  <si>
    <t>VBLERF5506GREY</t>
  </si>
  <si>
    <t>K</t>
  </si>
  <si>
    <t>14FW VB 04_WIRE_GY_KIDS</t>
  </si>
  <si>
    <t>VBLERF5506</t>
  </si>
  <si>
    <t>VBLERF5007GREY</t>
  </si>
  <si>
    <t>14FW VB 11_WIRE_GY</t>
  </si>
  <si>
    <t>VBLERF5007</t>
  </si>
  <si>
    <t>VBLERF5507GREY</t>
  </si>
  <si>
    <t>14FW VB 11_WIRE_GY_KIDS</t>
  </si>
  <si>
    <t>VBLERF5507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</si>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</sst>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543027</xdr:rowOff>
    </xdr:to>
    <xdr:pic>
      <xdr:nvPicPr>
        <xdr:cNvPr id="2" name="그림 1" descr="14FW VB 03_WIRE_BK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306" y="285134956"/>
          <a:ext cx="540000" cy="434171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541356</xdr:rowOff>
    </xdr:to>
    <xdr:pic>
      <xdr:nvPicPr>
        <xdr:cNvPr id="3" name="그림 2" descr="14FW VB 04_WIRE_GY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0306" y="285801706"/>
          <a:ext cx="540000" cy="4325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541356</xdr:rowOff>
    </xdr:to>
    <xdr:pic>
      <xdr:nvPicPr>
        <xdr:cNvPr id="4" name="그림 3" descr="14FW VB 04_WIRE_GY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0306" y="286468456"/>
          <a:ext cx="540000" cy="4325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108856</xdr:rowOff>
    </xdr:from>
    <xdr:to>
      <xdr:col>7</xdr:col>
      <xdr:colOff>648856</xdr:colOff>
      <xdr:row>10</xdr:row>
      <xdr:rowOff>555182</xdr:rowOff>
    </xdr:to>
    <xdr:pic>
      <xdr:nvPicPr>
        <xdr:cNvPr id="5" name="그림 4" descr="14FW VB 11_WIRE_GY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0306" y="287801956"/>
          <a:ext cx="540000" cy="446326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11</xdr:row>
      <xdr:rowOff>108856</xdr:rowOff>
    </xdr:from>
    <xdr:to>
      <xdr:col>7</xdr:col>
      <xdr:colOff>648856</xdr:colOff>
      <xdr:row>11</xdr:row>
      <xdr:rowOff>555182</xdr:rowOff>
    </xdr:to>
    <xdr:pic>
      <xdr:nvPicPr>
        <xdr:cNvPr id="6" name="그림 5" descr="14FW VB 11_WIRE_GY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0306" y="288468706"/>
          <a:ext cx="540000" cy="4463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P9" activePane="bottomRight" state="frozen"/>
      <selection activeCell="AD15" sqref="AD15"/>
      <selection pane="topRight" activeCell="AD15" sqref="AD15"/>
      <selection pane="bottomLeft" activeCell="AD15" sqref="AD15"/>
      <selection pane="bottomRight" activeCell="AJ12" sqref="AJ12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41738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1200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51</v>
      </c>
      <c r="H10" s="73"/>
      <c r="I10" s="74" t="s">
        <v>52</v>
      </c>
      <c r="J10" s="71" t="s">
        <v>53</v>
      </c>
      <c r="K10" s="71" t="s">
        <v>49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>
        <v>900</v>
      </c>
      <c r="AH10" s="75">
        <v>300</v>
      </c>
      <c r="AI10" s="75" t="s">
        <v>45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55</v>
      </c>
      <c r="J11" s="71" t="s">
        <v>56</v>
      </c>
      <c r="K11" s="71" t="s">
        <v>49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1200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customHeight="1">
      <c r="A12" s="68">
        <v>5</v>
      </c>
      <c r="B12" s="69" t="s">
        <v>57</v>
      </c>
      <c r="D12" s="71">
        <v>5</v>
      </c>
      <c r="E12" s="72" t="s">
        <v>39</v>
      </c>
      <c r="F12" s="72" t="s">
        <v>40</v>
      </c>
      <c r="G12" s="72" t="s">
        <v>51</v>
      </c>
      <c r="H12" s="73"/>
      <c r="I12" s="74" t="s">
        <v>58</v>
      </c>
      <c r="J12" s="71" t="s">
        <v>59</v>
      </c>
      <c r="K12" s="71" t="s">
        <v>49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>
        <v>900</v>
      </c>
      <c r="AH12" s="75">
        <v>300</v>
      </c>
      <c r="AI12" s="75" t="s">
        <v>45</v>
      </c>
      <c r="AJ12" s="76">
        <f t="shared" si="0"/>
        <v>1200</v>
      </c>
      <c r="AK12" s="77">
        <v>0</v>
      </c>
      <c r="AL12" s="78">
        <v>0</v>
      </c>
      <c r="AM12" s="79">
        <v>0</v>
      </c>
      <c r="AN12" s="79">
        <v>41879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3600</v>
      </c>
      <c r="AF77" s="92">
        <f t="shared" ref="AF77" si="6">SUM(AF8:AF76)</f>
        <v>0</v>
      </c>
      <c r="AG77" s="92">
        <f t="shared" si="3"/>
        <v>1800</v>
      </c>
      <c r="AH77" s="92">
        <f t="shared" si="3"/>
        <v>600</v>
      </c>
      <c r="AI77" s="92">
        <f t="shared" si="3"/>
        <v>0</v>
      </c>
      <c r="AJ77" s="92">
        <f>SUM(AJ8:AJ76)</f>
        <v>6000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7" priority="18" stopIfTrue="1">
      <formula>$H13="TTL"</formula>
    </cfRule>
  </conditionalFormatting>
  <conditionalFormatting sqref="H28">
    <cfRule type="expression" dxfId="16" priority="17" stopIfTrue="1">
      <formula>$H28="TTL"</formula>
    </cfRule>
  </conditionalFormatting>
  <conditionalFormatting sqref="H13:H29">
    <cfRule type="expression" dxfId="15" priority="16" stopIfTrue="1">
      <formula>$H13="TTL"</formula>
    </cfRule>
  </conditionalFormatting>
  <conditionalFormatting sqref="H28">
    <cfRule type="expression" dxfId="14" priority="15" stopIfTrue="1">
      <formula>$H28="TTL"</formula>
    </cfRule>
  </conditionalFormatting>
  <conditionalFormatting sqref="H13:H30">
    <cfRule type="expression" dxfId="13" priority="14" stopIfTrue="1">
      <formula>$H13="TTL"</formula>
    </cfRule>
  </conditionalFormatting>
  <conditionalFormatting sqref="H13:H18">
    <cfRule type="expression" dxfId="11" priority="12" stopIfTrue="1">
      <formula>$H13="TTL"</formula>
    </cfRule>
  </conditionalFormatting>
  <conditionalFormatting sqref="H13:H14">
    <cfRule type="expression" dxfId="10" priority="11" stopIfTrue="1">
      <formula>$H13="TTL"</formula>
    </cfRule>
  </conditionalFormatting>
  <conditionalFormatting sqref="H13:H15">
    <cfRule type="expression" dxfId="9" priority="10" stopIfTrue="1">
      <formula>$H13="TTL"</formula>
    </cfRule>
  </conditionalFormatting>
  <conditionalFormatting sqref="H13:H32">
    <cfRule type="expression" dxfId="8" priority="9" stopIfTrue="1">
      <formula>$H13="TTL"</formula>
    </cfRule>
  </conditionalFormatting>
  <conditionalFormatting sqref="H13:H15">
    <cfRule type="expression" dxfId="7" priority="8" stopIfTrue="1">
      <formula>$H13="TTL"</formula>
    </cfRule>
  </conditionalFormatting>
  <conditionalFormatting sqref="H13:H14">
    <cfRule type="expression" dxfId="3" priority="4" stopIfTrue="1">
      <formula>$H13="TTL"</formula>
    </cfRule>
  </conditionalFormatting>
  <conditionalFormatting sqref="H8:H12">
    <cfRule type="expression" dxfId="1" priority="2" stopIfTrue="1">
      <formula>$I8="TTL"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2014-04-09T01:46:38Z</cp:lastPrinted>
  <dcterms:created xsi:type="dcterms:W3CDTF">2014-04-09T01:31:26Z</dcterms:created>
  <dcterms:modified xsi:type="dcterms:W3CDTF">2014-04-09T02:06:36Z</dcterms:modified>
</cp:coreProperties>
</file>