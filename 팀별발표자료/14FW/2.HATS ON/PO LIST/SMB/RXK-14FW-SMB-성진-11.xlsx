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320" yWindow="1200" windowWidth="27075" windowHeight="1119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<sst xmlns="http://schemas.openxmlformats.org/spreadsheetml/2006/main" count="2450" uniqueCount="48">
  <si>
    <t>PURCHASE ORDER LIST</t>
    <phoneticPr fontId="4" type="noConversion"/>
  </si>
  <si>
    <t>PO#</t>
    <phoneticPr fontId="4" type="noConversion"/>
  </si>
  <si>
    <t>SMB-성진-11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</si>
  <si>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</si>
  <si>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</si>
  <si>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</si>
  <si>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</si>
  <si>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</si>
  <si>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</si>
  <si>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</si>
  <si>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</si>
  <si>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</si>
  <si>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</si>
  <si>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</si>
  <si>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</si>
  <si>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</si>
  <si>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</si>
  <si>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</si>
  <si>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</si>
  <si>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</si>
  <si>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</si>
  <si>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</si>
  <si>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</si>
  <si>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</si>
  <si>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</si>
  <si>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</si>
  <si>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</si>
  <si>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</si>
  <si>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</si>
  <si>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</si>
  <si>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</si>
  <si>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</si>
  <si>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</si>
  <si>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</si>
  <si>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</si>
  <si>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</si>
  <si>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</si>
  <si>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TOTAL</t>
    <phoneticPr fontId="4" type="noConversion"/>
  </si>
  <si>
    <t>SMBERF5031GREY</t>
  </si>
  <si>
    <t>SUPER MASSIVE BOUND</t>
  </si>
  <si>
    <t>EARCAP</t>
  </si>
  <si>
    <t>U</t>
  </si>
  <si>
    <t>14FW SMB_30_FLAT_D.GY_N</t>
  </si>
  <si>
    <t>SMBERF5031</t>
  </si>
  <si>
    <t>GREY</t>
  </si>
  <si>
    <t/>
  </si>
  <si>
    <t>FW</t>
  </si>
  <si>
    <t>RXK-14FW-SMB-성진-11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</si>
</sst>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22"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108856</xdr:colOff>
      <xdr:row>7</xdr:row>
      <xdr:rowOff>136070</xdr:rowOff>
    </xdr:from>
    <xdr:to>
      <xdr:col>7</xdr:col>
      <xdr:colOff>648856</xdr:colOff>
      <xdr:row>7</xdr:row>
      <xdr:rowOff>541070</xdr:rowOff>
    </xdr:to>
    <xdr:pic>
      <xdr:nvPicPr>
        <xdr:cNvPr id="2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18981" y="731217920"/>
          <a:ext cx="540000" cy="405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Y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46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47</v>
      </c>
      <c r="F3" s="28"/>
      <c r="G3" s="28"/>
      <c r="H3" s="29"/>
      <c r="I3" s="30" t="s">
        <v>2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3</v>
      </c>
      <c r="AO3" s="37">
        <v>41771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4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5</v>
      </c>
      <c r="E6" s="49" t="s">
        <v>6</v>
      </c>
      <c r="F6" s="49" t="s">
        <v>7</v>
      </c>
      <c r="G6" s="49" t="s">
        <v>8</v>
      </c>
      <c r="H6" s="49" t="s">
        <v>9</v>
      </c>
      <c r="I6" s="49" t="s">
        <v>10</v>
      </c>
      <c r="J6" s="50" t="s">
        <v>11</v>
      </c>
      <c r="K6" s="50" t="s">
        <v>12</v>
      </c>
      <c r="L6" s="51" t="s">
        <v>13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14</v>
      </c>
      <c r="AL6" s="54"/>
      <c r="AM6" s="55" t="s">
        <v>15</v>
      </c>
      <c r="AN6" s="55"/>
      <c r="AO6" s="49" t="s">
        <v>16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17</v>
      </c>
      <c r="M7" s="60" t="s">
        <v>18</v>
      </c>
      <c r="N7" s="60" t="s">
        <v>19</v>
      </c>
      <c r="O7" s="60" t="s">
        <v>20</v>
      </c>
      <c r="P7" s="61"/>
      <c r="Q7" s="62" t="s">
        <v>21</v>
      </c>
      <c r="R7" s="62" t="s">
        <v>22</v>
      </c>
      <c r="S7" s="62" t="s">
        <v>23</v>
      </c>
      <c r="T7" s="62" t="s">
        <v>24</v>
      </c>
      <c r="U7" s="62" t="s">
        <v>25</v>
      </c>
      <c r="V7" s="62" t="s">
        <v>26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27</v>
      </c>
      <c r="AF7" s="61" t="s">
        <v>28</v>
      </c>
      <c r="AG7" s="61" t="s">
        <v>29</v>
      </c>
      <c r="AH7" s="61" t="s">
        <v>30</v>
      </c>
      <c r="AI7" s="61" t="s">
        <v>31</v>
      </c>
      <c r="AJ7" s="61" t="s">
        <v>32</v>
      </c>
      <c r="AK7" s="64" t="s">
        <v>33</v>
      </c>
      <c r="AL7" s="65" t="s">
        <v>34</v>
      </c>
      <c r="AM7" s="66" t="s">
        <v>35</v>
      </c>
      <c r="AN7" s="66" t="s">
        <v>36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73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>
        <v>1200</v>
      </c>
      <c r="AF8" s="75" t="s">
        <v>45</v>
      </c>
      <c r="AG8" s="75" t="s">
        <v>45</v>
      </c>
      <c r="AH8" s="75" t="s">
        <v>45</v>
      </c>
      <c r="AI8" s="75" t="s">
        <v>45</v>
      </c>
      <c r="AJ8" s="76">
        <f t="shared" ref="AJ8:AJ39" si="0">SUM(L8:AI8)</f>
        <v>1200</v>
      </c>
      <c r="AK8" s="77">
        <v>0</v>
      </c>
      <c r="AL8" s="78">
        <v>0</v>
      </c>
      <c r="AM8" s="79">
        <v>0</v>
      </c>
      <c r="AN8" s="79">
        <v>41907</v>
      </c>
      <c r="AO8" s="74"/>
      <c r="AP8" s="38"/>
    </row>
    <row r="9" spans="1:46" ht="52.5" hidden="1" customHeight="1">
      <c r="A9" s="68">
        <v>2</v>
      </c>
      <c r="B9" s="69" t="s">
        <v>45</v>
      </c>
      <c r="D9" s="71">
        <v>0</v>
      </c>
      <c r="E9" s="72" t="s">
        <v>45</v>
      </c>
      <c r="F9" s="72" t="s">
        <v>45</v>
      </c>
      <c r="G9" s="72" t="s">
        <v>45</v>
      </c>
      <c r="H9" s="73"/>
      <c r="I9" s="74" t="s">
        <v>45</v>
      </c>
      <c r="J9" s="71" t="s">
        <v>45</v>
      </c>
      <c r="K9" s="71" t="s">
        <v>45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 t="s">
        <v>45</v>
      </c>
      <c r="AF9" s="75" t="s">
        <v>45</v>
      </c>
      <c r="AG9" s="75" t="s">
        <v>45</v>
      </c>
      <c r="AH9" s="75" t="s">
        <v>45</v>
      </c>
      <c r="AI9" s="75" t="s">
        <v>45</v>
      </c>
      <c r="AJ9" s="76">
        <f t="shared" si="0"/>
        <v>0</v>
      </c>
      <c r="AK9" s="77" t="s">
        <v>45</v>
      </c>
      <c r="AL9" s="78" t="s">
        <v>45</v>
      </c>
      <c r="AM9" s="79" t="s">
        <v>45</v>
      </c>
      <c r="AN9" s="79" t="s">
        <v>45</v>
      </c>
      <c r="AO9" s="74"/>
    </row>
    <row r="10" spans="1:46" ht="52.5" hidden="1" customHeight="1">
      <c r="A10" s="68">
        <v>3</v>
      </c>
      <c r="B10" s="69" t="s">
        <v>45</v>
      </c>
      <c r="D10" s="71">
        <v>0</v>
      </c>
      <c r="E10" s="72" t="s">
        <v>45</v>
      </c>
      <c r="F10" s="72" t="s">
        <v>45</v>
      </c>
      <c r="G10" s="72" t="s">
        <v>45</v>
      </c>
      <c r="H10" s="73"/>
      <c r="I10" s="74" t="s">
        <v>45</v>
      </c>
      <c r="J10" s="71" t="s">
        <v>45</v>
      </c>
      <c r="K10" s="71" t="s">
        <v>45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 t="s">
        <v>45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0</v>
      </c>
      <c r="AK10" s="77" t="s">
        <v>45</v>
      </c>
      <c r="AL10" s="78" t="s">
        <v>45</v>
      </c>
      <c r="AM10" s="79" t="s">
        <v>45</v>
      </c>
      <c r="AN10" s="79" t="s">
        <v>45</v>
      </c>
      <c r="AO10" s="74"/>
    </row>
    <row r="11" spans="1:46" ht="52.5" hidden="1" customHeight="1">
      <c r="A11" s="68">
        <v>4</v>
      </c>
      <c r="B11" s="69" t="s">
        <v>45</v>
      </c>
      <c r="D11" s="71">
        <v>0</v>
      </c>
      <c r="E11" s="72" t="s">
        <v>45</v>
      </c>
      <c r="F11" s="72" t="s">
        <v>45</v>
      </c>
      <c r="G11" s="72" t="s">
        <v>45</v>
      </c>
      <c r="H11" s="73"/>
      <c r="I11" s="74" t="s">
        <v>45</v>
      </c>
      <c r="J11" s="71" t="s">
        <v>45</v>
      </c>
      <c r="K11" s="71" t="s">
        <v>45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 t="s">
        <v>45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0</v>
      </c>
      <c r="AK11" s="77" t="s">
        <v>45</v>
      </c>
      <c r="AL11" s="78" t="s">
        <v>45</v>
      </c>
      <c r="AM11" s="79" t="s">
        <v>45</v>
      </c>
      <c r="AN11" s="79" t="s">
        <v>45</v>
      </c>
      <c r="AO11" s="74"/>
    </row>
    <row r="12" spans="1:46" ht="52.5" hidden="1" customHeight="1">
      <c r="A12" s="68">
        <v>5</v>
      </c>
      <c r="B12" s="69" t="s">
        <v>45</v>
      </c>
      <c r="D12" s="71">
        <v>0</v>
      </c>
      <c r="E12" s="72" t="s">
        <v>45</v>
      </c>
      <c r="F12" s="72" t="s">
        <v>45</v>
      </c>
      <c r="G12" s="72" t="s">
        <v>45</v>
      </c>
      <c r="H12" s="73"/>
      <c r="I12" s="74" t="s">
        <v>45</v>
      </c>
      <c r="J12" s="71" t="s">
        <v>45</v>
      </c>
      <c r="K12" s="71" t="s">
        <v>45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 t="s">
        <v>45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0</v>
      </c>
      <c r="AK12" s="77" t="s">
        <v>45</v>
      </c>
      <c r="AL12" s="78" t="s">
        <v>45</v>
      </c>
      <c r="AM12" s="79" t="s">
        <v>45</v>
      </c>
      <c r="AN12" s="79" t="s">
        <v>45</v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0</v>
      </c>
      <c r="AK13" s="77" t="s">
        <v>45</v>
      </c>
      <c r="AL13" s="78" t="s">
        <v>45</v>
      </c>
      <c r="AM13" s="79" t="s">
        <v>45</v>
      </c>
      <c r="AN13" s="79" t="s">
        <v>45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 t="shared" ref="AJ72:AJ76" si="2"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 t="shared" si="2"/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 t="shared" si="2"/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 t="shared" si="2"/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 t="shared" si="2"/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37</v>
      </c>
      <c r="E77" s="90"/>
      <c r="F77" s="91"/>
      <c r="G77" s="91"/>
      <c r="H77" s="91"/>
      <c r="I77" s="91"/>
      <c r="J77" s="91"/>
      <c r="K77" s="91"/>
      <c r="L77" s="92">
        <f t="shared" ref="L77:AI77" si="3">SUM(L8:L76)</f>
        <v>0</v>
      </c>
      <c r="M77" s="92">
        <f t="shared" si="3"/>
        <v>0</v>
      </c>
      <c r="N77" s="92">
        <f t="shared" si="3"/>
        <v>0</v>
      </c>
      <c r="O77" s="92">
        <f t="shared" si="3"/>
        <v>0</v>
      </c>
      <c r="P77" s="92">
        <f>SUM(P8:P76)</f>
        <v>0</v>
      </c>
      <c r="Q77" s="92">
        <f>SUM(Q8:Q76)</f>
        <v>0</v>
      </c>
      <c r="R77" s="92">
        <f t="shared" si="3"/>
        <v>0</v>
      </c>
      <c r="S77" s="92">
        <f>SUM(S8:S76)</f>
        <v>0</v>
      </c>
      <c r="T77" s="92">
        <f t="shared" si="3"/>
        <v>0</v>
      </c>
      <c r="U77" s="92">
        <f t="shared" si="3"/>
        <v>0</v>
      </c>
      <c r="V77" s="92">
        <f t="shared" si="3"/>
        <v>0</v>
      </c>
      <c r="W77" s="92">
        <f>SUM(W8:W76)</f>
        <v>0</v>
      </c>
      <c r="X77" s="92">
        <f>SUM(X8:X76)</f>
        <v>0</v>
      </c>
      <c r="Y77" s="92">
        <f t="shared" ref="Y77" si="4">SUM(Y8:Y76)</f>
        <v>0</v>
      </c>
      <c r="Z77" s="92">
        <f>SUM(Z8:Z76)</f>
        <v>0</v>
      </c>
      <c r="AA77" s="92">
        <f t="shared" ref="AA77:AC77" si="5">SUM(AA8:AA76)</f>
        <v>0</v>
      </c>
      <c r="AB77" s="92">
        <f t="shared" si="5"/>
        <v>0</v>
      </c>
      <c r="AC77" s="92">
        <f t="shared" si="5"/>
        <v>0</v>
      </c>
      <c r="AD77" s="92">
        <f>SUM(AD8:AD76)</f>
        <v>0</v>
      </c>
      <c r="AE77" s="92">
        <f>SUM(AE8:AE76)</f>
        <v>1200</v>
      </c>
      <c r="AF77" s="92">
        <f t="shared" ref="AF77" si="6">SUM(AF8:AF76)</f>
        <v>0</v>
      </c>
      <c r="AG77" s="92">
        <f t="shared" si="3"/>
        <v>0</v>
      </c>
      <c r="AH77" s="92">
        <f t="shared" si="3"/>
        <v>0</v>
      </c>
      <c r="AI77" s="92">
        <f t="shared" si="3"/>
        <v>0</v>
      </c>
      <c r="AJ77" s="92">
        <f>SUM(AJ8:AJ76)</f>
        <v>1200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>
      <c r="A126" s="68"/>
      <c r="B126" s="69"/>
    </row>
    <row r="127" spans="1:2" ht="13.5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9:H29 H68:H76">
    <cfRule type="expression" dxfId="21" priority="19" stopIfTrue="1">
      <formula>$H9="TTL"</formula>
    </cfRule>
  </conditionalFormatting>
  <conditionalFormatting sqref="H28">
    <cfRule type="expression" dxfId="20" priority="18" stopIfTrue="1">
      <formula>$H28="TTL"</formula>
    </cfRule>
  </conditionalFormatting>
  <conditionalFormatting sqref="H9:H29">
    <cfRule type="expression" dxfId="19" priority="17" stopIfTrue="1">
      <formula>$H9="TTL"</formula>
    </cfRule>
  </conditionalFormatting>
  <conditionalFormatting sqref="H28">
    <cfRule type="expression" dxfId="18" priority="16" stopIfTrue="1">
      <formula>$H28="TTL"</formula>
    </cfRule>
  </conditionalFormatting>
  <conditionalFormatting sqref="H9:H30">
    <cfRule type="expression" dxfId="17" priority="15" stopIfTrue="1">
      <formula>$H9="TTL"</formula>
    </cfRule>
  </conditionalFormatting>
  <conditionalFormatting sqref="H9:H10">
    <cfRule type="expression" dxfId="16" priority="14" stopIfTrue="1">
      <formula>$H9="TTL"</formula>
    </cfRule>
  </conditionalFormatting>
  <conditionalFormatting sqref="H9:H18">
    <cfRule type="expression" dxfId="15" priority="13" stopIfTrue="1">
      <formula>$H9="TTL"</formula>
    </cfRule>
  </conditionalFormatting>
  <conditionalFormatting sqref="H9:H14">
    <cfRule type="expression" dxfId="14" priority="12" stopIfTrue="1">
      <formula>$H9="TTL"</formula>
    </cfRule>
  </conditionalFormatting>
  <conditionalFormatting sqref="H9:H15">
    <cfRule type="expression" dxfId="13" priority="11" stopIfTrue="1">
      <formula>$H9="TTL"</formula>
    </cfRule>
  </conditionalFormatting>
  <conditionalFormatting sqref="H9:H32">
    <cfRule type="expression" dxfId="12" priority="10" stopIfTrue="1">
      <formula>$H9="TTL"</formula>
    </cfRule>
  </conditionalFormatting>
  <conditionalFormatting sqref="H9:H15">
    <cfRule type="expression" dxfId="11" priority="9" stopIfTrue="1">
      <formula>$H9="TTL"</formula>
    </cfRule>
  </conditionalFormatting>
  <conditionalFormatting sqref="H9:H11">
    <cfRule type="expression" dxfId="10" priority="8" stopIfTrue="1">
      <formula>$H9="TTL"</formula>
    </cfRule>
  </conditionalFormatting>
  <conditionalFormatting sqref="H9:H12">
    <cfRule type="expression" dxfId="9" priority="7" stopIfTrue="1">
      <formula>$H9="TTL"</formula>
    </cfRule>
  </conditionalFormatting>
  <conditionalFormatting sqref="H9">
    <cfRule type="expression" dxfId="8" priority="6" stopIfTrue="1">
      <formula>$H9="TTL"</formula>
    </cfRule>
  </conditionalFormatting>
  <conditionalFormatting sqref="H9:H14">
    <cfRule type="expression" dxfId="7" priority="5" stopIfTrue="1">
      <formula>$H9="TTL"</formula>
    </cfRule>
  </conditionalFormatting>
  <conditionalFormatting sqref="H9:H12">
    <cfRule type="expression" dxfId="6" priority="4" stopIfTrue="1">
      <formula>$I9="TTL"</formula>
    </cfRule>
  </conditionalFormatting>
  <conditionalFormatting sqref="H8">
    <cfRule type="expression" dxfId="5" priority="3" stopIfTrue="1">
      <formula>$I8="TTL"</formula>
    </cfRule>
  </conditionalFormatting>
  <conditionalFormatting sqref="H8">
    <cfRule type="expression" dxfId="3" priority="2">
      <formula>$I8="TTL"</formula>
    </cfRule>
  </conditionalFormatting>
  <conditionalFormatting sqref="H8">
    <cfRule type="expression" dxfId="1" priority="1" stopIfTrue="1">
      <formula>$M8="TTL"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2014-05-12T06:20:38Z</dcterms:created>
  <dcterms:modified xsi:type="dcterms:W3CDTF">2014-05-12T06:21:16Z</dcterms:modified>
</cp:coreProperties>
</file>