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<sst xmlns="http://schemas.openxmlformats.org/spreadsheetml/2006/main" count="2434" uniqueCount="59">
  <si>
    <t>PURCHASE ORDER LIST</t>
    <phoneticPr fontId="4" type="noConversion"/>
  </si>
  <si>
    <t>PO#</t>
    <phoneticPr fontId="4" type="noConversion"/>
  </si>
  <si>
    <t>SMB-동일모자-22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</si>
  <si>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</si>
  <si>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</si>
  <si>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</si>
  <si>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</si>
  <si>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</si>
  <si>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</si>
  <si>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</si>
  <si>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</si>
  <si>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</si>
  <si>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</si>
  <si>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</si>
  <si>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</si>
  <si>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</si>
  <si>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</si>
  <si>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</si>
  <si>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</si>
  <si>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</si>
  <si>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</si>
  <si>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</si>
  <si>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</si>
  <si>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</si>
  <si>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</si>
  <si>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</si>
  <si>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</si>
  <si>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</si>
  <si>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</si>
  <si>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</si>
  <si>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</si>
  <si>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</si>
  <si>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</si>
  <si>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</si>
  <si>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</si>
  <si>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</si>
  <si>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</si>
  <si>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</si>
  <si>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SMBERF5028NAVY</t>
  </si>
  <si>
    <t>SUPER MASSIVE BOUND</t>
  </si>
  <si>
    <t>EARCAP</t>
  </si>
  <si>
    <t>U</t>
  </si>
  <si>
    <t>14FW SMB_10_CURVED_NY_N</t>
  </si>
  <si>
    <t>NAVY</t>
  </si>
  <si>
    <t/>
  </si>
  <si>
    <t>SMBERF5029NAVY</t>
  </si>
  <si>
    <t>14FW SMB_12_CURVED_NV_N</t>
  </si>
  <si>
    <t>SMBERF5529NAVY</t>
  </si>
  <si>
    <t>K</t>
  </si>
  <si>
    <t>14FW SMB_12_CURVED_NV_N_KIDS</t>
  </si>
  <si>
    <t>SMBERF5529</t>
  </si>
  <si>
    <t>SMBERF5030GREY</t>
  </si>
  <si>
    <t>14FW SMB_14_CURVED_GY_N</t>
  </si>
  <si>
    <t>SMBERF5030</t>
  </si>
  <si>
    <t>GREY</t>
  </si>
  <si>
    <t>FW</t>
  </si>
  <si>
    <t>RXK-14FW-SMB-동일모자-22</t>
    <phoneticPr fontId="4" type="noConversion"/>
  </si>
  <si>
    <t>SMBERF5028</t>
    <phoneticPr fontId="3" type="noConversion"/>
  </si>
  <si>
    <t>SMBERF5029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</si>
</sst>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95249</xdr:rowOff>
    </xdr:from>
    <xdr:to>
      <xdr:col>7</xdr:col>
      <xdr:colOff>648856</xdr:colOff>
      <xdr:row>7</xdr:row>
      <xdr:rowOff>541336</xdr:rowOff>
    </xdr:to>
    <xdr:pic>
      <xdr:nvPicPr>
        <xdr:cNvPr id="2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19842349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532835</xdr:rowOff>
    </xdr:to>
    <xdr:pic>
      <xdr:nvPicPr>
        <xdr:cNvPr id="3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72050909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9</xdr:row>
      <xdr:rowOff>95249</xdr:rowOff>
    </xdr:from>
    <xdr:to>
      <xdr:col>7</xdr:col>
      <xdr:colOff>648856</xdr:colOff>
      <xdr:row>9</xdr:row>
      <xdr:rowOff>532835</xdr:rowOff>
    </xdr:to>
    <xdr:pic>
      <xdr:nvPicPr>
        <xdr:cNvPr id="4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72117584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10</xdr:row>
      <xdr:rowOff>95249</xdr:rowOff>
    </xdr:from>
    <xdr:to>
      <xdr:col>7</xdr:col>
      <xdr:colOff>648856</xdr:colOff>
      <xdr:row>10</xdr:row>
      <xdr:rowOff>532835</xdr:rowOff>
    </xdr:to>
    <xdr:pic>
      <xdr:nvPicPr>
        <xdr:cNvPr id="5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722509349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J93" sqref="AJ9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56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41771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57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99">
        <v>800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41876</v>
      </c>
      <c r="AO8" s="61"/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46</v>
      </c>
      <c r="J9" s="58" t="s">
        <v>58</v>
      </c>
      <c r="K9" s="58" t="s">
        <v>43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99">
        <v>800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800</v>
      </c>
      <c r="AK9" s="64">
        <v>0</v>
      </c>
      <c r="AL9" s="65">
        <v>0</v>
      </c>
      <c r="AM9" s="66">
        <v>0</v>
      </c>
      <c r="AN9" s="66">
        <v>41876</v>
      </c>
      <c r="AO9" s="61"/>
    </row>
    <row r="10" spans="1:46" ht="52.5" customHeight="1">
      <c r="A10" s="55">
        <v>3</v>
      </c>
      <c r="B10" s="56" t="s">
        <v>47</v>
      </c>
      <c r="D10" s="58">
        <v>3</v>
      </c>
      <c r="E10" s="59" t="s">
        <v>39</v>
      </c>
      <c r="F10" s="59" t="s">
        <v>40</v>
      </c>
      <c r="G10" s="59" t="s">
        <v>48</v>
      </c>
      <c r="H10" s="60"/>
      <c r="I10" s="61" t="s">
        <v>49</v>
      </c>
      <c r="J10" s="58" t="s">
        <v>50</v>
      </c>
      <c r="K10" s="58" t="s">
        <v>43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>
        <v>700</v>
      </c>
      <c r="AH10" s="62">
        <v>300</v>
      </c>
      <c r="AI10" s="62" t="s">
        <v>44</v>
      </c>
      <c r="AJ10" s="63">
        <f t="shared" si="0"/>
        <v>1000</v>
      </c>
      <c r="AK10" s="64">
        <v>0</v>
      </c>
      <c r="AL10" s="65">
        <v>0</v>
      </c>
      <c r="AM10" s="66">
        <v>0</v>
      </c>
      <c r="AN10" s="66">
        <v>41876</v>
      </c>
      <c r="AO10" s="61"/>
    </row>
    <row r="11" spans="1:46" ht="52.5" customHeight="1">
      <c r="A11" s="55">
        <v>4</v>
      </c>
      <c r="B11" s="56" t="s">
        <v>51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52</v>
      </c>
      <c r="J11" s="58" t="s">
        <v>53</v>
      </c>
      <c r="K11" s="58" t="s">
        <v>54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>
        <v>1000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1000</v>
      </c>
      <c r="AK11" s="64">
        <v>0</v>
      </c>
      <c r="AL11" s="65">
        <v>0</v>
      </c>
      <c r="AM11" s="66">
        <v>0</v>
      </c>
      <c r="AN11" s="66">
        <v>41876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37</v>
      </c>
      <c r="E77" s="87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2600</v>
      </c>
      <c r="AF77" s="78">
        <f t="shared" ref="AF77" si="6">SUM(AF8:AF76)</f>
        <v>0</v>
      </c>
      <c r="AG77" s="78">
        <f t="shared" si="3"/>
        <v>700</v>
      </c>
      <c r="AH77" s="78">
        <f t="shared" si="3"/>
        <v>300</v>
      </c>
      <c r="AI77" s="78">
        <f t="shared" si="3"/>
        <v>0</v>
      </c>
      <c r="AJ77" s="78">
        <f>SUM(AJ8:AJ76)</f>
        <v>3600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2:H29 H68:H76">
    <cfRule type="expression" dxfId="16" priority="19" stopIfTrue="1">
      <formula>$H12="TTL"</formula>
    </cfRule>
  </conditionalFormatting>
  <conditionalFormatting sqref="H28">
    <cfRule type="expression" dxfId="15" priority="18" stopIfTrue="1">
      <formula>$H28="TTL"</formula>
    </cfRule>
  </conditionalFormatting>
  <conditionalFormatting sqref="H12:H29">
    <cfRule type="expression" dxfId="14" priority="17" stopIfTrue="1">
      <formula>$H12="TTL"</formula>
    </cfRule>
  </conditionalFormatting>
  <conditionalFormatting sqref="H28">
    <cfRule type="expression" dxfId="13" priority="16" stopIfTrue="1">
      <formula>$H28="TTL"</formula>
    </cfRule>
  </conditionalFormatting>
  <conditionalFormatting sqref="H12:H30">
    <cfRule type="expression" dxfId="12" priority="15" stopIfTrue="1">
      <formula>$H12="TTL"</formula>
    </cfRule>
  </conditionalFormatting>
  <conditionalFormatting sqref="H12:H18">
    <cfRule type="expression" dxfId="11" priority="13" stopIfTrue="1">
      <formula>$H12="TTL"</formula>
    </cfRule>
  </conditionalFormatting>
  <conditionalFormatting sqref="H12:H14">
    <cfRule type="expression" dxfId="10" priority="12" stopIfTrue="1">
      <formula>$H12="TTL"</formula>
    </cfRule>
  </conditionalFormatting>
  <conditionalFormatting sqref="H12:H15">
    <cfRule type="expression" dxfId="9" priority="11" stopIfTrue="1">
      <formula>$H12="TTL"</formula>
    </cfRule>
  </conditionalFormatting>
  <conditionalFormatting sqref="H12:H32">
    <cfRule type="expression" dxfId="8" priority="10" stopIfTrue="1">
      <formula>$H12="TTL"</formula>
    </cfRule>
  </conditionalFormatting>
  <conditionalFormatting sqref="H12:H15">
    <cfRule type="expression" dxfId="7" priority="9" stopIfTrue="1">
      <formula>$H12="TTL"</formula>
    </cfRule>
  </conditionalFormatting>
  <conditionalFormatting sqref="H12">
    <cfRule type="expression" dxfId="6" priority="7" stopIfTrue="1">
      <formula>$H12="TTL"</formula>
    </cfRule>
  </conditionalFormatting>
  <conditionalFormatting sqref="H12:H14">
    <cfRule type="expression" dxfId="5" priority="5" stopIfTrue="1">
      <formula>$H12="TTL"</formula>
    </cfRule>
  </conditionalFormatting>
  <conditionalFormatting sqref="H12">
    <cfRule type="expression" dxfId="4" priority="4" stopIfTrue="1">
      <formula>$I12="TTL"</formula>
    </cfRule>
  </conditionalFormatting>
  <conditionalFormatting sqref="H8:H11">
    <cfRule type="expression" dxfId="3" priority="3" stopIfTrue="1">
      <formula>$I8="TTL"</formula>
    </cfRule>
  </conditionalFormatting>
  <conditionalFormatting sqref="H8:H11">
    <cfRule type="expression" dxfId="2" priority="2">
      <formula>$I8="TTL"</formula>
    </cfRule>
  </conditionalFormatting>
  <conditionalFormatting sqref="H8:H11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2014-05-12T06:18:09Z</dcterms:created>
  <dcterms:modified xsi:type="dcterms:W3CDTF">2014-06-16T01:34:33Z</dcterms:modified>
</cp:coreProperties>
</file>