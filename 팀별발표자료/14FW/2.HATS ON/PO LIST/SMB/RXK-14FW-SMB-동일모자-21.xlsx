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<sst xmlns="http://schemas.openxmlformats.org/spreadsheetml/2006/main" count="2439" uniqueCount="56">
  <si>
    <t>PURCHASE ORDER LIST</t>
    <phoneticPr fontId="4" type="noConversion"/>
  </si>
  <si>
    <t>PO#</t>
    <phoneticPr fontId="4" type="noConversion"/>
  </si>
  <si>
    <t>SMB-동일모자-21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</si>
  <si>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</si>
  <si>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</si>
  <si>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</si>
  <si>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</si>
  <si>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</si>
  <si>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</si>
  <si>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</si>
  <si>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</si>
  <si>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</si>
  <si>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</si>
  <si>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</si>
  <si>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</si>
  <si>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</si>
  <si>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</si>
  <si>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</si>
  <si>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</si>
  <si>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</si>
  <si>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</si>
  <si>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</si>
  <si>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</si>
  <si>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</si>
  <si>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</si>
  <si>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</si>
  <si>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</si>
  <si>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</si>
  <si>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</si>
  <si>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</si>
  <si>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</si>
  <si>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</si>
  <si>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</si>
  <si>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</si>
  <si>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</si>
  <si>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</si>
  <si>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</si>
  <si>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</si>
  <si>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SMBBAF5026GREY</t>
  </si>
  <si>
    <t>SUPER MASSIVE BOUND</t>
  </si>
  <si>
    <t>BASIC CAP</t>
  </si>
  <si>
    <t>U</t>
  </si>
  <si>
    <t>14FW SMB_20_CURVED_GY_N</t>
  </si>
  <si>
    <t>SMBBAF5026</t>
  </si>
  <si>
    <t>GREY</t>
  </si>
  <si>
    <t/>
  </si>
  <si>
    <t>SMBBAF5526GREY</t>
  </si>
  <si>
    <t>K</t>
  </si>
  <si>
    <t>14FW SMB_20_CURVED_GY_N_KIDS</t>
  </si>
  <si>
    <t>SMBBAF5526</t>
  </si>
  <si>
    <t>SMBBAF5027BLACK</t>
  </si>
  <si>
    <t>14FW SMB_23_CURVED_BK_N</t>
  </si>
  <si>
    <t>SMBBAF5027</t>
  </si>
  <si>
    <t>BLACK</t>
  </si>
  <si>
    <t>FW</t>
  </si>
  <si>
    <t>RXK-14FW-SMB-동일모자-21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</si>
</sst>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22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176891</xdr:colOff>
      <xdr:row>7</xdr:row>
      <xdr:rowOff>95250</xdr:rowOff>
    </xdr:from>
    <xdr:to>
      <xdr:col>7</xdr:col>
      <xdr:colOff>608891</xdr:colOff>
      <xdr:row>7</xdr:row>
      <xdr:rowOff>587220</xdr:rowOff>
    </xdr:to>
    <xdr:pic>
      <xdr:nvPicPr>
        <xdr:cNvPr id="2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87016" y="717175350"/>
          <a:ext cx="432000" cy="4919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176891</xdr:colOff>
      <xdr:row>8</xdr:row>
      <xdr:rowOff>95250</xdr:rowOff>
    </xdr:from>
    <xdr:to>
      <xdr:col>7</xdr:col>
      <xdr:colOff>608891</xdr:colOff>
      <xdr:row>8</xdr:row>
      <xdr:rowOff>587220</xdr:rowOff>
    </xdr:to>
    <xdr:pic>
      <xdr:nvPicPr>
        <xdr:cNvPr id="3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87016" y="717842100"/>
          <a:ext cx="432000" cy="4919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176891</xdr:colOff>
      <xdr:row>9</xdr:row>
      <xdr:rowOff>95249</xdr:rowOff>
    </xdr:from>
    <xdr:to>
      <xdr:col>7</xdr:col>
      <xdr:colOff>608891</xdr:colOff>
      <xdr:row>9</xdr:row>
      <xdr:rowOff>527249</xdr:rowOff>
    </xdr:to>
    <xdr:pic>
      <xdr:nvPicPr>
        <xdr:cNvPr id="4" name="Picture 2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87016" y="718508849"/>
          <a:ext cx="432000" cy="432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Y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54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55</v>
      </c>
      <c r="F3" s="28"/>
      <c r="G3" s="28"/>
      <c r="H3" s="29"/>
      <c r="I3" s="30" t="s">
        <v>2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3</v>
      </c>
      <c r="AO3" s="37">
        <v>41771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4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5</v>
      </c>
      <c r="E6" s="49" t="s">
        <v>6</v>
      </c>
      <c r="F6" s="49" t="s">
        <v>7</v>
      </c>
      <c r="G6" s="49" t="s">
        <v>8</v>
      </c>
      <c r="H6" s="49" t="s">
        <v>9</v>
      </c>
      <c r="I6" s="49" t="s">
        <v>10</v>
      </c>
      <c r="J6" s="50" t="s">
        <v>11</v>
      </c>
      <c r="K6" s="50" t="s">
        <v>12</v>
      </c>
      <c r="L6" s="51" t="s">
        <v>13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14</v>
      </c>
      <c r="AL6" s="54"/>
      <c r="AM6" s="55" t="s">
        <v>15</v>
      </c>
      <c r="AN6" s="55"/>
      <c r="AO6" s="49" t="s">
        <v>16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17</v>
      </c>
      <c r="M7" s="60" t="s">
        <v>18</v>
      </c>
      <c r="N7" s="60" t="s">
        <v>19</v>
      </c>
      <c r="O7" s="60" t="s">
        <v>20</v>
      </c>
      <c r="P7" s="61"/>
      <c r="Q7" s="62" t="s">
        <v>21</v>
      </c>
      <c r="R7" s="62" t="s">
        <v>22</v>
      </c>
      <c r="S7" s="62" t="s">
        <v>23</v>
      </c>
      <c r="T7" s="62" t="s">
        <v>24</v>
      </c>
      <c r="U7" s="62" t="s">
        <v>25</v>
      </c>
      <c r="V7" s="62" t="s">
        <v>26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27</v>
      </c>
      <c r="AF7" s="61" t="s">
        <v>28</v>
      </c>
      <c r="AG7" s="61" t="s">
        <v>29</v>
      </c>
      <c r="AH7" s="61" t="s">
        <v>30</v>
      </c>
      <c r="AI7" s="61" t="s">
        <v>31</v>
      </c>
      <c r="AJ7" s="61" t="s">
        <v>32</v>
      </c>
      <c r="AK7" s="64" t="s">
        <v>33</v>
      </c>
      <c r="AL7" s="65" t="s">
        <v>34</v>
      </c>
      <c r="AM7" s="66" t="s">
        <v>35</v>
      </c>
      <c r="AN7" s="66" t="s">
        <v>36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1200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1200</v>
      </c>
      <c r="AK8" s="77">
        <v>0</v>
      </c>
      <c r="AL8" s="78">
        <v>0</v>
      </c>
      <c r="AM8" s="79">
        <v>0</v>
      </c>
      <c r="AN8" s="79">
        <v>41848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47</v>
      </c>
      <c r="H9" s="73"/>
      <c r="I9" s="74" t="s">
        <v>48</v>
      </c>
      <c r="J9" s="71" t="s">
        <v>49</v>
      </c>
      <c r="K9" s="71" t="s">
        <v>44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>
        <v>800</v>
      </c>
      <c r="AH9" s="75">
        <v>400</v>
      </c>
      <c r="AI9" s="75" t="s">
        <v>45</v>
      </c>
      <c r="AJ9" s="76">
        <f t="shared" si="0"/>
        <v>1200</v>
      </c>
      <c r="AK9" s="77">
        <v>0</v>
      </c>
      <c r="AL9" s="78">
        <v>0</v>
      </c>
      <c r="AM9" s="79">
        <v>0</v>
      </c>
      <c r="AN9" s="79">
        <v>41848</v>
      </c>
      <c r="AO9" s="74"/>
    </row>
    <row r="10" spans="1:46" ht="52.5" customHeight="1">
      <c r="A10" s="68">
        <v>3</v>
      </c>
      <c r="B10" s="69" t="s">
        <v>50</v>
      </c>
      <c r="D10" s="71">
        <v>3</v>
      </c>
      <c r="E10" s="72" t="s">
        <v>39</v>
      </c>
      <c r="F10" s="72" t="s">
        <v>40</v>
      </c>
      <c r="G10" s="72" t="s">
        <v>41</v>
      </c>
      <c r="H10" s="73"/>
      <c r="I10" s="74" t="s">
        <v>51</v>
      </c>
      <c r="J10" s="71" t="s">
        <v>52</v>
      </c>
      <c r="K10" s="71" t="s">
        <v>53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>
        <v>1000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1000</v>
      </c>
      <c r="AK10" s="77">
        <v>0</v>
      </c>
      <c r="AL10" s="78">
        <v>0</v>
      </c>
      <c r="AM10" s="79">
        <v>0</v>
      </c>
      <c r="AN10" s="79">
        <v>41848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37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2200</v>
      </c>
      <c r="AF77" s="92">
        <f t="shared" ref="AF77" si="6">SUM(AF8:AF76)</f>
        <v>0</v>
      </c>
      <c r="AG77" s="92">
        <f t="shared" si="3"/>
        <v>800</v>
      </c>
      <c r="AH77" s="92">
        <f t="shared" si="3"/>
        <v>400</v>
      </c>
      <c r="AI77" s="92">
        <f t="shared" si="3"/>
        <v>0</v>
      </c>
      <c r="AJ77" s="92">
        <f>SUM(AJ8:AJ76)</f>
        <v>3400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1:H29 H68:H76">
    <cfRule type="expression" dxfId="21" priority="19" stopIfTrue="1">
      <formula>$H11="TTL"</formula>
    </cfRule>
  </conditionalFormatting>
  <conditionalFormatting sqref="H28">
    <cfRule type="expression" dxfId="20" priority="18" stopIfTrue="1">
      <formula>$H28="TTL"</formula>
    </cfRule>
  </conditionalFormatting>
  <conditionalFormatting sqref="H11:H29">
    <cfRule type="expression" dxfId="19" priority="17" stopIfTrue="1">
      <formula>$H11="TTL"</formula>
    </cfRule>
  </conditionalFormatting>
  <conditionalFormatting sqref="H28">
    <cfRule type="expression" dxfId="18" priority="16" stopIfTrue="1">
      <formula>$H28="TTL"</formula>
    </cfRule>
  </conditionalFormatting>
  <conditionalFormatting sqref="H11:H30">
    <cfRule type="expression" dxfId="17" priority="15" stopIfTrue="1">
      <formula>$H11="TTL"</formula>
    </cfRule>
  </conditionalFormatting>
  <conditionalFormatting sqref="H11:H18">
    <cfRule type="expression" dxfId="15" priority="13" stopIfTrue="1">
      <formula>$H11="TTL"</formula>
    </cfRule>
  </conditionalFormatting>
  <conditionalFormatting sqref="H11:H14">
    <cfRule type="expression" dxfId="14" priority="12" stopIfTrue="1">
      <formula>$H11="TTL"</formula>
    </cfRule>
  </conditionalFormatting>
  <conditionalFormatting sqref="H11:H15">
    <cfRule type="expression" dxfId="13" priority="11" stopIfTrue="1">
      <formula>$H11="TTL"</formula>
    </cfRule>
  </conditionalFormatting>
  <conditionalFormatting sqref="H11:H32">
    <cfRule type="expression" dxfId="12" priority="10" stopIfTrue="1">
      <formula>$H11="TTL"</formula>
    </cfRule>
  </conditionalFormatting>
  <conditionalFormatting sqref="H11:H15">
    <cfRule type="expression" dxfId="11" priority="9" stopIfTrue="1">
      <formula>$H11="TTL"</formula>
    </cfRule>
  </conditionalFormatting>
  <conditionalFormatting sqref="H11">
    <cfRule type="expression" dxfId="10" priority="8" stopIfTrue="1">
      <formula>$H11="TTL"</formula>
    </cfRule>
  </conditionalFormatting>
  <conditionalFormatting sqref="H11:H12">
    <cfRule type="expression" dxfId="9" priority="7" stopIfTrue="1">
      <formula>$H11="TTL"</formula>
    </cfRule>
  </conditionalFormatting>
  <conditionalFormatting sqref="H11:H14">
    <cfRule type="expression" dxfId="7" priority="5" stopIfTrue="1">
      <formula>$H11="TTL"</formula>
    </cfRule>
  </conditionalFormatting>
  <conditionalFormatting sqref="H11:H12">
    <cfRule type="expression" dxfId="6" priority="4" stopIfTrue="1">
      <formula>$I11="TTL"</formula>
    </cfRule>
  </conditionalFormatting>
  <conditionalFormatting sqref="H8:H10">
    <cfRule type="expression" dxfId="5" priority="3" stopIfTrue="1">
      <formula>$I8="TTL"</formula>
    </cfRule>
  </conditionalFormatting>
  <conditionalFormatting sqref="H8:H10">
    <cfRule type="expression" dxfId="3" priority="2">
      <formula>$I8="TTL"</formula>
    </cfRule>
  </conditionalFormatting>
  <conditionalFormatting sqref="H8:H10">
    <cfRule type="expression" dxfId="1" priority="1" stopIfTrue="1">
      <formula>$M8="TTL"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2014-05-12T06:17:01Z</dcterms:created>
  <dcterms:modified xsi:type="dcterms:W3CDTF">2014-05-12T06:17:40Z</dcterms:modified>
</cp:coreProperties>
</file>