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1200" windowWidth="27075" windowHeight="1119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<sst xmlns="http://schemas.openxmlformats.org/spreadsheetml/2006/main" count="2430" uniqueCount="61">
  <si>
    <t>PURCHASE ORDER LIST</t>
    <phoneticPr fontId="4" type="noConversion"/>
  </si>
  <si>
    <t>PO#</t>
    <phoneticPr fontId="4" type="noConversion"/>
  </si>
  <si>
    <t>SMB-QF-10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</si>
  <si>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</si>
  <si>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</si>
  <si>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</si>
  <si>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</si>
  <si>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</si>
  <si>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</si>
  <si>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</si>
  <si>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</si>
  <si>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</si>
  <si>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</si>
  <si>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</si>
  <si>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</si>
  <si>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</si>
  <si>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</si>
  <si>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</si>
  <si>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</si>
  <si>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</si>
  <si>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</si>
  <si>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</si>
  <si>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</si>
  <si>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</si>
  <si>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</si>
  <si>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</si>
  <si>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</si>
  <si>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</si>
  <si>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</si>
  <si>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</si>
  <si>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</si>
  <si>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</si>
  <si>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</si>
  <si>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</si>
  <si>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</si>
  <si>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</si>
  <si>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</si>
  <si>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</si>
  <si>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SMBSNF3009BLACK</t>
  </si>
  <si>
    <t>SUPER MASSIVE BOUND</t>
  </si>
  <si>
    <t>SNAPBACK</t>
  </si>
  <si>
    <t>U</t>
  </si>
  <si>
    <t>14FW SMB_09_FLAT_BK_N</t>
  </si>
  <si>
    <t>SMBSNF3009</t>
  </si>
  <si>
    <t>BLACK</t>
  </si>
  <si>
    <t/>
  </si>
  <si>
    <t>SMBSNF3009RED</t>
  </si>
  <si>
    <t>14FW SMB_09_FLAT_RE_N</t>
  </si>
  <si>
    <t>RED</t>
  </si>
  <si>
    <t>FW</t>
  </si>
  <si>
    <t>SMBFIF3402BLACK</t>
  </si>
  <si>
    <t>FITTED CAP</t>
  </si>
  <si>
    <t>14SS SMB_17_FLAT_BK_N(5950)</t>
  </si>
  <si>
    <t>SMBFIF3402</t>
  </si>
  <si>
    <t>SMBFIF3018BLACK</t>
  </si>
  <si>
    <t>14FW SMB_47_FLAT_BK_N</t>
  </si>
  <si>
    <t>SMBFIF3018</t>
  </si>
  <si>
    <t>SMBFIF3019BLACK</t>
  </si>
  <si>
    <t>14FW SMB_48_FLAT_BK_N</t>
  </si>
  <si>
    <t>SMBFIF3019</t>
  </si>
  <si>
    <t>RXK-14FW-SMB-QF-10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</si>
</sst>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4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96156</xdr:colOff>
      <xdr:row>10</xdr:row>
      <xdr:rowOff>108857</xdr:rowOff>
    </xdr:from>
    <xdr:to>
      <xdr:col>7</xdr:col>
      <xdr:colOff>636156</xdr:colOff>
      <xdr:row>10</xdr:row>
      <xdr:rowOff>567294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0156" y="3817257"/>
          <a:ext cx="540000" cy="4584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96156</xdr:colOff>
      <xdr:row>11</xdr:row>
      <xdr:rowOff>108856</xdr:rowOff>
    </xdr:from>
    <xdr:to>
      <xdr:col>7</xdr:col>
      <xdr:colOff>636156</xdr:colOff>
      <xdr:row>11</xdr:row>
      <xdr:rowOff>546607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160156" y="4490356"/>
          <a:ext cx="540000" cy="4377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7</xdr:row>
      <xdr:rowOff>136070</xdr:rowOff>
    </xdr:from>
    <xdr:to>
      <xdr:col>7</xdr:col>
      <xdr:colOff>648856</xdr:colOff>
      <xdr:row>7</xdr:row>
      <xdr:rowOff>533965</xdr:rowOff>
    </xdr:to>
    <xdr:pic>
      <xdr:nvPicPr>
        <xdr:cNvPr id="4" name="그림 3" descr="14SS SMB_17_FLAT_BK_N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18981" y="704547920"/>
          <a:ext cx="540000" cy="397895"/>
        </a:xfrm>
        <a:prstGeom prst="rect">
          <a:avLst/>
        </a:prstGeom>
      </xdr:spPr>
    </xdr:pic>
    <xdr:clientData/>
  </xdr:twoCellAnchor>
  <xdr:twoCellAnchor>
    <xdr:from>
      <xdr:col>7</xdr:col>
      <xdr:colOff>96154</xdr:colOff>
      <xdr:row>8</xdr:row>
      <xdr:rowOff>109757</xdr:rowOff>
    </xdr:from>
    <xdr:to>
      <xdr:col>7</xdr:col>
      <xdr:colOff>636154</xdr:colOff>
      <xdr:row>8</xdr:row>
      <xdr:rowOff>538581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118754" y="2471957"/>
          <a:ext cx="540000" cy="4288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96153</xdr:colOff>
      <xdr:row>9</xdr:row>
      <xdr:rowOff>109761</xdr:rowOff>
    </xdr:from>
    <xdr:to>
      <xdr:col>7</xdr:col>
      <xdr:colOff>636153</xdr:colOff>
      <xdr:row>9</xdr:row>
      <xdr:rowOff>548306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118753" y="3145061"/>
          <a:ext cx="540000" cy="4385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X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60</v>
      </c>
      <c r="F3" s="97"/>
      <c r="G3" s="97"/>
      <c r="H3" s="9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41771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50</v>
      </c>
      <c r="C8" s="57"/>
      <c r="D8" s="58">
        <v>1</v>
      </c>
      <c r="E8" s="59" t="s">
        <v>39</v>
      </c>
      <c r="F8" s="59" t="s">
        <v>51</v>
      </c>
      <c r="G8" s="59" t="s">
        <v>41</v>
      </c>
      <c r="H8" s="60"/>
      <c r="I8" s="61" t="s">
        <v>52</v>
      </c>
      <c r="J8" s="58" t="s">
        <v>53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 t="s">
        <v>45</v>
      </c>
      <c r="AF8" s="62">
        <v>300</v>
      </c>
      <c r="AG8" s="62">
        <v>450</v>
      </c>
      <c r="AH8" s="62">
        <v>450</v>
      </c>
      <c r="AI8" s="62">
        <v>300</v>
      </c>
      <c r="AJ8" s="63">
        <f t="shared" ref="AJ8:AJ39" si="0">SUM(L8:AI8)</f>
        <v>1500</v>
      </c>
      <c r="AK8" s="64">
        <v>0</v>
      </c>
      <c r="AL8" s="65">
        <v>0</v>
      </c>
      <c r="AM8" s="66">
        <v>0</v>
      </c>
      <c r="AN8" s="66">
        <v>41848</v>
      </c>
      <c r="AO8" s="61"/>
      <c r="AP8" s="34"/>
    </row>
    <row r="9" spans="1:46" ht="52.5" customHeight="1">
      <c r="A9" s="55">
        <v>2</v>
      </c>
      <c r="B9" s="56" t="s">
        <v>54</v>
      </c>
      <c r="D9" s="58">
        <v>2</v>
      </c>
      <c r="E9" s="59" t="s">
        <v>39</v>
      </c>
      <c r="F9" s="59" t="s">
        <v>51</v>
      </c>
      <c r="G9" s="59" t="s">
        <v>41</v>
      </c>
      <c r="H9" s="60"/>
      <c r="I9" s="61" t="s">
        <v>55</v>
      </c>
      <c r="J9" s="58" t="s">
        <v>56</v>
      </c>
      <c r="K9" s="58" t="s">
        <v>44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>
        <v>250</v>
      </c>
      <c r="AG9" s="62">
        <v>350</v>
      </c>
      <c r="AH9" s="62">
        <v>350</v>
      </c>
      <c r="AI9" s="62">
        <v>250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41848</v>
      </c>
      <c r="AO9" s="61"/>
    </row>
    <row r="10" spans="1:46" ht="52.5" customHeight="1">
      <c r="A10" s="55">
        <v>3</v>
      </c>
      <c r="B10" s="56" t="s">
        <v>57</v>
      </c>
      <c r="D10" s="58">
        <v>3</v>
      </c>
      <c r="E10" s="59" t="s">
        <v>39</v>
      </c>
      <c r="F10" s="59" t="s">
        <v>51</v>
      </c>
      <c r="G10" s="59" t="s">
        <v>41</v>
      </c>
      <c r="H10" s="60"/>
      <c r="I10" s="61" t="s">
        <v>58</v>
      </c>
      <c r="J10" s="58" t="s">
        <v>59</v>
      </c>
      <c r="K10" s="58" t="s">
        <v>44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>
        <v>250</v>
      </c>
      <c r="AG10" s="62">
        <v>350</v>
      </c>
      <c r="AH10" s="62">
        <v>350</v>
      </c>
      <c r="AI10" s="62">
        <v>250</v>
      </c>
      <c r="AJ10" s="63">
        <f t="shared" si="0"/>
        <v>1200</v>
      </c>
      <c r="AK10" s="64" t="s">
        <v>45</v>
      </c>
      <c r="AL10" s="65" t="s">
        <v>45</v>
      </c>
      <c r="AM10" s="66" t="s">
        <v>45</v>
      </c>
      <c r="AN10" s="66">
        <v>41848</v>
      </c>
      <c r="AO10" s="61"/>
    </row>
    <row r="11" spans="1:46" ht="52.5" customHeight="1">
      <c r="A11" s="55">
        <v>4</v>
      </c>
      <c r="B11" s="56" t="s">
        <v>38</v>
      </c>
      <c r="D11" s="58">
        <v>4</v>
      </c>
      <c r="E11" s="59" t="s">
        <v>39</v>
      </c>
      <c r="F11" s="59" t="s">
        <v>40</v>
      </c>
      <c r="G11" s="59" t="s">
        <v>41</v>
      </c>
      <c r="H11" s="60"/>
      <c r="I11" s="61" t="s">
        <v>42</v>
      </c>
      <c r="J11" s="58" t="s">
        <v>43</v>
      </c>
      <c r="K11" s="58" t="s">
        <v>44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>
        <v>1500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1500</v>
      </c>
      <c r="AK11" s="64" t="s">
        <v>45</v>
      </c>
      <c r="AL11" s="65" t="s">
        <v>45</v>
      </c>
      <c r="AM11" s="66" t="s">
        <v>45</v>
      </c>
      <c r="AN11" s="66">
        <v>41848</v>
      </c>
      <c r="AO11" s="61"/>
    </row>
    <row r="12" spans="1:46" ht="52.5" customHeight="1">
      <c r="A12" s="55">
        <v>5</v>
      </c>
      <c r="B12" s="56" t="s">
        <v>46</v>
      </c>
      <c r="D12" s="58">
        <v>5</v>
      </c>
      <c r="E12" s="59" t="s">
        <v>39</v>
      </c>
      <c r="F12" s="59" t="s">
        <v>40</v>
      </c>
      <c r="G12" s="59" t="s">
        <v>41</v>
      </c>
      <c r="H12" s="60"/>
      <c r="I12" s="61" t="s">
        <v>47</v>
      </c>
      <c r="J12" s="58" t="s">
        <v>43</v>
      </c>
      <c r="K12" s="58" t="s">
        <v>48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>
        <v>1500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1500</v>
      </c>
      <c r="AK12" s="64" t="s">
        <v>45</v>
      </c>
      <c r="AL12" s="65" t="s">
        <v>45</v>
      </c>
      <c r="AM12" s="66" t="s">
        <v>45</v>
      </c>
      <c r="AN12" s="66">
        <v>41848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 t="shared" ref="AJ72:AJ76" si="2"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 t="shared" si="2"/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 t="shared" si="2"/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37</v>
      </c>
      <c r="E77" s="87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3000</v>
      </c>
      <c r="AF77" s="78">
        <f t="shared" ref="AF77" si="6">SUM(AF8:AF76)</f>
        <v>800</v>
      </c>
      <c r="AG77" s="78">
        <f t="shared" si="3"/>
        <v>1150</v>
      </c>
      <c r="AH77" s="78">
        <f t="shared" si="3"/>
        <v>1150</v>
      </c>
      <c r="AI77" s="78">
        <f t="shared" si="3"/>
        <v>800</v>
      </c>
      <c r="AJ77" s="78">
        <f>SUM(AJ8:AJ76)</f>
        <v>6900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1:H29 H68:H76">
    <cfRule type="expression" dxfId="23" priority="22" stopIfTrue="1">
      <formula>$H11="TTL"</formula>
    </cfRule>
  </conditionalFormatting>
  <conditionalFormatting sqref="H28">
    <cfRule type="expression" dxfId="22" priority="21" stopIfTrue="1">
      <formula>$H28="TTL"</formula>
    </cfRule>
  </conditionalFormatting>
  <conditionalFormatting sqref="H11:H29">
    <cfRule type="expression" dxfId="21" priority="20" stopIfTrue="1">
      <formula>$H11="TTL"</formula>
    </cfRule>
  </conditionalFormatting>
  <conditionalFormatting sqref="H28">
    <cfRule type="expression" dxfId="20" priority="19" stopIfTrue="1">
      <formula>$H28="TTL"</formula>
    </cfRule>
  </conditionalFormatting>
  <conditionalFormatting sqref="H11:H30">
    <cfRule type="expression" dxfId="19" priority="18" stopIfTrue="1">
      <formula>$H11="TTL"</formula>
    </cfRule>
  </conditionalFormatting>
  <conditionalFormatting sqref="H11:H18">
    <cfRule type="expression" dxfId="17" priority="16" stopIfTrue="1">
      <formula>$H11="TTL"</formula>
    </cfRule>
  </conditionalFormatting>
  <conditionalFormatting sqref="H11:H14">
    <cfRule type="expression" dxfId="16" priority="15" stopIfTrue="1">
      <formula>$H11="TTL"</formula>
    </cfRule>
  </conditionalFormatting>
  <conditionalFormatting sqref="H11:H15">
    <cfRule type="expression" dxfId="15" priority="14" stopIfTrue="1">
      <formula>$H11="TTL"</formula>
    </cfRule>
  </conditionalFormatting>
  <conditionalFormatting sqref="H11:H32">
    <cfRule type="expression" dxfId="14" priority="13" stopIfTrue="1">
      <formula>$H11="TTL"</formula>
    </cfRule>
  </conditionalFormatting>
  <conditionalFormatting sqref="H11:H15">
    <cfRule type="expression" dxfId="13" priority="12" stopIfTrue="1">
      <formula>$H11="TTL"</formula>
    </cfRule>
  </conditionalFormatting>
  <conditionalFormatting sqref="H11">
    <cfRule type="expression" dxfId="12" priority="11" stopIfTrue="1">
      <formula>$H11="TTL"</formula>
    </cfRule>
  </conditionalFormatting>
  <conditionalFormatting sqref="H11:H12">
    <cfRule type="expression" dxfId="11" priority="10" stopIfTrue="1">
      <formula>$H11="TTL"</formula>
    </cfRule>
  </conditionalFormatting>
  <conditionalFormatting sqref="H11:H14">
    <cfRule type="expression" dxfId="10" priority="8" stopIfTrue="1">
      <formula>$H11="TTL"</formula>
    </cfRule>
  </conditionalFormatting>
  <conditionalFormatting sqref="H11:H12">
    <cfRule type="expression" dxfId="9" priority="7" stopIfTrue="1">
      <formula>$I11="TTL"</formula>
    </cfRule>
  </conditionalFormatting>
  <conditionalFormatting sqref="H8:H10">
    <cfRule type="expression" dxfId="5" priority="3" stopIfTrue="1">
      <formula>$I8="TTL"</formula>
    </cfRule>
  </conditionalFormatting>
  <conditionalFormatting sqref="H8:H10">
    <cfRule type="expression" dxfId="3" priority="2">
      <formula>$I8="TTL"</formula>
    </cfRule>
  </conditionalFormatting>
  <conditionalFormatting sqref="H8:H10">
    <cfRule type="expression" dxfId="1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2014-05-12T06:14:17Z</dcterms:created>
  <dcterms:modified xsi:type="dcterms:W3CDTF">2014-05-12T07:43:37Z</dcterms:modified>
</cp:coreProperties>
</file>