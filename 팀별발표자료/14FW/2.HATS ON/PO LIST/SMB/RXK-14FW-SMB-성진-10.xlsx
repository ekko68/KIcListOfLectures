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<sst xmlns="http://schemas.openxmlformats.org/spreadsheetml/2006/main" count="2429" uniqueCount="60">
  <si>
    <t>PURCHASE ORDER LIST</t>
    <phoneticPr fontId="4" type="noConversion"/>
  </si>
  <si>
    <t>PO#</t>
    <phoneticPr fontId="4" type="noConversion"/>
  </si>
  <si>
    <t>SMB-성진-10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</si>
  <si>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</si>
  <si>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</si>
  <si>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</si>
  <si>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</si>
  <si>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</si>
  <si>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</si>
  <si>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</si>
  <si>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</si>
  <si>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</si>
  <si>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</si>
  <si>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</si>
  <si>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</si>
  <si>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</si>
  <si>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</si>
  <si>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</si>
  <si>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</si>
  <si>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</si>
  <si>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</si>
  <si>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</si>
  <si>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</si>
  <si>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</si>
  <si>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</si>
  <si>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</si>
  <si>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</si>
  <si>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</si>
  <si>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</si>
  <si>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</si>
  <si>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</si>
  <si>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</si>
  <si>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</si>
  <si>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</si>
  <si>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</si>
  <si>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</si>
  <si>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</si>
  <si>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</si>
  <si>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SMBSNF3010BLACK</t>
  </si>
  <si>
    <t>SUPER MASSIVE BOUND</t>
  </si>
  <si>
    <t>SNAPBACK</t>
  </si>
  <si>
    <t>U</t>
  </si>
  <si>
    <t>14FW SMB_37_FLAT_BK_N</t>
  </si>
  <si>
    <t>SMBSNF3010</t>
  </si>
  <si>
    <t>BLACK</t>
  </si>
  <si>
    <t/>
  </si>
  <si>
    <t>SMBSNF3011BLUE</t>
  </si>
  <si>
    <t>14FW SMB_38_FLAT_BL_N</t>
  </si>
  <si>
    <t>SMBSNF3011</t>
  </si>
  <si>
    <t>BLUE</t>
  </si>
  <si>
    <t>SMBFIF5012GREY</t>
  </si>
  <si>
    <t>FITTED CAP</t>
  </si>
  <si>
    <t>14FW SMB_29_FLAT_GY_N</t>
  </si>
  <si>
    <t>SMBFIF5012</t>
  </si>
  <si>
    <t>GREY</t>
  </si>
  <si>
    <t>SMBFIF5012NAVY</t>
  </si>
  <si>
    <t>14FW SMB_29_FLAT_NY_N</t>
  </si>
  <si>
    <t>NAVY</t>
  </si>
  <si>
    <t>FW</t>
  </si>
  <si>
    <t>RXK-14FW-SMB-성진-10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</si>
</sst>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108857</xdr:rowOff>
    </xdr:from>
    <xdr:to>
      <xdr:col>7</xdr:col>
      <xdr:colOff>648856</xdr:colOff>
      <xdr:row>7</xdr:row>
      <xdr:rowOff>562206</xdr:rowOff>
    </xdr:to>
    <xdr:pic>
      <xdr:nvPicPr>
        <xdr:cNvPr id="2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723856457"/>
          <a:ext cx="540000" cy="4533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553337</xdr:rowOff>
    </xdr:to>
    <xdr:pic>
      <xdr:nvPicPr>
        <xdr:cNvPr id="3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724523206"/>
          <a:ext cx="540000" cy="4444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9</xdr:row>
      <xdr:rowOff>108857</xdr:rowOff>
    </xdr:from>
    <xdr:to>
      <xdr:col>7</xdr:col>
      <xdr:colOff>648856</xdr:colOff>
      <xdr:row>9</xdr:row>
      <xdr:rowOff>536966</xdr:rowOff>
    </xdr:to>
    <xdr:pic>
      <xdr:nvPicPr>
        <xdr:cNvPr id="4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725189957"/>
          <a:ext cx="540000" cy="428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10</xdr:row>
      <xdr:rowOff>108857</xdr:rowOff>
    </xdr:from>
    <xdr:to>
      <xdr:col>7</xdr:col>
      <xdr:colOff>648856</xdr:colOff>
      <xdr:row>10</xdr:row>
      <xdr:rowOff>535948</xdr:rowOff>
    </xdr:to>
    <xdr:pic>
      <xdr:nvPicPr>
        <xdr:cNvPr id="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727856957"/>
          <a:ext cx="540000" cy="4270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59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41771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41848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41848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51</v>
      </c>
      <c r="G10" s="72" t="s">
        <v>41</v>
      </c>
      <c r="H10" s="73"/>
      <c r="I10" s="74" t="s">
        <v>52</v>
      </c>
      <c r="J10" s="71" t="s">
        <v>53</v>
      </c>
      <c r="K10" s="71" t="s">
        <v>54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>
        <v>250</v>
      </c>
      <c r="AG10" s="75">
        <v>350</v>
      </c>
      <c r="AH10" s="75">
        <v>350</v>
      </c>
      <c r="AI10" s="75">
        <v>250</v>
      </c>
      <c r="AJ10" s="76">
        <f t="shared" si="0"/>
        <v>1200</v>
      </c>
      <c r="AK10" s="77">
        <v>0</v>
      </c>
      <c r="AL10" s="78">
        <v>0</v>
      </c>
      <c r="AM10" s="79">
        <v>0</v>
      </c>
      <c r="AN10" s="79">
        <v>41848</v>
      </c>
      <c r="AO10" s="74"/>
    </row>
    <row r="11" spans="1:46" ht="52.5" customHeight="1">
      <c r="A11" s="68">
        <v>4</v>
      </c>
      <c r="B11" s="69" t="s">
        <v>55</v>
      </c>
      <c r="D11" s="71">
        <v>4</v>
      </c>
      <c r="E11" s="72" t="s">
        <v>39</v>
      </c>
      <c r="F11" s="72" t="s">
        <v>51</v>
      </c>
      <c r="G11" s="72" t="s">
        <v>41</v>
      </c>
      <c r="H11" s="73"/>
      <c r="I11" s="74" t="s">
        <v>56</v>
      </c>
      <c r="J11" s="71" t="s">
        <v>53</v>
      </c>
      <c r="K11" s="71" t="s">
        <v>57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>
        <v>250</v>
      </c>
      <c r="AG11" s="75">
        <v>350</v>
      </c>
      <c r="AH11" s="75">
        <v>350</v>
      </c>
      <c r="AI11" s="75">
        <v>250</v>
      </c>
      <c r="AJ11" s="76">
        <f t="shared" si="0"/>
        <v>1200</v>
      </c>
      <c r="AK11" s="77">
        <v>0</v>
      </c>
      <c r="AL11" s="78">
        <v>0</v>
      </c>
      <c r="AM11" s="79">
        <v>0</v>
      </c>
      <c r="AN11" s="79">
        <v>41848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3000</v>
      </c>
      <c r="AF77" s="92">
        <f t="shared" ref="AF77" si="6">SUM(AF8:AF76)</f>
        <v>500</v>
      </c>
      <c r="AG77" s="92">
        <f t="shared" si="3"/>
        <v>700</v>
      </c>
      <c r="AH77" s="92">
        <f t="shared" si="3"/>
        <v>700</v>
      </c>
      <c r="AI77" s="92">
        <f t="shared" si="3"/>
        <v>500</v>
      </c>
      <c r="AJ77" s="92">
        <f>SUM(AJ8:AJ76)</f>
        <v>5400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21" priority="19" stopIfTrue="1">
      <formula>$H12="TTL"</formula>
    </cfRule>
  </conditionalFormatting>
  <conditionalFormatting sqref="H28">
    <cfRule type="expression" dxfId="20" priority="18" stopIfTrue="1">
      <formula>$H28="TTL"</formula>
    </cfRule>
  </conditionalFormatting>
  <conditionalFormatting sqref="H12:H29">
    <cfRule type="expression" dxfId="19" priority="17" stopIfTrue="1">
      <formula>$H12="TTL"</formula>
    </cfRule>
  </conditionalFormatting>
  <conditionalFormatting sqref="H28">
    <cfRule type="expression" dxfId="18" priority="16" stopIfTrue="1">
      <formula>$H28="TTL"</formula>
    </cfRule>
  </conditionalFormatting>
  <conditionalFormatting sqref="H12:H30">
    <cfRule type="expression" dxfId="17" priority="15" stopIfTrue="1">
      <formula>$H12="TTL"</formula>
    </cfRule>
  </conditionalFormatting>
  <conditionalFormatting sqref="H12:H18">
    <cfRule type="expression" dxfId="15" priority="13" stopIfTrue="1">
      <formula>$H12="TTL"</formula>
    </cfRule>
  </conditionalFormatting>
  <conditionalFormatting sqref="H12:H14">
    <cfRule type="expression" dxfId="14" priority="12" stopIfTrue="1">
      <formula>$H12="TTL"</formula>
    </cfRule>
  </conditionalFormatting>
  <conditionalFormatting sqref="H12:H15">
    <cfRule type="expression" dxfId="13" priority="11" stopIfTrue="1">
      <formula>$H12="TTL"</formula>
    </cfRule>
  </conditionalFormatting>
  <conditionalFormatting sqref="H12:H32">
    <cfRule type="expression" dxfId="12" priority="10" stopIfTrue="1">
      <formula>$H12="TTL"</formula>
    </cfRule>
  </conditionalFormatting>
  <conditionalFormatting sqref="H12:H15">
    <cfRule type="expression" dxfId="11" priority="9" stopIfTrue="1">
      <formula>$H12="TTL"</formula>
    </cfRule>
  </conditionalFormatting>
  <conditionalFormatting sqref="H12">
    <cfRule type="expression" dxfId="9" priority="7" stopIfTrue="1">
      <formula>$H12="TTL"</formula>
    </cfRule>
  </conditionalFormatting>
  <conditionalFormatting sqref="H12:H14">
    <cfRule type="expression" dxfId="7" priority="5" stopIfTrue="1">
      <formula>$H12="TTL"</formula>
    </cfRule>
  </conditionalFormatting>
  <conditionalFormatting sqref="H12">
    <cfRule type="expression" dxfId="6" priority="4" stopIfTrue="1">
      <formula>$I12="TTL"</formula>
    </cfRule>
  </conditionalFormatting>
  <conditionalFormatting sqref="H8:H11">
    <cfRule type="expression" dxfId="5" priority="3" stopIfTrue="1">
      <formula>$I8="TTL"</formula>
    </cfRule>
  </conditionalFormatting>
  <conditionalFormatting sqref="H8:H11">
    <cfRule type="expression" dxfId="3" priority="2">
      <formula>$I8="TTL"</formula>
    </cfRule>
  </conditionalFormatting>
  <conditionalFormatting sqref="H8:H11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2014-05-12T06:19:16Z</dcterms:created>
  <dcterms:modified xsi:type="dcterms:W3CDTF">2014-05-12T06:20:02Z</dcterms:modified>
</cp:coreProperties>
</file>